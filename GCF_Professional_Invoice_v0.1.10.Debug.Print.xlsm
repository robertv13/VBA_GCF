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0CE5105-CE20-4DAD-8FC3-9E8C12684280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List'!$A$3:$A$9989)-1,1)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9" l="1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<sst xmlns="http://schemas.openxmlformats.org/spreadsheetml/2006/main" count="511" uniqueCount="238">
  <si>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</si>
  <si>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</si>
  <si>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</si>
  <si>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</si>
  <si>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</si>
  <si>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</si>
  <si>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</si>
  <si>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</si>
  <si>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</si>
  <si>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</si>
  <si>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</si>
  <si>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</si>
  <si>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</si>
  <si>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</si>
  <si>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</si>
  <si>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</si>
  <si>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</si>
  <si>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</si>
  <si>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</si>
  <si>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</si>
  <si>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</si>
  <si>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</si>
  <si>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</si>
  <si>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</si>
  <si>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</si>
  <si>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</si>
  <si>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</si>
  <si>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</si>
  <si>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</si>
  <si>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</si>
  <si>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</si>
  <si>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</si>
  <si>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</si>
  <si>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</si>
  <si>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</si>
  <si>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</si>
  <si>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</si>
  <si>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</si>
  <si>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</si>
  <si>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</si>
  <si>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</si>
  <si>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</si>
  <si>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</si>
  <si>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</si>
  <si>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</si>
  <si>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</si>
  <si>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</si>
  <si>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</si>
  <si>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</si>
  <si>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</si>
  <si>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</si>
  <si>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</si>
  <si>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</si>
  <si>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</si>
  <si>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</si>
  <si>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</si>
  <si>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</si>
  <si>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</si>
  <si>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</si>
  <si>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</si>
  <si>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</si>
  <si>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</si>
  <si>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</si>
  <si>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</si>
  <si>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</si>
  <si>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</si>
  <si>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</si>
  <si>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</si>
  <si>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</si>
  <si>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</si>
  <si>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</si>
  <si>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</si>
  <si>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</si>
  <si>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</si>
  <si>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</si>
  <si>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</si>
  <si>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</si>
  <si>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</si>
  <si>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</si>
  <si>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</si>
  <si>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</si>
  <si>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</si>
  <si>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</si>
  <si>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</si>
  <si>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</si>
  <si>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</si>
  <si>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</si>
  <si>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</si>
  <si>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</si>
  <si>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</si>
  <si>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</si>
  <si>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</si>
  <si>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</si>
  <si>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</si>
  <si>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</si>
  <si>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</si>
  <si>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</si>
  <si>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</si>
  <si>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</si>
  <si>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</si>
  <si>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</si>
  <si>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</si>
  <si>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</si>
  <si>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</si>
  <si>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</si>
  <si>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</si>
  <si>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</si>
  <si>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</si>
  <si>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</si>
  <si>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</si>
  <si>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</si>
  <si>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</si>
  <si>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</si>
  <si>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</si>
  <si>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</si>
  <si>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</si>
  <si>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</si>
  <si>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</si>
  <si>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</si>
  <si>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</si>
  <si>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</si>
  <si>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</si>
  <si>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</si>
  <si>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</si>
  <si>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</si>
  <si>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</si>
  <si>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</si>
  <si>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</si>
  <si>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</si>
  <si>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</si>
  <si>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</si>
  <si>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</si>
  <si>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</si>
  <si>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</si>
  <si>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</si>
  <si>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</si>
  <si>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</si>
  <si>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</si>
  <si>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</si>
  <si>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</si>
  <si>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</si>
  <si>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</si>
  <si>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</si>
  <si>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</si>
  <si>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</si>
  <si>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</si>
  <si>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</si>
  <si>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</si>
  <si>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</si>
  <si>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</si>
  <si>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</si>
  <si>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</si>
  <si>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</si>
  <si>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</si>
  <si>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</si>
  <si>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</si>
  <si>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</si>
  <si>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</si>
  <si>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</si>
  <si>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</si>
  <si>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</si>
  <si>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</si>
  <si>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</si>
  <si>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</si>
  <si>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</si>
  <si>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</si>
  <si>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</si>
  <si>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</si>
  <si>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</si>
  <si>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</si>
  <si>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</si>
  <si>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</si>
  <si>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</si>
  <si>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</si>
  <si>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</si>
  <si>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</si>
  <si>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</si>
  <si>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</si>
  <si>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</si>
  <si>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</si>
  <si>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</si>
  <si>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</si>
  <si>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</si>
  <si>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</si>
  <si>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</si>
  <si>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</si>
  <si>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</si>
  <si>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</si>
  <si>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</si>
  <si>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</si>
  <si>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</si>
  <si>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</si>
  <si>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</si>
  <si>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</si>
  <si>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</si>
  <si>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</si>
  <si>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</si>
  <si>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</si>
  <si>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</si>
  <si>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</si>
  <si>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</si>
  <si>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</si>
  <si>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</si>
  <si>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</si>
  <si>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</si>
  <si>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</si>
  <si>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</si>
  <si>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</si>
  <si>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</si>
  <si>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</si>
  <si>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</si>
  <si>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</si>
  <si>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</si>
  <si>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</si>
  <si>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</si>
  <si>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</si>
  <si>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</si>
  <si>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</si>
  <si>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</si>
  <si>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</si>
  <si>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</si>
  <si>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</si>
  <si>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</si>
  <si>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</si>
  <si>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</si>
  <si>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</si>
  <si>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</si>
  <si>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</si>
  <si>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</si>
  <si>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</si>
  <si>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</si>
  <si>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</si>
  <si>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</si>
  <si>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</si>
  <si>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</si>
  <si>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</si>
  <si>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</si>
  <si>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Saint-Hubert, QC, J3Z 0A7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</si>
</sst>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66675</xdr:rowOff>
        </xdr:from>
        <xdr:to>
          <xdr:col>7</xdr:col>
          <xdr:colOff>85725</xdr:colOff>
          <xdr:row>8</xdr:row>
          <xdr:rowOff>133350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O11" sqref="O1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206</v>
      </c>
      <c r="D1" s="174"/>
      <c r="E1" s="174"/>
      <c r="F1" s="174"/>
      <c r="G1" s="174"/>
      <c r="H1" s="174"/>
      <c r="I1" s="174" t="s">
        <v>123</v>
      </c>
      <c r="J1" s="174"/>
      <c r="K1" s="174"/>
      <c r="L1" s="174"/>
      <c r="M1" s="174"/>
      <c r="N1" s="174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82"/>
      <c r="J2" s="182"/>
      <c r="K2" s="182"/>
      <c r="L2" s="182"/>
      <c r="M2" s="182"/>
      <c r="N2" s="182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225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85" t="s">
        <v>233</v>
      </c>
      <c r="K4" s="185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8" t="s">
        <v>3</v>
      </c>
      <c r="E5" s="175" t="s">
        <v>166</v>
      </c>
      <c r="F5" s="28" t="s">
        <v>62</v>
      </c>
      <c r="G5" s="31">
        <v>10</v>
      </c>
      <c r="H5" s="140"/>
      <c r="I5" s="42"/>
      <c r="J5" s="42" t="s">
        <v>230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9"/>
      <c r="E6" s="176"/>
      <c r="F6" s="28" t="s">
        <v>63</v>
      </c>
      <c r="G6" s="47">
        <v>30</v>
      </c>
      <c r="H6" s="140"/>
      <c r="I6" s="42"/>
      <c r="J6" s="42" t="s">
        <v>237</v>
      </c>
      <c r="K6" s="42"/>
      <c r="L6" s="43"/>
      <c r="M6" s="118" t="s">
        <v>159</v>
      </c>
      <c r="N6" s="117">
        <v>16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6</v>
      </c>
      <c r="C7" s="140"/>
      <c r="D7" s="180"/>
      <c r="E7" s="177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3" t="s">
        <v>78</v>
      </c>
      <c r="J8" s="184"/>
      <c r="K8" s="184"/>
      <c r="L8" s="184"/>
      <c r="M8" s="184"/>
      <c r="N8" s="184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81" t="s">
        <v>91</v>
      </c>
      <c r="E10" s="181"/>
      <c r="F10" s="181"/>
      <c r="G10" s="181"/>
      <c r="H10" s="140"/>
      <c r="I10" s="48"/>
      <c r="J10" s="48"/>
      <c r="K10" s="48" t="s">
        <v>178</v>
      </c>
      <c r="L10" s="109">
        <v>6</v>
      </c>
      <c r="M10" s="120">
        <v>325</v>
      </c>
      <c r="N10" s="63">
        <f>IF(L10*M10&lt;&gt;0,L10*M10,"")</f>
        <v>1950</v>
      </c>
      <c r="O10" s="150">
        <v>43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 t="s">
        <v>194</v>
      </c>
      <c r="L11" s="109">
        <v>2</v>
      </c>
      <c r="M11" s="120">
        <v>325</v>
      </c>
      <c r="N11" s="63">
        <f t="shared" ref="N11:N46" si="0">IF(L11*M11&lt;&gt;0,L11*M11,"")</f>
        <v>650</v>
      </c>
      <c r="O11" s="150">
        <v>44</v>
      </c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/>
      <c r="D12" s="24"/>
      <c r="E12" s="25"/>
      <c r="F12" s="26"/>
      <c r="G12" s="27"/>
      <c r="H12" s="119"/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/>
      <c r="D13" s="24"/>
      <c r="E13" s="25"/>
      <c r="F13" s="26"/>
      <c r="G13" s="27"/>
      <c r="H13" s="119"/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/>
      <c r="D14" s="24"/>
      <c r="E14" s="25"/>
      <c r="F14" s="26"/>
      <c r="G14" s="27"/>
      <c r="H14" s="119"/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5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8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19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Marie Guay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17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3467 rue de la Noraye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Saint-Hubert, QC, J3Z 0A7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16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210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3" t="s">
        <v>78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0" t="str">
        <f>IF(K10&lt;&gt;"",CONCATENATE("   - " &amp; K10),"")</f>
        <v xml:space="preserve">   - Rédaction d'un mémorandum fiscal pour mettre en place la réorganisation fiscale déterminée ;</v>
      </c>
      <c r="U30" s="170"/>
      <c r="V30" s="17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0" t="str">
        <f t="shared" ref="T31:T44" si="2">IF(K11&lt;&gt;"",CONCATENATE("   - " &amp; K11),"")</f>
        <v xml:space="preserve">   - Préparation du formulaire T2027règlement de dette lors de la liquidation de filiale;</v>
      </c>
      <c r="U31" s="170"/>
      <c r="V31" s="17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0" t="str">
        <f t="shared" si="2"/>
        <v/>
      </c>
      <c r="U32" s="170"/>
      <c r="V32" s="17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0" t="str">
        <f t="shared" si="2"/>
        <v/>
      </c>
      <c r="U33" s="170"/>
      <c r="V33" s="17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0" t="str">
        <f t="shared" si="2"/>
        <v/>
      </c>
      <c r="U34" s="170"/>
      <c r="V34" s="17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0" t="str">
        <f t="shared" si="2"/>
        <v/>
      </c>
      <c r="U35" s="170"/>
      <c r="V35" s="17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0" t="str">
        <f t="shared" si="2"/>
        <v/>
      </c>
      <c r="U36" s="170"/>
      <c r="V36" s="17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0" t="str">
        <f t="shared" si="2"/>
        <v/>
      </c>
      <c r="U37" s="170"/>
      <c r="V37" s="17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0" t="str">
        <f t="shared" si="2"/>
        <v/>
      </c>
      <c r="U38" s="170"/>
      <c r="V38" s="17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0" t="str">
        <f t="shared" si="2"/>
        <v/>
      </c>
      <c r="U39" s="170"/>
      <c r="V39" s="17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0" t="str">
        <f t="shared" si="2"/>
        <v/>
      </c>
      <c r="U40" s="170"/>
      <c r="V40" s="17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0" t="str">
        <f t="shared" si="2"/>
        <v/>
      </c>
      <c r="U41" s="170"/>
      <c r="V41" s="17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0" t="str">
        <f t="shared" si="2"/>
        <v/>
      </c>
      <c r="U42" s="170"/>
      <c r="V42" s="17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0" t="str">
        <f t="shared" si="2"/>
        <v/>
      </c>
      <c r="U43" s="170"/>
      <c r="V43" s="17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0" t="str">
        <f t="shared" si="2"/>
        <v/>
      </c>
      <c r="U44" s="170"/>
      <c r="V44" s="17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0" t="str">
        <f>IF(K25&lt;&gt;"",CONCATENATE("   - " &amp; K25),"")</f>
        <v/>
      </c>
      <c r="U45" s="170"/>
      <c r="V45" s="17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0" t="str">
        <f>IF(K26&lt;&gt;"",CONCATENATE("   - " &amp; K26),"")</f>
        <v/>
      </c>
      <c r="U46" s="170"/>
      <c r="V46" s="17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2600</v>
      </c>
      <c r="O47" s="150"/>
      <c r="P47" s="9"/>
      <c r="Q47" s="9"/>
      <c r="R47" s="9"/>
      <c r="S47" s="144"/>
      <c r="T47" s="170" t="str">
        <f>IF(K27&lt;&gt;"",CONCATENATE("   - " &amp; K27),"")</f>
        <v/>
      </c>
      <c r="U47" s="170"/>
      <c r="V47" s="17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70" t="str">
        <f t="shared" ref="T48:T53" si="3">IF(K35&lt;&gt;"",CONCATENATE("   - " &amp; K35),"")</f>
        <v/>
      </c>
      <c r="U48" s="170"/>
      <c r="V48" s="17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70" t="str">
        <f t="shared" si="3"/>
        <v/>
      </c>
      <c r="U49" s="170"/>
      <c r="V49" s="17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2600</v>
      </c>
      <c r="O50" s="150"/>
      <c r="P50" s="9"/>
      <c r="Q50" s="9"/>
      <c r="R50" s="9"/>
      <c r="S50" s="144"/>
      <c r="T50" s="170" t="str">
        <f t="shared" si="3"/>
        <v/>
      </c>
      <c r="U50" s="170"/>
      <c r="V50" s="17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0" t="str">
        <f t="shared" si="3"/>
        <v/>
      </c>
      <c r="U51" s="170"/>
      <c r="V51" s="17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/>
      <c r="O52" s="150"/>
      <c r="P52" s="9"/>
      <c r="Q52" s="9"/>
      <c r="R52" s="9"/>
      <c r="S52" s="144"/>
      <c r="T52" s="170" t="str">
        <f t="shared" si="3"/>
        <v/>
      </c>
      <c r="U52" s="170"/>
      <c r="V52" s="17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0" t="str">
        <f t="shared" si="3"/>
        <v/>
      </c>
      <c r="U53" s="170"/>
      <c r="V53" s="17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0" t="str">
        <f t="shared" ref="T54:T60" si="4">IF(K44&lt;&gt;"",CONCATENATE("   - " &amp; K44),"")</f>
        <v/>
      </c>
      <c r="U54" s="170"/>
      <c r="V54" s="17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0" t="str">
        <f t="shared" si="4"/>
        <v/>
      </c>
      <c r="U55" s="170"/>
      <c r="V55" s="17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0" t="str">
        <f t="shared" si="4"/>
        <v/>
      </c>
      <c r="U56" s="170"/>
      <c r="V56" s="17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0" t="str">
        <f t="shared" si="4"/>
        <v/>
      </c>
      <c r="U57" s="170"/>
      <c r="V57" s="17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0" t="str">
        <f t="shared" si="4"/>
        <v/>
      </c>
      <c r="U58" s="170"/>
      <c r="V58" s="17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0" t="str">
        <f t="shared" si="4"/>
        <v/>
      </c>
      <c r="U59" s="170"/>
      <c r="V59" s="17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0" t="str">
        <f t="shared" si="4"/>
        <v/>
      </c>
      <c r="U60" s="170"/>
      <c r="V60" s="17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0" t="str">
        <f t="shared" ref="T61:T63" si="5">IF(K51&lt;&gt;"",CONCATENATE("   - " &amp; K51),"")</f>
        <v/>
      </c>
      <c r="U61" s="170"/>
      <c r="V61" s="17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0" t="str">
        <f t="shared" si="5"/>
        <v/>
      </c>
      <c r="U62" s="170"/>
      <c r="V62" s="17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0" t="str">
        <f t="shared" si="5"/>
        <v/>
      </c>
      <c r="U63" s="170"/>
      <c r="V63" s="17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62</v>
      </c>
      <c r="V65" s="164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8</v>
      </c>
      <c r="V66" s="166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2600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2600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130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259.35000000000002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2989.35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1"/>
      <c r="U77" s="171"/>
      <c r="V77" s="171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2" t="s">
        <v>76</v>
      </c>
      <c r="U78" s="172"/>
      <c r="V78" s="172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1"/>
      <c r="U79" s="171"/>
      <c r="V79" s="171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2989.35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7"/>
      <c r="U83" s="167"/>
      <c r="V83" s="167"/>
      <c r="W83" s="16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8" t="s">
        <v>67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7" t="s">
        <v>68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8"/>
      <c r="U87" s="168"/>
      <c r="V87" s="168"/>
      <c r="W87" s="16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9" t="s">
        <v>69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66675</xdr:rowOff>
                  </from>
                  <to>
                    <xdr:col>7</xdr:col>
                    <xdr:colOff>85725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3"/>
  <sheetViews>
    <sheetView zoomScaleNormal="100" workbookViewId="0">
      <selection activeCell="A20" sqref="A20:XFD20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211</v>
      </c>
      <c r="C1" s="11" t="s">
        <v>46</v>
      </c>
      <c r="D1" s="11" t="s">
        <v>207</v>
      </c>
      <c r="E1" s="11" t="s">
        <v>39</v>
      </c>
      <c r="F1" s="11" t="s">
        <v>220</v>
      </c>
      <c r="G1" s="11" t="s">
        <v>221</v>
      </c>
      <c r="H1" s="11" t="s">
        <v>222</v>
      </c>
      <c r="I1" s="11" t="s">
        <v>216</v>
      </c>
      <c r="J1" s="11" t="s">
        <v>217</v>
      </c>
      <c r="K1" s="22" t="s">
        <v>219</v>
      </c>
      <c r="L1" s="22" t="s">
        <v>218</v>
      </c>
    </row>
    <row r="2" spans="1:12" ht="14.45" customHeight="1" x14ac:dyDescent="0.25">
      <c r="A2" s="186" t="s">
        <v>226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101</v>
      </c>
      <c r="B3" s="50" t="s">
        <v>227</v>
      </c>
      <c r="C3" s="50" t="s">
        <v>102</v>
      </c>
      <c r="D3" s="50" t="s">
        <v>228</v>
      </c>
      <c r="E3" s="50" t="s">
        <v>229</v>
      </c>
      <c r="F3" s="50" t="s">
        <v>208</v>
      </c>
      <c r="G3" s="50" t="s">
        <v>212</v>
      </c>
      <c r="H3" s="50" t="s">
        <v>213</v>
      </c>
      <c r="I3" s="50" t="s">
        <v>214</v>
      </c>
      <c r="J3" s="50" t="s">
        <v>215</v>
      </c>
      <c r="K3" s="84" t="s">
        <v>223</v>
      </c>
      <c r="L3" s="84" t="s">
        <v>224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233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160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86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t="s">
        <v>233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C28" s="2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</sheetData>
  <mergeCells count="1">
    <mergeCell ref="A2:L2"/>
  </mergeCells>
  <conditionalFormatting sqref="A4:C7 E4:L7 A13:C13 A14:D15 A8:L12 A16:C18 E13:L18 A19:L33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8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pane ySplit="3" topLeftCell="A15" activePane="bottomLeft" state="frozen"/>
      <selection pane="bottomLeft" activeCell="F44" sqref="F44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  <c r="T1" s="186"/>
    </row>
    <row r="2" spans="1:20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  <c r="T30" s="2"/>
    </row>
    <row r="31" spans="1:20" x14ac:dyDescent="0.25">
      <c r="A31" s="2">
        <v>13</v>
      </c>
      <c r="B31" t="s">
        <v>164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  <c r="T31" s="2"/>
    </row>
    <row r="32" spans="1:20" x14ac:dyDescent="0.25">
      <c r="A32" s="2">
        <v>13</v>
      </c>
      <c r="B32" t="s">
        <v>165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  <c r="T32" s="2"/>
    </row>
    <row r="33" spans="1:20" x14ac:dyDescent="0.25">
      <c r="A33" s="2">
        <v>13</v>
      </c>
      <c r="B33" t="s">
        <v>166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  <c r="T33" s="2"/>
    </row>
    <row r="34" spans="1:20" x14ac:dyDescent="0.25">
      <c r="A34" s="2">
        <v>13</v>
      </c>
      <c r="B34" t="s">
        <v>167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  <c r="T34" s="2"/>
    </row>
    <row r="35" spans="1:20" x14ac:dyDescent="0.25">
      <c r="A35" s="2">
        <v>13</v>
      </c>
      <c r="B35" t="s">
        <v>168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  <c r="T35" s="2"/>
    </row>
    <row r="36" spans="1:20" x14ac:dyDescent="0.25">
      <c r="A36" s="2">
        <v>13</v>
      </c>
      <c r="B36" t="s">
        <v>169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  <c r="T36" s="2"/>
    </row>
    <row r="37" spans="1:20" x14ac:dyDescent="0.25">
      <c r="A37" s="2">
        <v>13</v>
      </c>
      <c r="B37" t="s">
        <v>171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  <c r="T37" s="2"/>
    </row>
    <row r="38" spans="1:20" x14ac:dyDescent="0.25">
      <c r="A38" s="2">
        <v>14</v>
      </c>
      <c r="B38" t="s">
        <v>197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  <c r="T38" s="2"/>
    </row>
    <row r="39" spans="1:20" x14ac:dyDescent="0.25">
      <c r="A39" s="2">
        <v>14</v>
      </c>
      <c r="B39" t="s">
        <v>167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  <c r="T39" s="2"/>
    </row>
    <row r="40" spans="1:20" x14ac:dyDescent="0.25">
      <c r="A40" s="2">
        <v>14</v>
      </c>
      <c r="B40" t="s">
        <v>236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  <c r="T40" s="2"/>
    </row>
    <row r="41" spans="1:20" x14ac:dyDescent="0.25">
      <c r="A41" s="2">
        <v>15</v>
      </c>
      <c r="B41" t="s">
        <v>170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  <c r="T41" s="2"/>
    </row>
    <row r="42" spans="1:20" x14ac:dyDescent="0.25">
      <c r="A42" s="2">
        <v>15</v>
      </c>
      <c r="B42" t="s">
        <v>175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  <c r="T42" s="2"/>
    </row>
    <row r="43" spans="1:20" x14ac:dyDescent="0.25">
      <c r="A43" s="2">
        <v>16</v>
      </c>
      <c r="B43" t="s">
        <v>178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  <c r="T43" s="2"/>
    </row>
    <row r="44" spans="1:20" x14ac:dyDescent="0.25">
      <c r="A44" s="2">
        <v>16</v>
      </c>
      <c r="B44" t="s">
        <v>194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  <c r="T44" s="2"/>
    </row>
    <row r="45" spans="1:20" x14ac:dyDescent="0.25">
      <c r="C45" s="156"/>
      <c r="D45" s="154"/>
      <c r="F45" s="2"/>
      <c r="G45" s="2"/>
      <c r="Q45" s="2"/>
      <c r="R45" s="2"/>
      <c r="S45" s="2"/>
      <c r="T45" s="2"/>
    </row>
    <row r="46" spans="1:20" x14ac:dyDescent="0.25">
      <c r="C46" s="156"/>
      <c r="D46" s="154"/>
      <c r="F46" s="2"/>
      <c r="G46" s="2"/>
      <c r="Q46" s="2"/>
      <c r="R46" s="2"/>
      <c r="S46" s="2"/>
      <c r="T46" s="2"/>
    </row>
    <row r="47" spans="1:20" x14ac:dyDescent="0.25">
      <c r="C47" s="156"/>
      <c r="D47" s="154"/>
      <c r="F47" s="2"/>
      <c r="G47" s="2"/>
      <c r="Q47" s="2"/>
      <c r="R47" s="2"/>
      <c r="S47" s="2"/>
      <c r="T47" s="2"/>
    </row>
    <row r="48" spans="1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90" t="s">
        <v>38</v>
      </c>
      <c r="R1" s="191"/>
      <c r="U1" s="188" t="s">
        <v>92</v>
      </c>
      <c r="V1" s="189"/>
      <c r="W1" s="189"/>
      <c r="X1" s="189"/>
      <c r="Y1" s="189"/>
      <c r="Z1" s="189"/>
    </row>
    <row r="2" spans="1:26" ht="25.5" x14ac:dyDescent="0.25">
      <c r="A2" s="187" t="s">
        <v>91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5</v>
      </c>
      <c r="R3" s="57" t="str">
        <f>IF(Invoice!B16=TRUE,"&lt;&gt;","No")</f>
        <v>&lt;&gt;</v>
      </c>
      <c r="U3" s="2"/>
      <c r="V3" s="21"/>
      <c r="X3" s="83"/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/>
      <c r="V4" s="21"/>
      <c r="X4" s="83"/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/>
      <c r="V5" s="21"/>
      <c r="X5" s="83"/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121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42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>
        <v>4</v>
      </c>
      <c r="B7" t="s">
        <v>160</v>
      </c>
      <c r="C7" t="s">
        <v>230</v>
      </c>
      <c r="D7" t="s">
        <v>231</v>
      </c>
      <c r="E7" t="s">
        <v>82</v>
      </c>
      <c r="F7" s="2" t="s">
        <v>232</v>
      </c>
      <c r="G7" t="s">
        <v>84</v>
      </c>
      <c r="H7" t="s">
        <v>160</v>
      </c>
      <c r="I7" s="46" t="s">
        <v>85</v>
      </c>
    </row>
    <row r="8" spans="1:9" x14ac:dyDescent="0.25">
      <c r="A8" s="2">
        <v>5</v>
      </c>
      <c r="B8" t="s">
        <v>233</v>
      </c>
      <c r="C8" t="s">
        <v>230</v>
      </c>
      <c r="D8" t="s">
        <v>231</v>
      </c>
      <c r="E8" t="s">
        <v>82</v>
      </c>
      <c r="F8" s="2" t="s">
        <v>232</v>
      </c>
      <c r="G8" t="s">
        <v>234</v>
      </c>
      <c r="H8" t="s">
        <v>233</v>
      </c>
      <c r="I8" s="46" t="s">
        <v>235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2023-09-30T15:36:59Z</cp:lastPrinted>
  <dcterms:created xsi:type="dcterms:W3CDTF">2023-05-08T04:58:50Z</dcterms:created>
  <dcterms:modified xsi:type="dcterms:W3CDTF">2023-09-30T18:40:11Z</dcterms:modified>
</cp:coreProperties>
</file>