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3F9E594-C1CD-441D-A02F-34765B09C758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9" i="3" l="1"/>
  <c r="W72" i="3" s="1"/>
  <c r="U66" i="3"/>
  <c r="W74" i="3" l="1"/>
  <c r="W73" i="3"/>
  <c r="W76" i="3" s="1"/>
  <c r="W80" i="3" s="1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24" i="3" l="1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10" i="3"/>
  <c r="E4" i="9"/>
  <c r="F4" i="9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37" i="3"/>
  <c r="B22" i="3"/>
  <c r="B19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0" i="3" l="1"/>
  <c r="R3" i="6"/>
  <c r="N42" i="3" l="1"/>
  <c r="N41" i="3"/>
  <c r="Q3" i="6"/>
  <c r="N44" i="3" l="1"/>
  <c r="N48" i="3" s="1"/>
</calcChain>
</file>

<file path=xl/sharedStrings.xml><?xml version="1.0" encoding="utf-8"?>
<sst xmlns="http://schemas.openxmlformats.org/spreadsheetml/2006/main" count="477" uniqueCount="222">
  <si>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</si>
  <si>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</si>
  <si>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</si>
  <si>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</si>
  <si>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</si>
  <si>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</si>
  <si>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</si>
  <si>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</si>
  <si>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</si>
  <si>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</si>
  <si>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</si>
  <si>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</si>
  <si>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</si>
  <si>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</si>
  <si>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</si>
  <si>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</si>
  <si>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</si>
  <si>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</si>
  <si>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</si>
  <si>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</si>
  <si>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</si>
  <si>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</si>
  <si>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</si>
  <si>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</si>
  <si>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</si>
  <si>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</si>
  <si>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</si>
  <si>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</si>
  <si>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</si>
  <si>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</si>
  <si>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</si>
  <si>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</si>
  <si>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</si>
  <si>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</si>
  <si>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</si>
  <si>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</si>
  <si>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</si>
  <si>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</si>
  <si>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</si>
  <si>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</si>
  <si>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</si>
  <si>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</si>
  <si>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</si>
  <si>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</si>
  <si>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</si>
  <si>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</si>
  <si>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</si>
  <si>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</si>
  <si>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</si>
  <si>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</si>
  <si>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</si>
  <si>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</si>
  <si>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</si>
  <si>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</si>
  <si>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</si>
  <si>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</si>
  <si>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</si>
  <si>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N6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</si>
  <si>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</si>
  <si>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</si>
  <si>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</si>
  <si>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</si>
  <si>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</si>
  <si>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</si>
  <si>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</si>
  <si>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</si>
  <si>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</si>
  <si>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</si>
  <si>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</si>
  <si>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</si>
  <si>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</si>
  <si>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</si>
  <si>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</si>
  <si>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</si>
  <si>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</si>
  <si>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</si>
  <si>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</si>
  <si>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</si>
  <si>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</si>
  <si>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</si>
  <si>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</si>
  <si>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</si>
  <si>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</si>
  <si>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</si>
  <si>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</si>
  <si>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</si>
  <si>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</si>
  <si>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</si>
  <si>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</si>
  <si>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</si>
  <si>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</si>
  <si>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</si>
  <si>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</si>
  <si>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</si>
  <si>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</si>
  <si>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</si>
  <si>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</si>
  <si>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</si>
  <si>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</si>
  <si>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</si>
  <si>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</si>
  <si>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</si>
  <si>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</si>
  <si>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</si>
  <si>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</si>
  <si>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</si>
  <si>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</si>
  <si>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</si>
  <si>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</si>
  <si>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</si>
  <si>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</si>
  <si>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</si>
  <si>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</si>
  <si>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</si>
  <si>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</si>
  <si>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</si>
  <si>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</si>
  <si>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</si>
  <si>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</si>
  <si>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</si>
  <si>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</si>
  <si>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</si>
  <si>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</si>
  <si>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</si>
  <si>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</si>
  <si>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</si>
  <si>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</si>
  <si>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</si>
  <si>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</si>
  <si>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</si>
  <si>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</si>
  <si>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</si>
  <si>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</si>
  <si>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vos bureaux et déplacement;</t>
  </si>
  <si>
    <t xml:space="preserve"> - Rencontre avec vous par Vidéoconférence 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</si>
  <si>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</si>
  <si>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</si>
  <si>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</si>
  <si>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</si>
  <si>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</si>
  <si>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</si>
  <si>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</si>
  <si>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</si>
  <si>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</si>
  <si>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</si>
  <si>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</si>
  <si>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</si>
  <si>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</si>
  <si>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</si>
  <si>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</si>
  <si>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</si>
  <si>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</si>
  <si>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</si>
  <si>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</si>
  <si>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</si>
  <si>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</si>
  <si>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</si>
  <si>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</si>
  <si>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</si>
  <si>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</si>
  <si>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</si>
  <si>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</si>
  <si>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</si>
  <si>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</si>
  <si>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</si>
  <si>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</si>
  <si>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</si>
  <si>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</si>
  <si>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</si>
  <si>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</si>
  <si>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</si>
  <si>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</si>
  <si>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</si>
  <si>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</si>
  <si>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</si>
  <si>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</si>
  <si>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</si>
  <si>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</si>
  <si>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Le 29 septembre 2023</t>
  </si>
  <si>
    <t>Mascouche, QC, J7K 3C1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</si>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</sst>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43" formatCode="_ * #,##0.00_)_ ;_ * \(#,##0.00\)_ ;_ * &quot;-&quot;??_)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  <numFmt numFmtId="171" formatCode="00000"/>
    <numFmt numFmtId="176" formatCode="#,##0.00\ [$$-C0C]_);\(#,##0.00\ [$$-C0C]\)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sz val="11"/>
      <color rgb="FF000000"/>
      <name val="Calibri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b/>
      <u/>
      <sz val="11"/>
      <color rgb="FF625850"/>
      <name val="Verdana"/>
      <family val="2"/>
    </font>
    <font>
      <sz val="11"/>
      <color rgb="FF625850"/>
      <name val="Verdana"/>
      <family val="2"/>
    </font>
    <font>
      <sz val="10"/>
      <color rgb="FF625850"/>
      <name val="Verdana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sz val="8"/>
      <color rgb="FF625850"/>
      <name val="Verdana"/>
      <family val="2"/>
    </font>
    <font>
      <b/>
      <i/>
      <sz val="11"/>
      <color rgb="FF625850"/>
      <name val="Verdana"/>
      <family val="2"/>
    </font>
    <font>
      <b/>
      <i/>
      <sz val="10"/>
      <color rgb="FF625850"/>
      <name val="Verdana"/>
      <family val="2"/>
    </font>
    <font>
      <b/>
      <sz val="12"/>
      <color rgb="FF8C8375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</cellStyleXfs>
  <cellXfs count="21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3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5" fillId="19" borderId="15" xfId="0" applyFont="1" applyFill="1" applyBorder="1" applyAlignment="1">
      <alignment horizontal="left" wrapText="1" shrinkToFit="1"/>
    </xf>
    <xf numFmtId="0" fontId="0" fillId="0" borderId="17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5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0" fontId="0" fillId="20" borderId="0" xfId="0" applyFill="1" applyAlignment="1">
      <alignment horizontal="center"/>
    </xf>
    <xf numFmtId="0" fontId="0" fillId="20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6" fillId="0" borderId="16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7" fontId="0" fillId="9" borderId="0" xfId="0" applyNumberFormat="1" applyFill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8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7" fontId="9" fillId="6" borderId="0" xfId="0" applyNumberFormat="1" applyFont="1" applyFill="1" applyAlignment="1">
      <alignment vertical="center"/>
    </xf>
    <xf numFmtId="44" fontId="9" fillId="6" borderId="0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8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167" fontId="0" fillId="9" borderId="0" xfId="0" applyNumberFormat="1" applyFill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7" borderId="0" xfId="0" applyFont="1" applyFill="1" applyAlignment="1">
      <alignment horizontal="center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5" fillId="9" borderId="23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3" fontId="6" fillId="7" borderId="0" xfId="0" applyNumberFormat="1" applyFont="1" applyFill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0" xfId="0" applyNumberForma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0" borderId="2" xfId="0" applyBorder="1"/>
    <xf numFmtId="0" fontId="0" fillId="0" borderId="17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vertical="center"/>
    </xf>
    <xf numFmtId="0" fontId="33" fillId="0" borderId="17" xfId="0" applyFont="1" applyBorder="1"/>
    <xf numFmtId="0" fontId="33" fillId="0" borderId="0" xfId="0" applyFont="1" applyBorder="1"/>
    <xf numFmtId="0" fontId="33" fillId="0" borderId="2" xfId="0" applyFont="1" applyBorder="1"/>
    <xf numFmtId="169" fontId="34" fillId="0" borderId="0" xfId="0" applyNumberFormat="1" applyFont="1" applyBorder="1"/>
    <xf numFmtId="0" fontId="34" fillId="0" borderId="0" xfId="0" applyFont="1" applyBorder="1"/>
    <xf numFmtId="0" fontId="30" fillId="0" borderId="0" xfId="0" applyFont="1" applyBorder="1" applyAlignment="1">
      <alignment horizontal="right"/>
    </xf>
    <xf numFmtId="171" fontId="31" fillId="0" borderId="0" xfId="0" applyNumberFormat="1" applyFont="1" applyBorder="1" applyAlignment="1">
      <alignment horizontal="center"/>
    </xf>
    <xf numFmtId="0" fontId="35" fillId="0" borderId="17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37" fillId="0" borderId="0" xfId="4" applyFont="1" applyBorder="1" applyAlignment="1">
      <alignment horizontal="center" wrapText="1" shrinkToFit="1"/>
    </xf>
    <xf numFmtId="39" fontId="38" fillId="0" borderId="0" xfId="4" applyNumberFormat="1" applyFont="1" applyBorder="1" applyAlignment="1">
      <alignment horizontal="center" wrapText="1" shrinkToFit="1"/>
    </xf>
    <xf numFmtId="7" fontId="38" fillId="0" borderId="0" xfId="4" applyNumberFormat="1" applyFont="1" applyBorder="1" applyAlignment="1">
      <alignment horizontal="left" wrapText="1" indent="2" shrinkToFit="1"/>
    </xf>
    <xf numFmtId="0" fontId="39" fillId="0" borderId="17" xfId="0" applyFont="1" applyBorder="1"/>
    <xf numFmtId="0" fontId="30" fillId="0" borderId="0" xfId="0" applyFont="1" applyBorder="1"/>
    <xf numFmtId="0" fontId="40" fillId="0" borderId="0" xfId="0" applyFont="1" applyBorder="1"/>
    <xf numFmtId="176" fontId="30" fillId="0" borderId="0" xfId="1" applyNumberFormat="1" applyFont="1" applyBorder="1"/>
    <xf numFmtId="0" fontId="39" fillId="0" borderId="2" xfId="0" applyFont="1" applyBorder="1"/>
    <xf numFmtId="0" fontId="40" fillId="0" borderId="0" xfId="0" applyFont="1" applyBorder="1" applyAlignment="1">
      <alignment horizontal="right"/>
    </xf>
    <xf numFmtId="176" fontId="40" fillId="0" borderId="0" xfId="1" applyNumberFormat="1" applyFont="1" applyBorder="1"/>
    <xf numFmtId="10" fontId="40" fillId="0" borderId="0" xfId="0" applyNumberFormat="1" applyFont="1" applyBorder="1" applyAlignment="1">
      <alignment horizontal="left"/>
    </xf>
    <xf numFmtId="176" fontId="40" fillId="0" borderId="0" xfId="3" applyNumberFormat="1" applyFont="1" applyBorder="1"/>
    <xf numFmtId="168" fontId="40" fillId="0" borderId="0" xfId="0" applyNumberFormat="1" applyFont="1" applyBorder="1" applyAlignment="1">
      <alignment horizontal="left"/>
    </xf>
    <xf numFmtId="176" fontId="40" fillId="0" borderId="0" xfId="0" applyNumberFormat="1" applyFont="1" applyBorder="1"/>
    <xf numFmtId="0" fontId="40" fillId="0" borderId="0" xfId="0" applyFont="1" applyBorder="1" applyAlignment="1">
      <alignment horizontal="left" indent="1"/>
    </xf>
    <xf numFmtId="7" fontId="40" fillId="0" borderId="0" xfId="0" applyNumberFormat="1" applyFont="1" applyBorder="1"/>
    <xf numFmtId="0" fontId="40" fillId="0" borderId="0" xfId="0" applyFont="1" applyBorder="1" applyAlignment="1">
      <alignment horizontal="left"/>
    </xf>
    <xf numFmtId="0" fontId="41" fillId="21" borderId="0" xfId="0" applyFont="1" applyFill="1" applyBorder="1" applyAlignment="1">
      <alignment vertical="center"/>
    </xf>
    <xf numFmtId="0" fontId="42" fillId="21" borderId="0" xfId="0" applyFont="1" applyFill="1" applyBorder="1" applyAlignment="1">
      <alignment vertical="center"/>
    </xf>
    <xf numFmtId="7" fontId="41" fillId="21" borderId="0" xfId="0" applyNumberFormat="1" applyFont="1" applyFill="1" applyBorder="1" applyAlignment="1">
      <alignment vertical="center"/>
    </xf>
    <xf numFmtId="0" fontId="39" fillId="0" borderId="0" xfId="0" applyFont="1" applyBorder="1"/>
    <xf numFmtId="0" fontId="43" fillId="0" borderId="0" xfId="0" applyFont="1" applyBorder="1" applyAlignment="1">
      <alignment horizontal="center"/>
    </xf>
    <xf numFmtId="0" fontId="44" fillId="0" borderId="17" xfId="0" applyFont="1" applyBorder="1" applyAlignment="1">
      <alignment horizontal="center"/>
    </xf>
    <xf numFmtId="0" fontId="44" fillId="0" borderId="0" xfId="0" applyFont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38" fillId="0" borderId="17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8" fillId="0" borderId="2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6" fillId="0" borderId="17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2" xfId="0" applyFont="1" applyBorder="1" applyAlignment="1">
      <alignment horizontal="center"/>
    </xf>
    <xf numFmtId="0" fontId="33" fillId="0" borderId="7" xfId="0" applyFont="1" applyBorder="1"/>
    <xf numFmtId="0" fontId="33" fillId="0" borderId="3" xfId="0" applyFont="1" applyBorder="1"/>
    <xf numFmtId="0" fontId="33" fillId="0" borderId="4" xfId="0" applyFont="1" applyBorder="1"/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jpe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353425" y="2524125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80576</xdr:colOff>
      <xdr:row>2</xdr:row>
      <xdr:rowOff>58682</xdr:rowOff>
    </xdr:from>
    <xdr:to>
      <xdr:col>16</xdr:col>
      <xdr:colOff>736022</xdr:colOff>
      <xdr:row>12</xdr:row>
      <xdr:rowOff>100625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7006501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3571875</xdr:colOff>
          <xdr:row>7</xdr:row>
          <xdr:rowOff>219075</xdr:rowOff>
        </xdr:from>
        <xdr:to>
          <xdr:col>7</xdr:col>
          <xdr:colOff>180975</xdr:colOff>
          <xdr:row>8</xdr:row>
          <xdr:rowOff>161925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109103</xdr:colOff>
      <xdr:row>14</xdr:row>
      <xdr:rowOff>2598</xdr:rowOff>
    </xdr:from>
    <xdr:to>
      <xdr:col>16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7035028" y="3098223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807412</xdr:colOff>
      <xdr:row>17</xdr:row>
      <xdr:rowOff>190499</xdr:rowOff>
    </xdr:from>
    <xdr:to>
      <xdr:col>15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1777188-C5A2-4495-86D2-5C49D9FFD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X89"/>
  <sheetViews>
    <sheetView tabSelected="1" zoomScaleNormal="100" workbookViewId="0">
      <selection activeCell="T100" sqref="T100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61.7109375" customWidth="1"/>
    <col min="6" max="6" width="8.28515625" customWidth="1"/>
    <col min="7" max="7" width="10.85546875" customWidth="1"/>
    <col min="8" max="8" width="5.7109375" customWidth="1"/>
    <col min="9" max="10" width="3.7109375" customWidth="1"/>
    <col min="11" max="11" width="79" customWidth="1"/>
    <col min="12" max="12" width="10.7109375" customWidth="1"/>
    <col min="13" max="13" width="11.5703125" bestFit="1" customWidth="1"/>
    <col min="14" max="14" width="17.140625" bestFit="1" customWidth="1"/>
    <col min="15" max="15" width="2.7109375" style="15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0" customWidth="1"/>
    <col min="21" max="21" width="11.5703125" customWidth="1"/>
    <col min="22" max="22" width="17.5703125" customWidth="1"/>
    <col min="23" max="23" width="17.7109375" customWidth="1"/>
    <col min="24" max="24" width="10.5703125" customWidth="1"/>
  </cols>
  <sheetData>
    <row r="1" spans="1:24" ht="30" customHeight="1" x14ac:dyDescent="0.45">
      <c r="A1" s="1"/>
      <c r="B1" s="22"/>
      <c r="C1" s="139" t="s">
        <v>103</v>
      </c>
      <c r="D1" s="139"/>
      <c r="E1" s="139"/>
      <c r="F1" s="139"/>
      <c r="G1" s="139"/>
      <c r="H1" s="139"/>
      <c r="I1" s="139" t="s">
        <v>138</v>
      </c>
      <c r="J1" s="139"/>
      <c r="K1" s="139"/>
      <c r="L1" s="139"/>
      <c r="M1" s="139"/>
      <c r="N1" s="139"/>
      <c r="O1" s="155"/>
      <c r="P1" s="111"/>
      <c r="Q1" s="111"/>
      <c r="R1" s="18"/>
      <c r="S1" s="162"/>
      <c r="T1" s="163"/>
      <c r="U1" s="163"/>
      <c r="V1" s="163"/>
      <c r="W1" s="163"/>
      <c r="X1" s="164"/>
    </row>
    <row r="2" spans="1:24" ht="20.100000000000001" customHeight="1" x14ac:dyDescent="0.25">
      <c r="A2" s="83" t="s">
        <v>105</v>
      </c>
      <c r="B2" s="95">
        <v>4</v>
      </c>
      <c r="C2" s="8"/>
      <c r="D2" s="8"/>
      <c r="E2" s="8"/>
      <c r="F2" s="8"/>
      <c r="G2" s="8"/>
      <c r="H2" s="8"/>
      <c r="I2" s="135"/>
      <c r="J2" s="135"/>
      <c r="K2" s="135"/>
      <c r="L2" s="135"/>
      <c r="M2" s="135"/>
      <c r="N2" s="135"/>
      <c r="O2" s="156"/>
      <c r="P2" s="31" t="s">
        <v>76</v>
      </c>
      <c r="Q2" s="19"/>
      <c r="R2" s="8"/>
      <c r="S2" s="165"/>
      <c r="T2" s="166"/>
      <c r="U2" s="166"/>
      <c r="V2" s="166"/>
      <c r="W2" s="166"/>
      <c r="X2" s="167"/>
    </row>
    <row r="3" spans="1:24" ht="15" customHeight="1" x14ac:dyDescent="0.25">
      <c r="A3" s="83" t="s">
        <v>41</v>
      </c>
      <c r="B3" s="76">
        <f ca="1">IFERROR(MATCH(B2,BillEntry_ID,0)+3,"")</f>
        <v>7</v>
      </c>
      <c r="C3" s="9"/>
      <c r="D3" s="9"/>
      <c r="E3" s="9"/>
      <c r="F3" s="9"/>
      <c r="G3" s="9"/>
      <c r="H3" s="9"/>
      <c r="I3" s="48"/>
      <c r="J3" s="47" t="s">
        <v>178</v>
      </c>
      <c r="K3" s="120"/>
      <c r="L3" s="49"/>
      <c r="M3" s="50"/>
      <c r="N3" s="48"/>
      <c r="O3" s="157"/>
      <c r="P3" s="9"/>
      <c r="Q3" s="9"/>
      <c r="R3" s="9"/>
      <c r="S3" s="165"/>
      <c r="T3" s="166"/>
      <c r="U3" s="166"/>
      <c r="V3" s="166"/>
      <c r="W3" s="166"/>
      <c r="X3" s="167"/>
    </row>
    <row r="4" spans="1:24" ht="15" customHeight="1" x14ac:dyDescent="0.25">
      <c r="A4" s="83" t="s">
        <v>42</v>
      </c>
      <c r="B4" s="76">
        <f ca="1">IFERROR(MAX(BillEntry_ID)+1,1)</f>
        <v>31</v>
      </c>
      <c r="C4" s="9"/>
      <c r="D4" s="30" t="s">
        <v>72</v>
      </c>
      <c r="E4" s="114" t="s">
        <v>91</v>
      </c>
      <c r="F4" s="30" t="s">
        <v>5</v>
      </c>
      <c r="G4" s="32">
        <v>45142</v>
      </c>
      <c r="H4" s="14"/>
      <c r="I4" s="49"/>
      <c r="J4" s="138" t="s">
        <v>98</v>
      </c>
      <c r="K4" s="138"/>
      <c r="L4" s="49"/>
      <c r="M4" s="51"/>
      <c r="N4" s="51"/>
      <c r="O4" s="157"/>
      <c r="P4" s="9"/>
      <c r="Q4" s="9"/>
      <c r="R4" s="9"/>
      <c r="S4" s="165"/>
      <c r="T4" s="166"/>
      <c r="U4" s="166"/>
      <c r="V4" s="166"/>
      <c r="W4" s="166"/>
      <c r="X4" s="167"/>
    </row>
    <row r="5" spans="1:24" ht="15" customHeight="1" x14ac:dyDescent="0.25">
      <c r="A5" s="84" t="s">
        <v>117</v>
      </c>
      <c r="B5" s="96">
        <f ca="1">IFERROR(INDEX(Cust_ID,MATCH(E4,Cust_Name,0),1),"")</f>
        <v>1</v>
      </c>
      <c r="C5" s="9"/>
      <c r="D5" s="143" t="s">
        <v>4</v>
      </c>
      <c r="E5" s="140" t="s">
        <v>134</v>
      </c>
      <c r="F5" s="30" t="s">
        <v>73</v>
      </c>
      <c r="G5" s="33">
        <v>6</v>
      </c>
      <c r="H5" s="9"/>
      <c r="I5" s="48"/>
      <c r="J5" s="48" t="s">
        <v>111</v>
      </c>
      <c r="K5" s="48"/>
      <c r="L5" s="49"/>
      <c r="M5" s="51"/>
      <c r="N5" s="48"/>
      <c r="O5" s="157"/>
      <c r="P5" s="9"/>
      <c r="Q5" s="9"/>
      <c r="R5" s="9"/>
      <c r="S5" s="165"/>
      <c r="T5" s="166"/>
      <c r="U5" s="166"/>
      <c r="V5" s="166"/>
      <c r="W5" s="166"/>
      <c r="X5" s="167"/>
    </row>
    <row r="6" spans="1:24" ht="15" customHeight="1" x14ac:dyDescent="0.25">
      <c r="A6" s="84" t="s">
        <v>40</v>
      </c>
      <c r="B6" s="77">
        <f ca="1">IFERROR(MATCH(E4,Cust_Name,0)+3,"")</f>
        <v>4</v>
      </c>
      <c r="C6" s="9"/>
      <c r="D6" s="144"/>
      <c r="E6" s="141"/>
      <c r="F6" s="30" t="s">
        <v>74</v>
      </c>
      <c r="G6" s="53">
        <v>40</v>
      </c>
      <c r="H6" s="119"/>
      <c r="I6" s="48"/>
      <c r="J6" s="48" t="s">
        <v>179</v>
      </c>
      <c r="K6" s="48"/>
      <c r="L6" s="49"/>
      <c r="M6" s="130" t="s">
        <v>174</v>
      </c>
      <c r="N6" s="129">
        <v>1</v>
      </c>
      <c r="O6" s="157"/>
      <c r="P6" s="9"/>
      <c r="Q6" s="9"/>
      <c r="R6" s="9"/>
      <c r="S6" s="165"/>
      <c r="T6" s="166"/>
      <c r="U6" s="166"/>
      <c r="V6" s="166"/>
      <c r="W6" s="166"/>
      <c r="X6" s="167"/>
    </row>
    <row r="7" spans="1:24" ht="15" customHeight="1" thickBot="1" x14ac:dyDescent="0.3">
      <c r="A7" s="84" t="s">
        <v>118</v>
      </c>
      <c r="B7" s="96">
        <f ca="1">IFERROR(MAX(Cust_ID)+1,1)</f>
        <v>4</v>
      </c>
      <c r="C7" s="9"/>
      <c r="D7" s="145"/>
      <c r="E7" s="142"/>
      <c r="F7" s="30" t="s">
        <v>75</v>
      </c>
      <c r="G7" s="34" t="s">
        <v>3</v>
      </c>
      <c r="H7" s="9"/>
      <c r="I7" s="54"/>
      <c r="J7" s="48"/>
      <c r="K7" s="48"/>
      <c r="L7" s="48"/>
      <c r="M7" s="55"/>
      <c r="N7" s="48"/>
      <c r="O7" s="157"/>
      <c r="P7" s="9"/>
      <c r="Q7" s="9"/>
      <c r="R7" s="9"/>
      <c r="S7" s="165"/>
      <c r="T7" s="166"/>
      <c r="U7" s="166"/>
      <c r="V7" s="166"/>
      <c r="W7" s="166"/>
      <c r="X7" s="167"/>
    </row>
    <row r="8" spans="1:24" s="128" customFormat="1" ht="24.95" customHeight="1" x14ac:dyDescent="0.25">
      <c r="A8" s="85" t="s">
        <v>119</v>
      </c>
      <c r="B8" s="97" t="str">
        <f ca="1">IFERROR(INDEX(Proj_ID,MATCH(E5,Proj_Name,0),1),"")</f>
        <v/>
      </c>
      <c r="C8" s="122"/>
      <c r="D8" s="122"/>
      <c r="E8" s="122"/>
      <c r="F8" s="122"/>
      <c r="G8" s="122"/>
      <c r="H8" s="122"/>
      <c r="I8" s="136" t="s">
        <v>90</v>
      </c>
      <c r="J8" s="137"/>
      <c r="K8" s="137"/>
      <c r="L8" s="137"/>
      <c r="M8" s="137"/>
      <c r="N8" s="137"/>
      <c r="O8" s="158"/>
      <c r="P8" s="122"/>
      <c r="Q8" s="122"/>
      <c r="R8" s="122"/>
      <c r="S8" s="168"/>
      <c r="T8" s="169"/>
      <c r="U8" s="169"/>
      <c r="V8" s="169"/>
      <c r="W8" s="169"/>
      <c r="X8" s="170"/>
    </row>
    <row r="9" spans="1:24" s="128" customFormat="1" ht="20.100000000000001" customHeight="1" x14ac:dyDescent="0.25">
      <c r="A9" s="85" t="s">
        <v>68</v>
      </c>
      <c r="B9" s="78" t="str">
        <f ca="1">IFERROR(MATCH(E5,Proj_Name,0)+3,"")</f>
        <v/>
      </c>
      <c r="C9" s="122"/>
      <c r="D9" s="122"/>
      <c r="E9" s="122"/>
      <c r="F9" s="122"/>
      <c r="G9" s="123"/>
      <c r="H9" s="122"/>
      <c r="I9" s="124"/>
      <c r="J9" s="41" t="s">
        <v>173</v>
      </c>
      <c r="K9" s="41"/>
      <c r="L9" s="125"/>
      <c r="M9" s="126"/>
      <c r="N9" s="127"/>
      <c r="O9" s="158">
        <v>4</v>
      </c>
      <c r="P9" s="122"/>
      <c r="Q9" s="122"/>
      <c r="R9" s="122"/>
      <c r="S9" s="168"/>
      <c r="T9" s="169"/>
      <c r="U9" s="169"/>
      <c r="V9" s="169"/>
      <c r="W9" s="169"/>
      <c r="X9" s="170"/>
    </row>
    <row r="10" spans="1:24" ht="15" customHeight="1" x14ac:dyDescent="0.25">
      <c r="A10" s="85" t="s">
        <v>120</v>
      </c>
      <c r="B10" s="97">
        <f ca="1">IFERROR(MAX(Proj_ID)+1,1)</f>
        <v>4</v>
      </c>
      <c r="C10" s="9"/>
      <c r="D10" s="146" t="s">
        <v>103</v>
      </c>
      <c r="E10" s="146"/>
      <c r="F10" s="146"/>
      <c r="G10" s="146"/>
      <c r="H10" s="9"/>
      <c r="I10" s="54"/>
      <c r="J10" s="54"/>
      <c r="K10" s="54" t="s">
        <v>182</v>
      </c>
      <c r="L10" s="121">
        <v>2</v>
      </c>
      <c r="M10" s="160">
        <v>350</v>
      </c>
      <c r="N10" s="69">
        <f>IF(L10*M10&lt;&gt;0,L10*M10,"")</f>
        <v>700</v>
      </c>
      <c r="O10" s="157"/>
      <c r="P10" s="9"/>
      <c r="Q10" s="9"/>
      <c r="R10" s="9"/>
      <c r="S10" s="165"/>
      <c r="T10" s="166"/>
      <c r="U10" s="166"/>
      <c r="V10" s="166"/>
      <c r="W10" s="166"/>
      <c r="X10" s="167"/>
    </row>
    <row r="11" spans="1:24" ht="15" customHeight="1" x14ac:dyDescent="0.25">
      <c r="A11" s="86" t="s">
        <v>116</v>
      </c>
      <c r="B11" s="98" t="str">
        <f ca="1">IFERROR(INDEX(ServItem_ID,MATCH(E6,ServItem_Name,0),1),"")</f>
        <v/>
      </c>
      <c r="C11" s="9"/>
      <c r="D11" s="35" t="s">
        <v>77</v>
      </c>
      <c r="E11" s="35" t="s">
        <v>4</v>
      </c>
      <c r="F11" s="35" t="s">
        <v>73</v>
      </c>
      <c r="G11" s="35" t="s">
        <v>75</v>
      </c>
      <c r="H11" s="9"/>
      <c r="I11" s="54"/>
      <c r="J11" s="54"/>
      <c r="K11" s="54" t="s">
        <v>188</v>
      </c>
      <c r="L11" s="121">
        <v>3</v>
      </c>
      <c r="M11" s="160">
        <v>350</v>
      </c>
      <c r="N11" s="69">
        <f t="shared" ref="N11:N36" si="0">IF(L11*M11&lt;&gt;0,L11*M11,"")</f>
        <v>1050</v>
      </c>
      <c r="O11" s="157"/>
      <c r="P11" s="9"/>
      <c r="Q11" s="9"/>
      <c r="R11" s="9"/>
      <c r="S11" s="165"/>
      <c r="T11" s="166"/>
      <c r="U11" s="166"/>
      <c r="V11" s="166"/>
      <c r="W11" s="166"/>
      <c r="X11" s="167"/>
    </row>
    <row r="12" spans="1:24" ht="15" customHeight="1" x14ac:dyDescent="0.25">
      <c r="A12" s="86" t="s">
        <v>69</v>
      </c>
      <c r="B12" s="79" t="str">
        <f ca="1">IFERROR(MATCH(E6,ServItem_Name,0)+3,"")</f>
        <v/>
      </c>
      <c r="C12" s="131">
        <v>4</v>
      </c>
      <c r="D12" s="26">
        <v>45142</v>
      </c>
      <c r="E12" s="27" t="s">
        <v>134</v>
      </c>
      <c r="F12" s="28">
        <v>6</v>
      </c>
      <c r="G12" s="29" t="s">
        <v>3</v>
      </c>
      <c r="H12" s="131">
        <v>7</v>
      </c>
      <c r="I12" s="54"/>
      <c r="J12" s="54"/>
      <c r="K12" s="54" t="s">
        <v>185</v>
      </c>
      <c r="L12" s="121">
        <v>0.5</v>
      </c>
      <c r="M12" s="161">
        <v>350</v>
      </c>
      <c r="N12" s="69">
        <f t="shared" si="0"/>
        <v>175</v>
      </c>
      <c r="O12" s="157"/>
      <c r="P12" s="9"/>
      <c r="Q12" s="9"/>
      <c r="R12" s="9"/>
      <c r="S12" s="165"/>
      <c r="T12" s="166"/>
      <c r="U12" s="166"/>
      <c r="V12" s="166"/>
      <c r="W12" s="166"/>
      <c r="X12" s="167"/>
    </row>
    <row r="13" spans="1:24" ht="15" customHeight="1" x14ac:dyDescent="0.25">
      <c r="A13" s="86" t="s">
        <v>121</v>
      </c>
      <c r="B13" s="98">
        <f ca="1">IFERROR(MAX(ServItem_ID)+1,1)</f>
        <v>41</v>
      </c>
      <c r="C13" s="131">
        <v>6</v>
      </c>
      <c r="D13" s="26">
        <v>45144</v>
      </c>
      <c r="E13" s="27" t="s">
        <v>133</v>
      </c>
      <c r="F13" s="28">
        <v>20</v>
      </c>
      <c r="G13" s="29" t="s">
        <v>3</v>
      </c>
      <c r="H13" s="131">
        <v>9</v>
      </c>
      <c r="I13" s="54"/>
      <c r="J13" s="54"/>
      <c r="K13" s="54" t="s">
        <v>200</v>
      </c>
      <c r="L13" s="121">
        <v>1</v>
      </c>
      <c r="M13" s="161">
        <v>350</v>
      </c>
      <c r="N13" s="69">
        <f t="shared" si="0"/>
        <v>350</v>
      </c>
      <c r="O13" s="157"/>
      <c r="P13" s="9"/>
      <c r="Q13" s="9"/>
      <c r="R13" s="9"/>
      <c r="S13" s="165"/>
      <c r="T13" s="166"/>
      <c r="U13" s="166"/>
      <c r="V13" s="166"/>
      <c r="W13" s="166"/>
      <c r="X13" s="167"/>
    </row>
    <row r="14" spans="1:24" ht="15" customHeight="1" x14ac:dyDescent="0.25">
      <c r="A14" s="87" t="s">
        <v>70</v>
      </c>
      <c r="B14" s="80">
        <f>COUNTA(E4,E5,E6,G4)</f>
        <v>3</v>
      </c>
      <c r="C14" s="131">
        <v>13</v>
      </c>
      <c r="D14" s="26">
        <v>45151</v>
      </c>
      <c r="E14" s="27" t="s">
        <v>134</v>
      </c>
      <c r="F14" s="28">
        <v>16</v>
      </c>
      <c r="G14" s="29" t="s">
        <v>3</v>
      </c>
      <c r="H14" s="131">
        <v>16</v>
      </c>
      <c r="I14" s="54"/>
      <c r="J14" s="54"/>
      <c r="K14" s="54" t="s">
        <v>191</v>
      </c>
      <c r="L14" s="121">
        <v>0.75</v>
      </c>
      <c r="M14" s="161">
        <v>350</v>
      </c>
      <c r="N14" s="69">
        <f t="shared" si="0"/>
        <v>262.5</v>
      </c>
      <c r="O14" s="157"/>
      <c r="P14" s="9"/>
      <c r="Q14" s="9"/>
      <c r="R14" s="9"/>
      <c r="S14" s="165"/>
      <c r="T14" s="166"/>
      <c r="U14" s="166"/>
      <c r="V14" s="166"/>
      <c r="W14" s="166"/>
      <c r="X14" s="167"/>
    </row>
    <row r="15" spans="1:24" ht="15" customHeight="1" x14ac:dyDescent="0.25">
      <c r="A15" s="87" t="s">
        <v>71</v>
      </c>
      <c r="B15" s="80" t="b">
        <v>0</v>
      </c>
      <c r="C15" s="131">
        <v>15</v>
      </c>
      <c r="D15" s="26">
        <v>45153</v>
      </c>
      <c r="E15" s="27" t="s">
        <v>133</v>
      </c>
      <c r="F15" s="28">
        <v>10</v>
      </c>
      <c r="G15" s="29" t="s">
        <v>3</v>
      </c>
      <c r="H15" s="131">
        <v>18</v>
      </c>
      <c r="I15" s="54"/>
      <c r="J15" s="54"/>
      <c r="K15" s="54"/>
      <c r="L15" s="121"/>
      <c r="M15" s="161"/>
      <c r="N15" s="69" t="str">
        <f t="shared" si="0"/>
        <v/>
      </c>
      <c r="O15" s="157"/>
      <c r="P15" s="9"/>
      <c r="Q15" s="9"/>
      <c r="R15" s="9"/>
      <c r="S15" s="165"/>
      <c r="T15" s="166"/>
      <c r="U15" s="166"/>
      <c r="V15" s="166"/>
      <c r="W15" s="166"/>
      <c r="X15" s="167"/>
    </row>
    <row r="16" spans="1:24" ht="15" customHeight="1" x14ac:dyDescent="0.25">
      <c r="A16" s="87" t="s">
        <v>6</v>
      </c>
      <c r="B16" s="80" t="b">
        <v>1</v>
      </c>
      <c r="C16" s="131">
        <v>16</v>
      </c>
      <c r="D16" s="26">
        <v>45154</v>
      </c>
      <c r="E16" s="27" t="s">
        <v>134</v>
      </c>
      <c r="F16" s="28">
        <v>26</v>
      </c>
      <c r="G16" s="29" t="s">
        <v>3</v>
      </c>
      <c r="H16" s="131">
        <v>19</v>
      </c>
      <c r="I16" s="54"/>
      <c r="J16" s="54"/>
      <c r="K16" s="54"/>
      <c r="L16" s="121"/>
      <c r="M16" s="161"/>
      <c r="N16" s="69" t="str">
        <f t="shared" si="0"/>
        <v/>
      </c>
      <c r="O16" s="157"/>
      <c r="P16" s="9"/>
      <c r="Q16" s="9"/>
      <c r="R16" s="9"/>
      <c r="S16" s="171"/>
      <c r="T16" s="172"/>
      <c r="U16" s="172"/>
      <c r="V16" s="172"/>
      <c r="W16" s="172"/>
      <c r="X16" s="173"/>
    </row>
    <row r="17" spans="1:24" ht="15" customHeight="1" x14ac:dyDescent="0.25">
      <c r="A17" s="87" t="s">
        <v>51</v>
      </c>
      <c r="B17" s="80">
        <v>12</v>
      </c>
      <c r="C17" s="131">
        <v>18</v>
      </c>
      <c r="D17" s="26">
        <v>45156</v>
      </c>
      <c r="E17" s="27" t="s">
        <v>133</v>
      </c>
      <c r="F17" s="28">
        <v>5</v>
      </c>
      <c r="G17" s="29" t="s">
        <v>3</v>
      </c>
      <c r="H17" s="131">
        <v>21</v>
      </c>
      <c r="I17" s="54"/>
      <c r="J17" s="54"/>
      <c r="K17" s="54"/>
      <c r="L17" s="121"/>
      <c r="M17" s="161"/>
      <c r="N17" s="69" t="str">
        <f t="shared" si="0"/>
        <v/>
      </c>
      <c r="O17" s="157"/>
      <c r="P17" s="9"/>
      <c r="Q17" s="9"/>
      <c r="R17" s="9"/>
      <c r="S17" s="171"/>
      <c r="T17" s="174" t="str">
        <f>J3</f>
        <v>Le 29 septembre 2023</v>
      </c>
      <c r="U17" s="172"/>
      <c r="V17" s="172"/>
      <c r="W17" s="172"/>
      <c r="X17" s="173"/>
    </row>
    <row r="18" spans="1:24" ht="15" customHeight="1" x14ac:dyDescent="0.25">
      <c r="A18" s="88" t="s">
        <v>122</v>
      </c>
      <c r="B18" s="99">
        <f ca="1">IFERROR(INDEX(Cust_ID,MATCH(J4,Cust_Name,0),1),"")</f>
        <v>2</v>
      </c>
      <c r="C18" s="131">
        <v>28</v>
      </c>
      <c r="D18" s="26">
        <v>45175</v>
      </c>
      <c r="E18" s="27" t="s">
        <v>133</v>
      </c>
      <c r="F18" s="28">
        <v>10</v>
      </c>
      <c r="G18" s="29" t="s">
        <v>3</v>
      </c>
      <c r="H18" s="131">
        <v>31</v>
      </c>
      <c r="I18" s="54"/>
      <c r="J18" s="54"/>
      <c r="K18" s="54"/>
      <c r="L18" s="121"/>
      <c r="M18" s="161"/>
      <c r="N18" s="69" t="str">
        <f t="shared" si="0"/>
        <v/>
      </c>
      <c r="O18" s="157"/>
      <c r="P18" s="9"/>
      <c r="Q18" s="9"/>
      <c r="R18" s="9"/>
      <c r="S18" s="171"/>
      <c r="T18" s="172"/>
      <c r="U18" s="172"/>
      <c r="V18" s="172"/>
      <c r="W18" s="172"/>
      <c r="X18" s="173"/>
    </row>
    <row r="19" spans="1:24" ht="15" customHeight="1" x14ac:dyDescent="0.25">
      <c r="A19" s="88" t="s">
        <v>53</v>
      </c>
      <c r="B19" s="81">
        <f ca="1">IFERROR(MATCH(J4,Cust_Name,0)+3,"")</f>
        <v>5</v>
      </c>
      <c r="C19" s="131">
        <v>29</v>
      </c>
      <c r="D19" s="26">
        <v>45173</v>
      </c>
      <c r="E19" s="27" t="s">
        <v>134</v>
      </c>
      <c r="F19" s="28">
        <v>26</v>
      </c>
      <c r="G19" s="29" t="s">
        <v>3</v>
      </c>
      <c r="H19" s="131">
        <v>32</v>
      </c>
      <c r="I19" s="54"/>
      <c r="J19" s="54"/>
      <c r="K19" s="54"/>
      <c r="L19" s="121"/>
      <c r="M19" s="161"/>
      <c r="N19" s="69" t="str">
        <f t="shared" si="0"/>
        <v/>
      </c>
      <c r="O19" s="157"/>
      <c r="P19" s="9"/>
      <c r="Q19" s="9"/>
      <c r="R19" s="9"/>
      <c r="S19" s="171"/>
      <c r="T19" s="175" t="s">
        <v>176</v>
      </c>
      <c r="U19" s="172"/>
      <c r="V19" s="172"/>
      <c r="W19" s="172"/>
      <c r="X19" s="173"/>
    </row>
    <row r="20" spans="1:24" ht="15" customHeight="1" x14ac:dyDescent="0.25">
      <c r="A20" s="88" t="s">
        <v>26</v>
      </c>
      <c r="B20" s="81" t="str">
        <f ca="1">IFERROR(MATCH(M3,Inv_ID,0)+3,"")</f>
        <v/>
      </c>
      <c r="C20" s="131">
        <v>30</v>
      </c>
      <c r="D20" s="26">
        <v>45175</v>
      </c>
      <c r="E20" s="75" t="s">
        <v>133</v>
      </c>
      <c r="F20" s="28">
        <v>5</v>
      </c>
      <c r="G20" s="26" t="s">
        <v>3</v>
      </c>
      <c r="H20" s="131">
        <v>33</v>
      </c>
      <c r="I20" s="54"/>
      <c r="J20" s="54"/>
      <c r="K20" s="54"/>
      <c r="L20" s="121"/>
      <c r="M20" s="161"/>
      <c r="N20" s="69" t="str">
        <f t="shared" si="0"/>
        <v/>
      </c>
      <c r="O20" s="157"/>
      <c r="P20" s="9"/>
      <c r="Q20" s="9"/>
      <c r="R20" s="9"/>
      <c r="S20" s="171"/>
      <c r="T20" s="175" t="str">
        <f>J4</f>
        <v>CANPLEX INC.</v>
      </c>
      <c r="U20" s="172"/>
      <c r="V20" s="172"/>
      <c r="W20" s="172"/>
      <c r="X20" s="173"/>
    </row>
    <row r="21" spans="1:24" ht="15" customHeight="1" x14ac:dyDescent="0.25">
      <c r="A21" s="88" t="s">
        <v>123</v>
      </c>
      <c r="B21" s="99">
        <v>1</v>
      </c>
      <c r="C21" s="131"/>
      <c r="D21" s="26"/>
      <c r="E21" s="75"/>
      <c r="F21" s="28"/>
      <c r="G21" s="26"/>
      <c r="H21" s="131"/>
      <c r="I21" s="54"/>
      <c r="J21" s="54"/>
      <c r="K21" s="54"/>
      <c r="L21" s="121"/>
      <c r="M21" s="161"/>
      <c r="N21" s="69" t="str">
        <f t="shared" si="0"/>
        <v/>
      </c>
      <c r="O21" s="157"/>
      <c r="P21" s="9"/>
      <c r="Q21" s="9"/>
      <c r="R21" s="9"/>
      <c r="S21" s="171"/>
      <c r="T21" s="172" t="str">
        <f>J5</f>
        <v>3175 de la Gare</v>
      </c>
      <c r="U21" s="172"/>
      <c r="V21" s="172"/>
      <c r="W21" s="172"/>
      <c r="X21" s="173"/>
    </row>
    <row r="22" spans="1:24" ht="15" customHeight="1" x14ac:dyDescent="0.25">
      <c r="A22" s="88" t="s">
        <v>39</v>
      </c>
      <c r="B22" s="81" t="str">
        <f ca="1">IFERROR(MATCH(Q2,Inv_ID,0)+3,"")</f>
        <v/>
      </c>
      <c r="C22" s="131"/>
      <c r="D22" s="26"/>
      <c r="E22" s="75"/>
      <c r="F22" s="28"/>
      <c r="G22" s="26"/>
      <c r="H22" s="131"/>
      <c r="I22" s="54"/>
      <c r="J22" s="54"/>
      <c r="K22" s="54"/>
      <c r="L22" s="121"/>
      <c r="M22" s="161"/>
      <c r="N22" s="69" t="str">
        <f t="shared" si="0"/>
        <v/>
      </c>
      <c r="O22" s="157"/>
      <c r="P22" s="9"/>
      <c r="Q22" s="9"/>
      <c r="R22" s="9"/>
      <c r="S22" s="171"/>
      <c r="T22" s="172" t="str">
        <f>J6</f>
        <v>Mascouche, QC, J7K 3C1</v>
      </c>
      <c r="U22" s="172"/>
      <c r="V22" s="172"/>
      <c r="W22" s="172"/>
      <c r="X22" s="173"/>
    </row>
    <row r="23" spans="1:24" ht="15" customHeight="1" x14ac:dyDescent="0.25">
      <c r="A23" s="89" t="s">
        <v>31</v>
      </c>
      <c r="B23" s="82" t="b">
        <v>0</v>
      </c>
      <c r="C23" s="131"/>
      <c r="D23" s="26"/>
      <c r="E23" s="75"/>
      <c r="F23" s="28"/>
      <c r="G23" s="26"/>
      <c r="H23" s="131"/>
      <c r="I23" s="54"/>
      <c r="J23" s="54"/>
      <c r="K23" s="54"/>
      <c r="L23" s="121"/>
      <c r="M23" s="161"/>
      <c r="N23" s="69" t="str">
        <f t="shared" si="0"/>
        <v/>
      </c>
      <c r="O23" s="157"/>
      <c r="P23" s="9"/>
      <c r="Q23" s="9"/>
      <c r="R23" s="9"/>
      <c r="S23" s="171"/>
      <c r="T23" s="172"/>
      <c r="U23" s="172"/>
      <c r="V23" s="172"/>
      <c r="W23" s="172"/>
      <c r="X23" s="173"/>
    </row>
    <row r="24" spans="1:24" ht="15" customHeight="1" x14ac:dyDescent="0.25">
      <c r="A24" s="89" t="s">
        <v>54</v>
      </c>
      <c r="B24" s="82" t="b">
        <v>1</v>
      </c>
      <c r="C24" s="131"/>
      <c r="D24" s="26"/>
      <c r="E24" s="75"/>
      <c r="F24" s="28"/>
      <c r="G24" s="26"/>
      <c r="H24" s="131"/>
      <c r="I24" s="54"/>
      <c r="J24" s="54"/>
      <c r="K24" s="54"/>
      <c r="L24" s="121"/>
      <c r="M24" s="161"/>
      <c r="N24" s="69" t="str">
        <f t="shared" si="0"/>
        <v/>
      </c>
      <c r="O24" s="157"/>
      <c r="P24" s="9"/>
      <c r="Q24" s="9"/>
      <c r="R24" s="9"/>
      <c r="S24" s="171"/>
      <c r="T24" s="172"/>
      <c r="U24" s="172"/>
      <c r="V24" s="176" t="s">
        <v>180</v>
      </c>
      <c r="W24" s="177">
        <f>N6</f>
        <v>1</v>
      </c>
      <c r="X24" s="173"/>
    </row>
    <row r="25" spans="1:24" ht="15" customHeight="1" x14ac:dyDescent="0.25">
      <c r="A25" s="89" t="s">
        <v>55</v>
      </c>
      <c r="B25" s="82" t="b">
        <v>0</v>
      </c>
      <c r="C25" s="131"/>
      <c r="D25" s="26"/>
      <c r="E25" s="75"/>
      <c r="F25" s="28"/>
      <c r="G25" s="26"/>
      <c r="H25" s="131"/>
      <c r="I25" s="54"/>
      <c r="J25" s="54"/>
      <c r="K25" s="54"/>
      <c r="L25" s="121"/>
      <c r="M25" s="161"/>
      <c r="N25" s="69" t="str">
        <f t="shared" si="0"/>
        <v/>
      </c>
      <c r="O25" s="157"/>
      <c r="P25" s="9"/>
      <c r="Q25" s="9"/>
      <c r="R25" s="9"/>
      <c r="S25" s="171"/>
      <c r="T25" s="172"/>
      <c r="U25" s="172"/>
      <c r="V25" s="172"/>
      <c r="W25" s="172"/>
      <c r="X25" s="173"/>
    </row>
    <row r="26" spans="1:24" ht="15" customHeight="1" x14ac:dyDescent="0.25">
      <c r="A26" s="20"/>
      <c r="B26" s="22"/>
      <c r="C26" s="131"/>
      <c r="D26" s="26"/>
      <c r="E26" s="75"/>
      <c r="F26" s="28"/>
      <c r="G26" s="26"/>
      <c r="H26" s="131"/>
      <c r="I26" s="54"/>
      <c r="J26" s="54"/>
      <c r="K26" s="54"/>
      <c r="L26" s="121"/>
      <c r="M26" s="161"/>
      <c r="N26" s="69" t="str">
        <f t="shared" si="0"/>
        <v/>
      </c>
      <c r="O26" s="157"/>
      <c r="P26" s="9"/>
      <c r="Q26" s="9"/>
      <c r="R26" s="9"/>
      <c r="S26" s="178" t="s">
        <v>90</v>
      </c>
      <c r="T26" s="179"/>
      <c r="U26" s="179"/>
      <c r="V26" s="179"/>
      <c r="W26" s="179"/>
      <c r="X26" s="180"/>
    </row>
    <row r="27" spans="1:24" ht="15" customHeight="1" x14ac:dyDescent="0.25">
      <c r="A27" s="20"/>
      <c r="B27" s="22"/>
      <c r="C27" s="131"/>
      <c r="D27" s="26"/>
      <c r="E27" s="75"/>
      <c r="F27" s="28"/>
      <c r="G27" s="26"/>
      <c r="H27" s="131"/>
      <c r="I27" s="54"/>
      <c r="J27" s="54"/>
      <c r="K27" s="54"/>
      <c r="L27" s="121"/>
      <c r="M27" s="161"/>
      <c r="N27" s="69" t="str">
        <f t="shared" si="0"/>
        <v/>
      </c>
      <c r="O27" s="157"/>
      <c r="P27" s="9"/>
      <c r="Q27" s="9"/>
      <c r="R27" s="9"/>
      <c r="S27" s="171"/>
      <c r="T27" s="172"/>
      <c r="U27" s="172"/>
      <c r="V27" s="172"/>
      <c r="W27" s="172"/>
      <c r="X27" s="173"/>
    </row>
    <row r="28" spans="1:24" ht="15" customHeight="1" x14ac:dyDescent="0.25">
      <c r="A28" s="20"/>
      <c r="B28" s="22"/>
      <c r="C28" s="131"/>
      <c r="D28" s="26"/>
      <c r="E28" s="75"/>
      <c r="F28" s="28"/>
      <c r="G28" s="26"/>
      <c r="H28" s="131"/>
      <c r="I28" s="54"/>
      <c r="J28" s="54"/>
      <c r="K28" s="54"/>
      <c r="L28" s="121"/>
      <c r="M28" s="161"/>
      <c r="N28" s="69" t="str">
        <f t="shared" si="0"/>
        <v/>
      </c>
      <c r="O28" s="157"/>
      <c r="P28" s="9"/>
      <c r="Q28" s="9"/>
      <c r="R28" s="9"/>
      <c r="S28" s="171"/>
      <c r="T28" s="172" t="s">
        <v>173</v>
      </c>
      <c r="U28" s="172"/>
      <c r="V28" s="172"/>
      <c r="W28" s="172"/>
      <c r="X28" s="173"/>
    </row>
    <row r="29" spans="1:24" ht="15" customHeight="1" x14ac:dyDescent="0.25">
      <c r="A29" s="20"/>
      <c r="B29" s="22"/>
      <c r="C29" s="131"/>
      <c r="D29" s="26"/>
      <c r="E29" s="75"/>
      <c r="F29" s="28"/>
      <c r="G29" s="26"/>
      <c r="H29" s="131"/>
      <c r="I29" s="54"/>
      <c r="J29" s="54"/>
      <c r="K29" s="54"/>
      <c r="L29" s="121"/>
      <c r="M29" s="161"/>
      <c r="N29" s="69" t="str">
        <f t="shared" si="0"/>
        <v/>
      </c>
      <c r="O29" s="157"/>
      <c r="P29" s="9"/>
      <c r="Q29" s="9"/>
      <c r="R29" s="9"/>
      <c r="S29" s="171"/>
      <c r="T29" s="172"/>
      <c r="U29" s="172"/>
      <c r="V29" s="172"/>
      <c r="W29" s="172"/>
      <c r="X29" s="173"/>
    </row>
    <row r="30" spans="1:24" ht="15" customHeight="1" x14ac:dyDescent="0.25">
      <c r="A30" s="20"/>
      <c r="B30" s="22"/>
      <c r="C30" s="21"/>
      <c r="D30" s="14"/>
      <c r="E30" s="9"/>
      <c r="F30" s="9"/>
      <c r="G30" s="9"/>
      <c r="H30" s="21"/>
      <c r="I30" s="54"/>
      <c r="J30" s="54"/>
      <c r="K30" s="54"/>
      <c r="L30" s="121"/>
      <c r="M30" s="161"/>
      <c r="N30" s="69" t="str">
        <f t="shared" si="0"/>
        <v/>
      </c>
      <c r="O30" s="157"/>
      <c r="P30" s="9"/>
      <c r="Q30" s="9"/>
      <c r="R30" s="9"/>
      <c r="S30" s="171"/>
      <c r="T30" s="181" t="str">
        <f>IF(K10&lt;&gt;"",CONCATENATE("   - " &amp; K10),"")</f>
        <v xml:space="preserve">   - Rencontre avec vous aux bureaux des notaires et déplacement ;</v>
      </c>
      <c r="U30" s="181"/>
      <c r="V30" s="181"/>
      <c r="W30" s="172"/>
      <c r="X30" s="173"/>
    </row>
    <row r="31" spans="1:24" ht="15" customHeight="1" x14ac:dyDescent="0.25">
      <c r="A31" s="20"/>
      <c r="B31" s="22"/>
      <c r="C31" s="21"/>
      <c r="D31" s="14"/>
      <c r="E31" s="9"/>
      <c r="F31" s="9"/>
      <c r="G31" s="9"/>
      <c r="H31" s="21"/>
      <c r="I31" s="54"/>
      <c r="J31" s="54"/>
      <c r="K31" s="54"/>
      <c r="L31" s="121"/>
      <c r="M31" s="161"/>
      <c r="N31" s="69" t="str">
        <f t="shared" si="0"/>
        <v/>
      </c>
      <c r="O31" s="157"/>
      <c r="P31" s="9"/>
      <c r="Q31" s="9"/>
      <c r="R31" s="9"/>
      <c r="S31" s="171"/>
      <c r="T31" s="181" t="str">
        <f t="shared" ref="T31:T44" si="1">IF(K11&lt;&gt;"",CONCATENATE("   - " &amp; K11),"")</f>
        <v xml:space="preserve">   - Préparation à la rencontre et rencontre avec vous par Vidéoconférence ;</v>
      </c>
      <c r="U31" s="181"/>
      <c r="V31" s="181"/>
      <c r="W31" s="172"/>
      <c r="X31" s="173"/>
    </row>
    <row r="32" spans="1:24" ht="15" customHeight="1" x14ac:dyDescent="0.25">
      <c r="A32" s="20"/>
      <c r="B32" s="22"/>
      <c r="C32" s="21"/>
      <c r="D32" s="14"/>
      <c r="E32" s="9"/>
      <c r="F32" s="9"/>
      <c r="G32" s="9"/>
      <c r="H32" s="21"/>
      <c r="I32" s="54"/>
      <c r="J32" s="54"/>
      <c r="K32" s="54"/>
      <c r="L32" s="121"/>
      <c r="M32" s="161"/>
      <c r="N32" s="69" t="str">
        <f t="shared" si="0"/>
        <v/>
      </c>
      <c r="O32" s="157"/>
      <c r="P32" s="9"/>
      <c r="Q32" s="9"/>
      <c r="R32" s="9"/>
      <c r="S32" s="171"/>
      <c r="T32" s="181" t="str">
        <f t="shared" si="1"/>
        <v xml:space="preserve">   - Préparation à la rencontre et rencontre avec vous à nos bureaux;</v>
      </c>
      <c r="U32" s="181"/>
      <c r="V32" s="181"/>
      <c r="W32" s="172"/>
      <c r="X32" s="173"/>
    </row>
    <row r="33" spans="1:24" ht="15" customHeight="1" x14ac:dyDescent="0.25">
      <c r="A33" s="20"/>
      <c r="B33" s="22"/>
      <c r="C33" s="21"/>
      <c r="D33" s="14"/>
      <c r="E33" s="9"/>
      <c r="F33" s="9"/>
      <c r="G33" s="9"/>
      <c r="H33" s="21"/>
      <c r="I33" s="54"/>
      <c r="J33" s="54"/>
      <c r="K33" s="54"/>
      <c r="L33" s="121"/>
      <c r="M33" s="161"/>
      <c r="N33" s="69" t="str">
        <f t="shared" si="0"/>
        <v/>
      </c>
      <c r="O33" s="157"/>
      <c r="P33" s="9"/>
      <c r="Q33" s="9"/>
      <c r="R33" s="9"/>
      <c r="S33" s="171"/>
      <c r="T33" s="181" t="str">
        <f t="shared" si="1"/>
        <v xml:space="preserve">   - Estimation du calcul du Revenu Protégé année par année nécessaire pour les fins de la réorganisation;</v>
      </c>
      <c r="U33" s="181"/>
      <c r="V33" s="181"/>
      <c r="W33" s="172"/>
      <c r="X33" s="173"/>
    </row>
    <row r="34" spans="1:24" ht="15" customHeight="1" x14ac:dyDescent="0.25">
      <c r="A34" s="1"/>
      <c r="B34" s="22"/>
      <c r="C34" s="21"/>
      <c r="D34" s="14"/>
      <c r="E34" s="9"/>
      <c r="F34" s="9"/>
      <c r="G34" s="9"/>
      <c r="H34" s="21"/>
      <c r="I34" s="54"/>
      <c r="J34" s="54"/>
      <c r="K34" s="54"/>
      <c r="L34" s="121"/>
      <c r="M34" s="161"/>
      <c r="N34" s="69" t="str">
        <f t="shared" si="0"/>
        <v/>
      </c>
      <c r="O34" s="157"/>
      <c r="P34" s="9"/>
      <c r="Q34" s="9"/>
      <c r="R34" s="9"/>
      <c r="S34" s="171"/>
      <c r="T34" s="181" t="str">
        <f t="shared" si="1"/>
        <v xml:space="preserve">   - Recueuillir les informations pour la création d'une fiducie;</v>
      </c>
      <c r="U34" s="181"/>
      <c r="V34" s="181"/>
      <c r="W34" s="172"/>
      <c r="X34" s="173"/>
    </row>
    <row r="35" spans="1:24" ht="15" customHeight="1" x14ac:dyDescent="0.25">
      <c r="A35" s="1"/>
      <c r="B35" s="22"/>
      <c r="C35" s="21"/>
      <c r="D35" s="14"/>
      <c r="E35" s="9"/>
      <c r="F35" s="9"/>
      <c r="G35" s="9"/>
      <c r="H35" s="21"/>
      <c r="I35" s="54"/>
      <c r="J35" s="54"/>
      <c r="K35" s="54"/>
      <c r="L35" s="121"/>
      <c r="M35" s="161"/>
      <c r="N35" s="69" t="str">
        <f t="shared" si="0"/>
        <v/>
      </c>
      <c r="O35" s="157"/>
      <c r="P35" s="9"/>
      <c r="Q35" s="9"/>
      <c r="R35" s="9"/>
      <c r="S35" s="171"/>
      <c r="T35" s="181" t="str">
        <f t="shared" si="1"/>
        <v/>
      </c>
      <c r="U35" s="181"/>
      <c r="V35" s="181"/>
      <c r="W35" s="172"/>
      <c r="X35" s="173"/>
    </row>
    <row r="36" spans="1:24" ht="15" customHeight="1" x14ac:dyDescent="0.25">
      <c r="A36" s="1"/>
      <c r="B36" s="22"/>
      <c r="C36" s="21"/>
      <c r="D36" s="14"/>
      <c r="E36" s="9"/>
      <c r="F36" s="9"/>
      <c r="G36" s="9"/>
      <c r="H36" s="21"/>
      <c r="I36" s="54"/>
      <c r="J36" s="54"/>
      <c r="K36" s="54"/>
      <c r="L36" s="121"/>
      <c r="M36" s="161"/>
      <c r="N36" s="69" t="str">
        <f t="shared" si="0"/>
        <v/>
      </c>
      <c r="O36" s="157"/>
      <c r="P36" s="9"/>
      <c r="Q36" s="9"/>
      <c r="R36" s="9"/>
      <c r="S36" s="171"/>
      <c r="T36" s="181" t="str">
        <f t="shared" si="1"/>
        <v/>
      </c>
      <c r="U36" s="181"/>
      <c r="V36" s="181"/>
      <c r="W36" s="172"/>
      <c r="X36" s="173"/>
    </row>
    <row r="37" spans="1:24" ht="15" customHeight="1" x14ac:dyDescent="0.25">
      <c r="A37" s="1"/>
      <c r="B37" s="22"/>
      <c r="C37" s="21"/>
      <c r="D37" s="14"/>
      <c r="E37" s="9"/>
      <c r="F37" s="9"/>
      <c r="G37" s="9"/>
      <c r="H37" s="21"/>
      <c r="I37" s="36"/>
      <c r="J37" s="37" t="s">
        <v>81</v>
      </c>
      <c r="K37" s="36"/>
      <c r="L37" s="36"/>
      <c r="M37" s="38"/>
      <c r="N37" s="68">
        <f>SUM(N9:N36)</f>
        <v>2537.5</v>
      </c>
      <c r="O37" s="157"/>
      <c r="P37" s="9"/>
      <c r="Q37" s="9"/>
      <c r="R37" s="9"/>
      <c r="S37" s="171"/>
      <c r="T37" s="181" t="str">
        <f t="shared" si="1"/>
        <v/>
      </c>
      <c r="U37" s="181"/>
      <c r="V37" s="181"/>
      <c r="W37" s="172"/>
      <c r="X37" s="173"/>
    </row>
    <row r="38" spans="1:24" ht="15" customHeight="1" x14ac:dyDescent="0.25">
      <c r="A38" s="1"/>
      <c r="B38" s="22"/>
      <c r="C38" s="9"/>
      <c r="D38" s="14"/>
      <c r="E38" s="9"/>
      <c r="F38" s="9"/>
      <c r="G38" s="9"/>
      <c r="H38" s="21"/>
      <c r="I38" s="36"/>
      <c r="J38" s="36"/>
      <c r="K38" s="36"/>
      <c r="L38" s="39" t="s">
        <v>85</v>
      </c>
      <c r="M38" s="38"/>
      <c r="N38" s="69">
        <v>0</v>
      </c>
      <c r="O38" s="157"/>
      <c r="P38" s="9"/>
      <c r="Q38" s="9"/>
      <c r="R38" s="9"/>
      <c r="S38" s="171"/>
      <c r="T38" s="181" t="str">
        <f t="shared" si="1"/>
        <v/>
      </c>
      <c r="U38" s="181"/>
      <c r="V38" s="181"/>
      <c r="W38" s="172"/>
      <c r="X38" s="173"/>
    </row>
    <row r="39" spans="1:24" ht="15" customHeight="1" x14ac:dyDescent="0.25">
      <c r="A39" s="1"/>
      <c r="B39" s="22"/>
      <c r="C39" s="9"/>
      <c r="D39" s="14"/>
      <c r="E39" s="9"/>
      <c r="F39" s="9"/>
      <c r="G39" s="9"/>
      <c r="H39" s="9"/>
      <c r="I39" s="36"/>
      <c r="J39" s="36"/>
      <c r="K39" s="36"/>
      <c r="L39" s="39" t="s">
        <v>86</v>
      </c>
      <c r="M39" s="38"/>
      <c r="N39" s="69">
        <v>0</v>
      </c>
      <c r="O39" s="157"/>
      <c r="P39" s="9"/>
      <c r="Q39" s="9"/>
      <c r="R39" s="9"/>
      <c r="S39" s="171"/>
      <c r="T39" s="181" t="str">
        <f t="shared" si="1"/>
        <v/>
      </c>
      <c r="U39" s="181"/>
      <c r="V39" s="181"/>
      <c r="W39" s="172"/>
      <c r="X39" s="173"/>
    </row>
    <row r="40" spans="1:24" ht="15" customHeight="1" x14ac:dyDescent="0.25">
      <c r="A40" s="1"/>
      <c r="B40" s="22"/>
      <c r="C40" s="9"/>
      <c r="D40" s="14"/>
      <c r="E40" s="9"/>
      <c r="F40" s="9"/>
      <c r="G40" s="9"/>
      <c r="H40" s="9"/>
      <c r="I40" s="36"/>
      <c r="J40" s="37" t="s">
        <v>82</v>
      </c>
      <c r="K40" s="36"/>
      <c r="L40" s="36"/>
      <c r="M40" s="40"/>
      <c r="N40" s="68">
        <f>N37+N38+N39</f>
        <v>2537.5</v>
      </c>
      <c r="O40" s="157"/>
      <c r="P40" s="9"/>
      <c r="Q40" s="9"/>
      <c r="R40" s="9"/>
      <c r="S40" s="171"/>
      <c r="T40" s="181" t="str">
        <f t="shared" si="1"/>
        <v/>
      </c>
      <c r="U40" s="181"/>
      <c r="V40" s="181"/>
      <c r="W40" s="172"/>
      <c r="X40" s="173"/>
    </row>
    <row r="41" spans="1:24" ht="15" customHeight="1" x14ac:dyDescent="0.25">
      <c r="A41" s="1"/>
      <c r="B41" s="22"/>
      <c r="C41" s="9"/>
      <c r="D41" s="9"/>
      <c r="E41" s="9"/>
      <c r="F41" s="9"/>
      <c r="G41" s="9"/>
      <c r="H41" s="9"/>
      <c r="I41" s="36"/>
      <c r="J41" s="41" t="s">
        <v>83</v>
      </c>
      <c r="K41" s="36"/>
      <c r="L41" s="42">
        <v>0.05</v>
      </c>
      <c r="M41" s="40"/>
      <c r="N41" s="69">
        <f>ROUND(N40*L41,2)</f>
        <v>126.88</v>
      </c>
      <c r="O41" s="157"/>
      <c r="P41" s="9"/>
      <c r="Q41" s="9"/>
      <c r="R41" s="9"/>
      <c r="S41" s="171"/>
      <c r="T41" s="181" t="str">
        <f t="shared" si="1"/>
        <v/>
      </c>
      <c r="U41" s="181"/>
      <c r="V41" s="181"/>
      <c r="W41" s="172"/>
      <c r="X41" s="173"/>
    </row>
    <row r="42" spans="1:24" ht="15" customHeight="1" x14ac:dyDescent="0.25">
      <c r="A42" s="1"/>
      <c r="B42" s="22"/>
      <c r="C42" s="9"/>
      <c r="D42" s="9"/>
      <c r="E42" s="9"/>
      <c r="F42" s="9"/>
      <c r="G42" s="9"/>
      <c r="H42" s="9"/>
      <c r="I42" s="36"/>
      <c r="J42" s="41" t="s">
        <v>84</v>
      </c>
      <c r="K42" s="36"/>
      <c r="L42" s="43">
        <v>9.9750000000000005E-2</v>
      </c>
      <c r="M42" s="40"/>
      <c r="N42" s="70">
        <f>ROUND(N40*L42,2)</f>
        <v>253.12</v>
      </c>
      <c r="O42" s="157"/>
      <c r="P42" s="9"/>
      <c r="Q42" s="9"/>
      <c r="R42" s="9"/>
      <c r="S42" s="171"/>
      <c r="T42" s="181" t="str">
        <f t="shared" si="1"/>
        <v/>
      </c>
      <c r="U42" s="181"/>
      <c r="V42" s="181"/>
      <c r="W42" s="172"/>
      <c r="X42" s="173"/>
    </row>
    <row r="43" spans="1:24" ht="15" customHeight="1" x14ac:dyDescent="0.25">
      <c r="A43" s="1"/>
      <c r="B43" s="22"/>
      <c r="C43" s="9"/>
      <c r="D43" s="9"/>
      <c r="E43" s="9"/>
      <c r="F43" s="9"/>
      <c r="G43" s="9"/>
      <c r="H43" s="9"/>
      <c r="I43" s="36"/>
      <c r="J43" s="36"/>
      <c r="K43" s="36"/>
      <c r="L43" s="36"/>
      <c r="M43" s="40"/>
      <c r="N43" s="68"/>
      <c r="O43" s="157"/>
      <c r="P43" s="9"/>
      <c r="Q43" s="9"/>
      <c r="R43" s="9"/>
      <c r="S43" s="171"/>
      <c r="T43" s="181" t="str">
        <f t="shared" si="1"/>
        <v/>
      </c>
      <c r="U43" s="181"/>
      <c r="V43" s="181"/>
      <c r="W43" s="172"/>
      <c r="X43" s="173"/>
    </row>
    <row r="44" spans="1:24" ht="15" customHeight="1" thickBot="1" x14ac:dyDescent="0.3">
      <c r="A44" s="1"/>
      <c r="B44" s="22"/>
      <c r="C44" s="9"/>
      <c r="D44" s="9"/>
      <c r="E44" s="9"/>
      <c r="F44" s="9"/>
      <c r="G44" s="9"/>
      <c r="H44" s="9"/>
      <c r="I44" s="36"/>
      <c r="J44" s="37" t="s">
        <v>87</v>
      </c>
      <c r="K44" s="36"/>
      <c r="L44" s="36"/>
      <c r="M44" s="40"/>
      <c r="N44" s="71">
        <f>SUM(N40:N42)</f>
        <v>2917.5</v>
      </c>
      <c r="O44" s="157"/>
      <c r="P44" s="9"/>
      <c r="Q44" s="9"/>
      <c r="R44" s="9"/>
      <c r="S44" s="171"/>
      <c r="T44" s="181" t="str">
        <f t="shared" si="1"/>
        <v/>
      </c>
      <c r="U44" s="181"/>
      <c r="V44" s="181"/>
      <c r="W44" s="172"/>
      <c r="X44" s="173"/>
    </row>
    <row r="45" spans="1:24" ht="15" customHeight="1" thickTop="1" x14ac:dyDescent="0.25">
      <c r="A45" s="1"/>
      <c r="B45" s="22"/>
      <c r="C45" s="9"/>
      <c r="D45" s="9"/>
      <c r="E45" s="9"/>
      <c r="F45" s="9"/>
      <c r="G45" s="9"/>
      <c r="H45" s="9"/>
      <c r="I45" s="44"/>
      <c r="J45" s="44"/>
      <c r="K45" s="44"/>
      <c r="L45" s="44"/>
      <c r="M45" s="44"/>
      <c r="N45" s="72"/>
      <c r="O45" s="157"/>
      <c r="P45" s="9"/>
      <c r="Q45" s="9"/>
      <c r="R45" s="9"/>
      <c r="S45" s="171"/>
      <c r="T45" s="181" t="str">
        <f t="shared" ref="T45:T63" si="2">IF(K25&lt;&gt;"",CONCATENATE("   - " &amp; K25),"")</f>
        <v/>
      </c>
      <c r="U45" s="181"/>
      <c r="V45" s="181"/>
      <c r="W45" s="172"/>
      <c r="X45" s="173"/>
    </row>
    <row r="46" spans="1:24" ht="15" customHeight="1" x14ac:dyDescent="0.25">
      <c r="A46" s="1"/>
      <c r="B46" s="22"/>
      <c r="C46" s="9"/>
      <c r="D46" s="9"/>
      <c r="E46" s="9"/>
      <c r="F46" s="9"/>
      <c r="G46" s="9"/>
      <c r="H46" s="9"/>
      <c r="I46" s="44"/>
      <c r="J46" s="44" t="s">
        <v>88</v>
      </c>
      <c r="K46" s="44"/>
      <c r="L46" s="44"/>
      <c r="M46" s="44"/>
      <c r="N46" s="69">
        <v>0</v>
      </c>
      <c r="O46" s="157"/>
      <c r="P46" s="9"/>
      <c r="Q46" s="9"/>
      <c r="R46" s="9"/>
      <c r="S46" s="171"/>
      <c r="T46" s="181" t="str">
        <f t="shared" si="2"/>
        <v/>
      </c>
      <c r="U46" s="181"/>
      <c r="V46" s="181"/>
      <c r="W46" s="172"/>
      <c r="X46" s="173"/>
    </row>
    <row r="47" spans="1:24" ht="15" customHeight="1" x14ac:dyDescent="0.25">
      <c r="A47" s="1"/>
      <c r="B47" s="22"/>
      <c r="C47" s="9"/>
      <c r="D47" s="9"/>
      <c r="E47" s="9"/>
      <c r="F47" s="9"/>
      <c r="G47" s="9"/>
      <c r="H47" s="9"/>
      <c r="I47" s="44"/>
      <c r="J47" s="44"/>
      <c r="K47" s="44"/>
      <c r="L47" s="44"/>
      <c r="M47" s="44"/>
      <c r="N47" s="72"/>
      <c r="O47" s="157"/>
      <c r="P47" s="9"/>
      <c r="Q47" s="9"/>
      <c r="R47" s="9"/>
      <c r="S47" s="171"/>
      <c r="T47" s="181" t="str">
        <f t="shared" si="2"/>
        <v/>
      </c>
      <c r="U47" s="181"/>
      <c r="V47" s="181"/>
      <c r="W47" s="172"/>
      <c r="X47" s="173"/>
    </row>
    <row r="48" spans="1:24" ht="15" customHeight="1" x14ac:dyDescent="0.25">
      <c r="A48" s="1"/>
      <c r="B48" s="22"/>
      <c r="C48" s="9"/>
      <c r="D48" s="9"/>
      <c r="E48" s="9"/>
      <c r="F48" s="9"/>
      <c r="G48" s="9"/>
      <c r="H48" s="9"/>
      <c r="I48" s="44"/>
      <c r="J48" s="45" t="s">
        <v>89</v>
      </c>
      <c r="K48" s="46"/>
      <c r="L48" s="46"/>
      <c r="M48" s="46"/>
      <c r="N48" s="73">
        <f>N44-N46</f>
        <v>2917.5</v>
      </c>
      <c r="O48" s="157"/>
      <c r="P48" s="9"/>
      <c r="Q48" s="9"/>
      <c r="R48" s="9"/>
      <c r="S48" s="171"/>
      <c r="T48" s="181" t="str">
        <f t="shared" si="2"/>
        <v/>
      </c>
      <c r="U48" s="181"/>
      <c r="V48" s="181"/>
      <c r="W48" s="172"/>
      <c r="X48" s="173"/>
    </row>
    <row r="49" spans="1:24" ht="15" customHeight="1" x14ac:dyDescent="0.25">
      <c r="A49" s="1"/>
      <c r="B49" s="22"/>
      <c r="C49" s="9"/>
      <c r="D49" s="9"/>
      <c r="E49" s="9"/>
      <c r="F49" s="9"/>
      <c r="G49" s="9"/>
      <c r="H49" s="9"/>
      <c r="I49" s="44"/>
      <c r="J49" s="44"/>
      <c r="K49" s="44"/>
      <c r="L49" s="44"/>
      <c r="M49" s="44"/>
      <c r="N49" s="44"/>
      <c r="O49" s="157"/>
      <c r="P49" s="9"/>
      <c r="Q49" s="9"/>
      <c r="R49" s="9"/>
      <c r="S49" s="171"/>
      <c r="T49" s="181" t="str">
        <f t="shared" si="2"/>
        <v/>
      </c>
      <c r="U49" s="181"/>
      <c r="V49" s="181"/>
      <c r="W49" s="172"/>
      <c r="X49" s="173"/>
    </row>
    <row r="50" spans="1:24" ht="15" customHeight="1" x14ac:dyDescent="0.25">
      <c r="A50" s="1"/>
      <c r="B50" s="22"/>
      <c r="C50" s="9"/>
      <c r="D50" s="9"/>
      <c r="E50" s="9"/>
      <c r="F50" s="9"/>
      <c r="G50" s="9"/>
      <c r="H50" s="9"/>
      <c r="I50" s="132" t="s">
        <v>78</v>
      </c>
      <c r="J50" s="132"/>
      <c r="K50" s="132"/>
      <c r="L50" s="132"/>
      <c r="M50" s="132"/>
      <c r="N50" s="132"/>
      <c r="O50" s="157"/>
      <c r="P50" s="9"/>
      <c r="Q50" s="9"/>
      <c r="R50" s="9"/>
      <c r="S50" s="171"/>
      <c r="T50" s="181" t="str">
        <f t="shared" si="2"/>
        <v/>
      </c>
      <c r="U50" s="181"/>
      <c r="V50" s="181"/>
      <c r="W50" s="172"/>
      <c r="X50" s="173"/>
    </row>
    <row r="51" spans="1:24" ht="15" customHeight="1" x14ac:dyDescent="0.25">
      <c r="A51" s="1"/>
      <c r="B51" s="22"/>
      <c r="C51" s="9"/>
      <c r="D51" s="9"/>
      <c r="E51" s="9"/>
      <c r="F51" s="9"/>
      <c r="G51" s="9"/>
      <c r="H51" s="9"/>
      <c r="I51" s="133" t="s">
        <v>79</v>
      </c>
      <c r="J51" s="133"/>
      <c r="K51" s="133"/>
      <c r="L51" s="133"/>
      <c r="M51" s="133"/>
      <c r="N51" s="133"/>
      <c r="O51" s="157"/>
      <c r="P51" s="9"/>
      <c r="Q51" s="9"/>
      <c r="R51" s="9"/>
      <c r="S51" s="171"/>
      <c r="T51" s="181" t="str">
        <f t="shared" si="2"/>
        <v/>
      </c>
      <c r="U51" s="181"/>
      <c r="V51" s="181"/>
      <c r="W51" s="172"/>
      <c r="X51" s="173"/>
    </row>
    <row r="52" spans="1:24" ht="15" customHeight="1" x14ac:dyDescent="0.25">
      <c r="A52" s="1"/>
      <c r="B52" s="22"/>
      <c r="C52" s="9"/>
      <c r="D52" s="9"/>
      <c r="E52" s="9"/>
      <c r="F52" s="9"/>
      <c r="G52" s="9"/>
      <c r="H52" s="9"/>
      <c r="I52" s="44"/>
      <c r="J52" s="44"/>
      <c r="K52" s="44"/>
      <c r="L52" s="44"/>
      <c r="M52" s="44"/>
      <c r="N52" s="44"/>
      <c r="O52" s="157"/>
      <c r="P52" s="9"/>
      <c r="Q52" s="9"/>
      <c r="R52" s="9"/>
      <c r="S52" s="171"/>
      <c r="T52" s="181" t="str">
        <f t="shared" si="2"/>
        <v/>
      </c>
      <c r="U52" s="181"/>
      <c r="V52" s="181"/>
      <c r="W52" s="172"/>
      <c r="X52" s="173"/>
    </row>
    <row r="53" spans="1:24" ht="15" customHeight="1" x14ac:dyDescent="0.25">
      <c r="A53" s="1"/>
      <c r="B53" s="22"/>
      <c r="C53" s="9"/>
      <c r="D53" s="9"/>
      <c r="E53" s="9"/>
      <c r="F53" s="9"/>
      <c r="G53" s="9"/>
      <c r="H53" s="9"/>
      <c r="I53" s="134" t="s">
        <v>80</v>
      </c>
      <c r="J53" s="134"/>
      <c r="K53" s="134"/>
      <c r="L53" s="134"/>
      <c r="M53" s="134"/>
      <c r="N53" s="134"/>
      <c r="O53" s="157"/>
      <c r="P53" s="9"/>
      <c r="Q53" s="9"/>
      <c r="R53" s="9"/>
      <c r="S53" s="171"/>
      <c r="T53" s="181" t="str">
        <f t="shared" si="2"/>
        <v/>
      </c>
      <c r="U53" s="181"/>
      <c r="V53" s="181"/>
      <c r="W53" s="172"/>
      <c r="X53" s="173"/>
    </row>
    <row r="54" spans="1:24" ht="15" customHeight="1" x14ac:dyDescent="0.25">
      <c r="A54" s="1"/>
      <c r="B54" s="22"/>
      <c r="C54" s="9"/>
      <c r="D54" s="9"/>
      <c r="E54" s="9"/>
      <c r="F54" s="9"/>
      <c r="G54" s="9"/>
      <c r="H54" s="9"/>
      <c r="I54" s="44"/>
      <c r="J54" s="44"/>
      <c r="K54" s="44"/>
      <c r="L54" s="44"/>
      <c r="M54" s="44"/>
      <c r="N54" s="44"/>
      <c r="O54" s="157"/>
      <c r="P54" s="9"/>
      <c r="Q54" s="9"/>
      <c r="R54" s="9"/>
      <c r="S54" s="171"/>
      <c r="T54" s="181" t="str">
        <f t="shared" si="2"/>
        <v/>
      </c>
      <c r="U54" s="181"/>
      <c r="V54" s="181"/>
      <c r="W54" s="172"/>
      <c r="X54" s="173"/>
    </row>
    <row r="55" spans="1:24" ht="15" customHeight="1" x14ac:dyDescent="0.25">
      <c r="A55" s="1"/>
      <c r="B55" s="22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57"/>
      <c r="P55" s="9"/>
      <c r="Q55" s="9"/>
      <c r="R55" s="9"/>
      <c r="S55" s="171"/>
      <c r="T55" s="181" t="str">
        <f t="shared" si="2"/>
        <v/>
      </c>
      <c r="U55" s="181"/>
      <c r="V55" s="181"/>
      <c r="W55" s="172"/>
      <c r="X55" s="173"/>
    </row>
    <row r="56" spans="1:24" ht="15" customHeight="1" x14ac:dyDescent="0.25">
      <c r="S56" s="171"/>
      <c r="T56" s="181" t="str">
        <f t="shared" si="2"/>
        <v/>
      </c>
      <c r="U56" s="181"/>
      <c r="V56" s="181"/>
      <c r="W56" s="172"/>
      <c r="X56" s="173"/>
    </row>
    <row r="57" spans="1:24" ht="15" customHeight="1" x14ac:dyDescent="0.25">
      <c r="S57" s="171"/>
      <c r="T57" s="181" t="str">
        <f t="shared" si="2"/>
        <v/>
      </c>
      <c r="U57" s="181"/>
      <c r="V57" s="181"/>
      <c r="W57" s="172"/>
      <c r="X57" s="173"/>
    </row>
    <row r="58" spans="1:24" ht="15" customHeight="1" x14ac:dyDescent="0.25">
      <c r="S58" s="171"/>
      <c r="T58" s="181" t="str">
        <f t="shared" si="2"/>
        <v/>
      </c>
      <c r="U58" s="181"/>
      <c r="V58" s="181"/>
      <c r="W58" s="172"/>
      <c r="X58" s="173"/>
    </row>
    <row r="59" spans="1:24" ht="15" customHeight="1" x14ac:dyDescent="0.25">
      <c r="S59" s="171"/>
      <c r="T59" s="181" t="str">
        <f t="shared" si="2"/>
        <v/>
      </c>
      <c r="U59" s="181"/>
      <c r="V59" s="181"/>
      <c r="W59" s="172"/>
      <c r="X59" s="173"/>
    </row>
    <row r="60" spans="1:24" ht="15" customHeight="1" x14ac:dyDescent="0.25">
      <c r="S60" s="171"/>
      <c r="T60" s="181" t="str">
        <f t="shared" si="2"/>
        <v/>
      </c>
      <c r="U60" s="181"/>
      <c r="V60" s="181"/>
      <c r="W60" s="172"/>
      <c r="X60" s="173"/>
    </row>
    <row r="61" spans="1:24" ht="15" customHeight="1" x14ac:dyDescent="0.25">
      <c r="S61" s="171"/>
      <c r="T61" s="181" t="str">
        <f t="shared" si="2"/>
        <v/>
      </c>
      <c r="U61" s="181"/>
      <c r="V61" s="181"/>
      <c r="W61" s="172"/>
      <c r="X61" s="173"/>
    </row>
    <row r="62" spans="1:24" ht="15" customHeight="1" x14ac:dyDescent="0.25">
      <c r="S62" s="171"/>
      <c r="T62" s="181" t="str">
        <f t="shared" si="2"/>
        <v/>
      </c>
      <c r="U62" s="181"/>
      <c r="V62" s="181"/>
      <c r="W62" s="172"/>
      <c r="X62" s="173"/>
    </row>
    <row r="63" spans="1:24" ht="15" customHeight="1" x14ac:dyDescent="0.25">
      <c r="S63" s="171"/>
      <c r="T63" s="181" t="str">
        <f t="shared" si="2"/>
        <v/>
      </c>
      <c r="U63" s="181"/>
      <c r="V63" s="181"/>
      <c r="W63" s="172"/>
      <c r="X63" s="173"/>
    </row>
    <row r="64" spans="1:24" ht="15" customHeight="1" x14ac:dyDescent="0.25">
      <c r="S64" s="171"/>
      <c r="T64" s="172"/>
      <c r="U64" s="172"/>
      <c r="V64" s="172"/>
      <c r="W64" s="172"/>
      <c r="X64" s="173"/>
    </row>
    <row r="65" spans="19:24" ht="15" customHeight="1" x14ac:dyDescent="0.25">
      <c r="S65" s="171"/>
      <c r="T65" s="172"/>
      <c r="U65" s="182" t="s">
        <v>73</v>
      </c>
      <c r="V65" s="182" t="s">
        <v>74</v>
      </c>
      <c r="W65" s="172"/>
      <c r="X65" s="173"/>
    </row>
    <row r="66" spans="19:24" ht="15" customHeight="1" x14ac:dyDescent="0.25">
      <c r="S66" s="171"/>
      <c r="T66" s="172"/>
      <c r="U66" s="183">
        <f>SUM(L10:L36)</f>
        <v>7.25</v>
      </c>
      <c r="V66" s="184">
        <v>350</v>
      </c>
      <c r="W66" s="172"/>
      <c r="X66" s="173"/>
    </row>
    <row r="67" spans="19:24" ht="15" customHeight="1" x14ac:dyDescent="0.25">
      <c r="S67" s="171"/>
      <c r="T67" s="172"/>
      <c r="U67" s="172"/>
      <c r="V67" s="172"/>
      <c r="W67" s="172"/>
      <c r="X67" s="173"/>
    </row>
    <row r="68" spans="19:24" ht="15" customHeight="1" x14ac:dyDescent="0.25">
      <c r="S68" s="171"/>
      <c r="T68" s="172"/>
      <c r="U68" s="172"/>
      <c r="V68" s="172"/>
      <c r="W68" s="172"/>
      <c r="X68" s="173"/>
    </row>
    <row r="69" spans="19:24" ht="15" customHeight="1" x14ac:dyDescent="0.25">
      <c r="S69" s="185"/>
      <c r="T69" s="186" t="s">
        <v>81</v>
      </c>
      <c r="U69" s="187"/>
      <c r="V69" s="187"/>
      <c r="W69" s="188">
        <f>V66*U66</f>
        <v>2537.5</v>
      </c>
      <c r="X69" s="189"/>
    </row>
    <row r="70" spans="19:24" ht="15" customHeight="1" x14ac:dyDescent="0.25">
      <c r="S70" s="185"/>
      <c r="T70" s="190" t="s">
        <v>85</v>
      </c>
      <c r="U70" s="187"/>
      <c r="V70" s="187"/>
      <c r="W70" s="191">
        <v>0</v>
      </c>
      <c r="X70" s="189"/>
    </row>
    <row r="71" spans="19:24" ht="15" customHeight="1" x14ac:dyDescent="0.25">
      <c r="S71" s="185"/>
      <c r="T71" s="190" t="s">
        <v>86</v>
      </c>
      <c r="U71" s="187"/>
      <c r="V71" s="187"/>
      <c r="W71" s="191">
        <v>0</v>
      </c>
      <c r="X71" s="189"/>
    </row>
    <row r="72" spans="19:24" ht="15" customHeight="1" x14ac:dyDescent="0.25">
      <c r="S72" s="185"/>
      <c r="T72" s="186" t="s">
        <v>82</v>
      </c>
      <c r="U72" s="187"/>
      <c r="V72" s="187"/>
      <c r="W72" s="188">
        <f>SUM(W69:W71)</f>
        <v>2537.5</v>
      </c>
      <c r="X72" s="189"/>
    </row>
    <row r="73" spans="19:24" ht="15" customHeight="1" x14ac:dyDescent="0.25">
      <c r="S73" s="185"/>
      <c r="T73" s="187" t="s">
        <v>221</v>
      </c>
      <c r="U73" s="192">
        <v>0.05</v>
      </c>
      <c r="V73" s="187"/>
      <c r="W73" s="193">
        <f>ROUND(W72*U73,2)</f>
        <v>126.88</v>
      </c>
      <c r="X73" s="189"/>
    </row>
    <row r="74" spans="19:24" ht="15" customHeight="1" x14ac:dyDescent="0.25">
      <c r="S74" s="185"/>
      <c r="T74" s="187" t="s">
        <v>84</v>
      </c>
      <c r="U74" s="194">
        <v>9.9750000000000005E-2</v>
      </c>
      <c r="V74" s="187"/>
      <c r="W74" s="193">
        <f>ROUND(W72*U74,2)</f>
        <v>253.12</v>
      </c>
      <c r="X74" s="189"/>
    </row>
    <row r="75" spans="19:24" ht="15" customHeight="1" x14ac:dyDescent="0.25">
      <c r="S75" s="185"/>
      <c r="T75" s="187"/>
      <c r="U75" s="187"/>
      <c r="V75" s="187"/>
      <c r="W75" s="195"/>
      <c r="X75" s="189"/>
    </row>
    <row r="76" spans="19:24" ht="15" customHeight="1" x14ac:dyDescent="0.25">
      <c r="S76" s="185"/>
      <c r="T76" s="186" t="s">
        <v>87</v>
      </c>
      <c r="U76" s="187"/>
      <c r="V76" s="187"/>
      <c r="W76" s="188">
        <f>SUM(W72:W74)</f>
        <v>2917.5</v>
      </c>
      <c r="X76" s="189"/>
    </row>
    <row r="77" spans="19:24" ht="15" customHeight="1" x14ac:dyDescent="0.25">
      <c r="S77" s="185"/>
      <c r="T77" s="196"/>
      <c r="U77" s="196"/>
      <c r="V77" s="196"/>
      <c r="W77" s="197"/>
      <c r="X77" s="189"/>
    </row>
    <row r="78" spans="19:24" ht="15" customHeight="1" x14ac:dyDescent="0.25">
      <c r="S78" s="185"/>
      <c r="T78" s="198" t="s">
        <v>88</v>
      </c>
      <c r="U78" s="198"/>
      <c r="V78" s="198"/>
      <c r="W78" s="197">
        <v>0</v>
      </c>
      <c r="X78" s="189"/>
    </row>
    <row r="79" spans="19:24" ht="15" customHeight="1" x14ac:dyDescent="0.25">
      <c r="S79" s="185"/>
      <c r="T79" s="196"/>
      <c r="U79" s="196"/>
      <c r="V79" s="196"/>
      <c r="W79" s="197"/>
      <c r="X79" s="189"/>
    </row>
    <row r="80" spans="19:24" ht="15" customHeight="1" x14ac:dyDescent="0.25">
      <c r="S80" s="185"/>
      <c r="T80" s="199" t="s">
        <v>89</v>
      </c>
      <c r="U80" s="200"/>
      <c r="V80" s="200"/>
      <c r="W80" s="201">
        <f>W76-W78</f>
        <v>2917.5</v>
      </c>
      <c r="X80" s="189"/>
    </row>
    <row r="81" spans="19:24" ht="15" customHeight="1" x14ac:dyDescent="0.25">
      <c r="S81" s="185"/>
      <c r="T81" s="202"/>
      <c r="U81" s="202"/>
      <c r="V81" s="202"/>
      <c r="W81" s="202"/>
      <c r="X81" s="189"/>
    </row>
    <row r="82" spans="19:24" ht="15" customHeight="1" x14ac:dyDescent="0.25">
      <c r="S82" s="185"/>
      <c r="T82" s="202"/>
      <c r="U82" s="202"/>
      <c r="V82" s="202"/>
      <c r="W82" s="202"/>
      <c r="X82" s="189"/>
    </row>
    <row r="83" spans="19:24" ht="15" customHeight="1" x14ac:dyDescent="0.25">
      <c r="S83" s="185"/>
      <c r="T83" s="203"/>
      <c r="U83" s="203"/>
      <c r="V83" s="203"/>
      <c r="W83" s="203"/>
      <c r="X83" s="189"/>
    </row>
    <row r="84" spans="19:24" ht="15" customHeight="1" x14ac:dyDescent="0.25">
      <c r="S84" s="204" t="s">
        <v>78</v>
      </c>
      <c r="T84" s="205"/>
      <c r="U84" s="205"/>
      <c r="V84" s="205"/>
      <c r="W84" s="205"/>
      <c r="X84" s="206"/>
    </row>
    <row r="85" spans="19:24" ht="15" customHeight="1" x14ac:dyDescent="0.25">
      <c r="S85" s="207" t="s">
        <v>79</v>
      </c>
      <c r="T85" s="208"/>
      <c r="U85" s="208"/>
      <c r="V85" s="208"/>
      <c r="W85" s="208"/>
      <c r="X85" s="209"/>
    </row>
    <row r="86" spans="19:24" ht="15" customHeight="1" x14ac:dyDescent="0.25">
      <c r="S86" s="185"/>
      <c r="T86" s="202"/>
      <c r="U86" s="202"/>
      <c r="V86" s="202"/>
      <c r="W86" s="202"/>
      <c r="X86" s="189"/>
    </row>
    <row r="87" spans="19:24" ht="15" customHeight="1" x14ac:dyDescent="0.25">
      <c r="S87" s="185"/>
      <c r="T87" s="210"/>
      <c r="U87" s="210"/>
      <c r="V87" s="210"/>
      <c r="W87" s="210"/>
      <c r="X87" s="189"/>
    </row>
    <row r="88" spans="19:24" ht="15" customHeight="1" x14ac:dyDescent="0.25">
      <c r="S88" s="211" t="s">
        <v>80</v>
      </c>
      <c r="T88" s="212"/>
      <c r="U88" s="212"/>
      <c r="V88" s="212"/>
      <c r="W88" s="212"/>
      <c r="X88" s="213"/>
    </row>
    <row r="89" spans="19:24" ht="15" customHeight="1" x14ac:dyDescent="0.25">
      <c r="S89" s="214"/>
      <c r="T89" s="215"/>
      <c r="U89" s="215"/>
      <c r="V89" s="215"/>
      <c r="W89" s="215"/>
      <c r="X89" s="216"/>
    </row>
  </sheetData>
  <mergeCells count="54">
    <mergeCell ref="T77:V77"/>
    <mergeCell ref="T78:V78"/>
    <mergeCell ref="T79:V79"/>
    <mergeCell ref="T83:W83"/>
    <mergeCell ref="S84:X84"/>
    <mergeCell ref="S85:X85"/>
    <mergeCell ref="T87:W87"/>
    <mergeCell ref="S88:X88"/>
    <mergeCell ref="T59:V59"/>
    <mergeCell ref="T60:V60"/>
    <mergeCell ref="T61:V61"/>
    <mergeCell ref="T62:V62"/>
    <mergeCell ref="T63:V63"/>
    <mergeCell ref="T54:V54"/>
    <mergeCell ref="T55:V55"/>
    <mergeCell ref="T56:V56"/>
    <mergeCell ref="T57:V57"/>
    <mergeCell ref="T58:V58"/>
    <mergeCell ref="T49:V49"/>
    <mergeCell ref="T50:V50"/>
    <mergeCell ref="T51:V51"/>
    <mergeCell ref="T52:V52"/>
    <mergeCell ref="T53:V53"/>
    <mergeCell ref="T44:V44"/>
    <mergeCell ref="T45:V45"/>
    <mergeCell ref="T46:V46"/>
    <mergeCell ref="T47:V47"/>
    <mergeCell ref="T48:V48"/>
    <mergeCell ref="T39:V39"/>
    <mergeCell ref="T40:V40"/>
    <mergeCell ref="T41:V41"/>
    <mergeCell ref="T42:V42"/>
    <mergeCell ref="T43:V43"/>
    <mergeCell ref="T34:V34"/>
    <mergeCell ref="T35:V35"/>
    <mergeCell ref="T36:V36"/>
    <mergeCell ref="T37:V37"/>
    <mergeCell ref="T38:V38"/>
    <mergeCell ref="S26:X26"/>
    <mergeCell ref="T30:V30"/>
    <mergeCell ref="T31:V31"/>
    <mergeCell ref="T32:V32"/>
    <mergeCell ref="T33:V33"/>
    <mergeCell ref="I1:N1"/>
    <mergeCell ref="C1:H1"/>
    <mergeCell ref="E5:E7"/>
    <mergeCell ref="D5:D7"/>
    <mergeCell ref="D10:G10"/>
    <mergeCell ref="I50:N50"/>
    <mergeCell ref="I51:N51"/>
    <mergeCell ref="I53:N53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3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3571875</xdr:colOff>
                    <xdr:row>7</xdr:row>
                    <xdr:rowOff>219075</xdr:rowOff>
                  </from>
                  <to>
                    <xdr:col>7</xdr:col>
                    <xdr:colOff>180975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3CF6F5-22D6-44F2-9B7C-D78FB20F93E1}">
          <x14:formula1>
            <xm:f>'Service Items'!$C$4:$C$43</xm:f>
          </x14:formula1>
          <xm:sqref>K10:K36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11" sqref="D11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5" customWidth="1"/>
  </cols>
  <sheetData>
    <row r="1" spans="1:8" ht="14.45" customHeight="1" x14ac:dyDescent="0.25">
      <c r="A1" s="10"/>
      <c r="B1" s="11" t="s">
        <v>45</v>
      </c>
      <c r="C1" s="11" t="s">
        <v>56</v>
      </c>
      <c r="D1" s="11" t="s">
        <v>46</v>
      </c>
      <c r="E1" s="11" t="s">
        <v>47</v>
      </c>
      <c r="F1" s="11" t="s">
        <v>57</v>
      </c>
      <c r="G1" s="24" t="s">
        <v>48</v>
      </c>
      <c r="H1" s="24" t="s">
        <v>49</v>
      </c>
    </row>
    <row r="2" spans="1:8" ht="14.45" customHeight="1" x14ac:dyDescent="0.25">
      <c r="A2" s="147" t="s">
        <v>32</v>
      </c>
      <c r="B2" s="147"/>
      <c r="C2" s="147"/>
      <c r="D2" s="147"/>
      <c r="E2" s="147"/>
      <c r="F2" s="147"/>
      <c r="G2" s="147"/>
      <c r="H2" s="147"/>
    </row>
    <row r="3" spans="1:8" x14ac:dyDescent="0.25">
      <c r="A3" s="56" t="s">
        <v>114</v>
      </c>
      <c r="B3" s="56" t="s">
        <v>30</v>
      </c>
      <c r="C3" s="56" t="s">
        <v>115</v>
      </c>
      <c r="D3" s="56" t="s">
        <v>10</v>
      </c>
      <c r="E3" s="56" t="s">
        <v>25</v>
      </c>
      <c r="F3" s="56" t="s">
        <v>0</v>
      </c>
      <c r="G3" s="94" t="s">
        <v>33</v>
      </c>
      <c r="H3" s="94" t="s">
        <v>24</v>
      </c>
    </row>
    <row r="4" spans="1:8" x14ac:dyDescent="0.25">
      <c r="A4" s="2">
        <v>1</v>
      </c>
      <c r="B4" s="23">
        <v>45198</v>
      </c>
      <c r="C4" s="2">
        <v>1</v>
      </c>
      <c r="D4" s="44" t="s">
        <v>91</v>
      </c>
      <c r="E4" s="23">
        <v>45228</v>
      </c>
      <c r="G4" s="110"/>
      <c r="H4" s="25">
        <v>2012.06</v>
      </c>
    </row>
    <row r="5" spans="1:8" x14ac:dyDescent="0.25">
      <c r="A5" s="2">
        <v>1</v>
      </c>
      <c r="C5" s="2">
        <v>2</v>
      </c>
      <c r="F5">
        <v>1</v>
      </c>
    </row>
    <row r="6" spans="1:8" x14ac:dyDescent="0.25">
      <c r="A6" s="2">
        <v>1</v>
      </c>
      <c r="C6" s="2">
        <v>2</v>
      </c>
      <c r="F6">
        <v>1</v>
      </c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5:H35 A4:C4 E4:H4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selection activeCell="N2" sqref="N2"/>
    </sheetView>
  </sheetViews>
  <sheetFormatPr baseColWidth="10" defaultColWidth="9.140625" defaultRowHeight="15" x14ac:dyDescent="0.25"/>
  <cols>
    <col min="1" max="1" width="6.140625" style="2" bestFit="1" customWidth="1"/>
    <col min="2" max="2" width="50.7109375" customWidth="1"/>
    <col min="3" max="3" width="8.7109375" customWidth="1"/>
    <col min="4" max="4" width="10.7109375" customWidth="1"/>
    <col min="5" max="6" width="8" bestFit="1" customWidth="1"/>
    <col min="7" max="7" width="4.42578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7" width="5.85546875" bestFit="1" customWidth="1"/>
    <col min="18" max="18" width="7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48" t="s">
        <v>28</v>
      </c>
      <c r="B1" s="148"/>
      <c r="C1" s="148"/>
      <c r="D1" s="148"/>
      <c r="E1" s="148"/>
      <c r="F1" s="148"/>
      <c r="G1" s="148"/>
      <c r="L1" s="15" t="s">
        <v>44</v>
      </c>
      <c r="N1" s="147" t="s">
        <v>44</v>
      </c>
      <c r="O1" s="147"/>
      <c r="P1" s="147"/>
      <c r="Q1" s="147"/>
      <c r="R1" s="147"/>
      <c r="S1" s="147"/>
      <c r="T1" s="147"/>
    </row>
    <row r="2" spans="1:20" ht="14.45" customHeight="1" x14ac:dyDescent="0.25">
      <c r="A2" s="147"/>
      <c r="B2" s="147"/>
      <c r="C2" s="147"/>
      <c r="D2" s="147"/>
      <c r="E2" s="147"/>
      <c r="F2" s="147"/>
      <c r="G2" s="147"/>
      <c r="L2" s="5" t="s">
        <v>29</v>
      </c>
      <c r="N2" s="5"/>
      <c r="O2" s="5"/>
      <c r="P2" s="5" t="s">
        <v>50</v>
      </c>
      <c r="Q2" s="5" t="s">
        <v>1</v>
      </c>
      <c r="R2" s="5" t="s">
        <v>23</v>
      </c>
      <c r="S2" s="5" t="s">
        <v>26</v>
      </c>
      <c r="T2" s="5" t="s">
        <v>27</v>
      </c>
    </row>
    <row r="3" spans="1:20" ht="26.25" x14ac:dyDescent="0.25">
      <c r="A3" s="57" t="s">
        <v>112</v>
      </c>
      <c r="B3" s="56" t="s">
        <v>4</v>
      </c>
      <c r="C3" s="56" t="s">
        <v>1</v>
      </c>
      <c r="D3" s="56" t="s">
        <v>23</v>
      </c>
      <c r="E3" s="56" t="s">
        <v>24</v>
      </c>
      <c r="F3" s="56" t="s">
        <v>26</v>
      </c>
      <c r="G3" s="56" t="s">
        <v>27</v>
      </c>
      <c r="L3" s="9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C4" s="2"/>
      <c r="D4" s="16"/>
      <c r="E4" s="16">
        <f>C4*D4</f>
        <v>0</v>
      </c>
      <c r="F4" s="2">
        <f>ROW()</f>
        <v>4</v>
      </c>
      <c r="G4" s="2">
        <v>4</v>
      </c>
      <c r="N4" s="12"/>
      <c r="Q4" s="2"/>
      <c r="R4" s="16"/>
      <c r="S4" s="2"/>
      <c r="T4" s="2"/>
    </row>
    <row r="5" spans="1:20" x14ac:dyDescent="0.25">
      <c r="C5" s="2"/>
      <c r="D5" s="16"/>
      <c r="E5" s="16"/>
      <c r="F5" s="2"/>
      <c r="G5" s="2"/>
      <c r="N5" s="12"/>
      <c r="O5" s="2"/>
      <c r="Q5" s="2"/>
      <c r="R5" s="16"/>
      <c r="S5" s="2"/>
      <c r="T5" s="2"/>
    </row>
    <row r="6" spans="1:20" x14ac:dyDescent="0.25">
      <c r="C6" s="2"/>
      <c r="D6" s="16"/>
      <c r="E6" s="17"/>
      <c r="F6" s="2"/>
      <c r="G6" s="2"/>
      <c r="N6" s="12"/>
      <c r="Q6" s="2"/>
      <c r="R6" s="16"/>
      <c r="S6" s="2"/>
      <c r="T6" s="2"/>
    </row>
    <row r="7" spans="1:20" x14ac:dyDescent="0.25">
      <c r="C7" s="2"/>
      <c r="D7" s="16"/>
      <c r="E7" s="16"/>
      <c r="F7" s="2"/>
      <c r="G7" s="2"/>
      <c r="N7" s="12"/>
      <c r="Q7" s="2"/>
      <c r="R7" s="16"/>
      <c r="S7" s="2"/>
      <c r="T7" s="2"/>
    </row>
    <row r="8" spans="1:20" x14ac:dyDescent="0.25">
      <c r="C8" s="2"/>
      <c r="D8" s="16"/>
      <c r="E8" s="16"/>
      <c r="F8" s="2"/>
      <c r="G8" s="2"/>
      <c r="N8" s="12"/>
      <c r="Q8" s="2"/>
      <c r="R8" s="16"/>
      <c r="S8" s="2"/>
      <c r="T8" s="2"/>
    </row>
    <row r="9" spans="1:20" x14ac:dyDescent="0.25">
      <c r="C9" s="2"/>
      <c r="D9" s="16"/>
      <c r="E9" s="16"/>
      <c r="F9" s="2"/>
      <c r="G9" s="2"/>
      <c r="N9" s="12"/>
      <c r="Q9" s="2"/>
      <c r="R9" s="16"/>
      <c r="S9" s="2"/>
      <c r="T9" s="2"/>
    </row>
    <row r="10" spans="1:20" x14ac:dyDescent="0.25">
      <c r="C10" s="2"/>
      <c r="D10" s="16"/>
      <c r="E10" s="16"/>
      <c r="F10" s="2"/>
      <c r="G10" s="2"/>
      <c r="N10" s="12"/>
      <c r="Q10" s="2"/>
      <c r="R10" s="16"/>
      <c r="S10" s="2"/>
      <c r="T10" s="2"/>
    </row>
    <row r="11" spans="1:20" x14ac:dyDescent="0.25">
      <c r="C11" s="2"/>
      <c r="D11" s="16"/>
      <c r="E11" s="16"/>
      <c r="F11" s="2"/>
      <c r="G11" s="2"/>
      <c r="N11" s="12"/>
      <c r="Q11" s="2"/>
      <c r="R11" s="16"/>
      <c r="S11" s="2"/>
      <c r="T11" s="2"/>
    </row>
    <row r="12" spans="1:20" x14ac:dyDescent="0.25">
      <c r="C12" s="2"/>
      <c r="D12" s="16"/>
      <c r="E12" s="16"/>
      <c r="F12" s="2"/>
      <c r="G12" s="2"/>
      <c r="N12" s="12"/>
      <c r="Q12" s="2"/>
      <c r="R12" s="16"/>
      <c r="S12" s="2"/>
      <c r="T12" s="2"/>
    </row>
    <row r="13" spans="1:20" x14ac:dyDescent="0.25">
      <c r="C13" s="2"/>
      <c r="D13" s="16"/>
      <c r="E13" s="16"/>
      <c r="F13" s="2"/>
      <c r="G13" s="2"/>
      <c r="N13" s="12"/>
      <c r="Q13" s="2"/>
      <c r="R13" s="16"/>
      <c r="S13" s="2"/>
      <c r="T13" s="2"/>
    </row>
    <row r="14" spans="1:20" x14ac:dyDescent="0.25">
      <c r="C14" s="2"/>
      <c r="D14" s="16"/>
      <c r="E14" s="16"/>
      <c r="F14" s="2"/>
      <c r="G14" s="2"/>
      <c r="N14" s="12"/>
      <c r="Q14" s="2"/>
      <c r="R14" s="16"/>
      <c r="S14" s="2"/>
      <c r="T14" s="2"/>
    </row>
    <row r="15" spans="1:20" x14ac:dyDescent="0.25">
      <c r="C15" s="2"/>
      <c r="D15" s="16"/>
      <c r="E15" s="16"/>
      <c r="F15" s="2"/>
      <c r="G15" s="2"/>
      <c r="N15" s="12"/>
      <c r="Q15" s="2"/>
      <c r="R15" s="16"/>
      <c r="S15" s="2"/>
      <c r="T15" s="2"/>
    </row>
    <row r="16" spans="1:20" x14ac:dyDescent="0.25">
      <c r="C16" s="2"/>
      <c r="D16" s="16"/>
      <c r="E16" s="16"/>
      <c r="F16" s="2"/>
      <c r="G16" s="2"/>
      <c r="N16" s="12"/>
      <c r="Q16" s="2"/>
      <c r="R16" s="16"/>
      <c r="S16" s="2"/>
      <c r="T16" s="2"/>
    </row>
    <row r="17" spans="3:20" x14ac:dyDescent="0.25">
      <c r="C17" s="2"/>
      <c r="D17" s="16"/>
      <c r="E17" s="16"/>
      <c r="F17" s="2"/>
      <c r="G17" s="2"/>
      <c r="N17" s="12"/>
      <c r="Q17" s="2"/>
      <c r="R17" s="16"/>
      <c r="S17" s="2"/>
      <c r="T17" s="2"/>
    </row>
    <row r="18" spans="3:20" x14ac:dyDescent="0.25">
      <c r="C18" s="2"/>
      <c r="D18" s="16"/>
      <c r="E18" s="16"/>
      <c r="F18" s="2"/>
      <c r="G18" s="2"/>
      <c r="N18" s="12"/>
      <c r="Q18" s="2"/>
      <c r="R18" s="16"/>
      <c r="S18" s="2"/>
      <c r="T18" s="2"/>
    </row>
    <row r="19" spans="3:20" x14ac:dyDescent="0.25">
      <c r="C19" s="2"/>
      <c r="D19" s="16"/>
      <c r="E19" s="16"/>
      <c r="F19" s="2"/>
      <c r="G19" s="2"/>
      <c r="N19" s="12"/>
      <c r="Q19" s="2"/>
      <c r="R19" s="16"/>
      <c r="S19" s="2"/>
      <c r="T19" s="2"/>
    </row>
    <row r="20" spans="3:20" x14ac:dyDescent="0.25">
      <c r="C20" s="2"/>
      <c r="D20" s="16"/>
      <c r="E20" s="16"/>
      <c r="F20" s="2"/>
      <c r="G20" s="2"/>
      <c r="Q20" s="2"/>
      <c r="R20" s="2"/>
      <c r="S20" s="2"/>
      <c r="T20" s="2"/>
    </row>
    <row r="21" spans="3:20" x14ac:dyDescent="0.25">
      <c r="C21" s="2"/>
      <c r="D21" s="2"/>
      <c r="E21" s="2"/>
      <c r="F21" s="2"/>
      <c r="G21" s="2"/>
      <c r="Q21" s="2"/>
      <c r="R21" s="2"/>
      <c r="S21" s="2"/>
      <c r="T21" s="2"/>
    </row>
    <row r="22" spans="3:20" x14ac:dyDescent="0.25">
      <c r="C22" s="2"/>
      <c r="D22" s="2"/>
      <c r="E22" s="2"/>
      <c r="F22" s="2"/>
      <c r="G22" s="2"/>
      <c r="Q22" s="2"/>
      <c r="R22" s="2"/>
      <c r="S22" s="2"/>
      <c r="T22" s="2"/>
    </row>
    <row r="23" spans="3:20" x14ac:dyDescent="0.25">
      <c r="C23" s="2"/>
      <c r="D23" s="2"/>
      <c r="E23" s="2"/>
      <c r="F23" s="2"/>
      <c r="G23" s="2"/>
      <c r="Q23" s="2"/>
      <c r="R23" s="2"/>
      <c r="S23" s="2"/>
      <c r="T23" s="2"/>
    </row>
    <row r="24" spans="3:20" x14ac:dyDescent="0.25">
      <c r="C24" s="2"/>
      <c r="D24" s="2"/>
      <c r="E24" s="2"/>
      <c r="F24" s="2"/>
      <c r="G24" s="2"/>
      <c r="Q24" s="2"/>
      <c r="R24" s="2"/>
      <c r="S24" s="2"/>
      <c r="T24" s="2"/>
    </row>
    <row r="25" spans="3:20" x14ac:dyDescent="0.25">
      <c r="C25" s="2"/>
      <c r="D25" s="2"/>
      <c r="E25" s="2"/>
      <c r="F25" s="2"/>
      <c r="G25" s="2"/>
      <c r="Q25" s="2"/>
      <c r="R25" s="2"/>
      <c r="S25" s="2"/>
      <c r="T25" s="2"/>
    </row>
    <row r="26" spans="3:20" x14ac:dyDescent="0.25">
      <c r="C26" s="2"/>
      <c r="D26" s="2"/>
      <c r="E26" s="2"/>
      <c r="F26" s="2"/>
      <c r="G26" s="2"/>
      <c r="Q26" s="2"/>
      <c r="R26" s="2"/>
      <c r="S26" s="2"/>
      <c r="T26" s="2"/>
    </row>
    <row r="27" spans="3:20" x14ac:dyDescent="0.25">
      <c r="C27" s="2"/>
      <c r="D27" s="2"/>
      <c r="E27" s="2"/>
      <c r="F27" s="2"/>
      <c r="G27" s="2"/>
      <c r="Q27" s="2"/>
      <c r="R27" s="2"/>
      <c r="S27" s="2"/>
      <c r="T27" s="2"/>
    </row>
    <row r="28" spans="3:20" x14ac:dyDescent="0.25">
      <c r="C28" s="2"/>
      <c r="D28" s="2"/>
      <c r="E28" s="2"/>
      <c r="F28" s="2"/>
      <c r="G28" s="2"/>
      <c r="Q28" s="2"/>
      <c r="R28" s="2"/>
      <c r="S28" s="2"/>
      <c r="T28" s="2"/>
    </row>
    <row r="29" spans="3:20" x14ac:dyDescent="0.25">
      <c r="C29" s="2"/>
      <c r="D29" s="2"/>
      <c r="E29" s="2"/>
      <c r="F29" s="2"/>
      <c r="G29" s="2"/>
      <c r="Q29" s="2"/>
      <c r="R29" s="2"/>
      <c r="S29" s="2"/>
      <c r="T29" s="2"/>
    </row>
    <row r="30" spans="3:20" x14ac:dyDescent="0.25">
      <c r="C30" s="2"/>
      <c r="D30" s="2"/>
      <c r="E30" s="2"/>
      <c r="F30" s="2"/>
      <c r="G30" s="2"/>
      <c r="Q30" s="2"/>
      <c r="R30" s="2"/>
      <c r="S30" s="2"/>
      <c r="T30" s="2"/>
    </row>
    <row r="31" spans="3:20" x14ac:dyDescent="0.25">
      <c r="C31" s="2"/>
      <c r="D31" s="2"/>
      <c r="E31" s="2"/>
      <c r="F31" s="2"/>
      <c r="G31" s="2"/>
      <c r="Q31" s="2"/>
      <c r="R31" s="2"/>
      <c r="S31" s="2"/>
      <c r="T31" s="2"/>
    </row>
    <row r="32" spans="3:20" x14ac:dyDescent="0.25">
      <c r="C32" s="2"/>
      <c r="D32" s="2"/>
      <c r="E32" s="2"/>
      <c r="F32" s="2"/>
      <c r="G32" s="2"/>
      <c r="Q32" s="2"/>
      <c r="R32" s="2"/>
      <c r="S32" s="2"/>
      <c r="T32" s="2"/>
    </row>
    <row r="33" spans="3:20" x14ac:dyDescent="0.25">
      <c r="C33" s="2"/>
      <c r="D33" s="2"/>
      <c r="E33" s="2"/>
      <c r="F33" s="2"/>
      <c r="G33" s="2"/>
      <c r="Q33" s="2"/>
      <c r="R33" s="2"/>
      <c r="S33" s="2"/>
      <c r="T33" s="2"/>
    </row>
    <row r="34" spans="3:20" x14ac:dyDescent="0.25">
      <c r="C34" s="2"/>
      <c r="D34" s="2"/>
      <c r="E34" s="2"/>
      <c r="F34" s="2"/>
      <c r="G34" s="2"/>
      <c r="Q34" s="2"/>
      <c r="R34" s="2"/>
      <c r="S34" s="2"/>
      <c r="T34" s="2"/>
    </row>
    <row r="35" spans="3:20" x14ac:dyDescent="0.25">
      <c r="C35" s="2"/>
      <c r="D35" s="2"/>
      <c r="E35" s="2"/>
      <c r="F35" s="2"/>
      <c r="G35" s="2"/>
      <c r="Q35" s="2"/>
      <c r="R35" s="2"/>
      <c r="S35" s="2"/>
      <c r="T35" s="2"/>
    </row>
    <row r="36" spans="3:20" x14ac:dyDescent="0.25">
      <c r="C36" s="2"/>
      <c r="D36" s="2"/>
      <c r="E36" s="2"/>
      <c r="F36" s="2"/>
      <c r="G36" s="2"/>
      <c r="Q36" s="2"/>
      <c r="R36" s="2"/>
      <c r="S36" s="2"/>
      <c r="T36" s="2"/>
    </row>
    <row r="37" spans="3:20" x14ac:dyDescent="0.25">
      <c r="C37" s="2"/>
      <c r="D37" s="2"/>
      <c r="E37" s="2"/>
      <c r="F37" s="2"/>
      <c r="G37" s="2"/>
      <c r="Q37" s="2"/>
      <c r="R37" s="2"/>
      <c r="S37" s="2"/>
      <c r="T37" s="2"/>
    </row>
    <row r="38" spans="3:20" x14ac:dyDescent="0.25">
      <c r="C38" s="2"/>
      <c r="D38" s="2"/>
      <c r="E38" s="2"/>
      <c r="F38" s="2"/>
      <c r="G38" s="2"/>
      <c r="Q38" s="2"/>
      <c r="R38" s="2"/>
      <c r="S38" s="2"/>
      <c r="T38" s="2"/>
    </row>
    <row r="39" spans="3:20" x14ac:dyDescent="0.25">
      <c r="C39" s="2"/>
      <c r="D39" s="2"/>
      <c r="E39" s="2"/>
      <c r="F39" s="2"/>
      <c r="G39" s="2"/>
      <c r="Q39" s="2"/>
      <c r="R39" s="2"/>
      <c r="S39" s="2"/>
      <c r="T39" s="2"/>
    </row>
    <row r="40" spans="3:20" x14ac:dyDescent="0.25">
      <c r="C40" s="2"/>
      <c r="D40" s="2"/>
      <c r="E40" s="2"/>
      <c r="F40" s="2"/>
      <c r="G40" s="2"/>
      <c r="Q40" s="2"/>
      <c r="R40" s="2"/>
      <c r="S40" s="2"/>
      <c r="T40" s="2"/>
    </row>
    <row r="41" spans="3:20" x14ac:dyDescent="0.25">
      <c r="C41" s="2"/>
      <c r="D41" s="2"/>
      <c r="E41" s="2"/>
      <c r="F41" s="2"/>
      <c r="G41" s="2"/>
      <c r="Q41" s="2"/>
      <c r="R41" s="2"/>
      <c r="S41" s="2"/>
      <c r="T41" s="2"/>
    </row>
    <row r="42" spans="3:20" x14ac:dyDescent="0.25">
      <c r="C42" s="2"/>
      <c r="D42" s="2"/>
      <c r="E42" s="2"/>
      <c r="F42" s="2"/>
      <c r="G42" s="2"/>
      <c r="Q42" s="2"/>
      <c r="R42" s="2"/>
      <c r="S42" s="2"/>
      <c r="T42" s="2"/>
    </row>
    <row r="43" spans="3:20" x14ac:dyDescent="0.25">
      <c r="C43" s="2"/>
      <c r="D43" s="2"/>
      <c r="E43" s="2"/>
      <c r="F43" s="2"/>
      <c r="G43" s="2"/>
      <c r="Q43" s="2"/>
      <c r="R43" s="2"/>
      <c r="S43" s="2"/>
      <c r="T43" s="2"/>
    </row>
    <row r="44" spans="3:20" x14ac:dyDescent="0.25">
      <c r="C44" s="2"/>
      <c r="D44" s="2"/>
      <c r="E44" s="2"/>
      <c r="F44" s="2"/>
      <c r="G44" s="2"/>
      <c r="Q44" s="2"/>
      <c r="R44" s="2"/>
      <c r="S44" s="2"/>
      <c r="T44" s="2"/>
    </row>
    <row r="45" spans="3:20" x14ac:dyDescent="0.25">
      <c r="C45" s="2"/>
      <c r="D45" s="2"/>
      <c r="E45" s="2"/>
      <c r="F45" s="2"/>
      <c r="G45" s="2"/>
      <c r="Q45" s="2"/>
      <c r="R45" s="2"/>
      <c r="S45" s="2"/>
      <c r="T45" s="2"/>
    </row>
    <row r="46" spans="3:20" x14ac:dyDescent="0.25">
      <c r="C46" s="2"/>
      <c r="D46" s="2"/>
      <c r="E46" s="2"/>
      <c r="F46" s="2"/>
      <c r="G46" s="2"/>
      <c r="Q46" s="2"/>
      <c r="R46" s="2"/>
      <c r="S46" s="2"/>
      <c r="T46" s="2"/>
    </row>
    <row r="47" spans="3:20" x14ac:dyDescent="0.25">
      <c r="C47" s="2"/>
      <c r="D47" s="2"/>
      <c r="E47" s="2"/>
      <c r="F47" s="2"/>
      <c r="G47" s="2"/>
      <c r="Q47" s="2"/>
      <c r="R47" s="2"/>
      <c r="S47" s="2"/>
      <c r="T47" s="2"/>
    </row>
    <row r="48" spans="3:20" x14ac:dyDescent="0.25">
      <c r="C48" s="2"/>
      <c r="D48" s="2"/>
      <c r="E48" s="2"/>
      <c r="F48" s="2"/>
      <c r="G48" s="2"/>
      <c r="Q48" s="2"/>
      <c r="R48" s="2"/>
      <c r="S48" s="2"/>
      <c r="T48" s="2"/>
    </row>
    <row r="49" spans="3:20" x14ac:dyDescent="0.25">
      <c r="C49" s="2"/>
      <c r="D49" s="2"/>
      <c r="E49" s="2"/>
      <c r="F49" s="2"/>
      <c r="G49" s="2"/>
      <c r="Q49" s="2"/>
      <c r="R49" s="2"/>
      <c r="S49" s="2"/>
      <c r="T49" s="2"/>
    </row>
    <row r="50" spans="3:20" x14ac:dyDescent="0.25">
      <c r="C50" s="2"/>
      <c r="D50" s="2"/>
      <c r="E50" s="2"/>
      <c r="F50" s="2"/>
      <c r="G50" s="2"/>
      <c r="Q50" s="2"/>
      <c r="R50" s="2"/>
      <c r="S50" s="2"/>
      <c r="T50" s="2"/>
    </row>
    <row r="51" spans="3:20" x14ac:dyDescent="0.25">
      <c r="C51" s="2"/>
      <c r="D51" s="2"/>
      <c r="E51" s="2"/>
      <c r="F51" s="2"/>
      <c r="G51" s="2"/>
      <c r="Q51" s="2"/>
      <c r="R51" s="2"/>
      <c r="S51" s="2"/>
      <c r="T51" s="2"/>
    </row>
    <row r="52" spans="3:20" x14ac:dyDescent="0.25">
      <c r="C52" s="2"/>
      <c r="D52" s="2"/>
      <c r="E52" s="2"/>
      <c r="F52" s="2"/>
      <c r="G52" s="2"/>
      <c r="Q52" s="2"/>
      <c r="R52" s="2"/>
      <c r="S52" s="2"/>
      <c r="T52" s="2"/>
    </row>
    <row r="53" spans="3:20" x14ac:dyDescent="0.25">
      <c r="C53" s="2"/>
      <c r="D53" s="2"/>
      <c r="E53" s="2"/>
      <c r="F53" s="2"/>
      <c r="G53" s="2"/>
      <c r="Q53" s="2"/>
      <c r="R53" s="2"/>
      <c r="S53" s="2"/>
      <c r="T53" s="2"/>
    </row>
    <row r="54" spans="3:20" x14ac:dyDescent="0.25">
      <c r="C54" s="2"/>
      <c r="D54" s="2"/>
      <c r="E54" s="2"/>
      <c r="F54" s="2"/>
      <c r="G54" s="2"/>
      <c r="Q54" s="2"/>
      <c r="R54" s="2"/>
      <c r="S54" s="2"/>
      <c r="T54" s="2"/>
    </row>
    <row r="55" spans="3:20" x14ac:dyDescent="0.25">
      <c r="C55" s="2"/>
      <c r="D55" s="2"/>
      <c r="E55" s="2"/>
      <c r="F55" s="2"/>
      <c r="G55" s="2"/>
      <c r="Q55" s="2"/>
      <c r="R55" s="2"/>
      <c r="S55" s="2"/>
      <c r="T55" s="2"/>
    </row>
    <row r="56" spans="3:20" x14ac:dyDescent="0.25">
      <c r="C56" s="2"/>
      <c r="D56" s="2"/>
      <c r="E56" s="2"/>
      <c r="F56" s="2"/>
      <c r="G56" s="2"/>
      <c r="Q56" s="2"/>
      <c r="R56" s="2"/>
      <c r="S56" s="2"/>
      <c r="T56" s="2"/>
    </row>
    <row r="57" spans="3:20" x14ac:dyDescent="0.25">
      <c r="C57" s="2"/>
      <c r="D57" s="2"/>
      <c r="E57" s="2"/>
      <c r="F57" s="2"/>
      <c r="G57" s="2"/>
      <c r="Q57" s="2"/>
      <c r="R57" s="2"/>
      <c r="S57" s="2"/>
      <c r="T57" s="2"/>
    </row>
    <row r="58" spans="3:20" x14ac:dyDescent="0.25">
      <c r="C58" s="2"/>
      <c r="D58" s="2"/>
      <c r="E58" s="2"/>
      <c r="F58" s="2"/>
      <c r="G58" s="2"/>
      <c r="Q58" s="2"/>
      <c r="R58" s="2"/>
      <c r="S58" s="2"/>
      <c r="T58" s="2"/>
    </row>
    <row r="59" spans="3:20" x14ac:dyDescent="0.25">
      <c r="C59" s="2"/>
      <c r="D59" s="2"/>
      <c r="E59" s="2"/>
      <c r="F59" s="2"/>
      <c r="G59" s="2"/>
      <c r="Q59" s="2"/>
      <c r="R59" s="2"/>
      <c r="S59" s="2"/>
      <c r="T59" s="2"/>
    </row>
    <row r="60" spans="3:20" x14ac:dyDescent="0.25">
      <c r="C60" s="2"/>
      <c r="D60" s="2"/>
      <c r="E60" s="2"/>
      <c r="F60" s="2"/>
      <c r="G60" s="2"/>
      <c r="Q60" s="2"/>
      <c r="R60" s="2"/>
      <c r="S60" s="2"/>
      <c r="T60" s="2"/>
    </row>
    <row r="61" spans="3:20" x14ac:dyDescent="0.25">
      <c r="C61" s="2"/>
      <c r="D61" s="2"/>
      <c r="E61" s="2"/>
      <c r="F61" s="2"/>
      <c r="G61" s="2"/>
      <c r="Q61" s="2"/>
      <c r="R61" s="2"/>
      <c r="S61" s="2"/>
      <c r="T61" s="2"/>
    </row>
    <row r="62" spans="3:20" x14ac:dyDescent="0.25">
      <c r="C62" s="2"/>
      <c r="D62" s="2"/>
      <c r="E62" s="2"/>
      <c r="F62" s="2"/>
      <c r="G62" s="2"/>
      <c r="Q62" s="2"/>
      <c r="R62" s="2"/>
      <c r="S62" s="2"/>
      <c r="T62" s="2"/>
    </row>
    <row r="63" spans="3:20" x14ac:dyDescent="0.25">
      <c r="C63" s="2"/>
      <c r="D63" s="2"/>
      <c r="E63" s="2"/>
      <c r="F63" s="2"/>
      <c r="G63" s="2"/>
      <c r="Q63" s="2"/>
      <c r="R63" s="2"/>
      <c r="S63" s="2"/>
      <c r="T63" s="2"/>
    </row>
    <row r="64" spans="3:20" x14ac:dyDescent="0.25">
      <c r="C64" s="2"/>
      <c r="D64" s="2"/>
      <c r="E64" s="2"/>
      <c r="F64" s="2"/>
      <c r="G64" s="2"/>
      <c r="Q64" s="2"/>
      <c r="R64" s="2"/>
      <c r="S64" s="2"/>
      <c r="T64" s="2"/>
    </row>
    <row r="65" spans="3:20" x14ac:dyDescent="0.25">
      <c r="C65" s="2"/>
      <c r="D65" s="2"/>
      <c r="E65" s="2"/>
      <c r="F65" s="2"/>
      <c r="G65" s="2"/>
      <c r="Q65" s="2"/>
      <c r="R65" s="2"/>
      <c r="S65" s="2"/>
      <c r="T65" s="2"/>
    </row>
    <row r="66" spans="3:20" x14ac:dyDescent="0.25">
      <c r="C66" s="2"/>
      <c r="D66" s="2"/>
      <c r="E66" s="2"/>
      <c r="F66" s="2"/>
      <c r="G66" s="2"/>
      <c r="Q66" s="2"/>
      <c r="R66" s="2"/>
      <c r="S66" s="2"/>
      <c r="T66" s="2"/>
    </row>
    <row r="67" spans="3:20" x14ac:dyDescent="0.25">
      <c r="C67" s="2"/>
      <c r="D67" s="2"/>
      <c r="E67" s="2"/>
      <c r="F67" s="2"/>
      <c r="G67" s="2"/>
      <c r="Q67" s="2"/>
      <c r="R67" s="2"/>
      <c r="S67" s="2"/>
      <c r="T67" s="2"/>
    </row>
    <row r="68" spans="3:20" x14ac:dyDescent="0.25">
      <c r="C68" s="2"/>
      <c r="D68" s="2"/>
      <c r="E68" s="2"/>
      <c r="F68" s="2"/>
      <c r="G68" s="2"/>
      <c r="Q68" s="2"/>
      <c r="R68" s="2"/>
      <c r="S68" s="2"/>
      <c r="T68" s="2"/>
    </row>
    <row r="69" spans="3:20" x14ac:dyDescent="0.25">
      <c r="C69" s="2"/>
      <c r="D69" s="2"/>
      <c r="E69" s="2"/>
      <c r="F69" s="2"/>
      <c r="G69" s="2"/>
      <c r="Q69" s="2"/>
      <c r="R69" s="2"/>
      <c r="S69" s="2"/>
      <c r="T69" s="2"/>
    </row>
    <row r="70" spans="3:20" x14ac:dyDescent="0.25">
      <c r="C70" s="2"/>
      <c r="D70" s="2"/>
      <c r="E70" s="2"/>
      <c r="F70" s="2"/>
      <c r="G70" s="2"/>
      <c r="Q70" s="2"/>
      <c r="R70" s="2"/>
      <c r="S70" s="2"/>
      <c r="T70" s="2"/>
    </row>
    <row r="71" spans="3:20" x14ac:dyDescent="0.25">
      <c r="C71" s="2"/>
      <c r="D71" s="2"/>
      <c r="E71" s="2"/>
      <c r="F71" s="2"/>
      <c r="G71" s="2"/>
      <c r="Q71" s="2"/>
      <c r="R71" s="2"/>
      <c r="S71" s="2"/>
      <c r="T71" s="2"/>
    </row>
    <row r="72" spans="3:20" x14ac:dyDescent="0.25">
      <c r="C72" s="2"/>
      <c r="D72" s="2"/>
      <c r="E72" s="2"/>
      <c r="F72" s="2"/>
      <c r="G72" s="2"/>
      <c r="Q72" s="2"/>
      <c r="R72" s="2"/>
      <c r="S72" s="2"/>
      <c r="T72" s="2"/>
    </row>
    <row r="73" spans="3:20" x14ac:dyDescent="0.25">
      <c r="C73" s="2"/>
      <c r="D73" s="2"/>
      <c r="E73" s="2"/>
      <c r="F73" s="2"/>
      <c r="G73" s="2"/>
      <c r="Q73" s="2"/>
      <c r="R73" s="2"/>
      <c r="S73" s="2"/>
      <c r="T73" s="2"/>
    </row>
    <row r="74" spans="3:20" x14ac:dyDescent="0.25">
      <c r="C74" s="2"/>
      <c r="D74" s="2"/>
      <c r="E74" s="2"/>
      <c r="F74" s="2"/>
      <c r="G74" s="2"/>
      <c r="Q74" s="2"/>
      <c r="R74" s="2"/>
      <c r="S74" s="2"/>
      <c r="T74" s="2"/>
    </row>
    <row r="75" spans="3:20" x14ac:dyDescent="0.25">
      <c r="C75" s="2"/>
      <c r="D75" s="2"/>
      <c r="E75" s="2"/>
      <c r="F75" s="2"/>
      <c r="G75" s="2"/>
      <c r="Q75" s="2"/>
      <c r="R75" s="2"/>
      <c r="S75" s="2"/>
      <c r="T75" s="2"/>
    </row>
    <row r="76" spans="3:20" x14ac:dyDescent="0.25">
      <c r="C76" s="2"/>
      <c r="D76" s="2"/>
      <c r="E76" s="2"/>
      <c r="F76" s="2"/>
      <c r="G76" s="2"/>
    </row>
    <row r="77" spans="3:20" x14ac:dyDescent="0.25">
      <c r="C77" s="2"/>
      <c r="D77" s="2"/>
      <c r="E77" s="2"/>
      <c r="F77" s="2"/>
      <c r="G77" s="2"/>
    </row>
    <row r="78" spans="3:20" x14ac:dyDescent="0.25">
      <c r="C78" s="2"/>
      <c r="D78" s="2"/>
      <c r="E78" s="2"/>
      <c r="F78" s="2"/>
      <c r="G78" s="2"/>
    </row>
    <row r="79" spans="3:20" x14ac:dyDescent="0.25">
      <c r="C79" s="2"/>
      <c r="D79" s="2"/>
      <c r="E79" s="2"/>
      <c r="F79" s="2"/>
      <c r="G79" s="2"/>
    </row>
    <row r="80" spans="3:20" x14ac:dyDescent="0.25">
      <c r="C80" s="2"/>
      <c r="D80" s="2"/>
      <c r="E80" s="2"/>
      <c r="F80" s="2"/>
      <c r="G80" s="2"/>
    </row>
    <row r="81" spans="3:7" x14ac:dyDescent="0.25">
      <c r="C81" s="2"/>
      <c r="D81" s="2"/>
      <c r="E81" s="2"/>
      <c r="F81" s="2"/>
      <c r="G81" s="2"/>
    </row>
    <row r="82" spans="3:7" x14ac:dyDescent="0.25">
      <c r="C82" s="2"/>
      <c r="D82" s="2"/>
      <c r="E82" s="2"/>
      <c r="F82" s="2"/>
      <c r="G82" s="2"/>
    </row>
    <row r="83" spans="3:7" x14ac:dyDescent="0.25">
      <c r="C83" s="2"/>
      <c r="D83" s="2"/>
      <c r="E83" s="2"/>
      <c r="F83" s="2"/>
      <c r="G83" s="2"/>
    </row>
    <row r="84" spans="3:7" x14ac:dyDescent="0.25">
      <c r="C84" s="2"/>
      <c r="D84" s="2"/>
      <c r="E84" s="2"/>
      <c r="F84" s="2"/>
      <c r="G84" s="2"/>
    </row>
    <row r="85" spans="3:7" x14ac:dyDescent="0.25">
      <c r="C85" s="2"/>
      <c r="D85" s="2"/>
      <c r="E85" s="2"/>
      <c r="F85" s="2"/>
      <c r="G85" s="2"/>
    </row>
    <row r="86" spans="3:7" x14ac:dyDescent="0.25">
      <c r="C86" s="2"/>
      <c r="D86" s="2"/>
      <c r="E86" s="2"/>
      <c r="F86" s="2"/>
      <c r="G86" s="2"/>
    </row>
    <row r="87" spans="3:7" x14ac:dyDescent="0.25">
      <c r="C87" s="2"/>
      <c r="D87" s="2"/>
      <c r="E87" s="2"/>
      <c r="F87" s="2"/>
      <c r="G87" s="2"/>
    </row>
    <row r="88" spans="3:7" x14ac:dyDescent="0.25">
      <c r="C88" s="2"/>
      <c r="D88" s="2"/>
      <c r="E88" s="2"/>
      <c r="F88" s="2"/>
      <c r="G88" s="2"/>
    </row>
    <row r="89" spans="3:7" x14ac:dyDescent="0.25">
      <c r="C89" s="2"/>
      <c r="D89" s="2"/>
      <c r="E89" s="2"/>
      <c r="F89" s="2"/>
      <c r="G89" s="2"/>
    </row>
    <row r="90" spans="3:7" x14ac:dyDescent="0.25">
      <c r="C90" s="2"/>
      <c r="D90" s="2"/>
      <c r="E90" s="2"/>
      <c r="F90" s="2"/>
      <c r="G90" s="2"/>
    </row>
    <row r="91" spans="3:7" x14ac:dyDescent="0.25">
      <c r="C91" s="2"/>
      <c r="D91" s="2"/>
      <c r="E91" s="2"/>
      <c r="F91" s="2"/>
      <c r="G91" s="2"/>
    </row>
    <row r="92" spans="3:7" x14ac:dyDescent="0.25">
      <c r="C92" s="2"/>
      <c r="D92" s="2"/>
      <c r="E92" s="2"/>
      <c r="F92" s="2"/>
      <c r="G92" s="2"/>
    </row>
    <row r="93" spans="3:7" x14ac:dyDescent="0.25">
      <c r="C93" s="2"/>
      <c r="D93" s="2"/>
      <c r="E93" s="2"/>
      <c r="F93" s="2"/>
      <c r="G93" s="2"/>
    </row>
    <row r="94" spans="3:7" x14ac:dyDescent="0.25">
      <c r="C94" s="2"/>
      <c r="D94" s="2"/>
      <c r="E94" s="2"/>
      <c r="F94" s="2"/>
      <c r="G94" s="2"/>
    </row>
    <row r="95" spans="3:7" x14ac:dyDescent="0.25">
      <c r="C95" s="2"/>
      <c r="D95" s="2"/>
      <c r="E95" s="2"/>
      <c r="F95" s="2"/>
      <c r="G95" s="2"/>
    </row>
    <row r="96" spans="3:7" x14ac:dyDescent="0.25">
      <c r="C96" s="2"/>
      <c r="D96" s="2"/>
      <c r="E96" s="2"/>
      <c r="F96" s="2"/>
      <c r="G96" s="2"/>
    </row>
    <row r="97" spans="3:7" x14ac:dyDescent="0.25">
      <c r="C97" s="2"/>
      <c r="D97" s="2"/>
      <c r="E97" s="2"/>
      <c r="F97" s="2"/>
      <c r="G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  <c r="G100" s="2"/>
    </row>
    <row r="101" spans="3:7" x14ac:dyDescent="0.25">
      <c r="C101" s="2"/>
      <c r="D101" s="2"/>
      <c r="E101" s="2"/>
      <c r="F101" s="2"/>
      <c r="G101" s="2"/>
    </row>
    <row r="102" spans="3:7" x14ac:dyDescent="0.25">
      <c r="C102" s="2"/>
      <c r="D102" s="2"/>
      <c r="E102" s="2"/>
      <c r="F102" s="2"/>
      <c r="G102" s="2"/>
    </row>
    <row r="103" spans="3:7" x14ac:dyDescent="0.25">
      <c r="C103" s="2"/>
      <c r="D103" s="2"/>
      <c r="E103" s="2"/>
      <c r="F103" s="2"/>
      <c r="G103" s="2"/>
    </row>
    <row r="104" spans="3:7" x14ac:dyDescent="0.25">
      <c r="C104" s="2"/>
      <c r="D104" s="2"/>
      <c r="E104" s="2"/>
      <c r="F104" s="2"/>
      <c r="G104" s="2"/>
    </row>
    <row r="105" spans="3:7" x14ac:dyDescent="0.25">
      <c r="C105" s="2"/>
      <c r="D105" s="2"/>
      <c r="E105" s="2"/>
      <c r="F105" s="2"/>
      <c r="G105" s="2"/>
    </row>
    <row r="106" spans="3:7" x14ac:dyDescent="0.25">
      <c r="C106" s="2"/>
      <c r="D106" s="2"/>
      <c r="E106" s="2"/>
      <c r="F106" s="2"/>
      <c r="G106" s="2"/>
    </row>
    <row r="107" spans="3:7" x14ac:dyDescent="0.25">
      <c r="C107" s="2"/>
      <c r="D107" s="2"/>
      <c r="E107" s="2"/>
      <c r="F107" s="2"/>
      <c r="G107" s="2"/>
    </row>
    <row r="108" spans="3:7" x14ac:dyDescent="0.25">
      <c r="C108" s="2"/>
      <c r="D108" s="2"/>
      <c r="E108" s="2"/>
      <c r="F108" s="2"/>
      <c r="G108" s="2"/>
    </row>
    <row r="109" spans="3:7" x14ac:dyDescent="0.25">
      <c r="C109" s="2"/>
      <c r="D109" s="2"/>
      <c r="E109" s="2"/>
      <c r="F109" s="2"/>
      <c r="G109" s="2"/>
    </row>
    <row r="110" spans="3:7" x14ac:dyDescent="0.25">
      <c r="C110" s="2"/>
      <c r="D110" s="2"/>
      <c r="E110" s="2"/>
      <c r="F110" s="2"/>
      <c r="G110" s="2"/>
    </row>
    <row r="111" spans="3:7" x14ac:dyDescent="0.25">
      <c r="C111" s="2"/>
      <c r="D111" s="2"/>
      <c r="E111" s="2"/>
      <c r="F111" s="2"/>
      <c r="G111" s="2"/>
    </row>
    <row r="112" spans="3:7" x14ac:dyDescent="0.25">
      <c r="C112" s="2"/>
      <c r="D112" s="2"/>
      <c r="E112" s="2"/>
      <c r="F112" s="2"/>
      <c r="G112" s="2"/>
    </row>
    <row r="113" spans="3:7" x14ac:dyDescent="0.25">
      <c r="C113" s="2"/>
      <c r="D113" s="2"/>
      <c r="E113" s="2"/>
      <c r="F113" s="2"/>
      <c r="G113" s="2"/>
    </row>
    <row r="114" spans="3:7" x14ac:dyDescent="0.25">
      <c r="C114" s="2"/>
      <c r="D114" s="2"/>
      <c r="E114" s="2"/>
      <c r="F114" s="2"/>
      <c r="G114" s="2"/>
    </row>
    <row r="115" spans="3:7" x14ac:dyDescent="0.25">
      <c r="C115" s="2"/>
      <c r="D115" s="2"/>
      <c r="E115" s="2"/>
      <c r="F115" s="2"/>
      <c r="G115" s="2"/>
    </row>
    <row r="116" spans="3:7" x14ac:dyDescent="0.25">
      <c r="C116" s="2"/>
      <c r="D116" s="2"/>
      <c r="E116" s="2"/>
      <c r="F116" s="2"/>
      <c r="G116" s="2"/>
    </row>
    <row r="117" spans="3:7" x14ac:dyDescent="0.25">
      <c r="C117" s="2"/>
      <c r="D117" s="2"/>
      <c r="E117" s="2"/>
      <c r="F117" s="2"/>
      <c r="G117" s="2"/>
    </row>
    <row r="118" spans="3:7" x14ac:dyDescent="0.25">
      <c r="C118" s="2"/>
      <c r="D118" s="2"/>
      <c r="E118" s="2"/>
      <c r="F118" s="2"/>
      <c r="G118" s="2"/>
    </row>
    <row r="119" spans="3:7" x14ac:dyDescent="0.25">
      <c r="C119" s="2"/>
      <c r="D119" s="2"/>
      <c r="E119" s="2"/>
      <c r="F119" s="2"/>
      <c r="G119" s="2"/>
    </row>
    <row r="120" spans="3:7" x14ac:dyDescent="0.25">
      <c r="C120" s="2"/>
      <c r="D120" s="2"/>
      <c r="E120" s="2"/>
      <c r="F120" s="2"/>
      <c r="G120" s="2"/>
    </row>
    <row r="121" spans="3:7" x14ac:dyDescent="0.25">
      <c r="C121" s="2"/>
      <c r="D121" s="2"/>
      <c r="E121" s="2"/>
      <c r="F121" s="2"/>
      <c r="G121" s="2"/>
    </row>
    <row r="122" spans="3:7" x14ac:dyDescent="0.25">
      <c r="C122" s="2"/>
      <c r="D122" s="2"/>
      <c r="E122" s="2"/>
      <c r="F122" s="2"/>
      <c r="G122" s="2"/>
    </row>
    <row r="123" spans="3:7" x14ac:dyDescent="0.25">
      <c r="C123" s="2"/>
      <c r="D123" s="2"/>
      <c r="E123" s="2"/>
      <c r="F123" s="2"/>
      <c r="G123" s="2"/>
    </row>
    <row r="124" spans="3:7" x14ac:dyDescent="0.25">
      <c r="C124" s="2"/>
      <c r="D124" s="2"/>
      <c r="E124" s="2"/>
      <c r="F124" s="2"/>
      <c r="G124" s="2"/>
    </row>
    <row r="125" spans="3:7" x14ac:dyDescent="0.25">
      <c r="C125" s="2"/>
      <c r="D125" s="2"/>
      <c r="E125" s="2"/>
      <c r="F125" s="2"/>
      <c r="G125" s="2"/>
    </row>
    <row r="126" spans="3:7" x14ac:dyDescent="0.25">
      <c r="C126" s="2"/>
      <c r="D126" s="2"/>
      <c r="E126" s="2"/>
      <c r="F126" s="2"/>
      <c r="G126" s="2"/>
    </row>
    <row r="127" spans="3:7" x14ac:dyDescent="0.25">
      <c r="C127" s="2"/>
      <c r="D127" s="2"/>
      <c r="E127" s="2"/>
      <c r="F127" s="2"/>
      <c r="G127" s="2"/>
    </row>
    <row r="128" spans="3:7" x14ac:dyDescent="0.25">
      <c r="C128" s="2"/>
      <c r="D128" s="2"/>
      <c r="E128" s="2"/>
      <c r="F128" s="2"/>
      <c r="G128" s="2"/>
    </row>
    <row r="129" spans="3:7" x14ac:dyDescent="0.25">
      <c r="C129" s="2"/>
      <c r="D129" s="2"/>
      <c r="E129" s="2"/>
      <c r="F129" s="2"/>
      <c r="G129" s="2"/>
    </row>
    <row r="130" spans="3:7" x14ac:dyDescent="0.25">
      <c r="C130" s="2"/>
      <c r="D130" s="2"/>
      <c r="E130" s="2"/>
      <c r="F130" s="2"/>
      <c r="G130" s="2"/>
    </row>
    <row r="131" spans="3:7" x14ac:dyDescent="0.25">
      <c r="C131" s="2"/>
      <c r="D131" s="2"/>
      <c r="E131" s="2"/>
      <c r="F131" s="2"/>
      <c r="G131" s="2"/>
    </row>
    <row r="132" spans="3:7" x14ac:dyDescent="0.25">
      <c r="C132" s="2"/>
      <c r="D132" s="2"/>
      <c r="E132" s="2"/>
      <c r="F132" s="2"/>
      <c r="G132" s="2"/>
    </row>
    <row r="133" spans="3:7" x14ac:dyDescent="0.25">
      <c r="C133" s="2"/>
      <c r="D133" s="2"/>
      <c r="E133" s="2"/>
      <c r="F133" s="2"/>
      <c r="G133" s="2"/>
    </row>
    <row r="134" spans="3:7" x14ac:dyDescent="0.25">
      <c r="C134" s="2"/>
      <c r="D134" s="2"/>
      <c r="E134" s="2"/>
      <c r="F134" s="2"/>
      <c r="G134" s="2"/>
    </row>
    <row r="135" spans="3:7" x14ac:dyDescent="0.25">
      <c r="C135" s="2"/>
      <c r="D135" s="2"/>
      <c r="E135" s="2"/>
      <c r="F135" s="2"/>
      <c r="G135" s="2"/>
    </row>
    <row r="136" spans="3:7" x14ac:dyDescent="0.25">
      <c r="C136" s="2"/>
      <c r="D136" s="2"/>
      <c r="E136" s="2"/>
      <c r="F136" s="2"/>
      <c r="G136" s="2"/>
    </row>
    <row r="137" spans="3:7" x14ac:dyDescent="0.25">
      <c r="C137" s="2"/>
      <c r="D137" s="2"/>
      <c r="E137" s="2"/>
      <c r="F137" s="2"/>
      <c r="G137" s="2"/>
    </row>
    <row r="138" spans="3:7" x14ac:dyDescent="0.25">
      <c r="C138" s="2"/>
      <c r="D138" s="2"/>
      <c r="E138" s="2"/>
      <c r="F138" s="2"/>
      <c r="G138" s="2"/>
    </row>
    <row r="139" spans="3:7" x14ac:dyDescent="0.25">
      <c r="C139" s="2"/>
      <c r="D139" s="2"/>
      <c r="E139" s="2"/>
      <c r="F139" s="2"/>
      <c r="G139" s="2"/>
    </row>
    <row r="140" spans="3:7" x14ac:dyDescent="0.25">
      <c r="C140" s="2"/>
      <c r="D140" s="2"/>
      <c r="E140" s="2"/>
      <c r="F140" s="2"/>
      <c r="G140" s="2"/>
    </row>
    <row r="141" spans="3:7" x14ac:dyDescent="0.25">
      <c r="C141" s="2"/>
      <c r="D141" s="2"/>
      <c r="E141" s="2"/>
      <c r="F141" s="2"/>
      <c r="G141" s="2"/>
    </row>
    <row r="142" spans="3:7" x14ac:dyDescent="0.25">
      <c r="C142" s="2"/>
      <c r="D142" s="2"/>
      <c r="E142" s="2"/>
      <c r="F142" s="2"/>
      <c r="G142" s="2"/>
    </row>
    <row r="143" spans="3:7" x14ac:dyDescent="0.25">
      <c r="C143" s="2"/>
      <c r="D143" s="2"/>
      <c r="E143" s="2"/>
      <c r="F143" s="2"/>
      <c r="G143" s="2"/>
    </row>
    <row r="144" spans="3:7" x14ac:dyDescent="0.25">
      <c r="C144" s="2"/>
      <c r="D144" s="2"/>
      <c r="E144" s="2"/>
      <c r="F144" s="2"/>
      <c r="G144" s="2"/>
    </row>
    <row r="145" spans="3:7" x14ac:dyDescent="0.25">
      <c r="C145" s="2"/>
      <c r="D145" s="2"/>
      <c r="E145" s="2"/>
      <c r="F145" s="2"/>
      <c r="G145" s="2"/>
    </row>
    <row r="146" spans="3:7" x14ac:dyDescent="0.25">
      <c r="C146" s="2"/>
      <c r="D146" s="2"/>
      <c r="E146" s="2"/>
      <c r="F146" s="2"/>
      <c r="G146" s="2"/>
    </row>
    <row r="147" spans="3:7" x14ac:dyDescent="0.25">
      <c r="C147" s="2"/>
      <c r="D147" s="2"/>
      <c r="E147" s="2"/>
      <c r="F147" s="2"/>
      <c r="G147" s="2"/>
    </row>
    <row r="148" spans="3:7" x14ac:dyDescent="0.25">
      <c r="C148" s="2"/>
      <c r="D148" s="2"/>
      <c r="E148" s="2"/>
      <c r="F148" s="2"/>
      <c r="G148" s="2"/>
    </row>
    <row r="149" spans="3:7" x14ac:dyDescent="0.25">
      <c r="C149" s="2"/>
      <c r="D149" s="2"/>
      <c r="E149" s="2"/>
      <c r="F149" s="2"/>
      <c r="G149" s="2"/>
    </row>
    <row r="150" spans="3:7" x14ac:dyDescent="0.25">
      <c r="C150" s="2"/>
      <c r="D150" s="2"/>
      <c r="E150" s="2"/>
      <c r="F150" s="2"/>
      <c r="G150" s="2"/>
    </row>
    <row r="151" spans="3:7" x14ac:dyDescent="0.25">
      <c r="C151" s="2"/>
      <c r="D151" s="2"/>
      <c r="E151" s="2"/>
      <c r="F151" s="2"/>
      <c r="G151" s="2"/>
    </row>
    <row r="152" spans="3:7" x14ac:dyDescent="0.25">
      <c r="C152" s="2"/>
      <c r="D152" s="2"/>
      <c r="E152" s="2"/>
      <c r="F152" s="2"/>
      <c r="G152" s="2"/>
    </row>
    <row r="153" spans="3:7" x14ac:dyDescent="0.25">
      <c r="C153" s="2"/>
      <c r="D153" s="2"/>
      <c r="E153" s="2"/>
      <c r="F153" s="2"/>
      <c r="G153" s="2"/>
    </row>
    <row r="154" spans="3:7" x14ac:dyDescent="0.25">
      <c r="C154" s="2"/>
      <c r="D154" s="2"/>
      <c r="E154" s="2"/>
      <c r="F154" s="2"/>
      <c r="G154" s="2"/>
    </row>
    <row r="155" spans="3:7" x14ac:dyDescent="0.25">
      <c r="C155" s="2"/>
      <c r="D155" s="2"/>
      <c r="E155" s="2"/>
      <c r="F155" s="2"/>
      <c r="G155" s="2"/>
    </row>
    <row r="156" spans="3:7" x14ac:dyDescent="0.25">
      <c r="C156" s="2"/>
      <c r="D156" s="2"/>
      <c r="E156" s="2"/>
      <c r="F156" s="2"/>
      <c r="G156" s="2"/>
    </row>
    <row r="157" spans="3:7" x14ac:dyDescent="0.25">
      <c r="C157" s="2"/>
      <c r="D157" s="2"/>
      <c r="E157" s="2"/>
      <c r="F157" s="2"/>
      <c r="G157" s="2"/>
    </row>
    <row r="158" spans="3:7" x14ac:dyDescent="0.25">
      <c r="C158" s="2"/>
      <c r="D158" s="2"/>
      <c r="E158" s="2"/>
      <c r="F158" s="2"/>
      <c r="G158" s="2"/>
    </row>
    <row r="159" spans="3:7" x14ac:dyDescent="0.25">
      <c r="C159" s="2"/>
      <c r="D159" s="2"/>
      <c r="E159" s="2"/>
      <c r="F159" s="2"/>
      <c r="G159" s="2"/>
    </row>
    <row r="160" spans="3:7" x14ac:dyDescent="0.25">
      <c r="C160" s="2"/>
      <c r="D160" s="2"/>
      <c r="E160" s="2"/>
      <c r="F160" s="2"/>
      <c r="G160" s="2"/>
    </row>
    <row r="161" spans="3:7" x14ac:dyDescent="0.25">
      <c r="C161" s="2"/>
      <c r="D161" s="2"/>
      <c r="E161" s="2"/>
      <c r="F161" s="2"/>
      <c r="G161" s="2"/>
    </row>
    <row r="162" spans="3:7" x14ac:dyDescent="0.25">
      <c r="C162" s="2"/>
      <c r="D162" s="2"/>
      <c r="E162" s="2"/>
      <c r="F162" s="2"/>
      <c r="G162" s="2"/>
    </row>
    <row r="163" spans="3:7" x14ac:dyDescent="0.25">
      <c r="C163" s="2"/>
      <c r="D163" s="2"/>
      <c r="E163" s="2"/>
      <c r="F163" s="2"/>
      <c r="G163" s="2"/>
    </row>
    <row r="164" spans="3:7" x14ac:dyDescent="0.25">
      <c r="C164" s="2"/>
      <c r="D164" s="2"/>
      <c r="E164" s="2"/>
      <c r="F164" s="2"/>
      <c r="G164" s="2"/>
    </row>
    <row r="165" spans="3:7" x14ac:dyDescent="0.25">
      <c r="C165" s="2"/>
      <c r="D165" s="2"/>
      <c r="E165" s="2"/>
      <c r="F165" s="2"/>
      <c r="G165" s="2"/>
    </row>
    <row r="166" spans="3:7" x14ac:dyDescent="0.25">
      <c r="C166" s="2"/>
      <c r="D166" s="2"/>
      <c r="E166" s="2"/>
      <c r="F166" s="2"/>
      <c r="G166" s="2"/>
    </row>
    <row r="167" spans="3:7" x14ac:dyDescent="0.25">
      <c r="C167" s="2"/>
      <c r="D167" s="2"/>
      <c r="E167" s="2"/>
      <c r="F167" s="2"/>
      <c r="G167" s="2"/>
    </row>
    <row r="168" spans="3:7" x14ac:dyDescent="0.25">
      <c r="C168" s="2"/>
      <c r="D168" s="2"/>
      <c r="E168" s="2"/>
      <c r="F168" s="2"/>
      <c r="G168" s="2"/>
    </row>
    <row r="169" spans="3:7" x14ac:dyDescent="0.25">
      <c r="C169" s="2"/>
      <c r="D169" s="2"/>
      <c r="E169" s="2"/>
      <c r="F169" s="2"/>
      <c r="G169" s="2"/>
    </row>
    <row r="170" spans="3:7" x14ac:dyDescent="0.25">
      <c r="C170" s="2"/>
      <c r="D170" s="2"/>
      <c r="E170" s="2"/>
      <c r="F170" s="2"/>
      <c r="G170" s="2"/>
    </row>
    <row r="171" spans="3:7" x14ac:dyDescent="0.25">
      <c r="C171" s="2"/>
      <c r="D171" s="2"/>
      <c r="E171" s="2"/>
      <c r="F171" s="2"/>
      <c r="G171" s="2"/>
    </row>
    <row r="172" spans="3:7" x14ac:dyDescent="0.25">
      <c r="C172" s="2"/>
      <c r="D172" s="2"/>
      <c r="E172" s="2"/>
      <c r="F172" s="2"/>
      <c r="G172" s="2"/>
    </row>
    <row r="173" spans="3:7" x14ac:dyDescent="0.25">
      <c r="C173" s="2"/>
      <c r="D173" s="2"/>
      <c r="E173" s="2"/>
      <c r="F173" s="2"/>
      <c r="G173" s="2"/>
    </row>
    <row r="174" spans="3:7" x14ac:dyDescent="0.25">
      <c r="C174" s="2"/>
      <c r="D174" s="2"/>
      <c r="E174" s="2"/>
      <c r="F174" s="2"/>
      <c r="G174" s="2"/>
    </row>
    <row r="175" spans="3:7" x14ac:dyDescent="0.25">
      <c r="C175" s="2"/>
      <c r="D175" s="2"/>
      <c r="E175" s="2"/>
      <c r="F175" s="2"/>
      <c r="G175" s="2"/>
    </row>
    <row r="176" spans="3:7" x14ac:dyDescent="0.25">
      <c r="C176" s="2"/>
      <c r="D176" s="2"/>
      <c r="E176" s="2"/>
      <c r="F176" s="2"/>
      <c r="G176" s="2"/>
    </row>
    <row r="177" spans="3:7" x14ac:dyDescent="0.25">
      <c r="C177" s="2"/>
      <c r="D177" s="2"/>
      <c r="E177" s="2"/>
      <c r="F177" s="2"/>
      <c r="G177" s="2"/>
    </row>
    <row r="178" spans="3:7" x14ac:dyDescent="0.25">
      <c r="C178" s="2"/>
      <c r="D178" s="2"/>
      <c r="E178" s="2"/>
      <c r="F178" s="2"/>
      <c r="G178" s="2"/>
    </row>
    <row r="179" spans="3:7" x14ac:dyDescent="0.25">
      <c r="C179" s="2"/>
      <c r="D179" s="2"/>
      <c r="E179" s="2"/>
      <c r="F179" s="2"/>
      <c r="G179" s="2"/>
    </row>
    <row r="180" spans="3:7" x14ac:dyDescent="0.25">
      <c r="C180" s="2"/>
      <c r="D180" s="2"/>
      <c r="E180" s="2"/>
      <c r="F180" s="2"/>
      <c r="G180" s="2"/>
    </row>
    <row r="181" spans="3:7" x14ac:dyDescent="0.25">
      <c r="C181" s="2"/>
      <c r="D181" s="2"/>
      <c r="E181" s="2"/>
      <c r="F181" s="2"/>
      <c r="G181" s="2"/>
    </row>
    <row r="182" spans="3:7" x14ac:dyDescent="0.25">
      <c r="C182" s="2"/>
      <c r="D182" s="2"/>
      <c r="E182" s="2"/>
      <c r="F182" s="2"/>
      <c r="G182" s="2"/>
    </row>
    <row r="183" spans="3:7" x14ac:dyDescent="0.25">
      <c r="C183" s="2"/>
      <c r="D183" s="2"/>
      <c r="E183" s="2"/>
      <c r="F183" s="2"/>
      <c r="G183" s="2"/>
    </row>
    <row r="184" spans="3:7" x14ac:dyDescent="0.25">
      <c r="C184" s="2"/>
      <c r="D184" s="2"/>
      <c r="E184" s="2"/>
      <c r="F184" s="2"/>
      <c r="G184" s="2"/>
    </row>
    <row r="185" spans="3:7" x14ac:dyDescent="0.25">
      <c r="C185" s="2"/>
      <c r="D185" s="2"/>
      <c r="E185" s="2"/>
      <c r="F185" s="2"/>
      <c r="G185" s="2"/>
    </row>
    <row r="186" spans="3:7" x14ac:dyDescent="0.25">
      <c r="C186" s="2"/>
      <c r="D186" s="2"/>
      <c r="E186" s="2"/>
      <c r="F186" s="2"/>
      <c r="G186" s="2"/>
    </row>
    <row r="187" spans="3:7" x14ac:dyDescent="0.25">
      <c r="C187" s="2"/>
      <c r="D187" s="2"/>
      <c r="E187" s="2"/>
      <c r="F187" s="2"/>
      <c r="G187" s="2"/>
    </row>
    <row r="188" spans="3:7" x14ac:dyDescent="0.25">
      <c r="C188" s="2"/>
      <c r="D188" s="2"/>
      <c r="E188" s="2"/>
      <c r="F188" s="2"/>
      <c r="G188" s="2"/>
    </row>
    <row r="189" spans="3:7" x14ac:dyDescent="0.25">
      <c r="C189" s="2"/>
      <c r="D189" s="2"/>
      <c r="E189" s="2"/>
      <c r="F189" s="2"/>
      <c r="G189" s="2"/>
    </row>
    <row r="190" spans="3:7" x14ac:dyDescent="0.25">
      <c r="C190" s="2"/>
      <c r="D190" s="2"/>
      <c r="E190" s="2"/>
      <c r="F190" s="2"/>
      <c r="G190" s="2"/>
    </row>
    <row r="191" spans="3:7" x14ac:dyDescent="0.25">
      <c r="C191" s="2"/>
      <c r="D191" s="2"/>
      <c r="E191" s="2"/>
      <c r="F191" s="2"/>
      <c r="G191" s="2"/>
    </row>
    <row r="192" spans="3:7" x14ac:dyDescent="0.25">
      <c r="C192" s="2"/>
      <c r="D192" s="2"/>
      <c r="E192" s="2"/>
      <c r="F192" s="2"/>
      <c r="G192" s="2"/>
    </row>
    <row r="193" spans="3:7" x14ac:dyDescent="0.25">
      <c r="C193" s="2"/>
      <c r="D193" s="2"/>
      <c r="E193" s="2"/>
      <c r="F193" s="2"/>
      <c r="G193" s="2"/>
    </row>
    <row r="194" spans="3:7" x14ac:dyDescent="0.25">
      <c r="C194" s="2"/>
      <c r="D194" s="2"/>
      <c r="E194" s="2"/>
      <c r="F194" s="2"/>
      <c r="G194" s="2"/>
    </row>
    <row r="195" spans="3:7" x14ac:dyDescent="0.25">
      <c r="C195" s="2"/>
      <c r="D195" s="2"/>
      <c r="E195" s="2"/>
      <c r="F195" s="2"/>
      <c r="G195" s="2"/>
    </row>
    <row r="196" spans="3:7" x14ac:dyDescent="0.25">
      <c r="C196" s="2"/>
      <c r="D196" s="2"/>
      <c r="E196" s="2"/>
      <c r="F196" s="2"/>
      <c r="G196" s="2"/>
    </row>
    <row r="197" spans="3:7" x14ac:dyDescent="0.25">
      <c r="C197" s="2"/>
      <c r="D197" s="2"/>
      <c r="E197" s="2"/>
      <c r="F197" s="2"/>
      <c r="G197" s="2"/>
    </row>
    <row r="198" spans="3:7" x14ac:dyDescent="0.25">
      <c r="C198" s="2"/>
      <c r="D198" s="2"/>
      <c r="E198" s="2"/>
      <c r="F198" s="2"/>
      <c r="G198" s="2"/>
    </row>
    <row r="199" spans="3:7" x14ac:dyDescent="0.25">
      <c r="C199" s="2"/>
      <c r="D199" s="2"/>
      <c r="E199" s="2"/>
      <c r="F199" s="2"/>
      <c r="G199" s="2"/>
    </row>
    <row r="200" spans="3:7" x14ac:dyDescent="0.25">
      <c r="C200" s="2"/>
      <c r="D200" s="2"/>
      <c r="E200" s="2"/>
      <c r="F200" s="2"/>
      <c r="G200" s="2"/>
    </row>
    <row r="201" spans="3:7" x14ac:dyDescent="0.25">
      <c r="C201" s="2"/>
      <c r="D201" s="2"/>
      <c r="E201" s="2"/>
      <c r="F201" s="2"/>
      <c r="G201" s="2"/>
    </row>
    <row r="202" spans="3:7" x14ac:dyDescent="0.25">
      <c r="C202" s="2"/>
      <c r="D202" s="2"/>
      <c r="E202" s="2"/>
      <c r="F202" s="2"/>
      <c r="G202" s="2"/>
    </row>
    <row r="203" spans="3:7" x14ac:dyDescent="0.25">
      <c r="C203" s="2"/>
      <c r="D203" s="2"/>
      <c r="E203" s="2"/>
      <c r="F203" s="2"/>
      <c r="G203" s="2"/>
    </row>
    <row r="204" spans="3:7" x14ac:dyDescent="0.25">
      <c r="C204" s="2"/>
      <c r="D204" s="2"/>
      <c r="E204" s="2"/>
      <c r="F204" s="2"/>
      <c r="G204" s="2"/>
    </row>
    <row r="205" spans="3:7" x14ac:dyDescent="0.25">
      <c r="C205" s="2"/>
      <c r="D205" s="2"/>
      <c r="E205" s="2"/>
      <c r="F205" s="2"/>
      <c r="G205" s="2"/>
    </row>
    <row r="206" spans="3:7" x14ac:dyDescent="0.25">
      <c r="C206" s="2"/>
      <c r="D206" s="2"/>
      <c r="E206" s="2"/>
      <c r="F206" s="2"/>
      <c r="G206" s="2"/>
    </row>
    <row r="207" spans="3:7" x14ac:dyDescent="0.25">
      <c r="C207" s="2"/>
      <c r="D207" s="2"/>
      <c r="E207" s="2"/>
      <c r="F207" s="2"/>
      <c r="G207" s="2"/>
    </row>
    <row r="208" spans="3:7" x14ac:dyDescent="0.25">
      <c r="C208" s="2"/>
      <c r="D208" s="2"/>
      <c r="E208" s="2"/>
      <c r="F208" s="2"/>
      <c r="G208" s="2"/>
    </row>
    <row r="209" spans="3:7" x14ac:dyDescent="0.25">
      <c r="C209" s="2"/>
      <c r="D209" s="2"/>
      <c r="E209" s="2"/>
      <c r="F209" s="2"/>
      <c r="G209" s="2"/>
    </row>
    <row r="210" spans="3:7" x14ac:dyDescent="0.25">
      <c r="C210" s="2"/>
      <c r="D210" s="2"/>
      <c r="E210" s="2"/>
      <c r="F210" s="2"/>
      <c r="G210" s="2"/>
    </row>
    <row r="211" spans="3:7" x14ac:dyDescent="0.25">
      <c r="C211" s="2"/>
      <c r="D211" s="2"/>
      <c r="E211" s="2"/>
      <c r="F211" s="2"/>
      <c r="G211" s="2"/>
    </row>
    <row r="212" spans="3:7" x14ac:dyDescent="0.25">
      <c r="C212" s="2"/>
      <c r="D212" s="2"/>
      <c r="E212" s="2"/>
      <c r="F212" s="2"/>
      <c r="G212" s="2"/>
    </row>
    <row r="213" spans="3:7" x14ac:dyDescent="0.25">
      <c r="C213" s="2"/>
      <c r="D213" s="2"/>
      <c r="E213" s="2"/>
      <c r="F213" s="2"/>
      <c r="G213" s="2"/>
    </row>
    <row r="214" spans="3:7" x14ac:dyDescent="0.25">
      <c r="C214" s="2"/>
      <c r="D214" s="2"/>
      <c r="E214" s="2"/>
      <c r="F214" s="2"/>
      <c r="G214" s="2"/>
    </row>
    <row r="215" spans="3:7" x14ac:dyDescent="0.25">
      <c r="C215" s="2"/>
      <c r="D215" s="2"/>
      <c r="E215" s="2"/>
      <c r="F215" s="2"/>
      <c r="G215" s="2"/>
    </row>
    <row r="216" spans="3:7" x14ac:dyDescent="0.25">
      <c r="C216" s="2"/>
      <c r="D216" s="2"/>
      <c r="E216" s="2"/>
      <c r="F216" s="2"/>
      <c r="G216" s="2"/>
    </row>
    <row r="217" spans="3:7" x14ac:dyDescent="0.25">
      <c r="C217" s="2"/>
      <c r="D217" s="2"/>
      <c r="E217" s="2"/>
      <c r="F217" s="2"/>
      <c r="G217" s="2"/>
    </row>
    <row r="218" spans="3:7" x14ac:dyDescent="0.25">
      <c r="C218" s="2"/>
      <c r="D218" s="2"/>
      <c r="E218" s="2"/>
      <c r="F218" s="2"/>
      <c r="G218" s="2"/>
    </row>
    <row r="219" spans="3:7" x14ac:dyDescent="0.25">
      <c r="C219" s="2"/>
      <c r="D219" s="2"/>
      <c r="E219" s="2"/>
      <c r="F219" s="2"/>
      <c r="G219" s="2"/>
    </row>
    <row r="220" spans="3:7" x14ac:dyDescent="0.25">
      <c r="C220" s="2"/>
      <c r="D220" s="2"/>
      <c r="E220" s="2"/>
      <c r="F220" s="2"/>
      <c r="G220" s="2"/>
    </row>
    <row r="221" spans="3:7" x14ac:dyDescent="0.25">
      <c r="C221" s="2"/>
      <c r="D221" s="2"/>
      <c r="E221" s="2"/>
      <c r="F221" s="2"/>
      <c r="G221" s="2"/>
    </row>
    <row r="222" spans="3:7" x14ac:dyDescent="0.25">
      <c r="C222" s="2"/>
      <c r="D222" s="2"/>
      <c r="E222" s="2"/>
      <c r="F222" s="2"/>
      <c r="G222" s="2"/>
    </row>
    <row r="223" spans="3:7" x14ac:dyDescent="0.25">
      <c r="C223" s="2"/>
      <c r="D223" s="2"/>
      <c r="E223" s="2"/>
      <c r="F223" s="2"/>
      <c r="G223" s="2"/>
    </row>
    <row r="224" spans="3:7" x14ac:dyDescent="0.25">
      <c r="C224" s="2"/>
      <c r="D224" s="2"/>
      <c r="E224" s="2"/>
      <c r="F224" s="2"/>
      <c r="G224" s="2"/>
    </row>
    <row r="225" spans="3:7" x14ac:dyDescent="0.25">
      <c r="C225" s="2"/>
      <c r="D225" s="2"/>
      <c r="E225" s="2"/>
      <c r="F225" s="2"/>
      <c r="G225" s="2"/>
    </row>
    <row r="226" spans="3:7" x14ac:dyDescent="0.25">
      <c r="C226" s="2"/>
      <c r="D226" s="2"/>
      <c r="E226" s="2"/>
      <c r="F226" s="2"/>
      <c r="G226" s="2"/>
    </row>
    <row r="227" spans="3:7" x14ac:dyDescent="0.25">
      <c r="C227" s="2"/>
      <c r="D227" s="2"/>
      <c r="E227" s="2"/>
      <c r="F227" s="2"/>
      <c r="G227" s="2"/>
    </row>
    <row r="228" spans="3:7" x14ac:dyDescent="0.25">
      <c r="C228" s="2"/>
      <c r="D228" s="2"/>
      <c r="E228" s="2"/>
      <c r="F228" s="2"/>
      <c r="G228" s="2"/>
    </row>
    <row r="229" spans="3:7" x14ac:dyDescent="0.25">
      <c r="C229" s="2"/>
      <c r="D229" s="2"/>
      <c r="E229" s="2"/>
      <c r="F229" s="2"/>
      <c r="G229" s="2"/>
    </row>
    <row r="230" spans="3:7" x14ac:dyDescent="0.25">
      <c r="C230" s="2"/>
      <c r="D230" s="2"/>
      <c r="E230" s="2"/>
      <c r="F230" s="2"/>
      <c r="G230" s="2"/>
    </row>
    <row r="231" spans="3:7" x14ac:dyDescent="0.25">
      <c r="C231" s="2"/>
      <c r="D231" s="2"/>
      <c r="E231" s="2"/>
      <c r="F231" s="2"/>
      <c r="G231" s="2"/>
    </row>
    <row r="232" spans="3:7" x14ac:dyDescent="0.25">
      <c r="C232" s="2"/>
      <c r="D232" s="2"/>
      <c r="E232" s="2"/>
      <c r="F232" s="2"/>
      <c r="G232" s="2"/>
    </row>
    <row r="233" spans="3:7" x14ac:dyDescent="0.25">
      <c r="C233" s="2"/>
      <c r="D233" s="2"/>
      <c r="E233" s="2"/>
      <c r="F233" s="2"/>
      <c r="G233" s="2"/>
    </row>
    <row r="234" spans="3:7" x14ac:dyDescent="0.25">
      <c r="C234" s="2"/>
      <c r="D234" s="2"/>
      <c r="E234" s="2"/>
      <c r="F234" s="2"/>
      <c r="G234" s="2"/>
    </row>
    <row r="235" spans="3:7" x14ac:dyDescent="0.25">
      <c r="C235" s="2"/>
      <c r="D235" s="2"/>
      <c r="E235" s="2"/>
      <c r="F235" s="2"/>
      <c r="G235" s="2"/>
    </row>
    <row r="236" spans="3:7" x14ac:dyDescent="0.25">
      <c r="C236" s="2"/>
      <c r="D236" s="2"/>
      <c r="E236" s="2"/>
      <c r="F236" s="2"/>
      <c r="G236" s="2"/>
    </row>
    <row r="237" spans="3:7" x14ac:dyDescent="0.25">
      <c r="E237" s="2"/>
      <c r="F237" s="2"/>
    </row>
    <row r="238" spans="3:7" x14ac:dyDescent="0.25">
      <c r="E238" s="2"/>
      <c r="F238" s="2"/>
    </row>
    <row r="239" spans="3:7" x14ac:dyDescent="0.25">
      <c r="E239" s="2"/>
      <c r="F239" s="2"/>
    </row>
    <row r="240" spans="3:7" x14ac:dyDescent="0.25">
      <c r="E240" s="2"/>
      <c r="F240" s="2"/>
    </row>
    <row r="241" spans="5:6" x14ac:dyDescent="0.25">
      <c r="E241" s="2"/>
      <c r="F241" s="2"/>
    </row>
    <row r="242" spans="5:6" x14ac:dyDescent="0.25">
      <c r="E242" s="2"/>
      <c r="F242" s="2"/>
    </row>
    <row r="243" spans="5:6" x14ac:dyDescent="0.25">
      <c r="E243" s="2"/>
      <c r="F243" s="2"/>
    </row>
    <row r="244" spans="5:6" x14ac:dyDescent="0.25">
      <c r="E244" s="2"/>
      <c r="F244" s="2"/>
    </row>
    <row r="245" spans="5:6" x14ac:dyDescent="0.25">
      <c r="E245" s="2"/>
      <c r="F245" s="2"/>
    </row>
    <row r="246" spans="5:6" x14ac:dyDescent="0.25">
      <c r="E246" s="2"/>
      <c r="F246" s="2"/>
    </row>
    <row r="247" spans="5:6" x14ac:dyDescent="0.25">
      <c r="E247" s="2"/>
      <c r="F247" s="2"/>
    </row>
    <row r="248" spans="5:6" x14ac:dyDescent="0.25">
      <c r="E248" s="2"/>
      <c r="F248" s="2"/>
    </row>
    <row r="249" spans="5:6" x14ac:dyDescent="0.25">
      <c r="E249" s="2"/>
      <c r="F249" s="2"/>
    </row>
    <row r="250" spans="5:6" x14ac:dyDescent="0.25">
      <c r="E250" s="2"/>
      <c r="F250" s="2"/>
    </row>
    <row r="251" spans="5:6" x14ac:dyDescent="0.25">
      <c r="E251" s="2"/>
      <c r="F251" s="2"/>
    </row>
    <row r="252" spans="5:6" x14ac:dyDescent="0.25">
      <c r="E252" s="2"/>
      <c r="F252" s="2"/>
    </row>
    <row r="253" spans="5:6" x14ac:dyDescent="0.25">
      <c r="E253" s="2"/>
      <c r="F253" s="2"/>
    </row>
    <row r="254" spans="5:6" x14ac:dyDescent="0.25">
      <c r="E254" s="2"/>
      <c r="F254" s="2"/>
    </row>
    <row r="255" spans="5:6" x14ac:dyDescent="0.25">
      <c r="E255" s="2"/>
      <c r="F255" s="2"/>
    </row>
    <row r="256" spans="5:6" x14ac:dyDescent="0.25">
      <c r="E256" s="2"/>
      <c r="F256" s="2"/>
    </row>
    <row r="257" spans="5:6" x14ac:dyDescent="0.25">
      <c r="E257" s="2"/>
      <c r="F257" s="2"/>
    </row>
    <row r="258" spans="5:6" x14ac:dyDescent="0.25">
      <c r="E258" s="2"/>
      <c r="F258" s="2"/>
    </row>
    <row r="259" spans="5:6" x14ac:dyDescent="0.25">
      <c r="E259" s="2"/>
      <c r="F259" s="2"/>
    </row>
    <row r="260" spans="5:6" x14ac:dyDescent="0.25">
      <c r="E260" s="2"/>
      <c r="F260" s="2"/>
    </row>
    <row r="261" spans="5:6" x14ac:dyDescent="0.25">
      <c r="E261" s="2"/>
      <c r="F261" s="2"/>
    </row>
    <row r="262" spans="5:6" x14ac:dyDescent="0.25">
      <c r="E262" s="2"/>
      <c r="F262" s="2"/>
    </row>
    <row r="263" spans="5:6" x14ac:dyDescent="0.25">
      <c r="E263" s="2"/>
      <c r="F263" s="2"/>
    </row>
    <row r="264" spans="5:6" x14ac:dyDescent="0.25">
      <c r="E264" s="2"/>
      <c r="F264" s="2"/>
    </row>
    <row r="265" spans="5:6" x14ac:dyDescent="0.25">
      <c r="E265" s="2"/>
      <c r="F265" s="2"/>
    </row>
    <row r="266" spans="5:6" x14ac:dyDescent="0.25">
      <c r="E266" s="2"/>
      <c r="F266" s="2"/>
    </row>
    <row r="267" spans="5:6" x14ac:dyDescent="0.25">
      <c r="E267" s="2"/>
      <c r="F267" s="2"/>
    </row>
    <row r="268" spans="5:6" x14ac:dyDescent="0.25">
      <c r="E268" s="2"/>
      <c r="F268" s="2"/>
    </row>
    <row r="269" spans="5:6" x14ac:dyDescent="0.25">
      <c r="E269" s="2"/>
      <c r="F269" s="2"/>
    </row>
    <row r="270" spans="5:6" x14ac:dyDescent="0.25">
      <c r="E270" s="2"/>
      <c r="F270" s="2"/>
    </row>
    <row r="271" spans="5:6" x14ac:dyDescent="0.25">
      <c r="E271" s="2"/>
      <c r="F271" s="2"/>
    </row>
    <row r="272" spans="5:6" x14ac:dyDescent="0.25">
      <c r="E272" s="2"/>
      <c r="F272" s="2"/>
    </row>
    <row r="273" spans="5:6" x14ac:dyDescent="0.25">
      <c r="E273" s="2"/>
      <c r="F273" s="2"/>
    </row>
    <row r="274" spans="5:6" x14ac:dyDescent="0.25">
      <c r="E274" s="2"/>
      <c r="F274" s="2"/>
    </row>
    <row r="275" spans="5:6" x14ac:dyDescent="0.25">
      <c r="E275" s="2"/>
      <c r="F275" s="2"/>
    </row>
    <row r="276" spans="5:6" x14ac:dyDescent="0.25">
      <c r="E276" s="2"/>
      <c r="F276" s="2"/>
    </row>
    <row r="277" spans="5:6" x14ac:dyDescent="0.25">
      <c r="E277" s="2"/>
      <c r="F277" s="2"/>
    </row>
    <row r="278" spans="5:6" x14ac:dyDescent="0.25">
      <c r="E278" s="2"/>
      <c r="F278" s="2"/>
    </row>
    <row r="279" spans="5:6" x14ac:dyDescent="0.25">
      <c r="E279" s="2"/>
      <c r="F279" s="2"/>
    </row>
    <row r="280" spans="5:6" x14ac:dyDescent="0.25">
      <c r="E280" s="2"/>
      <c r="F280" s="2"/>
    </row>
    <row r="281" spans="5:6" x14ac:dyDescent="0.25">
      <c r="E281" s="2"/>
      <c r="F281" s="2"/>
    </row>
    <row r="282" spans="5:6" x14ac:dyDescent="0.25">
      <c r="E282" s="2"/>
      <c r="F282" s="2"/>
    </row>
    <row r="283" spans="5:6" x14ac:dyDescent="0.25">
      <c r="E283" s="2"/>
      <c r="F283" s="2"/>
    </row>
    <row r="284" spans="5:6" x14ac:dyDescent="0.25">
      <c r="E284" s="2"/>
      <c r="F284" s="2"/>
    </row>
    <row r="285" spans="5:6" x14ac:dyDescent="0.25">
      <c r="E285" s="2"/>
      <c r="F285" s="2"/>
    </row>
    <row r="286" spans="5:6" x14ac:dyDescent="0.25">
      <c r="E286" s="2"/>
      <c r="F286" s="2"/>
    </row>
    <row r="287" spans="5:6" x14ac:dyDescent="0.25">
      <c r="E287" s="2"/>
      <c r="F287" s="2"/>
    </row>
    <row r="288" spans="5:6" x14ac:dyDescent="0.25">
      <c r="E288" s="2"/>
      <c r="F288" s="2"/>
    </row>
    <row r="289" spans="5:6" x14ac:dyDescent="0.25">
      <c r="E289" s="2"/>
      <c r="F289" s="2"/>
    </row>
    <row r="290" spans="5:6" x14ac:dyDescent="0.25">
      <c r="E290" s="2"/>
      <c r="F290" s="2"/>
    </row>
    <row r="291" spans="5:6" x14ac:dyDescent="0.25">
      <c r="E291" s="2"/>
      <c r="F291" s="2"/>
    </row>
    <row r="292" spans="5:6" x14ac:dyDescent="0.25">
      <c r="E292" s="2"/>
      <c r="F292" s="2"/>
    </row>
    <row r="293" spans="5:6" x14ac:dyDescent="0.25">
      <c r="E293" s="2"/>
      <c r="F293" s="2"/>
    </row>
    <row r="294" spans="5:6" x14ac:dyDescent="0.25">
      <c r="E294" s="2"/>
      <c r="F294" s="2"/>
    </row>
    <row r="295" spans="5:6" x14ac:dyDescent="0.25">
      <c r="E295" s="2"/>
      <c r="F295" s="2"/>
    </row>
    <row r="296" spans="5:6" x14ac:dyDescent="0.25">
      <c r="E296" s="2"/>
      <c r="F296" s="2"/>
    </row>
    <row r="297" spans="5:6" x14ac:dyDescent="0.25">
      <c r="E297" s="2"/>
      <c r="F297" s="2"/>
    </row>
    <row r="298" spans="5:6" x14ac:dyDescent="0.25">
      <c r="E298" s="2"/>
      <c r="F298" s="2"/>
    </row>
    <row r="299" spans="5:6" x14ac:dyDescent="0.25">
      <c r="E299" s="2"/>
      <c r="F299" s="2"/>
    </row>
    <row r="300" spans="5:6" x14ac:dyDescent="0.25">
      <c r="E300" s="2"/>
      <c r="F300" s="2"/>
    </row>
    <row r="301" spans="5:6" x14ac:dyDescent="0.25">
      <c r="E301" s="2"/>
      <c r="F301" s="2"/>
    </row>
    <row r="302" spans="5:6" x14ac:dyDescent="0.25">
      <c r="E302" s="2"/>
      <c r="F302" s="2"/>
    </row>
    <row r="303" spans="5:6" x14ac:dyDescent="0.25">
      <c r="E303" s="2"/>
      <c r="F303" s="2"/>
    </row>
    <row r="304" spans="5:6" x14ac:dyDescent="0.25">
      <c r="E304" s="2"/>
      <c r="F304" s="2"/>
    </row>
    <row r="305" spans="5:6" x14ac:dyDescent="0.25">
      <c r="E305" s="2"/>
      <c r="F305" s="2"/>
    </row>
    <row r="306" spans="5:6" x14ac:dyDescent="0.25">
      <c r="E306" s="2"/>
      <c r="F306" s="2"/>
    </row>
    <row r="307" spans="5:6" x14ac:dyDescent="0.25">
      <c r="E307" s="2"/>
      <c r="F307" s="2"/>
    </row>
    <row r="308" spans="5:6" x14ac:dyDescent="0.25">
      <c r="E308" s="2"/>
      <c r="F308" s="2"/>
    </row>
    <row r="309" spans="5:6" x14ac:dyDescent="0.25">
      <c r="E309" s="2"/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1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61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65" t="s">
        <v>34</v>
      </c>
      <c r="C1" s="65" t="s">
        <v>36</v>
      </c>
      <c r="D1" s="65" t="s">
        <v>37</v>
      </c>
      <c r="E1" s="65" t="s">
        <v>35</v>
      </c>
      <c r="F1" s="65" t="s">
        <v>43</v>
      </c>
      <c r="G1" s="65" t="s">
        <v>38</v>
      </c>
      <c r="H1" s="65" t="s">
        <v>171</v>
      </c>
      <c r="I1" s="66" t="s">
        <v>172</v>
      </c>
      <c r="J1" s="65" t="s">
        <v>35</v>
      </c>
      <c r="K1" s="65" t="s">
        <v>169</v>
      </c>
      <c r="L1" s="65" t="s">
        <v>170</v>
      </c>
      <c r="M1" s="65"/>
      <c r="Q1" s="151" t="s">
        <v>44</v>
      </c>
      <c r="R1" s="152"/>
      <c r="U1" s="149" t="s">
        <v>104</v>
      </c>
      <c r="V1" s="150"/>
      <c r="W1" s="150"/>
      <c r="X1" s="150"/>
      <c r="Y1" s="150"/>
      <c r="Z1" s="150"/>
    </row>
    <row r="2" spans="1:26" ht="25.5" x14ac:dyDescent="0.25">
      <c r="A2" s="148" t="s">
        <v>103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Q2" s="115" t="s">
        <v>106</v>
      </c>
      <c r="R2" s="115" t="s">
        <v>2</v>
      </c>
      <c r="U2" s="58" t="s">
        <v>105</v>
      </c>
      <c r="V2" s="62" t="s">
        <v>5</v>
      </c>
      <c r="W2" s="62" t="s">
        <v>4</v>
      </c>
      <c r="X2" s="64" t="s">
        <v>1</v>
      </c>
      <c r="Y2" s="62" t="s">
        <v>2</v>
      </c>
      <c r="Z2" s="62" t="s">
        <v>27</v>
      </c>
    </row>
    <row r="3" spans="1:26" ht="25.5" x14ac:dyDescent="0.25">
      <c r="A3" s="58" t="s">
        <v>105</v>
      </c>
      <c r="B3" s="58" t="s">
        <v>115</v>
      </c>
      <c r="C3" s="58" t="s">
        <v>10</v>
      </c>
      <c r="D3" s="58" t="s">
        <v>107</v>
      </c>
      <c r="E3" s="58" t="s">
        <v>18</v>
      </c>
      <c r="F3" s="58" t="s">
        <v>113</v>
      </c>
      <c r="G3" s="58" t="s">
        <v>7</v>
      </c>
      <c r="H3" s="58" t="s">
        <v>5</v>
      </c>
      <c r="I3" s="59" t="s">
        <v>1</v>
      </c>
      <c r="J3" s="58" t="s">
        <v>4</v>
      </c>
      <c r="K3" s="58" t="s">
        <v>23</v>
      </c>
      <c r="L3" s="58" t="s">
        <v>2</v>
      </c>
      <c r="M3" s="58" t="s">
        <v>27</v>
      </c>
      <c r="Q3" s="63">
        <f ca="1">IF(Invoice!B18="","&lt;&gt;",Invoice!B18)</f>
        <v>2</v>
      </c>
      <c r="R3" s="63" t="str">
        <f>IF(Invoice!B16=TRUE,"&lt;&gt;","No")</f>
        <v>&lt;&gt;</v>
      </c>
      <c r="U3" s="2">
        <v>4</v>
      </c>
      <c r="V3" s="23">
        <v>45142</v>
      </c>
      <c r="W3" t="s">
        <v>134</v>
      </c>
      <c r="X3" s="93">
        <v>6</v>
      </c>
      <c r="Y3" s="2" t="s">
        <v>3</v>
      </c>
      <c r="Z3" s="2">
        <v>7</v>
      </c>
    </row>
    <row r="4" spans="1:26" x14ac:dyDescent="0.25">
      <c r="A4" s="2">
        <v>1</v>
      </c>
      <c r="B4" s="2">
        <v>1</v>
      </c>
      <c r="C4" t="s">
        <v>91</v>
      </c>
      <c r="D4" s="2">
        <v>1</v>
      </c>
      <c r="E4" t="s">
        <v>130</v>
      </c>
      <c r="F4" s="2">
        <v>1</v>
      </c>
      <c r="G4" t="s">
        <v>139</v>
      </c>
      <c r="H4" s="23">
        <v>45139</v>
      </c>
      <c r="I4" s="92">
        <v>5</v>
      </c>
      <c r="J4" t="s">
        <v>181</v>
      </c>
      <c r="K4" s="67">
        <v>10</v>
      </c>
      <c r="L4" s="16" t="s">
        <v>3</v>
      </c>
      <c r="M4" s="2">
        <f>ROW()</f>
        <v>4</v>
      </c>
      <c r="U4" s="2">
        <v>6</v>
      </c>
      <c r="V4" s="23">
        <v>45144</v>
      </c>
      <c r="W4" t="s">
        <v>133</v>
      </c>
      <c r="X4" s="93">
        <v>20</v>
      </c>
      <c r="Y4" s="2" t="s">
        <v>3</v>
      </c>
      <c r="Z4" s="2">
        <v>9</v>
      </c>
    </row>
    <row r="5" spans="1:26" x14ac:dyDescent="0.25">
      <c r="A5" s="2">
        <v>2</v>
      </c>
      <c r="B5" s="2">
        <v>1</v>
      </c>
      <c r="C5" t="s">
        <v>91</v>
      </c>
      <c r="D5" s="2">
        <v>1</v>
      </c>
      <c r="E5" t="s">
        <v>130</v>
      </c>
      <c r="F5" s="2">
        <v>2</v>
      </c>
      <c r="G5" t="s">
        <v>140</v>
      </c>
      <c r="H5" s="23">
        <v>45140</v>
      </c>
      <c r="I5" s="93">
        <v>5</v>
      </c>
      <c r="J5" t="s">
        <v>182</v>
      </c>
      <c r="K5" s="67">
        <v>20</v>
      </c>
      <c r="L5" s="2" t="s">
        <v>3</v>
      </c>
      <c r="M5" s="2">
        <f>ROW()</f>
        <v>5</v>
      </c>
      <c r="U5" s="2">
        <v>13</v>
      </c>
      <c r="V5" s="23">
        <v>45151</v>
      </c>
      <c r="W5" t="s">
        <v>134</v>
      </c>
      <c r="X5" s="93">
        <v>16</v>
      </c>
      <c r="Y5" s="2" t="s">
        <v>3</v>
      </c>
      <c r="Z5" s="2">
        <v>16</v>
      </c>
    </row>
    <row r="6" spans="1:26" x14ac:dyDescent="0.25">
      <c r="A6" s="2">
        <v>3</v>
      </c>
      <c r="B6" s="2">
        <v>1</v>
      </c>
      <c r="C6" t="s">
        <v>91</v>
      </c>
      <c r="D6" s="2">
        <v>1</v>
      </c>
      <c r="E6" t="s">
        <v>130</v>
      </c>
      <c r="F6" s="2">
        <v>3</v>
      </c>
      <c r="G6" t="s">
        <v>141</v>
      </c>
      <c r="H6" s="23">
        <v>45141</v>
      </c>
      <c r="I6" s="93">
        <v>6</v>
      </c>
      <c r="J6" t="s">
        <v>183</v>
      </c>
      <c r="K6" s="67">
        <v>30</v>
      </c>
      <c r="L6" s="2" t="s">
        <v>3</v>
      </c>
      <c r="M6" s="2">
        <f>ROW()</f>
        <v>6</v>
      </c>
      <c r="U6" s="2">
        <v>15</v>
      </c>
      <c r="V6" s="23">
        <v>45153</v>
      </c>
      <c r="W6" t="s">
        <v>133</v>
      </c>
      <c r="X6" s="93">
        <v>10</v>
      </c>
      <c r="Y6" s="2" t="s">
        <v>3</v>
      </c>
      <c r="Z6" s="2">
        <v>18</v>
      </c>
    </row>
    <row r="7" spans="1:26" x14ac:dyDescent="0.25">
      <c r="A7" s="2">
        <v>4</v>
      </c>
      <c r="B7" s="2">
        <v>2</v>
      </c>
      <c r="C7" t="s">
        <v>98</v>
      </c>
      <c r="D7" s="2">
        <v>2</v>
      </c>
      <c r="E7" t="s">
        <v>131</v>
      </c>
      <c r="F7" s="2">
        <v>4</v>
      </c>
      <c r="G7" t="s">
        <v>142</v>
      </c>
      <c r="H7" s="23">
        <v>45142</v>
      </c>
      <c r="I7" s="93">
        <v>6</v>
      </c>
      <c r="J7" t="s">
        <v>184</v>
      </c>
      <c r="K7" s="67">
        <v>40</v>
      </c>
      <c r="L7" s="2" t="s">
        <v>3</v>
      </c>
      <c r="M7" s="2">
        <f>ROW()</f>
        <v>7</v>
      </c>
      <c r="U7" s="2">
        <v>16</v>
      </c>
      <c r="V7" s="23">
        <v>45154</v>
      </c>
      <c r="W7" t="s">
        <v>134</v>
      </c>
      <c r="X7" s="93">
        <v>26</v>
      </c>
      <c r="Y7" s="2" t="s">
        <v>3</v>
      </c>
      <c r="Z7" s="2">
        <v>19</v>
      </c>
    </row>
    <row r="8" spans="1:26" x14ac:dyDescent="0.25">
      <c r="A8" s="2">
        <v>5</v>
      </c>
      <c r="B8" s="2">
        <v>3</v>
      </c>
      <c r="C8" t="s">
        <v>124</v>
      </c>
      <c r="D8" s="2">
        <v>3</v>
      </c>
      <c r="E8" t="s">
        <v>132</v>
      </c>
      <c r="F8" s="2">
        <v>5</v>
      </c>
      <c r="G8" t="s">
        <v>143</v>
      </c>
      <c r="H8" s="23">
        <v>45143</v>
      </c>
      <c r="I8" s="93">
        <v>20</v>
      </c>
      <c r="J8" t="s">
        <v>185</v>
      </c>
      <c r="K8" s="67">
        <v>50</v>
      </c>
      <c r="L8" s="2" t="s">
        <v>3</v>
      </c>
      <c r="M8" s="2">
        <f>ROW()</f>
        <v>8</v>
      </c>
      <c r="U8" s="2">
        <v>18</v>
      </c>
      <c r="V8" s="23">
        <v>45156</v>
      </c>
      <c r="W8" t="s">
        <v>133</v>
      </c>
      <c r="X8" s="93">
        <v>5</v>
      </c>
      <c r="Y8" s="16" t="s">
        <v>3</v>
      </c>
      <c r="Z8" s="2">
        <v>21</v>
      </c>
    </row>
    <row r="9" spans="1:26" x14ac:dyDescent="0.25">
      <c r="A9" s="2">
        <v>6</v>
      </c>
      <c r="B9" s="2">
        <v>2</v>
      </c>
      <c r="C9" t="s">
        <v>98</v>
      </c>
      <c r="D9" s="2">
        <v>2</v>
      </c>
      <c r="E9" t="s">
        <v>131</v>
      </c>
      <c r="F9" s="2">
        <v>3</v>
      </c>
      <c r="G9" t="s">
        <v>144</v>
      </c>
      <c r="H9" s="23">
        <v>45144</v>
      </c>
      <c r="I9" s="93">
        <v>20</v>
      </c>
      <c r="J9" t="s">
        <v>183</v>
      </c>
      <c r="K9" s="67">
        <v>30</v>
      </c>
      <c r="L9" s="2" t="s">
        <v>3</v>
      </c>
      <c r="M9" s="2">
        <f>ROW()</f>
        <v>9</v>
      </c>
      <c r="U9" s="2">
        <v>28</v>
      </c>
      <c r="V9" s="23">
        <v>45175</v>
      </c>
      <c r="W9" t="s">
        <v>133</v>
      </c>
      <c r="X9" s="93">
        <v>10</v>
      </c>
      <c r="Y9" s="2" t="s">
        <v>3</v>
      </c>
      <c r="Z9" s="2">
        <v>31</v>
      </c>
    </row>
    <row r="10" spans="1:26" x14ac:dyDescent="0.25">
      <c r="A10" s="2">
        <v>7</v>
      </c>
      <c r="B10" s="2">
        <v>1</v>
      </c>
      <c r="C10" t="s">
        <v>91</v>
      </c>
      <c r="D10" s="2">
        <v>1</v>
      </c>
      <c r="E10" t="s">
        <v>130</v>
      </c>
      <c r="F10" s="2">
        <v>4</v>
      </c>
      <c r="G10" t="s">
        <v>145</v>
      </c>
      <c r="H10" s="23">
        <v>45145</v>
      </c>
      <c r="I10" s="93">
        <v>12</v>
      </c>
      <c r="J10" t="s">
        <v>184</v>
      </c>
      <c r="K10" s="67">
        <v>40</v>
      </c>
      <c r="L10" s="2" t="s">
        <v>3</v>
      </c>
      <c r="M10" s="2">
        <f>ROW()</f>
        <v>10</v>
      </c>
      <c r="U10" s="2">
        <v>29</v>
      </c>
      <c r="V10" s="23">
        <v>45173</v>
      </c>
      <c r="W10" t="s">
        <v>134</v>
      </c>
      <c r="X10" s="93">
        <v>26</v>
      </c>
      <c r="Y10" s="2" t="s">
        <v>3</v>
      </c>
      <c r="Z10" s="2">
        <v>32</v>
      </c>
    </row>
    <row r="11" spans="1:26" x14ac:dyDescent="0.25">
      <c r="A11" s="2">
        <v>8</v>
      </c>
      <c r="B11" s="2">
        <v>1</v>
      </c>
      <c r="C11" t="s">
        <v>91</v>
      </c>
      <c r="D11" s="2">
        <v>1</v>
      </c>
      <c r="E11" t="s">
        <v>130</v>
      </c>
      <c r="F11" s="2">
        <v>5</v>
      </c>
      <c r="G11" t="s">
        <v>146</v>
      </c>
      <c r="H11" s="23">
        <v>45146</v>
      </c>
      <c r="I11" s="93">
        <v>2</v>
      </c>
      <c r="J11" t="s">
        <v>185</v>
      </c>
      <c r="K11" s="67">
        <v>50</v>
      </c>
      <c r="L11" s="2" t="s">
        <v>3</v>
      </c>
      <c r="M11" s="2">
        <f>ROW()</f>
        <v>11</v>
      </c>
      <c r="U11" s="2">
        <v>30</v>
      </c>
      <c r="V11" s="23">
        <v>45175</v>
      </c>
      <c r="W11" t="s">
        <v>133</v>
      </c>
      <c r="X11" s="93">
        <v>5</v>
      </c>
      <c r="Y11" s="2" t="s">
        <v>3</v>
      </c>
      <c r="Z11" s="2">
        <v>33</v>
      </c>
    </row>
    <row r="12" spans="1:26" x14ac:dyDescent="0.25">
      <c r="A12" s="2">
        <v>9</v>
      </c>
      <c r="B12" s="2">
        <v>1</v>
      </c>
      <c r="C12" t="s">
        <v>91</v>
      </c>
      <c r="D12" s="2">
        <v>1</v>
      </c>
      <c r="E12" t="s">
        <v>130</v>
      </c>
      <c r="F12" s="2">
        <v>6</v>
      </c>
      <c r="G12" t="s">
        <v>147</v>
      </c>
      <c r="H12" s="23">
        <v>45147</v>
      </c>
      <c r="I12" s="93">
        <v>8</v>
      </c>
      <c r="J12" t="s">
        <v>186</v>
      </c>
      <c r="K12" s="67">
        <v>60</v>
      </c>
      <c r="L12" s="2" t="s">
        <v>3</v>
      </c>
      <c r="M12" s="2">
        <f>ROW()</f>
        <v>12</v>
      </c>
      <c r="U12" s="2"/>
      <c r="V12" s="23"/>
      <c r="X12" s="93"/>
    </row>
    <row r="13" spans="1:26" x14ac:dyDescent="0.25">
      <c r="A13" s="2">
        <v>10</v>
      </c>
      <c r="B13" s="2">
        <v>1</v>
      </c>
      <c r="C13" t="s">
        <v>91</v>
      </c>
      <c r="D13" s="2">
        <v>1</v>
      </c>
      <c r="E13" t="s">
        <v>130</v>
      </c>
      <c r="F13" s="2">
        <v>7</v>
      </c>
      <c r="G13" t="s">
        <v>148</v>
      </c>
      <c r="H13" s="23">
        <v>45148</v>
      </c>
      <c r="I13" s="93">
        <v>7</v>
      </c>
      <c r="J13" t="s">
        <v>187</v>
      </c>
      <c r="K13" s="67">
        <v>70</v>
      </c>
      <c r="L13" s="2" t="s">
        <v>3</v>
      </c>
      <c r="M13" s="2">
        <f>ROW()</f>
        <v>13</v>
      </c>
      <c r="U13" s="2"/>
      <c r="V13" s="23"/>
      <c r="X13" s="93"/>
    </row>
    <row r="14" spans="1:26" x14ac:dyDescent="0.25">
      <c r="A14" s="2">
        <v>11</v>
      </c>
      <c r="B14" s="2">
        <v>1</v>
      </c>
      <c r="C14" t="s">
        <v>91</v>
      </c>
      <c r="D14" s="2">
        <v>1</v>
      </c>
      <c r="E14" t="s">
        <v>130</v>
      </c>
      <c r="F14" s="2">
        <v>8</v>
      </c>
      <c r="G14" t="s">
        <v>149</v>
      </c>
      <c r="H14" s="23">
        <v>45149</v>
      </c>
      <c r="I14" s="93">
        <v>6</v>
      </c>
      <c r="J14" t="s">
        <v>188</v>
      </c>
      <c r="K14" s="67">
        <v>80</v>
      </c>
      <c r="L14" s="2" t="s">
        <v>3</v>
      </c>
      <c r="M14" s="2">
        <f>ROW()</f>
        <v>14</v>
      </c>
      <c r="U14" s="2"/>
      <c r="V14" s="23"/>
      <c r="X14" s="93"/>
    </row>
    <row r="15" spans="1:26" x14ac:dyDescent="0.25">
      <c r="A15" s="2">
        <v>12</v>
      </c>
      <c r="B15" s="2">
        <v>1</v>
      </c>
      <c r="C15" t="s">
        <v>91</v>
      </c>
      <c r="D15" s="2">
        <v>1</v>
      </c>
      <c r="E15" t="s">
        <v>130</v>
      </c>
      <c r="F15" s="2">
        <v>9</v>
      </c>
      <c r="G15" t="s">
        <v>150</v>
      </c>
      <c r="H15" s="23">
        <v>45150</v>
      </c>
      <c r="I15" s="93">
        <v>10</v>
      </c>
      <c r="J15" t="s">
        <v>189</v>
      </c>
      <c r="K15" s="67">
        <v>90</v>
      </c>
      <c r="L15" s="2" t="s">
        <v>3</v>
      </c>
      <c r="M15" s="2">
        <f>ROW()</f>
        <v>15</v>
      </c>
      <c r="U15" s="2"/>
      <c r="V15" s="23"/>
      <c r="X15" s="93"/>
    </row>
    <row r="16" spans="1:26" x14ac:dyDescent="0.25">
      <c r="A16" s="2">
        <v>13</v>
      </c>
      <c r="B16" s="112">
        <v>2</v>
      </c>
      <c r="C16" s="113" t="s">
        <v>98</v>
      </c>
      <c r="D16" s="2">
        <v>2</v>
      </c>
      <c r="E16" t="s">
        <v>131</v>
      </c>
      <c r="F16" s="2">
        <v>4</v>
      </c>
      <c r="G16" t="s">
        <v>151</v>
      </c>
      <c r="H16" s="23">
        <v>45151</v>
      </c>
      <c r="I16" s="93">
        <v>16</v>
      </c>
      <c r="J16" t="s">
        <v>184</v>
      </c>
      <c r="K16" s="67">
        <v>40</v>
      </c>
      <c r="L16" s="2" t="s">
        <v>3</v>
      </c>
      <c r="M16" s="2">
        <f>ROW()</f>
        <v>16</v>
      </c>
      <c r="U16" s="2"/>
      <c r="V16" s="23"/>
      <c r="X16" s="93"/>
    </row>
    <row r="17" spans="1:22" x14ac:dyDescent="0.25">
      <c r="A17" s="2">
        <v>14</v>
      </c>
      <c r="B17" s="2">
        <v>3</v>
      </c>
      <c r="C17" t="s">
        <v>124</v>
      </c>
      <c r="D17" s="2">
        <v>3</v>
      </c>
      <c r="E17" t="s">
        <v>132</v>
      </c>
      <c r="F17" s="2">
        <v>5</v>
      </c>
      <c r="G17" t="s">
        <v>152</v>
      </c>
      <c r="H17" s="23">
        <v>45152</v>
      </c>
      <c r="I17" s="93">
        <v>8</v>
      </c>
      <c r="J17" t="s">
        <v>185</v>
      </c>
      <c r="K17" s="67">
        <v>50</v>
      </c>
      <c r="L17" s="2" t="s">
        <v>3</v>
      </c>
      <c r="M17" s="2">
        <f>ROW()</f>
        <v>17</v>
      </c>
      <c r="U17" s="2"/>
      <c r="V17" s="23"/>
    </row>
    <row r="18" spans="1:22" x14ac:dyDescent="0.25">
      <c r="A18" s="2">
        <v>15</v>
      </c>
      <c r="B18" s="2">
        <v>2</v>
      </c>
      <c r="C18" t="s">
        <v>98</v>
      </c>
      <c r="D18" s="2">
        <v>2</v>
      </c>
      <c r="E18" t="s">
        <v>131</v>
      </c>
      <c r="F18" s="2">
        <v>3</v>
      </c>
      <c r="G18" t="s">
        <v>153</v>
      </c>
      <c r="H18" s="23">
        <v>45153</v>
      </c>
      <c r="I18" s="93">
        <v>10</v>
      </c>
      <c r="J18" t="s">
        <v>183</v>
      </c>
      <c r="K18" s="67">
        <v>30</v>
      </c>
      <c r="L18" s="2" t="s">
        <v>3</v>
      </c>
      <c r="M18" s="2">
        <f>ROW()</f>
        <v>18</v>
      </c>
      <c r="U18" s="2"/>
      <c r="V18" s="23"/>
    </row>
    <row r="19" spans="1:22" x14ac:dyDescent="0.25">
      <c r="A19" s="2">
        <v>16</v>
      </c>
      <c r="B19" s="2">
        <v>2</v>
      </c>
      <c r="C19" t="s">
        <v>98</v>
      </c>
      <c r="D19" s="2">
        <v>2</v>
      </c>
      <c r="E19" t="s">
        <v>131</v>
      </c>
      <c r="F19" s="2">
        <v>4</v>
      </c>
      <c r="G19" t="s">
        <v>154</v>
      </c>
      <c r="H19" s="23">
        <v>45154</v>
      </c>
      <c r="I19" s="93">
        <v>26</v>
      </c>
      <c r="J19" t="s">
        <v>184</v>
      </c>
      <c r="K19" s="67">
        <v>40</v>
      </c>
      <c r="L19" s="2" t="s">
        <v>3</v>
      </c>
      <c r="M19" s="2">
        <f>ROW()</f>
        <v>19</v>
      </c>
      <c r="U19" s="2"/>
      <c r="V19" s="23"/>
    </row>
    <row r="20" spans="1:22" x14ac:dyDescent="0.25">
      <c r="A20" s="2">
        <v>17</v>
      </c>
      <c r="B20" s="2">
        <v>3</v>
      </c>
      <c r="C20" t="s">
        <v>124</v>
      </c>
      <c r="D20" s="2">
        <v>3</v>
      </c>
      <c r="E20" t="s">
        <v>132</v>
      </c>
      <c r="F20" s="2">
        <v>5</v>
      </c>
      <c r="G20" t="s">
        <v>155</v>
      </c>
      <c r="H20" s="23">
        <v>45155</v>
      </c>
      <c r="I20" s="93">
        <v>14</v>
      </c>
      <c r="J20" t="s">
        <v>185</v>
      </c>
      <c r="K20" s="67">
        <v>50</v>
      </c>
      <c r="L20" s="2" t="s">
        <v>3</v>
      </c>
      <c r="M20" s="2">
        <f>ROW()</f>
        <v>20</v>
      </c>
      <c r="U20" s="2"/>
      <c r="V20" s="23"/>
    </row>
    <row r="21" spans="1:22" x14ac:dyDescent="0.25">
      <c r="A21" s="2">
        <v>18</v>
      </c>
      <c r="B21" s="2">
        <v>2</v>
      </c>
      <c r="C21" t="s">
        <v>98</v>
      </c>
      <c r="D21" s="2">
        <v>2</v>
      </c>
      <c r="E21" t="s">
        <v>131</v>
      </c>
      <c r="F21" s="2">
        <v>3</v>
      </c>
      <c r="G21" t="s">
        <v>156</v>
      </c>
      <c r="H21" s="23">
        <v>45156</v>
      </c>
      <c r="I21" s="93">
        <v>5</v>
      </c>
      <c r="J21" t="s">
        <v>183</v>
      </c>
      <c r="K21" s="67">
        <v>30</v>
      </c>
      <c r="L21" s="2" t="s">
        <v>3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91</v>
      </c>
      <c r="D22" s="2">
        <v>1</v>
      </c>
      <c r="E22" t="s">
        <v>130</v>
      </c>
      <c r="F22" s="2">
        <v>1</v>
      </c>
      <c r="G22" t="s">
        <v>157</v>
      </c>
      <c r="H22" s="23">
        <v>45170</v>
      </c>
      <c r="I22" s="92">
        <v>5</v>
      </c>
      <c r="J22" t="s">
        <v>181</v>
      </c>
      <c r="K22" s="67">
        <v>10</v>
      </c>
      <c r="L22" s="16" t="s">
        <v>3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91</v>
      </c>
      <c r="D23" s="2">
        <v>1</v>
      </c>
      <c r="E23" t="s">
        <v>130</v>
      </c>
      <c r="F23" s="2">
        <v>2</v>
      </c>
      <c r="G23" t="s">
        <v>158</v>
      </c>
      <c r="H23" s="23">
        <v>45171</v>
      </c>
      <c r="I23" s="93">
        <v>5</v>
      </c>
      <c r="J23" t="s">
        <v>182</v>
      </c>
      <c r="K23" s="67">
        <v>20</v>
      </c>
      <c r="L23" s="2" t="s">
        <v>3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91</v>
      </c>
      <c r="D24" s="2">
        <v>1</v>
      </c>
      <c r="E24" t="s">
        <v>130</v>
      </c>
      <c r="F24" s="2">
        <v>3</v>
      </c>
      <c r="G24" t="s">
        <v>159</v>
      </c>
      <c r="H24" s="23">
        <v>45172</v>
      </c>
      <c r="I24" s="93">
        <v>6</v>
      </c>
      <c r="J24" t="s">
        <v>183</v>
      </c>
      <c r="K24" s="67">
        <v>30</v>
      </c>
      <c r="L24" s="2" t="s">
        <v>3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91</v>
      </c>
      <c r="D25" s="2">
        <v>1</v>
      </c>
      <c r="E25" t="s">
        <v>130</v>
      </c>
      <c r="F25" s="2">
        <v>4</v>
      </c>
      <c r="G25" t="s">
        <v>160</v>
      </c>
      <c r="H25" s="23">
        <v>45176</v>
      </c>
      <c r="I25" s="93">
        <v>12</v>
      </c>
      <c r="J25" t="s">
        <v>184</v>
      </c>
      <c r="K25" s="67">
        <v>40</v>
      </c>
      <c r="L25" s="2" t="s">
        <v>3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91</v>
      </c>
      <c r="D26" s="2">
        <v>1</v>
      </c>
      <c r="E26" t="s">
        <v>130</v>
      </c>
      <c r="F26" s="2">
        <v>5</v>
      </c>
      <c r="G26" t="s">
        <v>161</v>
      </c>
      <c r="H26" s="23">
        <v>45177</v>
      </c>
      <c r="I26" s="93">
        <v>2</v>
      </c>
      <c r="J26" t="s">
        <v>185</v>
      </c>
      <c r="K26" s="67">
        <v>50</v>
      </c>
      <c r="L26" s="2" t="s">
        <v>3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91</v>
      </c>
      <c r="D27" s="2">
        <v>1</v>
      </c>
      <c r="E27" t="s">
        <v>130</v>
      </c>
      <c r="F27" s="2">
        <v>6</v>
      </c>
      <c r="G27" t="s">
        <v>162</v>
      </c>
      <c r="H27" s="23">
        <v>45178</v>
      </c>
      <c r="I27" s="93">
        <v>8</v>
      </c>
      <c r="J27" t="s">
        <v>186</v>
      </c>
      <c r="K27" s="67">
        <v>60</v>
      </c>
      <c r="L27" s="2" t="s">
        <v>3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91</v>
      </c>
      <c r="D28" s="2">
        <v>1</v>
      </c>
      <c r="E28" t="s">
        <v>130</v>
      </c>
      <c r="F28" s="2">
        <v>7</v>
      </c>
      <c r="G28" t="s">
        <v>163</v>
      </c>
      <c r="H28" s="23">
        <v>45179</v>
      </c>
      <c r="I28" s="93">
        <v>7</v>
      </c>
      <c r="J28" t="s">
        <v>187</v>
      </c>
      <c r="K28" s="67">
        <v>70</v>
      </c>
      <c r="L28" s="2" t="s">
        <v>3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91</v>
      </c>
      <c r="D29" s="2">
        <v>1</v>
      </c>
      <c r="E29" t="s">
        <v>130</v>
      </c>
      <c r="F29" s="2">
        <v>8</v>
      </c>
      <c r="G29" t="s">
        <v>164</v>
      </c>
      <c r="H29" s="23">
        <v>45180</v>
      </c>
      <c r="I29" s="93">
        <v>6</v>
      </c>
      <c r="J29" t="s">
        <v>188</v>
      </c>
      <c r="K29" s="67">
        <v>80</v>
      </c>
      <c r="L29" s="2" t="s">
        <v>3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91</v>
      </c>
      <c r="D30" s="2">
        <v>1</v>
      </c>
      <c r="E30" t="s">
        <v>130</v>
      </c>
      <c r="F30" s="2">
        <v>9</v>
      </c>
      <c r="G30" t="s">
        <v>165</v>
      </c>
      <c r="H30" s="23">
        <v>45181</v>
      </c>
      <c r="I30" s="93">
        <v>10</v>
      </c>
      <c r="J30" t="s">
        <v>189</v>
      </c>
      <c r="K30" s="67">
        <v>90</v>
      </c>
      <c r="L30" s="2" t="s">
        <v>3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98</v>
      </c>
      <c r="D31" s="2">
        <v>2</v>
      </c>
      <c r="E31" t="s">
        <v>131</v>
      </c>
      <c r="F31" s="2">
        <v>3</v>
      </c>
      <c r="G31" t="s">
        <v>166</v>
      </c>
      <c r="H31" s="23">
        <v>45175</v>
      </c>
      <c r="I31" s="93">
        <v>10</v>
      </c>
      <c r="J31" t="s">
        <v>183</v>
      </c>
      <c r="K31" s="67">
        <v>30</v>
      </c>
      <c r="L31" s="2" t="s">
        <v>3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98</v>
      </c>
      <c r="D32" s="2">
        <v>2</v>
      </c>
      <c r="E32" t="s">
        <v>131</v>
      </c>
      <c r="F32" s="2">
        <v>4</v>
      </c>
      <c r="G32" t="s">
        <v>167</v>
      </c>
      <c r="H32" s="23">
        <v>45173</v>
      </c>
      <c r="I32" s="93">
        <v>26</v>
      </c>
      <c r="J32" t="s">
        <v>184</v>
      </c>
      <c r="K32" s="67">
        <v>40</v>
      </c>
      <c r="L32" s="2" t="s">
        <v>3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98</v>
      </c>
      <c r="D33" s="2">
        <v>2</v>
      </c>
      <c r="E33" t="s">
        <v>131</v>
      </c>
      <c r="F33" s="2">
        <v>3</v>
      </c>
      <c r="G33" t="s">
        <v>168</v>
      </c>
      <c r="H33" s="23">
        <v>45175</v>
      </c>
      <c r="I33" s="93">
        <v>5</v>
      </c>
      <c r="J33" t="s">
        <v>183</v>
      </c>
      <c r="K33" s="67">
        <v>30</v>
      </c>
      <c r="L33" s="2" t="s">
        <v>3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60"/>
      <c r="U34" s="2"/>
    </row>
    <row r="35" spans="1:21" x14ac:dyDescent="0.25">
      <c r="A35" s="2"/>
      <c r="B35" s="2"/>
      <c r="D35" s="2"/>
      <c r="F35" s="2"/>
      <c r="I35" s="60"/>
      <c r="U35" s="2"/>
    </row>
    <row r="36" spans="1:21" x14ac:dyDescent="0.25">
      <c r="A36" s="2"/>
      <c r="B36" s="2"/>
      <c r="D36" s="2"/>
      <c r="F36" s="2"/>
      <c r="I36" s="60"/>
      <c r="U36" s="2"/>
    </row>
    <row r="37" spans="1:21" x14ac:dyDescent="0.25">
      <c r="A37" s="2"/>
      <c r="B37" s="2"/>
      <c r="D37" s="2"/>
      <c r="F37" s="2"/>
      <c r="I37" s="60"/>
      <c r="U37" s="2"/>
    </row>
    <row r="38" spans="1:21" x14ac:dyDescent="0.25">
      <c r="A38" s="2"/>
      <c r="B38" s="2"/>
      <c r="D38" s="2"/>
      <c r="F38" s="2"/>
      <c r="I38" s="60"/>
      <c r="U38" s="2"/>
    </row>
    <row r="39" spans="1:21" x14ac:dyDescent="0.25">
      <c r="A39" s="2"/>
      <c r="B39" s="2"/>
      <c r="D39" s="2"/>
      <c r="F39" s="2"/>
      <c r="I39" s="60"/>
      <c r="U39" s="2"/>
    </row>
    <row r="40" spans="1:21" x14ac:dyDescent="0.25">
      <c r="A40" s="2"/>
      <c r="B40" s="2"/>
      <c r="D40" s="2"/>
      <c r="F40" s="2"/>
      <c r="I40" s="60"/>
      <c r="U40" s="2"/>
    </row>
    <row r="41" spans="1:21" x14ac:dyDescent="0.25">
      <c r="A41" s="2"/>
      <c r="B41" s="2"/>
      <c r="D41" s="2"/>
      <c r="F41" s="2"/>
      <c r="I41" s="60"/>
      <c r="U41" s="2"/>
    </row>
    <row r="42" spans="1:21" x14ac:dyDescent="0.25">
      <c r="A42" s="2"/>
      <c r="B42" s="2"/>
      <c r="D42" s="2"/>
      <c r="F42" s="2"/>
      <c r="I42" s="60"/>
    </row>
    <row r="43" spans="1:21" x14ac:dyDescent="0.25">
      <c r="A43" s="2"/>
      <c r="B43" s="2"/>
      <c r="D43" s="2"/>
      <c r="F43" s="2"/>
      <c r="I43" s="60"/>
    </row>
    <row r="44" spans="1:21" x14ac:dyDescent="0.25">
      <c r="A44" s="2"/>
      <c r="B44" s="2"/>
      <c r="D44" s="2"/>
      <c r="F44" s="2"/>
      <c r="I44" s="60"/>
    </row>
    <row r="45" spans="1:21" x14ac:dyDescent="0.25">
      <c r="A45" s="2"/>
      <c r="B45" s="2"/>
      <c r="D45" s="2"/>
      <c r="F45" s="2"/>
      <c r="I45" s="60"/>
    </row>
    <row r="46" spans="1:21" x14ac:dyDescent="0.25">
      <c r="A46" s="2"/>
      <c r="B46" s="2"/>
      <c r="D46" s="2"/>
      <c r="F46" s="2"/>
      <c r="I46" s="60"/>
    </row>
    <row r="47" spans="1:21" x14ac:dyDescent="0.25">
      <c r="A47" s="2"/>
      <c r="B47" s="2"/>
      <c r="D47" s="2"/>
      <c r="F47" s="2"/>
      <c r="I47" s="60"/>
    </row>
    <row r="48" spans="1:21" x14ac:dyDescent="0.25">
      <c r="A48" s="2"/>
      <c r="B48" s="2"/>
      <c r="D48" s="2"/>
      <c r="F48" s="2"/>
      <c r="I48" s="60"/>
    </row>
    <row r="49" spans="1:9" x14ac:dyDescent="0.25">
      <c r="A49" s="2"/>
      <c r="B49" s="2"/>
      <c r="D49" s="2"/>
      <c r="F49" s="2"/>
      <c r="I49" s="60"/>
    </row>
    <row r="50" spans="1:9" x14ac:dyDescent="0.25">
      <c r="A50" s="2"/>
      <c r="B50" s="2"/>
      <c r="D50" s="2"/>
      <c r="F50" s="2"/>
      <c r="I50" s="60"/>
    </row>
    <row r="51" spans="1:9" x14ac:dyDescent="0.25">
      <c r="A51" s="2"/>
      <c r="B51" s="2"/>
      <c r="D51" s="2"/>
      <c r="F51" s="2"/>
      <c r="I51" s="60"/>
    </row>
    <row r="52" spans="1:9" x14ac:dyDescent="0.25">
      <c r="A52" s="2"/>
      <c r="B52" s="2"/>
      <c r="D52" s="2"/>
      <c r="I52" s="60"/>
    </row>
    <row r="53" spans="1:9" x14ac:dyDescent="0.25">
      <c r="A53" s="2"/>
      <c r="B53" s="2"/>
      <c r="D53" s="2"/>
      <c r="I53" s="60"/>
    </row>
    <row r="54" spans="1:9" x14ac:dyDescent="0.25">
      <c r="A54" s="2"/>
      <c r="B54" s="2"/>
      <c r="D54" s="2"/>
      <c r="I54" s="60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36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48" t="s">
        <v>136</v>
      </c>
      <c r="B1" s="148"/>
      <c r="C1" s="148"/>
      <c r="D1" s="153"/>
    </row>
    <row r="2" spans="1:5" x14ac:dyDescent="0.25">
      <c r="A2" s="147"/>
      <c r="B2" s="147"/>
      <c r="C2" s="147"/>
      <c r="D2" s="154"/>
    </row>
    <row r="3" spans="1:5" x14ac:dyDescent="0.25">
      <c r="A3" s="58" t="s">
        <v>113</v>
      </c>
      <c r="B3" s="62" t="s">
        <v>137</v>
      </c>
      <c r="C3" s="62" t="s">
        <v>135</v>
      </c>
      <c r="D3" s="62" t="s">
        <v>8</v>
      </c>
      <c r="E3" s="3"/>
    </row>
    <row r="4" spans="1:5" x14ac:dyDescent="0.25">
      <c r="A4" s="100">
        <v>1</v>
      </c>
      <c r="B4" s="107" t="s">
        <v>58</v>
      </c>
      <c r="C4" s="101" t="s">
        <v>181</v>
      </c>
      <c r="D4" s="116">
        <v>50</v>
      </c>
    </row>
    <row r="5" spans="1:5" x14ac:dyDescent="0.25">
      <c r="A5" s="102">
        <v>2</v>
      </c>
      <c r="B5" s="108" t="s">
        <v>59</v>
      </c>
      <c r="C5" s="103" t="s">
        <v>182</v>
      </c>
      <c r="D5" s="117">
        <v>40</v>
      </c>
    </row>
    <row r="6" spans="1:5" x14ac:dyDescent="0.25">
      <c r="A6" s="102">
        <v>3</v>
      </c>
      <c r="B6" s="108" t="s">
        <v>60</v>
      </c>
      <c r="C6" s="103" t="s">
        <v>183</v>
      </c>
      <c r="D6" s="117">
        <v>60</v>
      </c>
    </row>
    <row r="7" spans="1:5" x14ac:dyDescent="0.25">
      <c r="A7" s="102">
        <v>4</v>
      </c>
      <c r="B7" s="108" t="s">
        <v>61</v>
      </c>
      <c r="C7" s="103" t="s">
        <v>184</v>
      </c>
      <c r="D7" s="117">
        <v>75</v>
      </c>
    </row>
    <row r="8" spans="1:5" x14ac:dyDescent="0.25">
      <c r="A8" s="102">
        <v>5</v>
      </c>
      <c r="B8" s="108" t="s">
        <v>62</v>
      </c>
      <c r="C8" s="103" t="s">
        <v>185</v>
      </c>
      <c r="D8" s="117">
        <v>30</v>
      </c>
    </row>
    <row r="9" spans="1:5" x14ac:dyDescent="0.25">
      <c r="A9" s="102">
        <v>6</v>
      </c>
      <c r="B9" s="108" t="s">
        <v>63</v>
      </c>
      <c r="C9" s="103" t="s">
        <v>186</v>
      </c>
      <c r="D9" s="117">
        <v>80</v>
      </c>
    </row>
    <row r="10" spans="1:5" x14ac:dyDescent="0.25">
      <c r="A10" s="102">
        <v>7</v>
      </c>
      <c r="B10" s="108" t="s">
        <v>64</v>
      </c>
      <c r="C10" s="103" t="s">
        <v>187</v>
      </c>
      <c r="D10" s="117">
        <v>50</v>
      </c>
    </row>
    <row r="11" spans="1:5" x14ac:dyDescent="0.25">
      <c r="A11" s="102">
        <v>8</v>
      </c>
      <c r="B11" s="108" t="s">
        <v>65</v>
      </c>
      <c r="C11" s="103" t="s">
        <v>188</v>
      </c>
      <c r="D11" s="117">
        <v>60</v>
      </c>
    </row>
    <row r="12" spans="1:5" x14ac:dyDescent="0.25">
      <c r="A12" s="102">
        <v>9</v>
      </c>
      <c r="B12" s="108" t="s">
        <v>66</v>
      </c>
      <c r="C12" s="103" t="s">
        <v>189</v>
      </c>
      <c r="D12" s="117">
        <v>100</v>
      </c>
    </row>
    <row r="13" spans="1:5" x14ac:dyDescent="0.25">
      <c r="A13" s="102">
        <v>10</v>
      </c>
      <c r="B13" s="108" t="s">
        <v>67</v>
      </c>
      <c r="C13" s="103" t="s">
        <v>190</v>
      </c>
      <c r="D13" s="117">
        <v>35</v>
      </c>
    </row>
    <row r="14" spans="1:5" x14ac:dyDescent="0.25">
      <c r="A14" s="102">
        <v>11</v>
      </c>
      <c r="B14" s="108" t="s">
        <v>58</v>
      </c>
      <c r="C14" s="103" t="s">
        <v>191</v>
      </c>
      <c r="D14" s="117">
        <v>50</v>
      </c>
    </row>
    <row r="15" spans="1:5" x14ac:dyDescent="0.25">
      <c r="A15" s="102">
        <v>12</v>
      </c>
      <c r="B15" s="108" t="s">
        <v>59</v>
      </c>
      <c r="C15" s="103" t="s">
        <v>192</v>
      </c>
      <c r="D15" s="117">
        <v>40</v>
      </c>
    </row>
    <row r="16" spans="1:5" x14ac:dyDescent="0.25">
      <c r="A16" s="102">
        <v>13</v>
      </c>
      <c r="B16" s="108" t="s">
        <v>60</v>
      </c>
      <c r="C16" s="103" t="s">
        <v>193</v>
      </c>
      <c r="D16" s="117">
        <v>60</v>
      </c>
    </row>
    <row r="17" spans="1:4" x14ac:dyDescent="0.25">
      <c r="A17" s="102">
        <v>14</v>
      </c>
      <c r="B17" s="108" t="s">
        <v>61</v>
      </c>
      <c r="C17" s="103" t="s">
        <v>194</v>
      </c>
      <c r="D17" s="117">
        <v>75</v>
      </c>
    </row>
    <row r="18" spans="1:4" x14ac:dyDescent="0.25">
      <c r="A18" s="102">
        <v>15</v>
      </c>
      <c r="B18" s="108" t="s">
        <v>62</v>
      </c>
      <c r="C18" s="103" t="s">
        <v>195</v>
      </c>
      <c r="D18" s="117">
        <v>30</v>
      </c>
    </row>
    <row r="19" spans="1:4" x14ac:dyDescent="0.25">
      <c r="A19" s="102">
        <v>16</v>
      </c>
      <c r="B19" s="108" t="s">
        <v>63</v>
      </c>
      <c r="C19" s="103" t="s">
        <v>196</v>
      </c>
      <c r="D19" s="117">
        <v>80</v>
      </c>
    </row>
    <row r="20" spans="1:4" x14ac:dyDescent="0.25">
      <c r="A20" s="102">
        <v>17</v>
      </c>
      <c r="B20" s="108" t="s">
        <v>64</v>
      </c>
      <c r="C20" s="103" t="s">
        <v>197</v>
      </c>
      <c r="D20" s="117">
        <v>50</v>
      </c>
    </row>
    <row r="21" spans="1:4" x14ac:dyDescent="0.25">
      <c r="A21" s="102">
        <v>18</v>
      </c>
      <c r="B21" s="108" t="s">
        <v>65</v>
      </c>
      <c r="C21" s="103" t="s">
        <v>198</v>
      </c>
      <c r="D21" s="117">
        <v>60</v>
      </c>
    </row>
    <row r="22" spans="1:4" x14ac:dyDescent="0.25">
      <c r="A22" s="102">
        <v>19</v>
      </c>
      <c r="B22" s="108" t="s">
        <v>66</v>
      </c>
      <c r="C22" s="103" t="s">
        <v>199</v>
      </c>
      <c r="D22" s="117">
        <v>100</v>
      </c>
    </row>
    <row r="23" spans="1:4" x14ac:dyDescent="0.25">
      <c r="A23" s="102">
        <v>20</v>
      </c>
      <c r="B23" s="108" t="s">
        <v>67</v>
      </c>
      <c r="C23" s="103" t="s">
        <v>200</v>
      </c>
      <c r="D23" s="117">
        <v>35</v>
      </c>
    </row>
    <row r="24" spans="1:4" x14ac:dyDescent="0.25">
      <c r="A24" s="102">
        <v>21</v>
      </c>
      <c r="B24" s="108" t="s">
        <v>58</v>
      </c>
      <c r="C24" s="103" t="s">
        <v>201</v>
      </c>
      <c r="D24" s="117">
        <v>50</v>
      </c>
    </row>
    <row r="25" spans="1:4" x14ac:dyDescent="0.25">
      <c r="A25" s="102">
        <v>22</v>
      </c>
      <c r="B25" s="108" t="s">
        <v>59</v>
      </c>
      <c r="C25" s="103" t="s">
        <v>202</v>
      </c>
      <c r="D25" s="117">
        <v>40</v>
      </c>
    </row>
    <row r="26" spans="1:4" x14ac:dyDescent="0.25">
      <c r="A26" s="102">
        <v>23</v>
      </c>
      <c r="B26" s="108" t="s">
        <v>60</v>
      </c>
      <c r="C26" s="103" t="s">
        <v>203</v>
      </c>
      <c r="D26" s="117">
        <v>60</v>
      </c>
    </row>
    <row r="27" spans="1:4" x14ac:dyDescent="0.25">
      <c r="A27" s="102">
        <v>24</v>
      </c>
      <c r="B27" s="108" t="s">
        <v>61</v>
      </c>
      <c r="C27" s="103" t="s">
        <v>204</v>
      </c>
      <c r="D27" s="117">
        <v>75</v>
      </c>
    </row>
    <row r="28" spans="1:4" x14ac:dyDescent="0.25">
      <c r="A28" s="102">
        <v>25</v>
      </c>
      <c r="B28" s="108" t="s">
        <v>62</v>
      </c>
      <c r="C28" s="103" t="s">
        <v>205</v>
      </c>
      <c r="D28" s="117">
        <v>30</v>
      </c>
    </row>
    <row r="29" spans="1:4" x14ac:dyDescent="0.25">
      <c r="A29" s="102">
        <v>26</v>
      </c>
      <c r="B29" s="108" t="s">
        <v>63</v>
      </c>
      <c r="C29" s="103" t="s">
        <v>206</v>
      </c>
      <c r="D29" s="117">
        <v>80</v>
      </c>
    </row>
    <row r="30" spans="1:4" x14ac:dyDescent="0.25">
      <c r="A30" s="102">
        <v>27</v>
      </c>
      <c r="B30" s="108" t="s">
        <v>64</v>
      </c>
      <c r="C30" s="104" t="s">
        <v>207</v>
      </c>
      <c r="D30" s="117">
        <v>50</v>
      </c>
    </row>
    <row r="31" spans="1:4" x14ac:dyDescent="0.25">
      <c r="A31" s="102">
        <v>28</v>
      </c>
      <c r="B31" s="108" t="s">
        <v>65</v>
      </c>
      <c r="C31" s="104" t="s">
        <v>208</v>
      </c>
      <c r="D31" s="117">
        <v>60</v>
      </c>
    </row>
    <row r="32" spans="1:4" x14ac:dyDescent="0.25">
      <c r="A32" s="102">
        <v>29</v>
      </c>
      <c r="B32" s="108" t="s">
        <v>66</v>
      </c>
      <c r="C32" s="104" t="s">
        <v>209</v>
      </c>
      <c r="D32" s="117">
        <v>100</v>
      </c>
    </row>
    <row r="33" spans="1:4" x14ac:dyDescent="0.25">
      <c r="A33" s="102">
        <v>30</v>
      </c>
      <c r="B33" s="108" t="s">
        <v>67</v>
      </c>
      <c r="C33" s="104" t="s">
        <v>210</v>
      </c>
      <c r="D33" s="117">
        <v>35</v>
      </c>
    </row>
    <row r="34" spans="1:4" x14ac:dyDescent="0.25">
      <c r="A34" s="102">
        <v>31</v>
      </c>
      <c r="B34" s="108" t="s">
        <v>58</v>
      </c>
      <c r="C34" s="104" t="s">
        <v>211</v>
      </c>
      <c r="D34" s="117">
        <v>50</v>
      </c>
    </row>
    <row r="35" spans="1:4" x14ac:dyDescent="0.25">
      <c r="A35" s="102">
        <v>32</v>
      </c>
      <c r="B35" s="108" t="s">
        <v>59</v>
      </c>
      <c r="C35" s="104" t="s">
        <v>212</v>
      </c>
      <c r="D35" s="117">
        <v>40</v>
      </c>
    </row>
    <row r="36" spans="1:4" x14ac:dyDescent="0.25">
      <c r="A36" s="102">
        <v>33</v>
      </c>
      <c r="B36" s="108" t="s">
        <v>60</v>
      </c>
      <c r="C36" s="104" t="s">
        <v>213</v>
      </c>
      <c r="D36" s="117">
        <v>60</v>
      </c>
    </row>
    <row r="37" spans="1:4" x14ac:dyDescent="0.25">
      <c r="A37" s="102">
        <v>34</v>
      </c>
      <c r="B37" s="108" t="s">
        <v>61</v>
      </c>
      <c r="C37" s="104" t="s">
        <v>214</v>
      </c>
      <c r="D37" s="117">
        <v>75</v>
      </c>
    </row>
    <row r="38" spans="1:4" x14ac:dyDescent="0.25">
      <c r="A38" s="102">
        <v>35</v>
      </c>
      <c r="B38" s="108" t="s">
        <v>62</v>
      </c>
      <c r="C38" s="103" t="s">
        <v>215</v>
      </c>
      <c r="D38" s="117">
        <v>30</v>
      </c>
    </row>
    <row r="39" spans="1:4" x14ac:dyDescent="0.25">
      <c r="A39" s="102">
        <v>36</v>
      </c>
      <c r="B39" s="108" t="s">
        <v>63</v>
      </c>
      <c r="C39" s="103" t="s">
        <v>216</v>
      </c>
      <c r="D39" s="117">
        <v>80</v>
      </c>
    </row>
    <row r="40" spans="1:4" x14ac:dyDescent="0.25">
      <c r="A40" s="102">
        <v>37</v>
      </c>
      <c r="B40" s="108" t="s">
        <v>64</v>
      </c>
      <c r="C40" s="103" t="s">
        <v>217</v>
      </c>
      <c r="D40" s="117">
        <v>50</v>
      </c>
    </row>
    <row r="41" spans="1:4" x14ac:dyDescent="0.25">
      <c r="A41" s="102">
        <v>38</v>
      </c>
      <c r="B41" s="108" t="s">
        <v>65</v>
      </c>
      <c r="C41" s="103" t="s">
        <v>218</v>
      </c>
      <c r="D41" s="117">
        <v>60</v>
      </c>
    </row>
    <row r="42" spans="1:4" x14ac:dyDescent="0.25">
      <c r="A42" s="102">
        <v>39</v>
      </c>
      <c r="B42" s="108" t="s">
        <v>66</v>
      </c>
      <c r="C42" s="103" t="s">
        <v>219</v>
      </c>
      <c r="D42" s="117">
        <v>100</v>
      </c>
    </row>
    <row r="43" spans="1:4" x14ac:dyDescent="0.25">
      <c r="A43" s="105">
        <v>40</v>
      </c>
      <c r="B43" s="109" t="s">
        <v>67</v>
      </c>
      <c r="C43" s="106" t="s">
        <v>220</v>
      </c>
      <c r="D43" s="118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48" t="s">
        <v>17</v>
      </c>
      <c r="B1" s="148"/>
      <c r="C1" s="148"/>
      <c r="D1" s="148"/>
      <c r="E1" s="148"/>
      <c r="F1" s="148"/>
      <c r="G1" s="148"/>
      <c r="H1" s="148"/>
      <c r="K1" s="13" t="s">
        <v>44</v>
      </c>
      <c r="M1" s="74" t="s">
        <v>52</v>
      </c>
    </row>
    <row r="2" spans="1:13" ht="14.45" customHeight="1" x14ac:dyDescent="0.25">
      <c r="A2" s="147"/>
      <c r="B2" s="147"/>
      <c r="C2" s="147"/>
      <c r="D2" s="147"/>
      <c r="E2" s="147"/>
      <c r="F2" s="147"/>
      <c r="G2" s="147"/>
      <c r="H2" s="147"/>
      <c r="K2" s="5" t="s">
        <v>106</v>
      </c>
      <c r="M2" s="5" t="s">
        <v>18</v>
      </c>
    </row>
    <row r="3" spans="1:13" ht="25.5" x14ac:dyDescent="0.25">
      <c r="A3" s="58" t="s">
        <v>108</v>
      </c>
      <c r="B3" s="62" t="s">
        <v>18</v>
      </c>
      <c r="C3" s="58" t="s">
        <v>109</v>
      </c>
      <c r="D3" s="62" t="s">
        <v>10</v>
      </c>
      <c r="E3" s="58" t="s">
        <v>19</v>
      </c>
      <c r="F3" s="58" t="s">
        <v>20</v>
      </c>
      <c r="G3" s="58" t="s">
        <v>21</v>
      </c>
      <c r="H3" s="58" t="s">
        <v>22</v>
      </c>
      <c r="K3" s="90"/>
      <c r="M3" t="s">
        <v>130</v>
      </c>
    </row>
    <row r="4" spans="1:13" x14ac:dyDescent="0.25">
      <c r="A4" s="2">
        <v>1</v>
      </c>
      <c r="B4" t="s">
        <v>130</v>
      </c>
      <c r="C4" s="2">
        <v>1</v>
      </c>
      <c r="D4" t="s">
        <v>91</v>
      </c>
      <c r="G4" s="7"/>
      <c r="H4" s="4"/>
      <c r="M4" t="s">
        <v>131</v>
      </c>
    </row>
    <row r="5" spans="1:13" x14ac:dyDescent="0.25">
      <c r="A5" s="2">
        <v>2</v>
      </c>
      <c r="B5" t="s">
        <v>131</v>
      </c>
      <c r="C5" s="2">
        <v>2</v>
      </c>
      <c r="D5" t="s">
        <v>98</v>
      </c>
      <c r="G5" s="7"/>
      <c r="H5" s="4"/>
      <c r="M5" t="s">
        <v>132</v>
      </c>
    </row>
    <row r="6" spans="1:13" x14ac:dyDescent="0.25">
      <c r="A6" s="2">
        <v>3</v>
      </c>
      <c r="B6" t="s">
        <v>132</v>
      </c>
      <c r="C6" s="2">
        <v>3</v>
      </c>
      <c r="D6" t="s">
        <v>124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A4" sqref="A4:I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48" t="s">
        <v>9</v>
      </c>
      <c r="B1" s="148"/>
      <c r="C1" s="148"/>
      <c r="D1" s="148"/>
      <c r="E1" s="148"/>
      <c r="F1" s="148"/>
      <c r="G1" s="148"/>
      <c r="H1" s="148"/>
      <c r="I1" s="148"/>
    </row>
    <row r="2" spans="1:9" x14ac:dyDescent="0.25">
      <c r="A2" s="147"/>
      <c r="B2" s="147"/>
      <c r="C2" s="147"/>
      <c r="D2" s="147"/>
      <c r="E2" s="147"/>
      <c r="F2" s="147"/>
      <c r="G2" s="147"/>
      <c r="H2" s="147"/>
      <c r="I2" s="147"/>
    </row>
    <row r="3" spans="1:9" ht="26.25" x14ac:dyDescent="0.25">
      <c r="A3" s="57" t="s">
        <v>110</v>
      </c>
      <c r="B3" s="62" t="s">
        <v>10</v>
      </c>
      <c r="C3" s="62" t="s">
        <v>11</v>
      </c>
      <c r="D3" s="62" t="s">
        <v>12</v>
      </c>
      <c r="E3" s="62" t="s">
        <v>13</v>
      </c>
      <c r="F3" s="62" t="s">
        <v>14</v>
      </c>
      <c r="G3" s="62" t="s">
        <v>15</v>
      </c>
      <c r="H3" s="62"/>
      <c r="I3" s="62" t="s">
        <v>16</v>
      </c>
    </row>
    <row r="4" spans="1:9" x14ac:dyDescent="0.25">
      <c r="A4" s="2">
        <v>1</v>
      </c>
      <c r="B4" t="s">
        <v>91</v>
      </c>
      <c r="C4" t="s">
        <v>92</v>
      </c>
      <c r="D4" t="s">
        <v>93</v>
      </c>
      <c r="E4" t="s">
        <v>94</v>
      </c>
      <c r="F4" s="2" t="s">
        <v>95</v>
      </c>
      <c r="G4" s="6" t="s">
        <v>96</v>
      </c>
      <c r="H4" s="6" t="s">
        <v>175</v>
      </c>
      <c r="I4" s="52" t="s">
        <v>97</v>
      </c>
    </row>
    <row r="5" spans="1:9" x14ac:dyDescent="0.25">
      <c r="A5" s="2">
        <v>2</v>
      </c>
      <c r="B5" t="s">
        <v>98</v>
      </c>
      <c r="C5" t="s">
        <v>111</v>
      </c>
      <c r="D5" t="s">
        <v>99</v>
      </c>
      <c r="E5" t="s">
        <v>94</v>
      </c>
      <c r="F5" s="2" t="s">
        <v>100</v>
      </c>
      <c r="G5" t="s">
        <v>101</v>
      </c>
      <c r="H5" t="s">
        <v>176</v>
      </c>
      <c r="I5" s="52" t="s">
        <v>102</v>
      </c>
    </row>
    <row r="6" spans="1:9" x14ac:dyDescent="0.25">
      <c r="A6" s="2">
        <v>3</v>
      </c>
      <c r="B6" t="s">
        <v>124</v>
      </c>
      <c r="C6" t="s">
        <v>125</v>
      </c>
      <c r="D6" t="s">
        <v>126</v>
      </c>
      <c r="E6" t="s">
        <v>94</v>
      </c>
      <c r="F6" s="2" t="s">
        <v>127</v>
      </c>
      <c r="G6" t="s">
        <v>128</v>
      </c>
      <c r="H6" t="s">
        <v>177</v>
      </c>
      <c r="I6" s="52" t="s">
        <v>129</v>
      </c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2023-09-29T18:25:20Z</cp:lastPrinted>
  <dcterms:created xsi:type="dcterms:W3CDTF">2023-05-08T04:58:50Z</dcterms:created>
  <dcterms:modified xsi:type="dcterms:W3CDTF">2023-09-29T18:26:27Z</dcterms:modified>
</cp:coreProperties>
</file>