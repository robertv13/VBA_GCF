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3EA0051-7150-40EC-9164-947792604F4A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9" l="1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<sst xmlns="http://schemas.openxmlformats.org/spreadsheetml/2006/main" count="561" uniqueCount="274">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</sst>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#,##0.00\ [$$-C0C]_);\(#,##0.00\ [$$-C0C]\)"/>
    <numFmt numFmtId="171" formatCode="_ * #,##0.00_)\ _$_ ;_ * \(#,##0.00\)\ _$_ ;_ * &quot;-&quot;??_)\ _$_ ;_ @_ "/>
    <numFmt numFmtId="172" formatCode="#,##0.00\ &quot;$&quot;_-;[Red]#,##0.00\ &quot;$&quot;\-"/>
    <numFmt numFmtId="173" formatCode="000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1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0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0" fontId="27" fillId="0" borderId="0" xfId="3" applyNumberFormat="1" applyFont="1"/>
    <xf numFmtId="170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0" fontId="27" fillId="0" borderId="0" xfId="5" applyNumberFormat="1" applyFont="1"/>
    <xf numFmtId="10" fontId="27" fillId="0" borderId="0" xfId="3" applyNumberFormat="1" applyFont="1" applyAlignment="1">
      <alignment horizontal="left"/>
    </xf>
    <xf numFmtId="170" fontId="25" fillId="0" borderId="0" xfId="4" applyNumberFormat="1" applyFont="1"/>
    <xf numFmtId="170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2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173" fontId="43" fillId="6" borderId="0" xfId="0" applyNumberFormat="1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58150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7535534" y="1402081"/>
          <a:ext cx="1836000" cy="36000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32992" y="2912980"/>
          <a:ext cx="1836000" cy="363576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4102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35524" y="1904999"/>
          <a:ext cx="1836000" cy="361907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7535530" y="2409825"/>
          <a:ext cx="1836000" cy="361906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7535530" y="3419475"/>
          <a:ext cx="1836000" cy="361905"/>
          <a:chOff x="17430755" y="3419475"/>
          <a:chExt cx="1800000" cy="361905"/>
        </a:xfrm>
      </xdr:grpSpPr>
      <xdr:sp macro="[0]!Goto_Onglet_Facture_Finale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12612732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12612732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12612732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12609167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2609167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topLeftCell="C1" zoomScaleNormal="100" workbookViewId="0">
      <selection activeCell="E31" sqref="E31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4" t="s">
        <v>186</v>
      </c>
      <c r="D1" s="194"/>
      <c r="E1" s="194"/>
      <c r="F1" s="194"/>
      <c r="G1" s="194"/>
      <c r="H1" s="194"/>
      <c r="I1" s="194" t="s">
        <v>120</v>
      </c>
      <c r="J1" s="194"/>
      <c r="K1" s="194"/>
      <c r="L1" s="194"/>
      <c r="M1" s="194"/>
      <c r="N1" s="194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202"/>
      <c r="J2" s="202"/>
      <c r="K2" s="202"/>
      <c r="L2" s="202"/>
      <c r="M2" s="202"/>
      <c r="N2" s="202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/>
      <c r="K3" s="101"/>
      <c r="L3" s="42"/>
      <c r="M3" s="133" t="s">
        <v>209</v>
      </c>
      <c r="N3" s="183"/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5"/>
      <c r="K4" s="205"/>
      <c r="L4" s="42"/>
      <c r="M4" s="175"/>
      <c r="N4" s="176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8" t="s">
        <v>3</v>
      </c>
      <c r="E5" s="195" t="s">
        <v>163</v>
      </c>
      <c r="F5" s="27" t="s">
        <v>61</v>
      </c>
      <c r="G5" s="30">
        <v>10</v>
      </c>
      <c r="H5" s="114"/>
      <c r="I5" s="41"/>
      <c r="J5" s="41"/>
      <c r="K5" s="41"/>
      <c r="L5" s="42"/>
      <c r="M5" s="133" t="s">
        <v>210</v>
      </c>
      <c r="N5" s="184"/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9"/>
      <c r="E6" s="196"/>
      <c r="F6" s="27" t="s">
        <v>62</v>
      </c>
      <c r="G6" s="44">
        <v>30</v>
      </c>
      <c r="H6" s="114"/>
      <c r="I6" s="41"/>
      <c r="J6" s="41"/>
      <c r="K6" s="41"/>
      <c r="L6" s="42"/>
      <c r="M6" s="109" t="s">
        <v>156</v>
      </c>
      <c r="N6" s="193">
        <v>23031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200"/>
      <c r="E7" s="197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203" t="s">
        <v>75</v>
      </c>
      <c r="J8" s="204"/>
      <c r="K8" s="204"/>
      <c r="L8" s="204"/>
      <c r="M8" s="204"/>
      <c r="N8" s="204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201" t="s">
        <v>88</v>
      </c>
      <c r="E10" s="201"/>
      <c r="F10" s="201"/>
      <c r="G10" s="201"/>
      <c r="H10" s="114"/>
      <c r="I10" s="45"/>
      <c r="J10" s="45"/>
      <c r="K10" s="185"/>
      <c r="L10" s="186"/>
      <c r="M10" s="111"/>
      <c r="N10" s="60"/>
      <c r="O10" s="122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7"/>
      <c r="L11" s="186"/>
      <c r="M11" s="111"/>
      <c r="N11" s="60"/>
      <c r="O11" s="12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/>
      <c r="D12" s="23"/>
      <c r="E12" s="24"/>
      <c r="F12" s="25"/>
      <c r="G12" s="26"/>
      <c r="H12" s="110"/>
      <c r="I12" s="45"/>
      <c r="J12" s="45"/>
      <c r="K12" s="185"/>
      <c r="L12" s="186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/>
      <c r="D13" s="23"/>
      <c r="E13" s="24"/>
      <c r="F13" s="25"/>
      <c r="G13" s="26"/>
      <c r="H13" s="110"/>
      <c r="I13" s="45"/>
      <c r="J13" s="45"/>
      <c r="K13" s="187"/>
      <c r="L13" s="186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/>
      <c r="D14" s="23"/>
      <c r="E14" s="24"/>
      <c r="F14" s="25"/>
      <c r="G14" s="26"/>
      <c r="H14" s="110"/>
      <c r="I14" s="45"/>
      <c r="J14" s="45"/>
      <c r="K14" s="185"/>
      <c r="L14" s="186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/>
      <c r="D15" s="23"/>
      <c r="E15" s="24"/>
      <c r="F15" s="25"/>
      <c r="G15" s="26"/>
      <c r="H15" s="110"/>
      <c r="I15" s="45"/>
      <c r="J15" s="45"/>
      <c r="K15" s="187"/>
      <c r="L15" s="186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/>
      <c r="D16" s="23"/>
      <c r="E16" s="24"/>
      <c r="F16" s="25"/>
      <c r="G16" s="26"/>
      <c r="H16" s="110"/>
      <c r="I16" s="45"/>
      <c r="J16" s="45"/>
      <c r="K16" s="185"/>
      <c r="L16" s="186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/>
      <c r="D17" s="23"/>
      <c r="E17" s="24"/>
      <c r="F17" s="25"/>
      <c r="G17" s="26"/>
      <c r="H17" s="110"/>
      <c r="I17" s="45"/>
      <c r="J17" s="45"/>
      <c r="K17" s="185"/>
      <c r="L17" s="186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 t="str">
        <f ca="1">IFERROR(INDEX(Cust_ID,MATCH(J4,Cust_Name,0),1),"")</f>
        <v/>
      </c>
      <c r="C18" s="110"/>
      <c r="D18" s="23"/>
      <c r="E18" s="24"/>
      <c r="F18" s="25"/>
      <c r="G18" s="26"/>
      <c r="H18" s="110"/>
      <c r="I18" s="45"/>
      <c r="J18" s="45"/>
      <c r="K18" s="185"/>
      <c r="L18" s="186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 t="str">
        <f ca="1">IFERROR(MATCH(J4,Cust_Name,0)+3,"")</f>
        <v/>
      </c>
      <c r="C19" s="110"/>
      <c r="D19" s="23"/>
      <c r="E19" s="24"/>
      <c r="F19" s="25"/>
      <c r="G19" s="26"/>
      <c r="H19" s="110"/>
      <c r="I19" s="45"/>
      <c r="J19" s="45"/>
      <c r="K19" s="185"/>
      <c r="L19" s="186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/>
      <c r="C20" s="110"/>
      <c r="D20" s="23"/>
      <c r="E20" s="62"/>
      <c r="F20" s="25"/>
      <c r="G20" s="23"/>
      <c r="H20" s="110"/>
      <c r="I20" s="45"/>
      <c r="J20" s="45"/>
      <c r="K20" s="185"/>
      <c r="L20" s="186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110"/>
      <c r="D21" s="23"/>
      <c r="E21" s="62"/>
      <c r="F21" s="25"/>
      <c r="G21" s="23"/>
      <c r="H21" s="110"/>
      <c r="I21" s="45"/>
      <c r="J21" s="45"/>
      <c r="K21" s="185"/>
      <c r="L21" s="186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/>
      <c r="D22" s="23"/>
      <c r="E22" s="62"/>
      <c r="F22" s="25"/>
      <c r="G22" s="23"/>
      <c r="H22" s="110"/>
      <c r="I22" s="45"/>
      <c r="J22" s="45"/>
      <c r="K22" s="185"/>
      <c r="L22" s="186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/>
      <c r="D23" s="23"/>
      <c r="E23" s="62"/>
      <c r="F23" s="25"/>
      <c r="G23" s="23"/>
      <c r="H23" s="110"/>
      <c r="I23" s="45"/>
      <c r="J23" s="45"/>
      <c r="K23" s="185"/>
      <c r="L23" s="186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/>
      <c r="D24" s="23"/>
      <c r="E24" s="62"/>
      <c r="F24" s="25"/>
      <c r="G24" s="23"/>
      <c r="H24" s="110"/>
      <c r="I24" s="45"/>
      <c r="J24" s="45"/>
      <c r="K24" s="185"/>
      <c r="L24" s="186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/>
      <c r="D25" s="23"/>
      <c r="E25" s="62"/>
      <c r="F25" s="25"/>
      <c r="G25" s="23"/>
      <c r="H25" s="110"/>
      <c r="I25" s="45"/>
      <c r="J25" s="45"/>
      <c r="K25" s="185"/>
      <c r="L25" s="186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/>
      <c r="D26" s="23"/>
      <c r="E26" s="62"/>
      <c r="F26" s="25"/>
      <c r="G26" s="23"/>
      <c r="H26" s="110"/>
      <c r="I26" s="45"/>
      <c r="J26" s="45"/>
      <c r="K26" s="185"/>
      <c r="L26" s="186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1</v>
      </c>
      <c r="C27" s="110"/>
      <c r="D27" s="23"/>
      <c r="E27" s="62"/>
      <c r="F27" s="25"/>
      <c r="G27" s="23"/>
      <c r="H27" s="110"/>
      <c r="I27" s="45"/>
      <c r="J27" s="45"/>
      <c r="K27" s="185"/>
      <c r="L27" s="186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/>
      <c r="D28" s="23"/>
      <c r="E28" s="62"/>
      <c r="F28" s="25"/>
      <c r="G28" s="23"/>
      <c r="H28" s="110"/>
      <c r="I28" s="45"/>
      <c r="J28" s="45"/>
      <c r="K28" s="185"/>
      <c r="L28" s="186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/>
      <c r="D29" s="23"/>
      <c r="E29" s="62"/>
      <c r="F29" s="25"/>
      <c r="G29" s="23"/>
      <c r="H29" s="110"/>
      <c r="I29" s="45"/>
      <c r="J29" s="45"/>
      <c r="K29" s="185"/>
      <c r="L29" s="186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5"/>
      <c r="L30" s="186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5"/>
      <c r="L31" s="186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5"/>
      <c r="L32" s="186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5"/>
      <c r="L33" s="186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5"/>
      <c r="L34" s="186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5"/>
      <c r="L35" s="186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5"/>
      <c r="L36" s="186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5"/>
      <c r="L37" s="186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5"/>
      <c r="L38" s="186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5"/>
      <c r="L39" s="186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5"/>
      <c r="L40" s="186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5"/>
      <c r="L41" s="186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5"/>
      <c r="L42" s="186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5"/>
      <c r="L43" s="186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5"/>
      <c r="L44" s="186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5"/>
      <c r="L45" s="186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5"/>
      <c r="L46" s="186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8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8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8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89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6" t="s">
        <v>197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7" t="s">
        <v>25</v>
      </c>
      <c r="B1" s="207"/>
      <c r="C1" s="207"/>
      <c r="D1" s="207"/>
      <c r="E1" s="207"/>
      <c r="F1" s="207"/>
      <c r="G1" s="207"/>
      <c r="L1" s="15" t="s">
        <v>38</v>
      </c>
      <c r="N1" s="206" t="s">
        <v>38</v>
      </c>
      <c r="O1" s="206"/>
      <c r="P1" s="206"/>
      <c r="Q1" s="206"/>
      <c r="R1" s="206"/>
      <c r="S1" s="206"/>
    </row>
    <row r="2" spans="1:19" ht="14.45" customHeight="1" x14ac:dyDescent="0.25">
      <c r="A2" s="206"/>
      <c r="B2" s="206"/>
      <c r="C2" s="206"/>
      <c r="D2" s="206"/>
      <c r="E2" s="206"/>
      <c r="F2" s="206"/>
      <c r="G2" s="206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10" t="s">
        <v>38</v>
      </c>
      <c r="R1" s="211"/>
      <c r="U1" s="208" t="s">
        <v>89</v>
      </c>
      <c r="V1" s="209"/>
      <c r="W1" s="209"/>
      <c r="X1" s="209"/>
      <c r="Y1" s="209"/>
      <c r="Z1" s="209"/>
    </row>
    <row r="2" spans="1:26" ht="25.5" x14ac:dyDescent="0.25">
      <c r="A2" s="207" t="s">
        <v>88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 t="str">
        <f ca="1">IF(Invoice!B18="","&lt;&gt;",Invoice!B18)</f>
        <v>&lt;&gt;</v>
      </c>
      <c r="R3" s="54" t="str">
        <f>IF(Invoice!B16=TRUE,"&lt;&gt;","No")</f>
        <v>&lt;&gt;</v>
      </c>
      <c r="U3" s="2"/>
      <c r="V3" s="20"/>
      <c r="X3" s="80"/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/>
      <c r="V4" s="20"/>
      <c r="X4" s="80"/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/>
      <c r="V5" s="20"/>
      <c r="X5" s="80"/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7" t="s">
        <v>118</v>
      </c>
      <c r="B1" s="207"/>
      <c r="C1" s="207"/>
      <c r="D1" s="212"/>
    </row>
    <row r="2" spans="1:5" x14ac:dyDescent="0.25">
      <c r="A2" s="206"/>
      <c r="B2" s="206"/>
      <c r="C2" s="206"/>
      <c r="D2" s="213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9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0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0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0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0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0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0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0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0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0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0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0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0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0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0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0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0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0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0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0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0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0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0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0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0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0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1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1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1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1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1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1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1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1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0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0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0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0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0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2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7" t="s">
        <v>16</v>
      </c>
      <c r="B1" s="207"/>
      <c r="C1" s="207"/>
      <c r="D1" s="207"/>
      <c r="E1" s="207"/>
      <c r="F1" s="207"/>
      <c r="G1" s="207"/>
      <c r="H1" s="207"/>
      <c r="K1" s="13" t="s">
        <v>38</v>
      </c>
      <c r="M1" s="61" t="s">
        <v>41</v>
      </c>
    </row>
    <row r="2" spans="1:13" ht="14.45" customHeight="1" x14ac:dyDescent="0.25">
      <c r="A2" s="206"/>
      <c r="B2" s="206"/>
      <c r="C2" s="206"/>
      <c r="D2" s="206"/>
      <c r="E2" s="206"/>
      <c r="F2" s="206"/>
      <c r="G2" s="206"/>
      <c r="H2" s="206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7" t="s">
        <v>8</v>
      </c>
      <c r="B1" s="207"/>
      <c r="C1" s="207"/>
      <c r="D1" s="207"/>
      <c r="E1" s="207"/>
      <c r="F1" s="207"/>
      <c r="G1" s="207"/>
      <c r="H1" s="207"/>
      <c r="I1" s="207"/>
    </row>
    <row r="2" spans="1:9" x14ac:dyDescent="0.25">
      <c r="A2" s="206"/>
      <c r="B2" s="206"/>
      <c r="C2" s="206"/>
      <c r="D2" s="206"/>
      <c r="E2" s="206"/>
      <c r="F2" s="206"/>
      <c r="G2" s="206"/>
      <c r="H2" s="206"/>
      <c r="I2" s="206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49" zoomScale="90" zoomScaleNormal="90" zoomScaleSheetLayoutView="100" workbookViewId="0">
      <selection activeCell="C64" sqref="C64:D65"/>
    </sheetView>
  </sheetViews>
  <sheetFormatPr baseColWidth="10" defaultRowHeight="12.75" x14ac:dyDescent="0.2"/>
  <cols>
    <col min="1" max="1" width="5.140625" style="138" customWidth="1"/>
    <col min="2" max="2" width="125.7109375" style="138" customWidth="1"/>
    <col min="3" max="3" width="11.5703125" style="138" customWidth="1"/>
    <col min="4" max="4" width="12.710937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/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/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/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8"/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31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15" t="s">
        <v>75</v>
      </c>
      <c r="B30" s="215"/>
      <c r="C30" s="215"/>
      <c r="D30" s="215"/>
      <c r="E30" s="215"/>
      <c r="F30" s="215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4"/>
      <c r="C33" s="214"/>
      <c r="D33" s="214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4"/>
      <c r="C34" s="214"/>
      <c r="D34" s="214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4"/>
      <c r="C35" s="214"/>
      <c r="D35" s="214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4"/>
      <c r="C36" s="214"/>
      <c r="D36" s="214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4"/>
      <c r="C37" s="214"/>
      <c r="D37" s="214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4"/>
      <c r="C38" s="214"/>
      <c r="D38" s="214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4"/>
      <c r="C39" s="214"/>
      <c r="D39" s="214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4"/>
      <c r="C40" s="214"/>
      <c r="D40" s="214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4"/>
      <c r="C41" s="214"/>
      <c r="D41" s="214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4"/>
      <c r="C42" s="214"/>
      <c r="D42" s="214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4"/>
      <c r="C43" s="214"/>
      <c r="D43" s="214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4"/>
      <c r="C44" s="214"/>
      <c r="D44" s="214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4"/>
      <c r="C45" s="214"/>
      <c r="D45" s="214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4"/>
      <c r="C46" s="214"/>
      <c r="D46" s="214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4"/>
      <c r="C47" s="214"/>
      <c r="D47" s="214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4"/>
      <c r="C48" s="214"/>
      <c r="D48" s="214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4"/>
      <c r="C49" s="214"/>
      <c r="D49" s="214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4"/>
      <c r="C50" s="214"/>
      <c r="D50" s="214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4"/>
      <c r="C51" s="214"/>
      <c r="D51" s="214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4"/>
      <c r="C52" s="214"/>
      <c r="D52" s="214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4"/>
      <c r="C53" s="214"/>
      <c r="D53" s="214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4"/>
      <c r="C54" s="214"/>
      <c r="D54" s="214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4"/>
      <c r="C55" s="214"/>
      <c r="D55" s="214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4"/>
      <c r="C56" s="214"/>
      <c r="D56" s="214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4"/>
      <c r="C57" s="214"/>
      <c r="D57" s="214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4"/>
      <c r="C58" s="214"/>
      <c r="D58" s="214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4"/>
      <c r="C59" s="214"/>
      <c r="D59" s="214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4"/>
      <c r="C60" s="214"/>
      <c r="D60" s="214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4"/>
      <c r="C61" s="214"/>
      <c r="D61" s="214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4"/>
      <c r="C62" s="214"/>
      <c r="D62" s="214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4"/>
      <c r="C63" s="214"/>
      <c r="D63" s="214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190" t="s">
        <v>61</v>
      </c>
      <c r="D64" s="190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191"/>
      <c r="D65" s="192"/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20"/>
      <c r="C66" s="220"/>
      <c r="D66" s="220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4"/>
      <c r="C67" s="214"/>
      <c r="D67" s="214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0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0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0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16"/>
      <c r="C77" s="216"/>
      <c r="D77" s="216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17" t="s">
        <v>73</v>
      </c>
      <c r="C78" s="217"/>
      <c r="D78" s="217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16"/>
      <c r="C79" s="216"/>
      <c r="D79" s="216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0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22"/>
      <c r="C83" s="222"/>
      <c r="D83" s="222"/>
      <c r="E83" s="222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9" t="s">
        <v>66</v>
      </c>
      <c r="B84" s="219"/>
      <c r="C84" s="219"/>
      <c r="D84" s="219"/>
      <c r="E84" s="219"/>
      <c r="F84" s="219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21" t="s">
        <v>67</v>
      </c>
      <c r="B85" s="221"/>
      <c r="C85" s="221"/>
      <c r="D85" s="221"/>
      <c r="E85" s="221"/>
      <c r="F85" s="221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23"/>
      <c r="C87" s="223"/>
      <c r="D87" s="223"/>
      <c r="E87" s="223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8" t="s">
        <v>68</v>
      </c>
      <c r="B88" s="218"/>
      <c r="C88" s="218"/>
      <c r="D88" s="218"/>
      <c r="E88" s="218"/>
      <c r="F88" s="218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.1" right="0.1" top="0.1" bottom="0.1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2023-10-08T14:49:11Z</cp:lastPrinted>
  <dcterms:created xsi:type="dcterms:W3CDTF">2023-05-08T04:58:50Z</dcterms:created>
  <dcterms:modified xsi:type="dcterms:W3CDTF">2023-10-09T11:57:27Z</dcterms:modified>
</cp:coreProperties>
</file>