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GC FISCALITÉ\"/>
    </mc:Choice>
  </mc:AlternateContent>
  <xr:revisionPtr revIDLastSave="0" documentId="13_ncr:1_{44A8F59E-1B22-44E1-9B5D-B8F8DBDC74F5}" xr6:coauthVersionLast="47" xr6:coauthVersionMax="47" xr10:uidLastSave="{00000000-0000-0000-0000-000000000000}"/>
  <bookViews>
    <workbookView xWindow="-108" yWindow="-108" windowWidth="23256" windowHeight="12576" xr2:uid="{BAAEC5FD-EE9A-473B-8D61-C353CE377533}"/>
  </bookViews>
  <sheets>
    <sheet name="Sourc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1" i="1" l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<sst xmlns="http://schemas.openxmlformats.org/spreadsheetml/2006/main" count="127" uniqueCount="64">
  <si>
    <t>ID</t>
  </si>
  <si>
    <t>Prof.</t>
  </si>
  <si>
    <t>Date</t>
  </si>
  <si>
    <t>Client</t>
  </si>
  <si>
    <t>Description</t>
  </si>
  <si>
    <t>Heure</t>
  </si>
  <si>
    <t>Commentaire / Note</t>
  </si>
  <si>
    <t>Fact ?</t>
  </si>
  <si>
    <t>Date Saisie</t>
  </si>
  <si>
    <t>Facturée</t>
  </si>
  <si>
    <t>Date Facturée</t>
  </si>
  <si>
    <t>IsDeleted</t>
  </si>
  <si>
    <t>GC</t>
  </si>
  <si>
    <t>9299-2585 Québec inc.</t>
  </si>
  <si>
    <t>Analyser et optimiser la rémunération de Robert pour 2023 et fournir directives par courriel.</t>
  </si>
  <si>
    <t>Aucun commentaire</t>
  </si>
  <si>
    <t>Les logiciels INFORMAT inc.</t>
  </si>
  <si>
    <t>Première utilisation de l'application</t>
  </si>
  <si>
    <t>Aucun</t>
  </si>
  <si>
    <t>Sans saisie de date</t>
  </si>
  <si>
    <t>Pas d'idée</t>
  </si>
  <si>
    <t>RMV</t>
  </si>
  <si>
    <t>Test avec un nouveau professionnel</t>
  </si>
  <si>
    <t>Euh....</t>
  </si>
  <si>
    <t>Autre client</t>
  </si>
  <si>
    <t>Huwiz Solutions inc.</t>
  </si>
  <si>
    <t>Recherche de la jurisprudence sur la vente d'entreprise</t>
  </si>
  <si>
    <t>Site divers</t>
  </si>
  <si>
    <t>PG Solutions</t>
  </si>
  <si>
    <t>Première rencontre pour prendre connaissance de l'organigramme des entreprises liées à PG Solutions.</t>
  </si>
  <si>
    <t>Déplacement à Ottawa</t>
  </si>
  <si>
    <t>Encore du bla bla</t>
  </si>
  <si>
    <t>Sans commentaire</t>
  </si>
  <si>
    <t>9299-2596 Québec inc.</t>
  </si>
  <si>
    <t>Première charge pour ce client</t>
  </si>
  <si>
    <t>A</t>
  </si>
  <si>
    <t>Test de l'activité</t>
  </si>
  <si>
    <t>Test du commentaire modifié</t>
  </si>
  <si>
    <t>FAUX</t>
  </si>
  <si>
    <t>Première des deux compagnies de gestion</t>
  </si>
  <si>
    <t>MFP</t>
  </si>
  <si>
    <t>Ma compagnie préférée</t>
  </si>
  <si>
    <t>Pertinent ?</t>
  </si>
  <si>
    <t>Un petit coup de main de la part de Marie-France</t>
  </si>
  <si>
    <t>Test</t>
  </si>
  <si>
    <t>Test avec le format de date</t>
  </si>
  <si>
    <t>VRAI</t>
  </si>
  <si>
    <t>Appel téléphonique avec Martyne</t>
  </si>
  <si>
    <t>Questions diverses</t>
  </si>
  <si>
    <t>Overflow</t>
  </si>
  <si>
    <t>Test sans professionnel et sans date</t>
  </si>
  <si>
    <t>test</t>
  </si>
  <si>
    <t>2,75</t>
  </si>
  <si>
    <t>Test du format de date</t>
  </si>
  <si>
    <t>Test avec filtre activé</t>
  </si>
  <si>
    <t>Autre test, modifié</t>
  </si>
  <si>
    <t>Test avec le client '9299-2596 Québec inc."</t>
  </si>
  <si>
    <t>Activité modifié en mode modification</t>
  </si>
  <si>
    <t>Test de la somme des heures</t>
  </si>
  <si>
    <t>Rien de spécial</t>
  </si>
  <si>
    <t>Test pour montrer à Marie</t>
  </si>
  <si>
    <t>Pas de commentaire</t>
  </si>
  <si>
    <t>Premier test du 24 février</t>
  </si>
  <si>
    <t>Test après le bug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</si>
</sst>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_$"/>
    <numFmt numFmtId="165" formatCode="dd/mm/yyyy\ hh:mm:ss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1" fillId="2" borderId="0" xfId="0" applyFont="1" applyFill="1" applyAlignment="1">
      <alignment horizontal="left" vertical="top"/>
    </xf>
    <xf numFmtId="14" fontId="1" fillId="2" borderId="0" xfId="0" applyNumberFormat="1" applyFont="1" applyFill="1" applyAlignment="1">
      <alignment horizontal="center" vertical="top"/>
    </xf>
    <xf numFmtId="0" fontId="1" fillId="2" borderId="0" xfId="0" applyFont="1" applyFill="1" applyAlignment="1">
      <alignment vertical="top"/>
    </xf>
    <xf numFmtId="164" fontId="1" fillId="2" borderId="0" xfId="0" applyNumberFormat="1" applyFont="1" applyFill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165" fontId="1" fillId="2" borderId="0" xfId="0" applyNumberFormat="1" applyFont="1" applyFill="1" applyAlignment="1">
      <alignment horizontal="center" vertical="top"/>
    </xf>
    <xf numFmtId="0" fontId="1" fillId="2" borderId="2" xfId="0" applyFont="1" applyFill="1" applyBorder="1" applyAlignment="1">
      <alignment vertical="top"/>
    </xf>
    <xf numFmtId="0" fontId="0" fillId="0" borderId="0" xfId="0" applyAlignment="1">
      <alignment vertical="top"/>
    </xf>
    <xf numFmtId="0" fontId="0" fillId="3" borderId="3" xfId="0" applyFill="1" applyBorder="1" applyAlignment="1">
      <alignment horizontal="center" vertical="top"/>
    </xf>
    <xf numFmtId="0" fontId="0" fillId="3" borderId="4" xfId="0" applyFill="1" applyBorder="1" applyAlignment="1">
      <alignment horizontal="left" vertical="top"/>
    </xf>
    <xf numFmtId="14" fontId="0" fillId="3" borderId="4" xfId="0" applyNumberFormat="1" applyFill="1" applyBorder="1" applyAlignment="1">
      <alignment horizontal="center" vertical="top"/>
    </xf>
    <xf numFmtId="0" fontId="0" fillId="3" borderId="4" xfId="0" applyFill="1" applyBorder="1" applyAlignment="1">
      <alignment vertical="top"/>
    </xf>
    <xf numFmtId="2" fontId="0" fillId="3" borderId="4" xfId="0" applyNumberFormat="1" applyFill="1" applyBorder="1" applyAlignment="1">
      <alignment horizontal="center" vertical="top"/>
    </xf>
    <xf numFmtId="22" fontId="0" fillId="3" borderId="4" xfId="0" applyNumberFormat="1" applyFill="1" applyBorder="1" applyAlignment="1">
      <alignment horizontal="left" vertical="top"/>
    </xf>
    <xf numFmtId="0" fontId="0" fillId="3" borderId="4" xfId="0" applyFill="1" applyBorder="1" applyAlignment="1">
      <alignment horizontal="center" vertical="top"/>
    </xf>
    <xf numFmtId="165" fontId="0" fillId="3" borderId="4" xfId="0" applyNumberFormat="1" applyFill="1" applyBorder="1" applyAlignment="1">
      <alignment horizontal="center" vertical="top"/>
    </xf>
    <xf numFmtId="0" fontId="0" fillId="3" borderId="5" xfId="0" applyFill="1" applyBorder="1" applyAlignment="1">
      <alignment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14" fontId="0" fillId="0" borderId="4" xfId="0" applyNumberFormat="1" applyBorder="1" applyAlignment="1">
      <alignment horizontal="center" vertical="top"/>
    </xf>
    <xf numFmtId="0" fontId="0" fillId="0" borderId="4" xfId="0" applyBorder="1" applyAlignment="1">
      <alignment vertical="top"/>
    </xf>
    <xf numFmtId="2" fontId="0" fillId="0" borderId="4" xfId="0" applyNumberFormat="1" applyBorder="1" applyAlignment="1">
      <alignment horizontal="center" vertical="top"/>
    </xf>
    <xf numFmtId="22" fontId="0" fillId="0" borderId="4" xfId="0" applyNumberFormat="1" applyBorder="1" applyAlignment="1">
      <alignment horizontal="left" vertical="top"/>
    </xf>
    <xf numFmtId="0" fontId="0" fillId="0" borderId="4" xfId="0" applyBorder="1" applyAlignment="1">
      <alignment horizontal="center" vertical="top"/>
    </xf>
    <xf numFmtId="165" fontId="0" fillId="0" borderId="4" xfId="0" applyNumberFormat="1" applyBorder="1" applyAlignment="1">
      <alignment horizontal="center" vertical="top"/>
    </xf>
    <xf numFmtId="0" fontId="0" fillId="0" borderId="5" xfId="0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69DE9-D67B-41E1-9B3A-DFF91DC39D41}">
  <sheetPr codeName="Feuil1"/>
  <dimension ref="A1:L31"/>
  <sheetViews>
    <sheetView tabSelected="1" workbookViewId="0">
      <selection activeCell="A5" sqref="A5:XFD5"/>
    </sheetView>
  </sheetViews>
  <sheetFormatPr baseColWidth="10" defaultRowHeight="14.4" x14ac:dyDescent="0.3"/>
  <cols>
    <col min="1" max="1" width="6.77734375" customWidth="1"/>
    <col min="2" max="2" width="5.109375" bestFit="1" customWidth="1"/>
    <col min="4" max="4" width="23.5546875" bestFit="1" customWidth="1"/>
    <col min="5" max="5" width="85.5546875" bestFit="1" customWidth="1"/>
    <col min="7" max="7" width="25.109375" bestFit="1" customWidth="1"/>
    <col min="8" max="8" width="8.77734375" customWidth="1"/>
    <col min="9" max="9" width="18.21875" bestFit="1" customWidth="1"/>
    <col min="10" max="10" width="8.77734375" customWidth="1"/>
    <col min="12" max="12" width="8.77734375" customWidth="1"/>
  </cols>
  <sheetData>
    <row r="1" spans="1:12" s="9" customFormat="1" ht="19.95" customHeight="1" x14ac:dyDescent="0.3">
      <c r="A1" s="1" t="s">
        <v>0</v>
      </c>
      <c r="B1" s="2" t="s">
        <v>1</v>
      </c>
      <c r="C1" s="3" t="s">
        <v>2</v>
      </c>
      <c r="D1" s="4" t="s">
        <v>3</v>
      </c>
      <c r="E1" s="4" t="s">
        <v>4</v>
      </c>
      <c r="F1" s="5" t="s">
        <v>5</v>
      </c>
      <c r="G1" s="2" t="s">
        <v>6</v>
      </c>
      <c r="H1" s="6" t="s">
        <v>7</v>
      </c>
      <c r="I1" s="7" t="s">
        <v>8</v>
      </c>
      <c r="J1" s="6" t="s">
        <v>9</v>
      </c>
      <c r="K1" s="8" t="s">
        <v>10</v>
      </c>
      <c r="L1" s="6" t="s">
        <v>11</v>
      </c>
    </row>
    <row r="2" spans="1:12" s="9" customFormat="1" x14ac:dyDescent="0.3">
      <c r="A2" s="10">
        <f>ROW()-1</f>
        <v>1</v>
      </c>
      <c r="B2" s="11" t="s">
        <v>12</v>
      </c>
      <c r="C2" s="12">
        <v>44976</v>
      </c>
      <c r="D2" s="13" t="s">
        <v>13</v>
      </c>
      <c r="E2" s="13" t="s">
        <v>14</v>
      </c>
      <c r="F2" s="14">
        <v>1.4</v>
      </c>
      <c r="G2" s="15" t="s">
        <v>15</v>
      </c>
      <c r="H2" s="16" t="b">
        <v>1</v>
      </c>
      <c r="I2" s="17">
        <v>44976.765347222223</v>
      </c>
      <c r="J2" s="16" t="b">
        <v>0</v>
      </c>
      <c r="K2" s="18"/>
      <c r="L2" s="16" t="b">
        <v>0</v>
      </c>
    </row>
    <row r="3" spans="1:12" s="9" customFormat="1" x14ac:dyDescent="0.3">
      <c r="A3" s="19">
        <f t="shared" ref="A3:A31" si="0">ROW()-1</f>
        <v>2</v>
      </c>
      <c r="B3" s="20" t="s">
        <v>12</v>
      </c>
      <c r="C3" s="21">
        <v>44974</v>
      </c>
      <c r="D3" s="22" t="s">
        <v>16</v>
      </c>
      <c r="E3" s="22" t="s">
        <v>17</v>
      </c>
      <c r="F3" s="23">
        <v>1.5</v>
      </c>
      <c r="G3" s="24" t="s">
        <v>18</v>
      </c>
      <c r="H3" s="25" t="b">
        <v>1</v>
      </c>
      <c r="I3" s="26">
        <v>44981.475532407407</v>
      </c>
      <c r="J3" s="25" t="b">
        <v>0</v>
      </c>
      <c r="K3" s="27"/>
      <c r="L3" s="25" t="b">
        <v>0</v>
      </c>
    </row>
    <row r="4" spans="1:12" s="9" customFormat="1" x14ac:dyDescent="0.3">
      <c r="A4" s="10">
        <f t="shared" si="0"/>
        <v>3</v>
      </c>
      <c r="B4" s="11" t="s">
        <v>12</v>
      </c>
      <c r="C4" s="12">
        <v>44979</v>
      </c>
      <c r="D4" s="13" t="s">
        <v>13</v>
      </c>
      <c r="E4" s="13" t="s">
        <v>19</v>
      </c>
      <c r="F4" s="14">
        <v>2</v>
      </c>
      <c r="G4" s="15" t="s">
        <v>20</v>
      </c>
      <c r="H4" s="16" t="b">
        <v>1</v>
      </c>
      <c r="I4" s="17">
        <v>44979.379212962966</v>
      </c>
      <c r="J4" s="16" t="b">
        <v>0</v>
      </c>
      <c r="K4" s="18"/>
      <c r="L4" s="16" t="b">
        <v>0</v>
      </c>
    </row>
    <row r="5" spans="1:12" s="9" customFormat="1" x14ac:dyDescent="0.3">
      <c r="A5" s="19">
        <f t="shared" si="0"/>
        <v>4</v>
      </c>
      <c r="B5" s="20" t="s">
        <v>21</v>
      </c>
      <c r="C5" s="21">
        <v>44974</v>
      </c>
      <c r="D5" s="22" t="s">
        <v>16</v>
      </c>
      <c r="E5" s="22" t="s">
        <v>22</v>
      </c>
      <c r="F5" s="23">
        <v>0.4</v>
      </c>
      <c r="G5" s="24" t="s">
        <v>23</v>
      </c>
      <c r="H5" s="25" t="b">
        <v>1</v>
      </c>
      <c r="I5" s="26">
        <v>44979.429293981484</v>
      </c>
      <c r="J5" s="25" t="b">
        <v>0</v>
      </c>
      <c r="K5" s="27"/>
      <c r="L5" s="25" t="b">
        <v>0</v>
      </c>
    </row>
    <row r="6" spans="1:12" s="9" customFormat="1" x14ac:dyDescent="0.3">
      <c r="A6" s="10">
        <f t="shared" si="0"/>
        <v>5</v>
      </c>
      <c r="B6" s="11" t="s">
        <v>21</v>
      </c>
      <c r="C6" s="12">
        <v>44979</v>
      </c>
      <c r="D6" s="13" t="s">
        <v>13</v>
      </c>
      <c r="E6" s="13" t="s">
        <v>24</v>
      </c>
      <c r="F6" s="14">
        <v>0.5</v>
      </c>
      <c r="G6" s="15"/>
      <c r="H6" s="16" t="b">
        <v>1</v>
      </c>
      <c r="I6" s="17">
        <v>44979.380428240744</v>
      </c>
      <c r="J6" s="16" t="b">
        <v>0</v>
      </c>
      <c r="K6" s="18"/>
      <c r="L6" s="16" t="b">
        <v>0</v>
      </c>
    </row>
    <row r="7" spans="1:12" s="9" customFormat="1" x14ac:dyDescent="0.3">
      <c r="A7" s="19">
        <f t="shared" si="0"/>
        <v>6</v>
      </c>
      <c r="B7" s="20" t="s">
        <v>21</v>
      </c>
      <c r="C7" s="21">
        <v>44978</v>
      </c>
      <c r="D7" s="22" t="s">
        <v>25</v>
      </c>
      <c r="E7" s="22" t="s">
        <v>26</v>
      </c>
      <c r="F7" s="23">
        <v>4</v>
      </c>
      <c r="G7" s="24" t="s">
        <v>27</v>
      </c>
      <c r="H7" s="25" t="b">
        <v>1</v>
      </c>
      <c r="I7" s="26">
        <v>44979.390057870369</v>
      </c>
      <c r="J7" s="25" t="b">
        <v>0</v>
      </c>
      <c r="K7" s="27"/>
      <c r="L7" s="25" t="b">
        <v>0</v>
      </c>
    </row>
    <row r="8" spans="1:12" s="9" customFormat="1" x14ac:dyDescent="0.3">
      <c r="A8" s="10">
        <f t="shared" si="0"/>
        <v>7</v>
      </c>
      <c r="B8" s="11" t="s">
        <v>12</v>
      </c>
      <c r="C8" s="12">
        <v>44978</v>
      </c>
      <c r="D8" s="13" t="s">
        <v>28</v>
      </c>
      <c r="E8" s="13" t="s">
        <v>29</v>
      </c>
      <c r="F8" s="14">
        <v>4</v>
      </c>
      <c r="G8" s="15" t="s">
        <v>30</v>
      </c>
      <c r="H8" s="16" t="b">
        <v>1</v>
      </c>
      <c r="I8" s="17">
        <v>44979.393460648149</v>
      </c>
      <c r="J8" s="16" t="b">
        <v>0</v>
      </c>
      <c r="K8" s="18"/>
      <c r="L8" s="16" t="b">
        <v>0</v>
      </c>
    </row>
    <row r="9" spans="1:12" s="9" customFormat="1" x14ac:dyDescent="0.3">
      <c r="A9" s="19">
        <f t="shared" si="0"/>
        <v>8</v>
      </c>
      <c r="B9" s="20" t="s">
        <v>12</v>
      </c>
      <c r="C9" s="21">
        <v>44979</v>
      </c>
      <c r="D9" s="22" t="s">
        <v>13</v>
      </c>
      <c r="E9" s="22" t="s">
        <v>31</v>
      </c>
      <c r="F9" s="23">
        <v>1</v>
      </c>
      <c r="G9" s="24" t="s">
        <v>32</v>
      </c>
      <c r="H9" s="25" t="b">
        <v>1</v>
      </c>
      <c r="I9" s="26">
        <v>44979.413668981484</v>
      </c>
      <c r="J9" s="25" t="b">
        <v>0</v>
      </c>
      <c r="K9" s="27"/>
      <c r="L9" s="25" t="b">
        <v>0</v>
      </c>
    </row>
    <row r="10" spans="1:12" s="9" customFormat="1" x14ac:dyDescent="0.3">
      <c r="A10" s="10">
        <f t="shared" si="0"/>
        <v>9</v>
      </c>
      <c r="B10" s="11" t="s">
        <v>12</v>
      </c>
      <c r="C10" s="12">
        <v>44977</v>
      </c>
      <c r="D10" s="13" t="s">
        <v>33</v>
      </c>
      <c r="E10" s="13" t="s">
        <v>34</v>
      </c>
      <c r="F10" s="14">
        <v>0.25</v>
      </c>
      <c r="G10" s="15" t="s">
        <v>35</v>
      </c>
      <c r="H10" s="16" t="b">
        <v>1</v>
      </c>
      <c r="I10" s="17">
        <v>44979.43340277778</v>
      </c>
      <c r="J10" s="16" t="b">
        <v>0</v>
      </c>
      <c r="K10" s="18"/>
      <c r="L10" s="16" t="b">
        <v>0</v>
      </c>
    </row>
    <row r="11" spans="1:12" s="9" customFormat="1" x14ac:dyDescent="0.3">
      <c r="A11" s="19">
        <f t="shared" si="0"/>
        <v>10</v>
      </c>
      <c r="B11" s="20" t="s">
        <v>12</v>
      </c>
      <c r="C11" s="21">
        <v>44979</v>
      </c>
      <c r="D11" s="22" t="s">
        <v>28</v>
      </c>
      <c r="E11" s="22" t="s">
        <v>36</v>
      </c>
      <c r="F11" s="23">
        <v>1.25</v>
      </c>
      <c r="G11" s="24" t="s">
        <v>37</v>
      </c>
      <c r="H11" s="25" t="b">
        <v>1</v>
      </c>
      <c r="I11" s="26">
        <v>44979.414583333331</v>
      </c>
      <c r="J11" s="25" t="s">
        <v>38</v>
      </c>
      <c r="K11" s="27"/>
      <c r="L11" s="25" t="b">
        <v>0</v>
      </c>
    </row>
    <row r="12" spans="1:12" s="9" customFormat="1" x14ac:dyDescent="0.3">
      <c r="A12" s="10">
        <f t="shared" si="0"/>
        <v>11</v>
      </c>
      <c r="B12" s="11" t="s">
        <v>21</v>
      </c>
      <c r="C12" s="12">
        <v>44974</v>
      </c>
      <c r="D12" s="13" t="s">
        <v>13</v>
      </c>
      <c r="E12" s="13" t="s">
        <v>39</v>
      </c>
      <c r="F12" s="14">
        <v>1.75</v>
      </c>
      <c r="G12" s="15"/>
      <c r="H12" s="16" t="b">
        <v>1</v>
      </c>
      <c r="I12" s="17">
        <v>44979.429236111115</v>
      </c>
      <c r="J12" s="16" t="b">
        <v>0</v>
      </c>
      <c r="K12" s="18"/>
      <c r="L12" s="16" t="b">
        <v>0</v>
      </c>
    </row>
    <row r="13" spans="1:12" s="9" customFormat="1" x14ac:dyDescent="0.3">
      <c r="A13" s="19">
        <f t="shared" si="0"/>
        <v>12</v>
      </c>
      <c r="B13" s="20" t="s">
        <v>40</v>
      </c>
      <c r="C13" s="21">
        <v>44980</v>
      </c>
      <c r="D13" s="22" t="s">
        <v>16</v>
      </c>
      <c r="E13" s="22" t="s">
        <v>41</v>
      </c>
      <c r="F13" s="23">
        <v>1.25</v>
      </c>
      <c r="G13" s="24" t="s">
        <v>42</v>
      </c>
      <c r="H13" s="25" t="b">
        <v>1</v>
      </c>
      <c r="I13" s="26">
        <v>44979.437465277777</v>
      </c>
      <c r="J13" s="25" t="b">
        <v>0</v>
      </c>
      <c r="K13" s="27"/>
      <c r="L13" s="25" t="b">
        <v>0</v>
      </c>
    </row>
    <row r="14" spans="1:12" s="9" customFormat="1" x14ac:dyDescent="0.3">
      <c r="A14" s="10">
        <f t="shared" si="0"/>
        <v>13</v>
      </c>
      <c r="B14" s="11" t="s">
        <v>40</v>
      </c>
      <c r="C14" s="12">
        <v>44979</v>
      </c>
      <c r="D14" s="13" t="s">
        <v>16</v>
      </c>
      <c r="E14" s="13" t="s">
        <v>43</v>
      </c>
      <c r="F14" s="14">
        <v>0.5</v>
      </c>
      <c r="G14" s="15"/>
      <c r="H14" s="16" t="b">
        <v>1</v>
      </c>
      <c r="I14" s="17">
        <v>44979.43712962963</v>
      </c>
      <c r="J14" s="16" t="b">
        <v>0</v>
      </c>
      <c r="K14" s="18"/>
      <c r="L14" s="16" t="b">
        <v>0</v>
      </c>
    </row>
    <row r="15" spans="1:12" s="9" customFormat="1" x14ac:dyDescent="0.3">
      <c r="A15" s="19">
        <f t="shared" si="0"/>
        <v>14</v>
      </c>
      <c r="B15" s="20" t="s">
        <v>12</v>
      </c>
      <c r="C15" s="21">
        <v>44979</v>
      </c>
      <c r="D15" s="22" t="s">
        <v>33</v>
      </c>
      <c r="E15" s="22" t="s">
        <v>44</v>
      </c>
      <c r="F15" s="23">
        <v>4</v>
      </c>
      <c r="G15" s="24" t="s">
        <v>44</v>
      </c>
      <c r="H15" s="25" t="b">
        <v>1</v>
      </c>
      <c r="I15" s="26">
        <v>44979.439270833333</v>
      </c>
      <c r="J15" s="25" t="b">
        <v>0</v>
      </c>
      <c r="K15" s="27"/>
      <c r="L15" s="25" t="b">
        <v>0</v>
      </c>
    </row>
    <row r="16" spans="1:12" s="9" customFormat="1" x14ac:dyDescent="0.3">
      <c r="A16" s="10">
        <f t="shared" si="0"/>
        <v>15</v>
      </c>
      <c r="B16" s="11" t="s">
        <v>12</v>
      </c>
      <c r="C16" s="12">
        <v>44979</v>
      </c>
      <c r="D16" s="13" t="s">
        <v>16</v>
      </c>
      <c r="E16" s="13" t="s">
        <v>45</v>
      </c>
      <c r="F16" s="14">
        <v>0.5</v>
      </c>
      <c r="G16" s="15" t="s">
        <v>44</v>
      </c>
      <c r="H16" s="16" t="s">
        <v>46</v>
      </c>
      <c r="I16" s="17">
        <v>44979.4375</v>
      </c>
      <c r="J16" s="16" t="s">
        <v>38</v>
      </c>
      <c r="K16" s="18"/>
      <c r="L16" s="16" t="b">
        <v>0</v>
      </c>
    </row>
    <row r="17" spans="1:12" s="9" customFormat="1" x14ac:dyDescent="0.3">
      <c r="A17" s="19">
        <f t="shared" si="0"/>
        <v>16</v>
      </c>
      <c r="B17" s="20" t="s">
        <v>21</v>
      </c>
      <c r="C17" s="21">
        <v>44978</v>
      </c>
      <c r="D17" s="22" t="s">
        <v>25</v>
      </c>
      <c r="E17" s="22" t="s">
        <v>47</v>
      </c>
      <c r="F17" s="23">
        <v>0.5</v>
      </c>
      <c r="G17" s="24" t="s">
        <v>48</v>
      </c>
      <c r="H17" s="25" t="b">
        <v>1</v>
      </c>
      <c r="I17" s="26">
        <v>44979.445787037039</v>
      </c>
      <c r="J17" s="25" t="b">
        <v>0</v>
      </c>
      <c r="K17" s="27"/>
      <c r="L17" s="25" t="b">
        <v>0</v>
      </c>
    </row>
    <row r="18" spans="1:12" s="9" customFormat="1" x14ac:dyDescent="0.3">
      <c r="A18" s="10">
        <f t="shared" si="0"/>
        <v>17</v>
      </c>
      <c r="B18" s="11" t="s">
        <v>21</v>
      </c>
      <c r="C18" s="12">
        <v>44978</v>
      </c>
      <c r="D18" s="13" t="s">
        <v>28</v>
      </c>
      <c r="E18" s="13"/>
      <c r="F18" s="14">
        <v>0.5</v>
      </c>
      <c r="G18" s="15"/>
      <c r="H18" s="16" t="b">
        <v>1</v>
      </c>
      <c r="I18" s="17">
        <v>44979.44604166667</v>
      </c>
      <c r="J18" s="16" t="b">
        <v>0</v>
      </c>
      <c r="K18" s="18"/>
      <c r="L18" s="16" t="b">
        <v>0</v>
      </c>
    </row>
    <row r="19" spans="1:12" s="9" customFormat="1" x14ac:dyDescent="0.3">
      <c r="A19" s="19">
        <f t="shared" si="0"/>
        <v>18</v>
      </c>
      <c r="B19" s="20" t="s">
        <v>21</v>
      </c>
      <c r="C19" s="21">
        <v>44978</v>
      </c>
      <c r="D19" s="22" t="s">
        <v>28</v>
      </c>
      <c r="E19" s="22" t="s">
        <v>49</v>
      </c>
      <c r="F19" s="23">
        <v>0.25</v>
      </c>
      <c r="G19" s="24"/>
      <c r="H19" s="25" t="b">
        <v>1</v>
      </c>
      <c r="I19" s="26">
        <v>44979.446192129632</v>
      </c>
      <c r="J19" s="25" t="b">
        <v>0</v>
      </c>
      <c r="K19" s="27"/>
      <c r="L19" s="25" t="b">
        <v>0</v>
      </c>
    </row>
    <row r="20" spans="1:12" s="9" customFormat="1" x14ac:dyDescent="0.3">
      <c r="A20" s="10">
        <f t="shared" si="0"/>
        <v>19</v>
      </c>
      <c r="B20" s="11" t="s">
        <v>40</v>
      </c>
      <c r="C20" s="12">
        <v>44978</v>
      </c>
      <c r="D20" s="13" t="s">
        <v>16</v>
      </c>
      <c r="E20" s="13" t="s">
        <v>50</v>
      </c>
      <c r="F20" s="14">
        <v>1</v>
      </c>
      <c r="G20" s="15" t="s">
        <v>44</v>
      </c>
      <c r="H20" s="16" t="s">
        <v>46</v>
      </c>
      <c r="I20" s="17">
        <v>44979.445138888892</v>
      </c>
      <c r="J20" s="16" t="s">
        <v>38</v>
      </c>
      <c r="K20" s="18"/>
      <c r="L20" s="16" t="b">
        <v>0</v>
      </c>
    </row>
    <row r="21" spans="1:12" s="9" customFormat="1" x14ac:dyDescent="0.3">
      <c r="A21" s="19">
        <f t="shared" si="0"/>
        <v>20</v>
      </c>
      <c r="B21" s="20" t="s">
        <v>12</v>
      </c>
      <c r="C21" s="21">
        <v>44973</v>
      </c>
      <c r="D21" s="22" t="s">
        <v>16</v>
      </c>
      <c r="E21" s="22" t="s">
        <v>51</v>
      </c>
      <c r="F21" s="23" t="s">
        <v>52</v>
      </c>
      <c r="G21" s="24"/>
      <c r="H21" s="25" t="b">
        <v>1</v>
      </c>
      <c r="I21" s="26">
        <v>44981.554282407407</v>
      </c>
      <c r="J21" s="25" t="b">
        <v>0</v>
      </c>
      <c r="K21" s="27"/>
      <c r="L21" s="25" t="b">
        <v>0</v>
      </c>
    </row>
    <row r="22" spans="1:12" s="9" customFormat="1" x14ac:dyDescent="0.3">
      <c r="A22" s="10">
        <f t="shared" si="0"/>
        <v>21</v>
      </c>
      <c r="B22" s="11" t="s">
        <v>12</v>
      </c>
      <c r="C22" s="12">
        <v>44980</v>
      </c>
      <c r="D22" s="13" t="s">
        <v>16</v>
      </c>
      <c r="E22" s="13" t="s">
        <v>53</v>
      </c>
      <c r="F22" s="14">
        <v>0.5</v>
      </c>
      <c r="G22" s="15"/>
      <c r="H22" s="16" t="s">
        <v>46</v>
      </c>
      <c r="I22" s="17">
        <v>44980.429861111108</v>
      </c>
      <c r="J22" s="16" t="s">
        <v>38</v>
      </c>
      <c r="K22" s="18"/>
      <c r="L22" s="16" t="b">
        <v>0</v>
      </c>
    </row>
    <row r="23" spans="1:12" s="9" customFormat="1" x14ac:dyDescent="0.3">
      <c r="A23" s="19">
        <f t="shared" si="0"/>
        <v>22</v>
      </c>
      <c r="B23" s="20" t="s">
        <v>40</v>
      </c>
      <c r="C23" s="21">
        <v>44974</v>
      </c>
      <c r="D23" s="22" t="s">
        <v>25</v>
      </c>
      <c r="E23" s="22" t="s">
        <v>54</v>
      </c>
      <c r="F23" s="23">
        <v>3.75</v>
      </c>
      <c r="G23" s="24"/>
      <c r="H23" s="25" t="b">
        <v>1</v>
      </c>
      <c r="I23" s="26">
        <v>44981.47859953704</v>
      </c>
      <c r="J23" s="25" t="b">
        <v>0</v>
      </c>
      <c r="K23" s="27"/>
      <c r="L23" s="25" t="b">
        <v>0</v>
      </c>
    </row>
    <row r="24" spans="1:12" s="9" customFormat="1" x14ac:dyDescent="0.3">
      <c r="A24" s="10">
        <f t="shared" si="0"/>
        <v>23</v>
      </c>
      <c r="B24" s="11" t="s">
        <v>40</v>
      </c>
      <c r="C24" s="12">
        <v>44979</v>
      </c>
      <c r="D24" s="13" t="s">
        <v>28</v>
      </c>
      <c r="E24" s="13" t="s">
        <v>44</v>
      </c>
      <c r="F24" s="14">
        <v>1.5</v>
      </c>
      <c r="G24" s="15"/>
      <c r="H24" s="16" t="b">
        <v>1</v>
      </c>
      <c r="I24" s="17">
        <v>44980.526597222219</v>
      </c>
      <c r="J24" s="16" t="b">
        <v>0</v>
      </c>
      <c r="K24" s="18"/>
      <c r="L24" s="16" t="b">
        <v>0</v>
      </c>
    </row>
    <row r="25" spans="1:12" s="9" customFormat="1" x14ac:dyDescent="0.3">
      <c r="A25" s="19">
        <f t="shared" si="0"/>
        <v>24</v>
      </c>
      <c r="B25" s="20" t="s">
        <v>12</v>
      </c>
      <c r="C25" s="21">
        <v>44979</v>
      </c>
      <c r="D25" s="22" t="s">
        <v>13</v>
      </c>
      <c r="E25" s="22" t="s">
        <v>55</v>
      </c>
      <c r="F25" s="23">
        <v>1</v>
      </c>
      <c r="G25" s="24"/>
      <c r="H25" s="25" t="s">
        <v>46</v>
      </c>
      <c r="I25" s="26">
        <v>44980.527083333334</v>
      </c>
      <c r="J25" s="25" t="s">
        <v>38</v>
      </c>
      <c r="K25" s="27"/>
      <c r="L25" s="25" t="b">
        <v>0</v>
      </c>
    </row>
    <row r="26" spans="1:12" s="9" customFormat="1" x14ac:dyDescent="0.3">
      <c r="A26" s="10">
        <f t="shared" si="0"/>
        <v>25</v>
      </c>
      <c r="B26" s="11" t="s">
        <v>12</v>
      </c>
      <c r="C26" s="12">
        <v>44979</v>
      </c>
      <c r="D26" s="13" t="s">
        <v>33</v>
      </c>
      <c r="E26" s="13" t="s">
        <v>56</v>
      </c>
      <c r="F26" s="14">
        <v>0.5</v>
      </c>
      <c r="G26" s="15"/>
      <c r="H26" s="16" t="b">
        <v>1</v>
      </c>
      <c r="I26" s="17">
        <v>44980.531087962961</v>
      </c>
      <c r="J26" s="16" t="b">
        <v>0</v>
      </c>
      <c r="K26" s="18"/>
      <c r="L26" s="16" t="b">
        <v>0</v>
      </c>
    </row>
    <row r="27" spans="1:12" s="9" customFormat="1" x14ac:dyDescent="0.3">
      <c r="A27" s="19">
        <f t="shared" si="0"/>
        <v>26</v>
      </c>
      <c r="B27" s="20" t="s">
        <v>12</v>
      </c>
      <c r="C27" s="21">
        <v>44979</v>
      </c>
      <c r="D27" s="22" t="s">
        <v>28</v>
      </c>
      <c r="E27" s="22" t="s">
        <v>57</v>
      </c>
      <c r="F27" s="23">
        <v>0.6</v>
      </c>
      <c r="G27" s="24"/>
      <c r="H27" s="25" t="b">
        <v>1</v>
      </c>
      <c r="I27" s="26">
        <v>44981.443784722222</v>
      </c>
      <c r="J27" s="25" t="b">
        <v>0</v>
      </c>
      <c r="K27" s="27"/>
      <c r="L27" s="25" t="b">
        <v>0</v>
      </c>
    </row>
    <row r="28" spans="1:12" s="9" customFormat="1" x14ac:dyDescent="0.3">
      <c r="A28" s="10">
        <f t="shared" si="0"/>
        <v>27</v>
      </c>
      <c r="B28" s="11" t="s">
        <v>12</v>
      </c>
      <c r="C28" s="12">
        <v>44979</v>
      </c>
      <c r="D28" s="13" t="s">
        <v>25</v>
      </c>
      <c r="E28" s="13" t="s">
        <v>58</v>
      </c>
      <c r="F28" s="14">
        <v>1</v>
      </c>
      <c r="G28" s="15" t="s">
        <v>59</v>
      </c>
      <c r="H28" s="16" t="b">
        <v>1</v>
      </c>
      <c r="I28" s="17">
        <v>44980.889097222222</v>
      </c>
      <c r="J28" s="16" t="b">
        <v>0</v>
      </c>
      <c r="K28" s="18"/>
      <c r="L28" s="16" t="b">
        <v>0</v>
      </c>
    </row>
    <row r="29" spans="1:12" s="9" customFormat="1" x14ac:dyDescent="0.3">
      <c r="A29" s="19">
        <f t="shared" si="0"/>
        <v>28</v>
      </c>
      <c r="B29" s="20" t="s">
        <v>12</v>
      </c>
      <c r="C29" s="21">
        <v>44979</v>
      </c>
      <c r="D29" s="22" t="s">
        <v>16</v>
      </c>
      <c r="E29" s="22" t="s">
        <v>60</v>
      </c>
      <c r="F29" s="23">
        <v>2</v>
      </c>
      <c r="G29" s="24" t="s">
        <v>61</v>
      </c>
      <c r="H29" s="25" t="b">
        <v>1</v>
      </c>
      <c r="I29" s="26">
        <v>44980.893067129633</v>
      </c>
      <c r="J29" s="25" t="b">
        <v>0</v>
      </c>
      <c r="K29" s="27"/>
      <c r="L29" s="25" t="b">
        <v>0</v>
      </c>
    </row>
    <row r="30" spans="1:12" s="9" customFormat="1" x14ac:dyDescent="0.3">
      <c r="A30" s="10">
        <f t="shared" si="0"/>
        <v>29</v>
      </c>
      <c r="B30" s="11" t="s">
        <v>40</v>
      </c>
      <c r="C30" s="12">
        <v>44981</v>
      </c>
      <c r="D30" s="13" t="s">
        <v>16</v>
      </c>
      <c r="E30" s="13" t="s">
        <v>62</v>
      </c>
      <c r="F30" s="14">
        <v>1</v>
      </c>
      <c r="G30" s="15"/>
      <c r="H30" s="16" t="b">
        <v>1</v>
      </c>
      <c r="I30" s="17">
        <v>44981.405127314814</v>
      </c>
      <c r="J30" s="16" t="b">
        <v>0</v>
      </c>
      <c r="K30" s="18"/>
      <c r="L30" s="16" t="b">
        <v>0</v>
      </c>
    </row>
    <row r="31" spans="1:12" s="9" customFormat="1" x14ac:dyDescent="0.3">
      <c r="A31" s="19">
        <f t="shared" si="0"/>
        <v>30</v>
      </c>
      <c r="B31" s="20" t="s">
        <v>12</v>
      </c>
      <c r="C31" s="21">
        <v>44979</v>
      </c>
      <c r="D31" s="22" t="s">
        <v>28</v>
      </c>
      <c r="E31" s="22" t="s">
        <v>63</v>
      </c>
      <c r="F31" s="23">
        <v>2.5</v>
      </c>
      <c r="G31" s="24"/>
      <c r="H31" s="25" t="b">
        <v>1</v>
      </c>
      <c r="I31" s="26">
        <v>44981.450335648151</v>
      </c>
      <c r="J31" s="25" t="b">
        <v>0</v>
      </c>
      <c r="K31" s="27"/>
      <c r="L31" s="25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dcterms:created xsi:type="dcterms:W3CDTF">2023-03-28T12:50:30Z</dcterms:created>
  <dcterms:modified xsi:type="dcterms:W3CDTF">2023-03-28T14:53:32Z</dcterms:modified>
</cp:coreProperties>
</file>