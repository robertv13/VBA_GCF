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6C2D488-2C24-4F2C-8FD8-2AB4EDCBDC71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7" i="9" l="1"/>
  <c r="G66" i="9"/>
  <c r="G65" i="9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U40" i="3"/>
  <c r="W40" i="3" s="1"/>
  <c r="U41" i="3"/>
  <c r="W41" i="3" s="1"/>
  <c r="U42" i="3"/>
  <c r="U43" i="3"/>
  <c r="U44" i="3"/>
  <c r="U45" i="3"/>
  <c r="U46" i="3"/>
  <c r="W46" i="3" s="1"/>
  <c r="U47" i="3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U64" i="3"/>
  <c r="W64" i="3" s="1"/>
  <c r="U31" i="3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42" i="3" l="1"/>
  <c r="W31" i="3"/>
  <c r="W55" i="3"/>
  <c r="W47" i="3"/>
  <c r="W39" i="3"/>
  <c r="W63" i="3"/>
  <c r="W59" i="3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<sst xmlns="http://schemas.openxmlformats.org/spreadsheetml/2006/main" count="561" uniqueCount="251">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</sst>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right" wrapText="1" shrinkToFit="1"/>
    </xf>
    <xf numFmtId="170" fontId="35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DF_Email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Create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topLeftCell="Q54" zoomScaleNormal="100" workbookViewId="0">
      <selection activeCell="P15" sqref="P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9" t="s">
        <v>205</v>
      </c>
      <c r="D1" s="179"/>
      <c r="E1" s="179"/>
      <c r="F1" s="179"/>
      <c r="G1" s="179"/>
      <c r="H1" s="179"/>
      <c r="I1" s="179" t="s">
        <v>122</v>
      </c>
      <c r="J1" s="179"/>
      <c r="K1" s="179"/>
      <c r="L1" s="179"/>
      <c r="M1" s="179"/>
      <c r="N1" s="179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7"/>
      <c r="J2" s="187"/>
      <c r="K2" s="187"/>
      <c r="L2" s="187"/>
      <c r="M2" s="187"/>
      <c r="N2" s="187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0" t="s">
        <v>236</v>
      </c>
      <c r="N3" s="44">
        <v>45203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90" t="s">
        <v>110</v>
      </c>
      <c r="K4" s="190"/>
      <c r="L4" s="43"/>
      <c r="M4" s="160" t="s">
        <v>235</v>
      </c>
      <c r="N4" s="44">
        <v>45234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3" t="s">
        <v>3</v>
      </c>
      <c r="E5" s="180" t="s">
        <v>165</v>
      </c>
      <c r="F5" s="28" t="s">
        <v>61</v>
      </c>
      <c r="G5" s="31">
        <v>10</v>
      </c>
      <c r="H5" s="137"/>
      <c r="I5" s="42"/>
      <c r="J5" s="42" t="s">
        <v>111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4"/>
      <c r="E6" s="181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23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5"/>
      <c r="E7" s="182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8" t="s">
        <v>77</v>
      </c>
      <c r="J8" s="189"/>
      <c r="K8" s="189"/>
      <c r="L8" s="189"/>
      <c r="M8" s="189"/>
      <c r="N8" s="189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6" t="s">
        <v>90</v>
      </c>
      <c r="E10" s="186"/>
      <c r="F10" s="186"/>
      <c r="G10" s="186"/>
      <c r="H10" s="137"/>
      <c r="I10" s="47"/>
      <c r="J10" s="47"/>
      <c r="K10" s="47" t="s">
        <v>188</v>
      </c>
      <c r="L10" s="108">
        <v>9.75</v>
      </c>
      <c r="M10" s="119">
        <v>350</v>
      </c>
      <c r="N10" s="62">
        <f>IF(L10*M10&lt;&gt;0,L10*M10,"")</f>
        <v>3412.5</v>
      </c>
      <c r="O10" s="147">
        <v>67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/>
      <c r="L11" s="108"/>
      <c r="M11" s="119"/>
      <c r="N11" s="62" t="str">
        <f t="shared" ref="N11:N46" si="0">IF(L11*M11&lt;&gt;0,L11*M11,"")</f>
        <v/>
      </c>
      <c r="O11" s="147"/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8">
        <v>8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8">
        <v>17</v>
      </c>
      <c r="I13" s="47"/>
      <c r="J13" s="47"/>
      <c r="K13" s="161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8">
        <v>20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3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6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26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HUWIZ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24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298 Rue de Martigny O #200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Saint-Jérôme, QC,  J7Y 4C9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23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246</v>
      </c>
      <c r="B26" s="163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8" t="s">
        <v>77</v>
      </c>
      <c r="T26" s="178"/>
      <c r="U26" s="178"/>
      <c r="V26" s="178"/>
      <c r="W26" s="178"/>
      <c r="X26" s="178"/>
      <c r="Y26" s="9"/>
    </row>
    <row r="27" spans="1:25" ht="15" customHeight="1" x14ac:dyDescent="0.25">
      <c r="A27" s="162" t="s">
        <v>249</v>
      </c>
      <c r="B27" s="163" t="b">
        <v>0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 xml:space="preserve">   - Préparation des formulaires d'obtention des numéros de fiducie fédéral et provincial pour la nouvelle fiducie ;</v>
      </c>
      <c r="U30" s="168" t="str">
        <f>IF($B$26=TRUE,$L10,"")</f>
        <v/>
      </c>
      <c r="V30" s="168" t="str">
        <f>IF($B$26=TRUE,$M10,"")</f>
        <v/>
      </c>
      <c r="W30" s="169" t="str">
        <f>IF(U30&lt;&gt;"",IF(V30&lt;&gt;"",U30*V30,""),"")</f>
        <v/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/>
      </c>
      <c r="U31" s="168" t="str">
        <f t="shared" ref="U31:U64" si="3">IF($B$26=TRUE,$L11,"")</f>
        <v/>
      </c>
      <c r="V31" s="168" t="str">
        <f t="shared" ref="V31:V64" si="4">IF($B$26=TRUE,$M11,"")</f>
        <v/>
      </c>
      <c r="W31" s="169" t="str">
        <f t="shared" ref="W31:W64" si="5">IF(U31&lt;&gt;"",IF(V31&lt;&gt;"",U31*V31,""),"")</f>
        <v/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 t="str">
        <f t="shared" si="3"/>
        <v/>
      </c>
      <c r="V32" s="168" t="str">
        <f t="shared" si="4"/>
        <v/>
      </c>
      <c r="W32" s="169" t="str">
        <f t="shared" si="5"/>
        <v/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68" t="str">
        <f t="shared" si="3"/>
        <v/>
      </c>
      <c r="V33" s="168" t="str">
        <f t="shared" si="4"/>
        <v/>
      </c>
      <c r="W33" s="169" t="str">
        <f t="shared" si="5"/>
        <v/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 t="str">
        <f t="shared" si="3"/>
        <v/>
      </c>
      <c r="V34" s="168" t="str">
        <f t="shared" si="4"/>
        <v/>
      </c>
      <c r="W34" s="169" t="str">
        <f t="shared" si="5"/>
        <v/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68" t="str">
        <f t="shared" si="3"/>
        <v/>
      </c>
      <c r="V35" s="168" t="str">
        <f t="shared" si="4"/>
        <v/>
      </c>
      <c r="W35" s="169" t="str">
        <f t="shared" si="5"/>
        <v/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 t="str">
        <f t="shared" si="3"/>
        <v/>
      </c>
      <c r="V36" s="168" t="str">
        <f t="shared" si="4"/>
        <v/>
      </c>
      <c r="W36" s="169" t="str">
        <f t="shared" si="5"/>
        <v/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 t="str">
        <f t="shared" si="3"/>
        <v/>
      </c>
      <c r="V37" s="168" t="str">
        <f t="shared" si="4"/>
        <v/>
      </c>
      <c r="W37" s="169" t="str">
        <f t="shared" si="5"/>
        <v/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 t="str">
        <f t="shared" si="3"/>
        <v/>
      </c>
      <c r="V38" s="168" t="str">
        <f t="shared" si="4"/>
        <v/>
      </c>
      <c r="W38" s="169" t="str">
        <f t="shared" si="5"/>
        <v/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 t="str">
        <f t="shared" si="3"/>
        <v/>
      </c>
      <c r="V39" s="168" t="str">
        <f t="shared" si="4"/>
        <v/>
      </c>
      <c r="W39" s="169" t="str">
        <f t="shared" si="5"/>
        <v/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 t="str">
        <f t="shared" si="3"/>
        <v/>
      </c>
      <c r="V40" s="168" t="str">
        <f t="shared" si="4"/>
        <v/>
      </c>
      <c r="W40" s="169" t="str">
        <f t="shared" si="5"/>
        <v/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 t="str">
        <f t="shared" si="3"/>
        <v/>
      </c>
      <c r="V41" s="168" t="str">
        <f t="shared" si="4"/>
        <v/>
      </c>
      <c r="W41" s="169" t="str">
        <f t="shared" si="5"/>
        <v/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 t="str">
        <f t="shared" si="3"/>
        <v/>
      </c>
      <c r="V42" s="168" t="str">
        <f t="shared" si="4"/>
        <v/>
      </c>
      <c r="W42" s="169" t="str">
        <f t="shared" si="5"/>
        <v/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 t="str">
        <f t="shared" si="3"/>
        <v/>
      </c>
      <c r="V43" s="168" t="str">
        <f t="shared" si="4"/>
        <v/>
      </c>
      <c r="W43" s="169" t="str">
        <f t="shared" si="5"/>
        <v/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 t="str">
        <f t="shared" si="3"/>
        <v/>
      </c>
      <c r="V44" s="168" t="str">
        <f t="shared" si="4"/>
        <v/>
      </c>
      <c r="W44" s="169" t="str">
        <f t="shared" si="5"/>
        <v/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 t="str">
        <f t="shared" si="3"/>
        <v/>
      </c>
      <c r="V45" s="168" t="str">
        <f t="shared" si="4"/>
        <v/>
      </c>
      <c r="W45" s="169" t="str">
        <f t="shared" si="5"/>
        <v/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 t="str">
        <f t="shared" si="3"/>
        <v/>
      </c>
      <c r="V46" s="168" t="str">
        <f t="shared" si="4"/>
        <v/>
      </c>
      <c r="W46" s="169" t="str">
        <f t="shared" si="5"/>
        <v/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3412.5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 t="str">
        <f t="shared" si="3"/>
        <v/>
      </c>
      <c r="V47" s="168" t="str">
        <f t="shared" si="4"/>
        <v/>
      </c>
      <c r="W47" s="169" t="str">
        <f t="shared" si="5"/>
        <v/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 t="str">
        <f t="shared" si="3"/>
        <v/>
      </c>
      <c r="V48" s="168" t="str">
        <f t="shared" si="4"/>
        <v/>
      </c>
      <c r="W48" s="169" t="str">
        <f t="shared" si="5"/>
        <v/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 t="str">
        <f t="shared" si="3"/>
        <v/>
      </c>
      <c r="V49" s="168" t="str">
        <f t="shared" si="4"/>
        <v/>
      </c>
      <c r="W49" s="169" t="str">
        <f t="shared" si="5"/>
        <v/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3412.5</v>
      </c>
      <c r="O50" s="147"/>
      <c r="P50" s="9"/>
      <c r="Q50" s="9"/>
      <c r="R50" s="9"/>
      <c r="S50" s="141"/>
      <c r="T50" s="141" t="str">
        <f t="shared" si="6"/>
        <v/>
      </c>
      <c r="U50" s="168" t="str">
        <f t="shared" si="3"/>
        <v/>
      </c>
      <c r="V50" s="168" t="str">
        <f t="shared" si="4"/>
        <v/>
      </c>
      <c r="W50" s="169" t="str">
        <f t="shared" si="5"/>
        <v/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 t="str">
        <f t="shared" si="3"/>
        <v/>
      </c>
      <c r="V51" s="168" t="str">
        <f t="shared" si="4"/>
        <v/>
      </c>
      <c r="W51" s="169" t="str">
        <f t="shared" si="5"/>
        <v/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 t="str">
        <f t="shared" si="3"/>
        <v/>
      </c>
      <c r="V52" s="168" t="str">
        <f t="shared" si="4"/>
        <v/>
      </c>
      <c r="W52" s="169" t="str">
        <f t="shared" si="5"/>
        <v/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 t="str">
        <f t="shared" si="3"/>
        <v/>
      </c>
      <c r="V53" s="168" t="str">
        <f t="shared" si="4"/>
        <v/>
      </c>
      <c r="W53" s="169" t="str">
        <f t="shared" si="5"/>
        <v/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 t="str">
        <f t="shared" si="3"/>
        <v/>
      </c>
      <c r="V54" s="168" t="str">
        <f t="shared" si="4"/>
        <v/>
      </c>
      <c r="W54" s="169" t="str">
        <f t="shared" si="5"/>
        <v/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 t="str">
        <f t="shared" si="3"/>
        <v/>
      </c>
      <c r="V55" s="168" t="str">
        <f t="shared" si="4"/>
        <v/>
      </c>
      <c r="W55" s="169" t="str">
        <f t="shared" si="5"/>
        <v/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 t="str">
        <f t="shared" si="3"/>
        <v/>
      </c>
      <c r="V56" s="168" t="str">
        <f t="shared" si="4"/>
        <v/>
      </c>
      <c r="W56" s="169" t="str">
        <f t="shared" si="5"/>
        <v/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 t="str">
        <f t="shared" si="3"/>
        <v/>
      </c>
      <c r="V57" s="168" t="str">
        <f t="shared" si="4"/>
        <v/>
      </c>
      <c r="W57" s="169" t="str">
        <f t="shared" si="5"/>
        <v/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 t="str">
        <f t="shared" si="3"/>
        <v/>
      </c>
      <c r="V58" s="168" t="str">
        <f t="shared" si="4"/>
        <v/>
      </c>
      <c r="W58" s="169" t="str">
        <f t="shared" si="5"/>
        <v/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 t="str">
        <f t="shared" si="3"/>
        <v/>
      </c>
      <c r="V59" s="168" t="str">
        <f t="shared" si="4"/>
        <v/>
      </c>
      <c r="W59" s="169" t="str">
        <f t="shared" si="5"/>
        <v/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 t="str">
        <f t="shared" si="3"/>
        <v/>
      </c>
      <c r="V60" s="168" t="str">
        <f t="shared" si="4"/>
        <v/>
      </c>
      <c r="W60" s="169" t="str">
        <f t="shared" si="5"/>
        <v/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 t="str">
        <f t="shared" si="3"/>
        <v/>
      </c>
      <c r="V61" s="168" t="str">
        <f t="shared" si="4"/>
        <v/>
      </c>
      <c r="W61" s="169" t="str">
        <f t="shared" si="5"/>
        <v/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 t="str">
        <f t="shared" si="3"/>
        <v/>
      </c>
      <c r="V62" s="168" t="str">
        <f t="shared" si="4"/>
        <v/>
      </c>
      <c r="W62" s="169" t="str">
        <f t="shared" si="5"/>
        <v/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 t="str">
        <f t="shared" si="3"/>
        <v/>
      </c>
      <c r="V63" s="168" t="str">
        <f t="shared" si="4"/>
        <v/>
      </c>
      <c r="W63" s="169" t="str">
        <f t="shared" si="5"/>
        <v/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 t="str">
        <f t="shared" si="3"/>
        <v/>
      </c>
      <c r="V64" s="168" t="str">
        <f t="shared" si="4"/>
        <v/>
      </c>
      <c r="W64" s="169" t="str">
        <f t="shared" si="5"/>
        <v/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1">
        <f>SUM(L10:L46)</f>
        <v>9.75</v>
      </c>
      <c r="V66" s="172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3412.5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3412.5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170.63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340.4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3923.53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6"/>
      <c r="U77" s="176"/>
      <c r="V77" s="176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7" t="s">
        <v>75</v>
      </c>
      <c r="U78" s="177"/>
      <c r="V78" s="177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6"/>
      <c r="U79" s="176"/>
      <c r="V79" s="176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3923.53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3"/>
      <c r="U83" s="173"/>
      <c r="V83" s="173"/>
      <c r="W83" s="173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4" t="s">
        <v>66</v>
      </c>
      <c r="T84" s="174"/>
      <c r="U84" s="174"/>
      <c r="V84" s="174"/>
      <c r="W84" s="174"/>
      <c r="X84" s="174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3" t="s">
        <v>67</v>
      </c>
      <c r="T85" s="173"/>
      <c r="U85" s="173"/>
      <c r="V85" s="173"/>
      <c r="W85" s="173"/>
      <c r="X85" s="173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4"/>
      <c r="U87" s="174"/>
      <c r="V87" s="174"/>
      <c r="W87" s="174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5" t="s">
        <v>68</v>
      </c>
      <c r="T88" s="175"/>
      <c r="U88" s="175"/>
      <c r="V88" s="175"/>
      <c r="W88" s="175"/>
      <c r="X88" s="175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45203</v>
      </c>
      <c r="C25" s="2">
        <v>2</v>
      </c>
      <c r="D25" t="s">
        <v>85</v>
      </c>
      <c r="E25" s="21">
        <v>45234</v>
      </c>
      <c r="F25" s="151">
        <v>1056.25</v>
      </c>
      <c r="G25" s="151">
        <v>0</v>
      </c>
      <c r="H25" s="151">
        <v>0</v>
      </c>
      <c r="I25" s="151">
        <v>52.81</v>
      </c>
      <c r="J25" s="151">
        <v>105.36</v>
      </c>
      <c r="K25" s="151">
        <v>1214.4199999999998</v>
      </c>
      <c r="L25" s="151">
        <v>0</v>
      </c>
    </row>
    <row r="26" spans="1:12" x14ac:dyDescent="0.25">
      <c r="A26" s="2">
        <v>23</v>
      </c>
      <c r="B26" s="21">
        <v>45203</v>
      </c>
      <c r="C26" s="2">
        <v>3</v>
      </c>
      <c r="D26" t="s">
        <v>110</v>
      </c>
      <c r="E26" s="21">
        <v>45234</v>
      </c>
      <c r="F26" s="151">
        <v>3412.5</v>
      </c>
      <c r="G26" s="151">
        <v>0</v>
      </c>
      <c r="H26" s="151">
        <v>0</v>
      </c>
      <c r="I26" s="151">
        <v>170.63</v>
      </c>
      <c r="J26" s="151">
        <v>340.4</v>
      </c>
      <c r="K26" s="151">
        <v>3923.53</v>
      </c>
      <c r="L26" s="151">
        <v>0</v>
      </c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53"/>
      <c r="D65" s="150"/>
      <c r="E65" s="150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188</v>
      </c>
      <c r="C66" s="153">
        <v>3.25</v>
      </c>
      <c r="D66" s="150">
        <v>325</v>
      </c>
      <c r="E66" s="150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188</v>
      </c>
      <c r="C67" s="153">
        <v>9.75</v>
      </c>
      <c r="D67" s="150">
        <v>350</v>
      </c>
      <c r="E67" s="150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3</v>
      </c>
      <c r="R3" s="56" t="str">
        <f>IF(Invoice!B16=TRUE,"&lt;&gt;","No")</f>
        <v>&lt;&gt;</v>
      </c>
      <c r="U3" s="2">
        <v>5</v>
      </c>
      <c r="V3" s="21">
        <v>45143</v>
      </c>
      <c r="W3" t="s">
        <v>167</v>
      </c>
      <c r="X3" s="82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2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2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2023-10-04T20:14:23Z</cp:lastPrinted>
  <dcterms:created xsi:type="dcterms:W3CDTF">2023-05-08T04:58:50Z</dcterms:created>
  <dcterms:modified xsi:type="dcterms:W3CDTF">2023-10-05T10:21:10Z</dcterms:modified>
</cp:coreProperties>
</file>