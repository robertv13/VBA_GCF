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6ED4312D-D02A-4198-A709-39176F9E89EC}" xr6:coauthVersionLast="47" xr6:coauthVersionMax="47" xr10:uidLastSave="{00000000-0000-0000-0000-000000000000}"/>
  <bookViews>
    <workbookView xWindow="-120" yWindow="-120" windowWidth="29040" windowHeight="15840" tabRatio="601" xr2:uid="{A10FD859-42BA-47BF-8B93-91F89B89A8C1}"/>
  </bookViews>
  <sheets>
    <sheet name="Invoice" sheetId="3" r:id="rId1"/>
    <sheet name="Invoice List" sheetId="4" r:id="rId2"/>
    <sheet name="Invoice Items" sheetId="9" r:id="rId3"/>
    <sheet name="Billing Entries" sheetId="6" r:id="rId4"/>
    <sheet name="Service Items" sheetId="8" r:id="rId5"/>
    <sheet name="Projects" sheetId="2" r:id="rId6"/>
    <sheet name="Customers" sheetId="7" r:id="rId7"/>
  </sheets>
  <externalReferences>
    <externalReference r:id="rId8"/>
  </externalReferences>
  <definedNames>
    <definedName name="_xlnm._FilterDatabase" localSheetId="3" hidden="1">'Billing Entries'!$A$3:$M$33</definedName>
    <definedName name="_xlnm._FilterDatabase" localSheetId="2" hidden="1">'Invoice Items'!$A$3:$H$20</definedName>
    <definedName name="_xlnm._FilterDatabase" localSheetId="5" hidden="1">Projects!$B$3:$C$6</definedName>
    <definedName name="BillEntry_ID">OFFSET('Billing Entries'!$A$3,1,,COUNTA('Billing Entries'!$A$3:$A$991)-1,1)</definedName>
    <definedName name="_xlnm.Criteria" localSheetId="3">'Billing Entries'!$Q$2:$R$3</definedName>
    <definedName name="_xlnm.Criteria" localSheetId="2">'Invoice Items'!$L$2:$L$3</definedName>
    <definedName name="_xlnm.Criteria" localSheetId="5">Projects!$K$2:$K$3</definedName>
    <definedName name="Cust_ID">OFFSET(Customers!$A$3,1,,COUNTA(Customers!$A$3:$A$9988)-1,1)</definedName>
    <definedName name="Cust_Name">OFFSET(Customers!$B$3,1,,COUNTA(Customers!$A$3:$A$9988)-1,1)</definedName>
    <definedName name="CustProjects">OFFSET(Projects!$M$2,1,,COUNTA(Projects!$M$2:$M$997)-1,1)</definedName>
    <definedName name="_xlnm.Extract" localSheetId="3">'Billing Entries'!$U$2:$Z$2</definedName>
    <definedName name="_xlnm.Extract" localSheetId="2">'Invoice Items'!$N$2:$U$2</definedName>
    <definedName name="_xlnm.Extract" localSheetId="5">Projects!$M$2</definedName>
    <definedName name="Inv_ID">OFFSET('Invoice List'!$A$3,1,,COUNTA('Invoice List'!$A$3:$A$9991)-1,1)</definedName>
    <definedName name="Liste_Activités">[1]Activités!$C$5:$C$47</definedName>
    <definedName name="Proj_ID">OFFSET(Projects!$A$3,1,,COUNTA(Projects!$A$3:$A$997)-1,1)</definedName>
    <definedName name="Proj_Name">OFFSET(Projects!$B$3,1,,COUNTA(Projects!$A$3:$A$997)-1,1)</definedName>
    <definedName name="ServItem_ID">OFFSET('Service Items'!$A$3,1,,COUNTA('Service Items'!$A$3:$A$9999)-1,1)</definedName>
    <definedName name="ServItem_Name">OFFSET('Service Items'!$B$3,1,,COUNTA('Service Items'!$B$3:$B$9999)-1,1)</definedName>
    <definedName name="_xlnm.Print_Area" localSheetId="0">Invoice!$S$1:$X$89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9" l="1"/>
  <c r="G36" i="9"/>
  <c r="G35" i="9"/>
  <c r="G34" i="9"/>
  <c r="G33" i="9"/>
  <c r="G32" i="9"/>
  <c r="G31" i="9"/>
  <c r="G30" i="9"/>
  <c r="G29" i="9"/>
  <c r="G28" i="9"/>
  <c r="G27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4" i="9"/>
  <c r="T61" i="3"/>
  <c r="T62" i="3"/>
  <c r="T63" i="3"/>
  <c r="W78" i="3"/>
  <c r="N34" i="3"/>
  <c r="N33" i="3"/>
  <c r="N32" i="3"/>
  <c r="N31" i="3"/>
  <c r="N30" i="3"/>
  <c r="N29" i="3"/>
  <c r="N28" i="3"/>
  <c r="U66" i="3"/>
  <c r="W69" i="3" s="1"/>
  <c r="W72" i="3" s="1"/>
  <c r="W74" i="3" l="1"/>
  <c r="W7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30" i="3"/>
  <c r="W76" i="3" l="1"/>
  <c r="W80" i="3" s="1"/>
  <c r="W24" i="3"/>
  <c r="T22" i="3"/>
  <c r="T21" i="3"/>
  <c r="T20" i="3"/>
  <c r="T17" i="3"/>
  <c r="N11" i="3" l="1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35" i="3"/>
  <c r="N36" i="3"/>
  <c r="N37" i="3"/>
  <c r="N38" i="3"/>
  <c r="N39" i="3"/>
  <c r="N40" i="3"/>
  <c r="N44" i="3"/>
  <c r="N45" i="3"/>
  <c r="N46" i="3"/>
  <c r="N10" i="3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 l="1"/>
  <c r="B3" i="3"/>
  <c r="B12" i="3"/>
  <c r="N47" i="3"/>
  <c r="B22" i="3"/>
  <c r="B19" i="3"/>
  <c r="B6" i="3"/>
  <c r="B18" i="3"/>
  <c r="B5" i="3"/>
  <c r="B13" i="3"/>
  <c r="B11" i="3"/>
  <c r="B10" i="3"/>
  <c r="B9" i="3"/>
  <c r="B8" i="3"/>
  <c r="B7" i="3"/>
  <c r="B4" i="3"/>
  <c r="B14" i="3"/>
  <c r="M9" i="6"/>
  <c r="M8" i="6"/>
  <c r="M7" i="6"/>
  <c r="M6" i="6"/>
  <c r="M5" i="6"/>
  <c r="M4" i="6"/>
  <c r="N50" i="3" l="1"/>
  <c r="R3" i="6"/>
  <c r="Q3" i="6" l="1"/>
</calcChain>
</file>

<file path=xl/sharedStrings.xml><?xml version="1.0" encoding="utf-8"?>
<sst xmlns="http://schemas.openxmlformats.org/spreadsheetml/2006/main" count="506" uniqueCount="237">
  <si>
    <t>Hours</t>
  </si>
  <si>
    <t>Billed</t>
  </si>
  <si>
    <t>No</t>
  </si>
  <si>
    <t>Description</t>
  </si>
  <si>
    <t>Date</t>
  </si>
  <si>
    <t>Include Billed</t>
  </si>
  <si>
    <t>Service</t>
  </si>
  <si>
    <t>Hourly Rate</t>
  </si>
  <si>
    <t>CUSTOMERS</t>
  </si>
  <si>
    <t>Cust. Name</t>
  </si>
  <si>
    <t>Address</t>
  </si>
  <si>
    <t>City</t>
  </si>
  <si>
    <t>State</t>
  </si>
  <si>
    <t>ZIP</t>
  </si>
  <si>
    <t>Phone</t>
  </si>
  <si>
    <t>Email</t>
  </si>
  <si>
    <t>PROJECT LIST</t>
  </si>
  <si>
    <t>Proj. Name</t>
  </si>
  <si>
    <t>Total Hours</t>
  </si>
  <si>
    <t>Total Non-Billed</t>
  </si>
  <si>
    <t>Total Billed Hours</t>
  </si>
  <si>
    <t>Total Billed Amount</t>
  </si>
  <si>
    <t>Rate</t>
  </si>
  <si>
    <t>Inv. Row</t>
  </si>
  <si>
    <t>Row</t>
  </si>
  <si>
    <t>INVOICE ITEMS</t>
  </si>
  <si>
    <t>Inv. ID</t>
  </si>
  <si>
    <t>Entry Load</t>
  </si>
  <si>
    <t>B5</t>
  </si>
  <si>
    <t>E5</t>
  </si>
  <si>
    <t>E4</t>
  </si>
  <si>
    <t>B8</t>
  </si>
  <si>
    <t>E6</t>
  </si>
  <si>
    <t>Inv. Search Row</t>
  </si>
  <si>
    <t>Bill Entry Cust Row</t>
  </si>
  <si>
    <t>Bill Entry Row</t>
  </si>
  <si>
    <t>Next Bill Entry #</t>
  </si>
  <si>
    <t>B11</t>
  </si>
  <si>
    <t>CRITERIA</t>
  </si>
  <si>
    <t>N4</t>
  </si>
  <si>
    <t xml:space="preserve">Serv. Desc. </t>
  </si>
  <si>
    <t>Sel. Bill Entry Row</t>
  </si>
  <si>
    <t>Customer Projects</t>
  </si>
  <si>
    <t>Inv. Cust Row</t>
  </si>
  <si>
    <t>Invoice Load</t>
  </si>
  <si>
    <t>Item Load</t>
  </si>
  <si>
    <t>B18</t>
  </si>
  <si>
    <t>Website Design</t>
  </si>
  <si>
    <t>Site Meeting</t>
  </si>
  <si>
    <t>Website Development</t>
  </si>
  <si>
    <t>Site Testing</t>
  </si>
  <si>
    <t>Site Launch</t>
  </si>
  <si>
    <t xml:space="preserve">Site Setup </t>
  </si>
  <si>
    <t>Domain Setup</t>
  </si>
  <si>
    <t>Stress Testing</t>
  </si>
  <si>
    <t>Picture Research</t>
  </si>
  <si>
    <t>Graphics &amp; Design</t>
  </si>
  <si>
    <t>Bill Entry Proj. Row</t>
  </si>
  <si>
    <t>Bill Entry Serv Row</t>
  </si>
  <si>
    <t>Bill Items Fields</t>
  </si>
  <si>
    <t>Total Service Items</t>
  </si>
  <si>
    <t>Client</t>
  </si>
  <si>
    <t>Heures</t>
  </si>
  <si>
    <t>Taux</t>
  </si>
  <si>
    <t>Facturé ?</t>
  </si>
  <si>
    <t>Recherche facture</t>
  </si>
  <si>
    <t>Date service</t>
  </si>
  <si>
    <t>*** Veuillez faire votre chèque à l'ordre de GC Fiscalité Plus Inc. Payable en ligne dans les institutions financières participantes.***</t>
  </si>
  <si>
    <t>*** Payable sur réception.  Frais d’administration de 24 % par année sur note d’honoraires passée due. ***</t>
  </si>
  <si>
    <t>MERCI DE VOTRE CONFIANCE POUR VISER JUSTE ET BIEN</t>
  </si>
  <si>
    <t>Total - Honoraires professionnels</t>
  </si>
  <si>
    <t>Total avant taxes</t>
  </si>
  <si>
    <t>T.V.Q. # 1214451162TQ0001</t>
  </si>
  <si>
    <t>Frais de poste</t>
  </si>
  <si>
    <t>Autres frais</t>
  </si>
  <si>
    <t>GRAND TOTAL</t>
  </si>
  <si>
    <t>Sommes perçues d'avance (dépôt)</t>
  </si>
  <si>
    <t>SOMME DUE</t>
  </si>
  <si>
    <t>NOTE D'HONORAIRES</t>
  </si>
  <si>
    <t>9299-2585 Québec inc.</t>
  </si>
  <si>
    <t>15 chemin des Mésanges</t>
  </si>
  <si>
    <t>Mansonville</t>
  </si>
  <si>
    <t>QC</t>
  </si>
  <si>
    <t>J0E 1X0</t>
  </si>
  <si>
    <t>(514) 831-9055</t>
  </si>
  <si>
    <t>robertv13@me.com</t>
  </si>
  <si>
    <t>CANPLEX INC.</t>
  </si>
  <si>
    <t>Mascouche</t>
  </si>
  <si>
    <t>J7K 3C1</t>
  </si>
  <si>
    <t>(450) 474-1191</t>
  </si>
  <si>
    <t>robertv13@gmail.com</t>
  </si>
  <si>
    <t>TEC</t>
  </si>
  <si>
    <t>TEC (filtrés)</t>
  </si>
  <si>
    <r>
      <t>Bill Entry</t>
    </r>
    <r>
      <rPr>
        <b/>
        <sz val="10"/>
        <color rgb="FFFF0000"/>
        <rFont val="Calibri"/>
        <family val="2"/>
        <scheme val="minor"/>
      </rPr>
      <t xml:space="preserve"> ID</t>
    </r>
  </si>
  <si>
    <r>
      <t xml:space="preserve">Cust. </t>
    </r>
    <r>
      <rPr>
        <b/>
        <sz val="11"/>
        <color rgb="FFFF0000"/>
        <rFont val="Calibri"/>
        <family val="2"/>
        <scheme val="minor"/>
      </rPr>
      <t>ID</t>
    </r>
  </si>
  <si>
    <r>
      <t xml:space="preserve">Proj.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</si>
  <si>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Proj. 
</t>
    </r>
    <r>
      <rPr>
        <b/>
        <sz val="10"/>
        <color rgb="FFFF0000"/>
        <rFont val="Calibri"/>
        <family val="2"/>
        <scheme val="minor"/>
      </rPr>
      <t>ID</t>
    </r>
  </si>
  <si>
    <r>
      <t>Cust.</t>
    </r>
    <r>
      <rPr>
        <b/>
        <sz val="10"/>
        <color rgb="FFFF0000"/>
        <rFont val="Calibri"/>
        <family val="2"/>
        <scheme val="minor"/>
      </rPr>
      <t xml:space="preserve"> 
ID</t>
    </r>
  </si>
  <si>
    <r>
      <t xml:space="preserve">Cust
</t>
    </r>
    <r>
      <rPr>
        <b/>
        <sz val="10"/>
        <color rgb="FFFF0000"/>
        <rFont val="Calibri"/>
        <family val="2"/>
        <scheme val="minor"/>
      </rPr>
      <t>ID</t>
    </r>
  </si>
  <si>
    <t>3175 de la Gare</t>
  </si>
  <si>
    <r>
      <t xml:space="preserve">Item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</si>
  <si>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</si>
  <si>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Cust.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</si>
  <si>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</si>
  <si>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Cust </t>
    </r>
    <r>
      <rPr>
        <b/>
        <sz val="10"/>
        <color rgb="FFFF0000"/>
        <rFont val="Calibri"/>
        <family val="2"/>
        <scheme val="minor"/>
      </rPr>
      <t>ID</t>
    </r>
  </si>
  <si>
    <r>
      <t>Next Cust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</si>
  <si>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Bill Entry Proj. </t>
    </r>
    <r>
      <rPr>
        <b/>
        <sz val="10"/>
        <color rgb="FFFF0000"/>
        <rFont val="Calibri"/>
        <family val="2"/>
        <scheme val="minor"/>
      </rPr>
      <t>ID</t>
    </r>
  </si>
  <si>
    <r>
      <t>Next Proj.</t>
    </r>
    <r>
      <rPr>
        <sz val="10"/>
        <color rgb="FFFF0000"/>
        <rFont val="Calibri"/>
        <family val="2"/>
        <scheme val="minor"/>
      </rPr>
      <t xml:space="preserve">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</si>
  <si>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Serv.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</si>
  <si>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Inv. Cust </t>
    </r>
    <r>
      <rPr>
        <b/>
        <sz val="10"/>
        <color rgb="FFFF0000"/>
        <rFont val="Calibri"/>
        <family val="2"/>
        <scheme val="minor"/>
      </rPr>
      <t>ID</t>
    </r>
  </si>
  <si>
    <r>
      <t xml:space="preserve">Next Inv. </t>
    </r>
    <r>
      <rPr>
        <b/>
        <sz val="10"/>
        <color rgb="FFFF0000"/>
        <rFont val="Calibri"/>
        <family val="2"/>
        <scheme val="minor"/>
      </rPr>
      <t>ID</t>
    </r>
  </si>
  <si>
    <t>HUWIZ INC.</t>
  </si>
  <si>
    <t>298 Rue de Martigny O #200</t>
  </si>
  <si>
    <t>Saint-Jérôme</t>
  </si>
  <si>
    <t> J7Y 4C9</t>
  </si>
  <si>
    <t>(450) 327-9000</t>
  </si>
  <si>
    <t>robertv13@hotmail.com</t>
  </si>
  <si>
    <t>Projet: Betty Website Design</t>
  </si>
  <si>
    <t>Projet: Dolores Website</t>
  </si>
  <si>
    <t>Projet: Jackie Website</t>
  </si>
  <si>
    <t>Description du service</t>
  </si>
  <si>
    <t>Liste des services</t>
  </si>
  <si>
    <t>Nom du service</t>
  </si>
  <si>
    <t>Note d'honoraires</t>
  </si>
  <si>
    <t>Service # 1</t>
  </si>
  <si>
    <t>Service # 2</t>
  </si>
  <si>
    <t>Service # 3</t>
  </si>
  <si>
    <t>Service # 4</t>
  </si>
  <si>
    <t>Service # 5</t>
  </si>
  <si>
    <t>Service # 6</t>
  </si>
  <si>
    <t>Service # 7</t>
  </si>
  <si>
    <t>Service # 8</t>
  </si>
  <si>
    <t>Service # 9</t>
  </si>
  <si>
    <t>Service # 10</t>
  </si>
  <si>
    <t>Service # 11</t>
  </si>
  <si>
    <t>Service # 12</t>
  </si>
  <si>
    <t>Service # 13</t>
  </si>
  <si>
    <t>Service # 14</t>
  </si>
  <si>
    <t>Service # 15</t>
  </si>
  <si>
    <t>Service # 16</t>
  </si>
  <si>
    <t>Service # 17</t>
  </si>
  <si>
    <t>Service # 18</t>
  </si>
  <si>
    <t>Service # 19</t>
  </si>
  <si>
    <t>Service # 20</t>
  </si>
  <si>
    <t>Service # 21</t>
  </si>
  <si>
    <t>Service # 22</t>
  </si>
  <si>
    <t>Service # 23</t>
  </si>
  <si>
    <t>Service # 24</t>
  </si>
  <si>
    <t>Service # 25</t>
  </si>
  <si>
    <t>Service # 26</t>
  </si>
  <si>
    <t>Service # 27</t>
  </si>
  <si>
    <t>Service # 28</t>
  </si>
  <si>
    <t>Service # 29</t>
  </si>
  <si>
    <t>Service # 30</t>
  </si>
  <si>
    <t>G6</t>
  </si>
  <si>
    <t>G7</t>
  </si>
  <si>
    <t>G4</t>
  </si>
  <si>
    <t>G5</t>
  </si>
  <si>
    <t>Facturation relativement aux travaux effectués, notamment:</t>
  </si>
  <si>
    <t>N° Facture:</t>
  </si>
  <si>
    <t>Robert M. Vigneault</t>
  </si>
  <si>
    <t>Marco Stocchero</t>
  </si>
  <si>
    <t>Martyne Malo</t>
  </si>
  <si>
    <t>N° FACTURE</t>
  </si>
  <si>
    <t>Rencontre avec vous à nos bureaux;</t>
  </si>
  <si>
    <t>Rencontre avec vous aux bureaux des notaires et déplacement ;</t>
  </si>
  <si>
    <t>Rencontre avec vous à vos bureaux et déplacement;</t>
  </si>
  <si>
    <t>Rencontre avec vous par Vidéoconférence ;</t>
  </si>
  <si>
    <t>Préparation à la rencontre et rencontre avec vous à nos bureaux;</t>
  </si>
  <si>
    <t>Préparation à la rencontre, déplacement et rencontre avec vous aux bureaux des notaires ;</t>
  </si>
  <si>
    <t>Préparation à la rencontre, déplacement et rencontre avec vous à vos bureaux ;</t>
  </si>
  <si>
    <t>Préparation à la rencontre et rencontre avec vous par Vidéoconférence ;</t>
  </si>
  <si>
    <t>Recueullir les différentes informations pertinentes à l'élaboration de la planification fiscale ;</t>
  </si>
  <si>
    <t>Recueuillir les informations pour la création d'une société;</t>
  </si>
  <si>
    <t>Recueuillir les informations pour la création d'une fiducie;</t>
  </si>
  <si>
    <t>Prise de connaissance et analyse des documents soumis;</t>
  </si>
  <si>
    <t>Analyse des livres des minutes pour déterminer les caractéristiques fiscales des actions;</t>
  </si>
  <si>
    <t>Analyse, réflexions et recherches fiscales permettant de déterminer le plan d'action fiscal optimal ;</t>
  </si>
  <si>
    <t>Rédaction d'un mémorandum fiscal pour mettre en place la réorganisation fiscale déterminée ;</t>
  </si>
  <si>
    <t>Rédaction de directives aux juristes afin de mettre en place la planification fiscale ;</t>
  </si>
  <si>
    <t>Préparation d'organigrammes corporatifs avant et après opérations;</t>
  </si>
  <si>
    <t>Recherches et analyses fiscales requises pour la mise en place de la réorganisation;</t>
  </si>
  <si>
    <t>Analyse des risques fiscaux potentiels (règles générales anti-évitement générale et spécifiques);</t>
  </si>
  <si>
    <t>Estimation du calcul du Revenu Protégé année par année nécessaire pour les fins de la réorganisation;</t>
  </si>
  <si>
    <t>Révision de la documentation juridique afférente à la présente réorganisation;</t>
  </si>
  <si>
    <t>Discussion avec un expert en taxes à la consommation pour les différents aspects de la réorganisation;</t>
  </si>
  <si>
    <t>Analyses, calculs et préparation de tableaux en lien avec l'établissement d'une juste valeur marchande de la société ;</t>
  </si>
  <si>
    <t>Divers calculs effectués en lien avec la mise en place;</t>
  </si>
  <si>
    <t>Démarches d'obtention du numéro d'entreprise fédéral pour la nouvelle société ;</t>
  </si>
  <si>
    <t>Préparation des formulaires d'obtention des numéros de fiducie fédéral et provincial pour la nouvelle fiducie ;</t>
  </si>
  <si>
    <t>Préparation des formulaires de roulement T2057 et TP-518 requis;</t>
  </si>
  <si>
    <t>Préparation des formulaires de ventes de comptes clients T2022 et TP-184 requis;</t>
  </si>
  <si>
    <t>Préparation des formulaires de taxes FP-2044 requis pour le transfert de la totalité ou presque d'une entreprise;</t>
  </si>
  <si>
    <t>Préparation des différents formulaires et annexes requises afin de déclarer un CDC ;</t>
  </si>
  <si>
    <t>Préparation du formulaire T2027règlement de dette lors de la liquidation de filiale;</t>
  </si>
  <si>
    <t>Préparer un sommaire de chèques à faire pour la séance de clôture ;</t>
  </si>
  <si>
    <t>Validation de la conformité des chèques/virements effectués en concordance avec nos directives ;</t>
  </si>
  <si>
    <t>Préparation des formulaires de choix fiscaux de clauses de non-concurrence;</t>
  </si>
  <si>
    <t>Diverses discussions téléphoniques avec vous ;</t>
  </si>
  <si>
    <t>Diverses discussions téléphoniques avec vous et le juriste;</t>
  </si>
  <si>
    <t>Diverses discussions téléphoniques avec vous, le juriste et votre comptable;</t>
  </si>
  <si>
    <t>Lecture, analyse et rédaction de divers courriels avec les divers intervenants;</t>
  </si>
  <si>
    <t>Préparation à la rencontre et rencontre avec vous pour la signature des documents préparés;</t>
  </si>
  <si>
    <t>Préparation à la rencontre, déplacement et rencontre avec vous pour la signature des documents préparés;</t>
  </si>
  <si>
    <t>T.P.S.  # 849759626RT0001</t>
  </si>
  <si>
    <t>Communication avec l'Agence de Revenu du Canada, en votre nom</t>
  </si>
  <si>
    <t>TEC du client</t>
  </si>
  <si>
    <t>J4</t>
  </si>
  <si>
    <t>Honoraires</t>
  </si>
  <si>
    <t>Taux/H</t>
  </si>
  <si>
    <t>Debug Mode</t>
  </si>
  <si>
    <t>N3</t>
  </si>
  <si>
    <t>AutresFrais1</t>
  </si>
  <si>
    <t>AutresFrais2</t>
  </si>
  <si>
    <t>TPS</t>
  </si>
  <si>
    <t>TVQ</t>
  </si>
  <si>
    <t>W73</t>
  </si>
  <si>
    <t>W74</t>
  </si>
  <si>
    <t>W78</t>
  </si>
  <si>
    <t>W76</t>
  </si>
  <si>
    <t>W69</t>
  </si>
  <si>
    <t>W70</t>
  </si>
  <si>
    <t>W71</t>
  </si>
  <si>
    <t>G_Total</t>
  </si>
  <si>
    <t>Dépôt</t>
  </si>
  <si>
    <t>Le 30 septembre 2023</t>
  </si>
  <si>
    <t>Liste des factures</t>
  </si>
  <si>
    <t>Date Facture</t>
  </si>
  <si>
    <t>Nom du client</t>
  </si>
  <si>
    <t>Date due</t>
  </si>
  <si>
    <t>3467 rue de la Noraye</t>
  </si>
  <si>
    <t>Saint-Hubert</t>
  </si>
  <si>
    <t>J3Z 0A7</t>
  </si>
  <si>
    <t>Marie Guay</t>
  </si>
  <si>
    <t>(514) 838-2244</t>
  </si>
  <si>
    <t>marie.guay@outlook.com</t>
  </si>
  <si>
    <t>Saint-Hubert, QC, J3Z 0A7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</si>
</sst>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_);\(&quot;$&quot;#,##0.0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[&lt;=9999999]###\-####;\(###\)\ ###\-####"/>
    <numFmt numFmtId="168" formatCode="0.000%"/>
    <numFmt numFmtId="169" formatCode="[$-F800]dddd\,\ mmmm\ dd\,\ yyyy"/>
    <numFmt numFmtId="170" formatCode="#,##0.00\ &quot;$&quot;"/>
    <numFmt numFmtId="171" formatCode="00000"/>
    <numFmt numFmtId="172" formatCode="#,##0.00\ [$$-C0C]_);\(#,##0.00\ [$$-C0C]\)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24"/>
      <color theme="5" tint="-0.499984740745262"/>
      <name val="Aharoni"/>
      <charset val="177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b/>
      <i/>
      <sz val="8"/>
      <color theme="1"/>
      <name val="Verdana"/>
      <family val="2"/>
    </font>
    <font>
      <u/>
      <sz val="11"/>
      <color theme="10"/>
      <name val="Calibri"/>
      <family val="2"/>
      <scheme val="minor"/>
    </font>
    <font>
      <b/>
      <i/>
      <sz val="8"/>
      <color theme="4" tint="-0.499984740745262"/>
      <name val="Verdana"/>
      <family val="2"/>
    </font>
    <font>
      <b/>
      <sz val="8"/>
      <color rgb="FFFF0000"/>
      <name val="Verdana"/>
      <family val="2"/>
    </font>
    <font>
      <i/>
      <sz val="8"/>
      <color theme="1"/>
      <name val="Verdana"/>
      <family val="2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Verdana"/>
      <family val="2"/>
    </font>
    <font>
      <sz val="11"/>
      <color theme="0" tint="-0.34998626667073579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Verdana"/>
      <family val="2"/>
    </font>
    <font>
      <b/>
      <sz val="12"/>
      <color rgb="FF625850"/>
      <name val="Verdana"/>
      <family val="2"/>
    </font>
    <font>
      <b/>
      <sz val="12"/>
      <color rgb="FFFF0000"/>
      <name val="Verdana"/>
      <family val="2"/>
    </font>
    <font>
      <sz val="11"/>
      <color theme="1"/>
      <name val="Verdana"/>
      <family val="2"/>
    </font>
    <font>
      <sz val="12"/>
      <color theme="1"/>
      <name val="Verdana"/>
      <family val="2"/>
    </font>
    <font>
      <b/>
      <sz val="12"/>
      <color theme="1"/>
      <name val="Verdana"/>
      <family val="2"/>
    </font>
    <font>
      <b/>
      <sz val="12"/>
      <color theme="0" tint="-0.499984740745262"/>
      <name val="Verdana"/>
      <family val="2"/>
    </font>
    <font>
      <sz val="10"/>
      <name val="Arial"/>
      <family val="2"/>
    </font>
    <font>
      <sz val="12"/>
      <color rgb="FF625850"/>
      <name val="Verdana"/>
      <family val="2"/>
    </font>
    <font>
      <b/>
      <sz val="12"/>
      <color theme="0"/>
      <name val="Verdana"/>
      <family val="2"/>
    </font>
    <font>
      <sz val="12"/>
      <color theme="0"/>
      <name val="Verdana"/>
      <family val="2"/>
    </font>
    <font>
      <b/>
      <sz val="12"/>
      <color rgb="FF8C8375"/>
      <name val="Verdana"/>
      <family val="2"/>
    </font>
    <font>
      <b/>
      <i/>
      <sz val="12"/>
      <color rgb="FF625850"/>
      <name val="Verdana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u/>
      <sz val="12"/>
      <color theme="1"/>
      <name val="Verdana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5" tint="0.40000610370189521"/>
        </stop>
        <stop position="1">
          <color theme="5" tint="0.59999389629810485"/>
        </stop>
      </gradientFill>
    </fill>
    <fill>
      <gradientFill degree="90">
        <stop position="0">
          <color theme="5" tint="0.59999389629810485"/>
        </stop>
        <stop position="1">
          <color theme="5" tint="0.80001220740379042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auto="1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C8375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theme="4" tint="-0.499984740745262"/>
      </left>
      <right/>
      <top style="thin">
        <color theme="4" tint="-0.499984740745262"/>
      </top>
      <bottom/>
      <diagonal/>
    </border>
    <border>
      <left style="hair">
        <color theme="4" tint="-0.499984740745262"/>
      </left>
      <right/>
      <top/>
      <bottom/>
      <diagonal/>
    </border>
    <border>
      <left style="hair">
        <color theme="4" tint="-0.499984740745262"/>
      </left>
      <right/>
      <top/>
      <bottom style="thin">
        <color theme="4" tint="-0.499984740745262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hair">
        <color theme="4" tint="-0.499984740745262"/>
      </right>
      <top/>
      <bottom/>
      <diagonal/>
    </border>
    <border>
      <left style="thin">
        <color theme="4" tint="-0.499984740745262"/>
      </left>
      <right style="hair">
        <color theme="4" tint="-0.499984740745262"/>
      </right>
      <top/>
      <bottom style="thin">
        <color theme="4" tint="-0.499984740745262"/>
      </bottom>
      <diagonal/>
    </border>
    <border>
      <left/>
      <right/>
      <top/>
      <bottom style="medium">
        <color auto="1"/>
      </bottom>
      <diagonal/>
    </border>
  </borders>
  <cellStyleXfs count="5">
    <xf numFmtId="0" fontId="0" fillId="0" borderId="0"/>
    <xf numFmtId="165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0" fontId="32" fillId="0" borderId="0"/>
  </cellStyleXfs>
  <cellXfs count="19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2" fillId="0" borderId="0" xfId="0" applyFont="1"/>
    <xf numFmtId="165" fontId="0" fillId="0" borderId="0" xfId="1" applyFont="1"/>
    <xf numFmtId="0" fontId="2" fillId="4" borderId="1" xfId="0" applyFont="1" applyFill="1" applyBorder="1" applyAlignment="1">
      <alignment horizontal="center"/>
    </xf>
    <xf numFmtId="167" fontId="0" fillId="0" borderId="0" xfId="0" applyNumberFormat="1" applyAlignment="1">
      <alignment horizontal="left"/>
    </xf>
    <xf numFmtId="0" fontId="0" fillId="0" borderId="0" xfId="1" applyNumberFormat="1" applyFont="1"/>
    <xf numFmtId="0" fontId="0" fillId="8" borderId="0" xfId="0" applyFill="1"/>
    <xf numFmtId="0" fontId="0" fillId="9" borderId="0" xfId="0" applyFill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14" fontId="0" fillId="0" borderId="0" xfId="0" applyNumberFormat="1"/>
    <xf numFmtId="0" fontId="2" fillId="3" borderId="1" xfId="0" applyFont="1" applyFill="1" applyBorder="1"/>
    <xf numFmtId="14" fontId="0" fillId="9" borderId="0" xfId="0" applyNumberFormat="1" applyFill="1"/>
    <xf numFmtId="0" fontId="3" fillId="3" borderId="0" xfId="0" applyFont="1" applyFill="1" applyAlignment="1">
      <alignment vertical="center"/>
    </xf>
    <xf numFmtId="164" fontId="0" fillId="0" borderId="0" xfId="0" applyNumberFormat="1" applyAlignment="1">
      <alignment horizontal="center"/>
    </xf>
    <xf numFmtId="0" fontId="0" fillId="7" borderId="0" xfId="0" applyFill="1"/>
    <xf numFmtId="0" fontId="0" fillId="12" borderId="6" xfId="0" applyFill="1" applyBorder="1" applyAlignment="1">
      <alignment horizontal="left" vertical="center"/>
    </xf>
    <xf numFmtId="0" fontId="0" fillId="2" borderId="0" xfId="0" applyFill="1" applyAlignment="1">
      <alignment horizontal="right"/>
    </xf>
    <xf numFmtId="0" fontId="0" fillId="2" borderId="0" xfId="0" applyFill="1" applyAlignment="1">
      <alignment horizontal="center"/>
    </xf>
    <xf numFmtId="14" fontId="0" fillId="0" borderId="0" xfId="0" applyNumberFormat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5" fontId="0" fillId="0" borderId="0" xfId="0" applyNumberFormat="1"/>
    <xf numFmtId="14" fontId="4" fillId="9" borderId="0" xfId="0" applyNumberFormat="1" applyFont="1" applyFill="1" applyAlignment="1">
      <alignment horizontal="center"/>
    </xf>
    <xf numFmtId="0" fontId="4" fillId="9" borderId="0" xfId="0" applyFont="1" applyFill="1"/>
    <xf numFmtId="4" fontId="4" fillId="9" borderId="0" xfId="0" applyNumberFormat="1" applyFont="1" applyFill="1"/>
    <xf numFmtId="0" fontId="4" fillId="9" borderId="0" xfId="0" applyFont="1" applyFill="1" applyAlignment="1">
      <alignment horizontal="center"/>
    </xf>
    <xf numFmtId="0" fontId="5" fillId="9" borderId="5" xfId="0" applyFont="1" applyFill="1" applyBorder="1" applyAlignment="1">
      <alignment horizontal="right"/>
    </xf>
    <xf numFmtId="0" fontId="4" fillId="8" borderId="5" xfId="0" applyFont="1" applyFill="1" applyBorder="1" applyAlignment="1">
      <alignment horizontal="right" vertical="center"/>
    </xf>
    <xf numFmtId="14" fontId="4" fillId="6" borderId="6" xfId="0" applyNumberFormat="1" applyFont="1" applyFill="1" applyBorder="1" applyAlignment="1">
      <alignment horizontal="center"/>
    </xf>
    <xf numFmtId="4" fontId="4" fillId="6" borderId="6" xfId="0" applyNumberFormat="1" applyFont="1" applyFill="1" applyBorder="1" applyAlignment="1">
      <alignment horizontal="center"/>
    </xf>
    <xf numFmtId="0" fontId="4" fillId="6" borderId="6" xfId="0" applyFont="1" applyFill="1" applyBorder="1" applyAlignment="1">
      <alignment horizontal="center"/>
    </xf>
    <xf numFmtId="0" fontId="8" fillId="8" borderId="8" xfId="0" applyFont="1" applyFill="1" applyBorder="1" applyAlignment="1">
      <alignment horizontal="center"/>
    </xf>
    <xf numFmtId="0" fontId="11" fillId="6" borderId="0" xfId="0" applyFont="1" applyFill="1" applyAlignment="1">
      <alignment vertical="center"/>
    </xf>
    <xf numFmtId="0" fontId="10" fillId="6" borderId="0" xfId="0" applyFont="1" applyFill="1" applyAlignment="1">
      <alignment vertical="center"/>
    </xf>
    <xf numFmtId="165" fontId="9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horizontal="right" vertical="center"/>
    </xf>
    <xf numFmtId="165" fontId="10" fillId="6" borderId="0" xfId="0" applyNumberFormat="1" applyFont="1" applyFill="1" applyAlignment="1">
      <alignment horizontal="right"/>
    </xf>
    <xf numFmtId="0" fontId="9" fillId="6" borderId="0" xfId="0" applyFont="1" applyFill="1" applyAlignment="1">
      <alignment vertical="center"/>
    </xf>
    <xf numFmtId="0" fontId="9" fillId="0" borderId="0" xfId="0" applyFont="1"/>
    <xf numFmtId="169" fontId="10" fillId="6" borderId="0" xfId="0" applyNumberFormat="1" applyFont="1" applyFill="1"/>
    <xf numFmtId="0" fontId="9" fillId="6" borderId="0" xfId="0" applyFont="1" applyFill="1"/>
    <xf numFmtId="0" fontId="9" fillId="6" borderId="0" xfId="0" applyFont="1" applyFill="1" applyAlignment="1">
      <alignment horizontal="right"/>
    </xf>
    <xf numFmtId="0" fontId="14" fillId="6" borderId="0" xfId="0" applyFont="1" applyFill="1" applyAlignment="1">
      <alignment horizontal="center"/>
    </xf>
    <xf numFmtId="14" fontId="9" fillId="6" borderId="0" xfId="0" applyNumberFormat="1" applyFont="1" applyFill="1" applyAlignment="1">
      <alignment horizontal="center"/>
    </xf>
    <xf numFmtId="0" fontId="12" fillId="0" borderId="0" xfId="2"/>
    <xf numFmtId="164" fontId="4" fillId="6" borderId="6" xfId="1" applyNumberFormat="1" applyFont="1" applyFill="1" applyBorder="1" applyAlignment="1">
      <alignment horizontal="right"/>
    </xf>
    <xf numFmtId="14" fontId="9" fillId="6" borderId="0" xfId="0" applyNumberFormat="1" applyFont="1" applyFill="1"/>
    <xf numFmtId="164" fontId="9" fillId="6" borderId="0" xfId="0" applyNumberFormat="1" applyFont="1" applyFill="1"/>
    <xf numFmtId="0" fontId="7" fillId="4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wrapText="1"/>
    </xf>
    <xf numFmtId="0" fontId="7" fillId="4" borderId="1" xfId="0" applyFont="1" applyFill="1" applyBorder="1" applyAlignment="1">
      <alignment horizontal="center" vertical="center" wrapText="1"/>
    </xf>
    <xf numFmtId="4" fontId="7" fillId="4" borderId="1" xfId="0" applyNumberFormat="1" applyFont="1" applyFill="1" applyBorder="1" applyAlignment="1">
      <alignment horizontal="center" vertical="center" wrapText="1"/>
    </xf>
    <xf numFmtId="4" fontId="0" fillId="0" borderId="0" xfId="0" applyNumberFormat="1" applyAlignment="1">
      <alignment horizontal="center"/>
    </xf>
    <xf numFmtId="4" fontId="0" fillId="0" borderId="0" xfId="0" applyNumberFormat="1"/>
    <xf numFmtId="0" fontId="7" fillId="4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" fontId="7" fillId="4" borderId="1" xfId="0" applyNumberFormat="1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/>
    </xf>
    <xf numFmtId="4" fontId="16" fillId="17" borderId="1" xfId="0" applyNumberFormat="1" applyFont="1" applyFill="1" applyBorder="1" applyAlignment="1">
      <alignment horizontal="center"/>
    </xf>
    <xf numFmtId="170" fontId="0" fillId="0" borderId="0" xfId="1" applyNumberFormat="1" applyFont="1"/>
    <xf numFmtId="170" fontId="10" fillId="6" borderId="0" xfId="1" applyNumberFormat="1" applyFont="1" applyFill="1" applyBorder="1"/>
    <xf numFmtId="170" fontId="9" fillId="6" borderId="0" xfId="1" applyNumberFormat="1" applyFont="1" applyFill="1" applyBorder="1"/>
    <xf numFmtId="0" fontId="2" fillId="3" borderId="1" xfId="0" applyFont="1" applyFill="1" applyBorder="1" applyAlignment="1">
      <alignment horizontal="center"/>
    </xf>
    <xf numFmtId="14" fontId="4" fillId="9" borderId="0" xfId="0" applyNumberFormat="1" applyFont="1" applyFill="1" applyAlignment="1">
      <alignment horizontal="left"/>
    </xf>
    <xf numFmtId="0" fontId="0" fillId="13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14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0" borderId="8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19" fillId="13" borderId="8" xfId="0" applyFont="1" applyFill="1" applyBorder="1" applyAlignment="1">
      <alignment horizontal="right" vertical="center"/>
    </xf>
    <xf numFmtId="0" fontId="19" fillId="5" borderId="8" xfId="0" applyFont="1" applyFill="1" applyBorder="1" applyAlignment="1">
      <alignment horizontal="right" vertical="center"/>
    </xf>
    <xf numFmtId="0" fontId="19" fillId="14" borderId="8" xfId="0" applyFont="1" applyFill="1" applyBorder="1" applyAlignment="1">
      <alignment horizontal="right" vertical="center"/>
    </xf>
    <xf numFmtId="0" fontId="19" fillId="15" borderId="8" xfId="0" applyFont="1" applyFill="1" applyBorder="1" applyAlignment="1">
      <alignment horizontal="right" vertical="center"/>
    </xf>
    <xf numFmtId="0" fontId="19" fillId="16" borderId="8" xfId="0" applyFont="1" applyFill="1" applyBorder="1" applyAlignment="1">
      <alignment horizontal="right" vertical="center"/>
    </xf>
    <xf numFmtId="0" fontId="19" fillId="10" borderId="8" xfId="0" applyFont="1" applyFill="1" applyBorder="1" applyAlignment="1">
      <alignment horizontal="right" vertical="center"/>
    </xf>
    <xf numFmtId="0" fontId="19" fillId="11" borderId="8" xfId="0" applyFont="1" applyFill="1" applyBorder="1" applyAlignment="1">
      <alignment horizontal="right" vertical="center"/>
    </xf>
    <xf numFmtId="0" fontId="20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4" fontId="0" fillId="0" borderId="0" xfId="1" applyNumberFormat="1" applyFont="1" applyAlignment="1">
      <alignment horizontal="right"/>
    </xf>
    <xf numFmtId="4" fontId="0" fillId="0" borderId="0" xfId="0" applyNumberFormat="1" applyAlignment="1">
      <alignment horizontal="right"/>
    </xf>
    <xf numFmtId="165" fontId="7" fillId="4" borderId="1" xfId="0" applyNumberFormat="1" applyFont="1" applyFill="1" applyBorder="1" applyAlignment="1">
      <alignment horizontal="center"/>
    </xf>
    <xf numFmtId="0" fontId="18" fillId="13" borderId="8" xfId="0" applyFont="1" applyFill="1" applyBorder="1" applyAlignment="1">
      <alignment horizontal="center" vertical="center"/>
    </xf>
    <xf numFmtId="0" fontId="18" fillId="5" borderId="8" xfId="0" applyFont="1" applyFill="1" applyBorder="1" applyAlignment="1">
      <alignment horizontal="center" vertical="center"/>
    </xf>
    <xf numFmtId="0" fontId="18" fillId="14" borderId="8" xfId="0" applyFont="1" applyFill="1" applyBorder="1" applyAlignment="1">
      <alignment horizontal="center" vertical="center"/>
    </xf>
    <xf numFmtId="0" fontId="18" fillId="15" borderId="8" xfId="0" applyFont="1" applyFill="1" applyBorder="1" applyAlignment="1">
      <alignment horizontal="center" vertical="center"/>
    </xf>
    <xf numFmtId="0" fontId="18" fillId="10" borderId="8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22" fillId="18" borderId="14" xfId="0" applyFont="1" applyFill="1" applyBorder="1" applyAlignment="1">
      <alignment horizontal="left" wrapText="1" shrinkToFit="1"/>
    </xf>
    <xf numFmtId="0" fontId="0" fillId="0" borderId="16" xfId="0" applyBorder="1" applyAlignment="1">
      <alignment horizontal="center"/>
    </xf>
    <xf numFmtId="0" fontId="22" fillId="18" borderId="0" xfId="0" applyFont="1" applyFill="1" applyAlignment="1">
      <alignment horizontal="left" wrapText="1" shrinkToFit="1"/>
    </xf>
    <xf numFmtId="49" fontId="22" fillId="18" borderId="0" xfId="0" applyNumberFormat="1" applyFont="1" applyFill="1"/>
    <xf numFmtId="0" fontId="0" fillId="0" borderId="7" xfId="0" applyBorder="1" applyAlignment="1">
      <alignment horizontal="center"/>
    </xf>
    <xf numFmtId="0" fontId="22" fillId="18" borderId="3" xfId="0" applyFont="1" applyFill="1" applyBorder="1" applyAlignment="1">
      <alignment horizontal="left" wrapText="1" shrinkToFit="1"/>
    </xf>
    <xf numFmtId="0" fontId="23" fillId="0" borderId="14" xfId="0" applyFont="1" applyBorder="1"/>
    <xf numFmtId="0" fontId="23" fillId="0" borderId="0" xfId="0" applyFont="1"/>
    <xf numFmtId="0" fontId="23" fillId="0" borderId="3" xfId="0" applyFont="1" applyBorder="1"/>
    <xf numFmtId="0" fontId="6" fillId="7" borderId="0" xfId="0" applyFont="1" applyFill="1"/>
    <xf numFmtId="0" fontId="0" fillId="19" borderId="0" xfId="0" applyFill="1" applyAlignment="1">
      <alignment horizontal="center"/>
    </xf>
    <xf numFmtId="0" fontId="0" fillId="19" borderId="0" xfId="0" applyFill="1"/>
    <xf numFmtId="0" fontId="4" fillId="6" borderId="9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 vertical="center"/>
    </xf>
    <xf numFmtId="170" fontId="23" fillId="0" borderId="15" xfId="1" applyNumberFormat="1" applyFont="1" applyBorder="1"/>
    <xf numFmtId="170" fontId="23" fillId="0" borderId="2" xfId="1" applyNumberFormat="1" applyFont="1" applyBorder="1"/>
    <xf numFmtId="170" fontId="23" fillId="0" borderId="4" xfId="1" applyNumberFormat="1" applyFont="1" applyBorder="1"/>
    <xf numFmtId="14" fontId="9" fillId="6" borderId="0" xfId="0" applyNumberFormat="1" applyFont="1" applyFill="1" applyAlignment="1">
      <alignment horizontal="left"/>
    </xf>
    <xf numFmtId="4" fontId="9" fillId="6" borderId="0" xfId="0" applyNumberFormat="1" applyFont="1" applyFill="1"/>
    <xf numFmtId="0" fontId="0" fillId="9" borderId="0" xfId="0" applyFill="1" applyAlignment="1">
      <alignment vertical="center"/>
    </xf>
    <xf numFmtId="0" fontId="0" fillId="9" borderId="0" xfId="0" applyFill="1" applyAlignment="1">
      <alignment horizontal="right" vertical="center"/>
    </xf>
    <xf numFmtId="14" fontId="15" fillId="6" borderId="0" xfId="0" applyNumberFormat="1" applyFont="1" applyFill="1" applyAlignment="1">
      <alignment horizontal="left" vertical="center"/>
    </xf>
    <xf numFmtId="4" fontId="9" fillId="6" borderId="0" xfId="0" applyNumberFormat="1" applyFont="1" applyFill="1" applyAlignment="1">
      <alignment vertical="center"/>
    </xf>
    <xf numFmtId="164" fontId="9" fillId="6" borderId="0" xfId="0" applyNumberFormat="1" applyFont="1" applyFill="1" applyAlignment="1">
      <alignment vertical="center"/>
    </xf>
    <xf numFmtId="165" fontId="9" fillId="6" borderId="0" xfId="1" applyFont="1" applyFill="1" applyBorder="1" applyAlignment="1">
      <alignment vertical="center"/>
    </xf>
    <xf numFmtId="0" fontId="0" fillId="0" borderId="0" xfId="0" applyAlignment="1">
      <alignment vertical="center"/>
    </xf>
    <xf numFmtId="171" fontId="25" fillId="6" borderId="0" xfId="0" applyNumberFormat="1" applyFont="1" applyFill="1" applyAlignment="1">
      <alignment horizontal="center"/>
    </xf>
    <xf numFmtId="0" fontId="10" fillId="6" borderId="0" xfId="0" applyFont="1" applyFill="1" applyAlignment="1">
      <alignment horizontal="right"/>
    </xf>
    <xf numFmtId="3" fontId="0" fillId="9" borderId="0" xfId="0" applyNumberFormat="1" applyFill="1" applyAlignment="1">
      <alignment horizontal="center"/>
    </xf>
    <xf numFmtId="170" fontId="9" fillId="6" borderId="0" xfId="1" applyNumberFormat="1" applyFont="1" applyFill="1"/>
    <xf numFmtId="170" fontId="9" fillId="6" borderId="0" xfId="0" applyNumberFormat="1" applyFont="1" applyFill="1"/>
    <xf numFmtId="0" fontId="29" fillId="0" borderId="23" xfId="0" applyFont="1" applyBorder="1"/>
    <xf numFmtId="0" fontId="29" fillId="0" borderId="0" xfId="0" applyFont="1"/>
    <xf numFmtId="169" fontId="30" fillId="0" borderId="0" xfId="0" applyNumberFormat="1" applyFont="1"/>
    <xf numFmtId="0" fontId="30" fillId="0" borderId="0" xfId="0" applyFont="1"/>
    <xf numFmtId="0" fontId="26" fillId="0" borderId="0" xfId="0" applyFont="1" applyAlignment="1">
      <alignment horizontal="right"/>
    </xf>
    <xf numFmtId="171" fontId="27" fillId="0" borderId="0" xfId="0" applyNumberFormat="1" applyFont="1" applyAlignment="1">
      <alignment horizontal="center"/>
    </xf>
    <xf numFmtId="0" fontId="26" fillId="0" borderId="0" xfId="0" applyFont="1"/>
    <xf numFmtId="0" fontId="33" fillId="0" borderId="0" xfId="0" applyFont="1"/>
    <xf numFmtId="172" fontId="26" fillId="0" borderId="0" xfId="1" applyNumberFormat="1" applyFont="1" applyBorder="1"/>
    <xf numFmtId="0" fontId="33" fillId="0" borderId="0" xfId="0" applyFont="1" applyAlignment="1">
      <alignment horizontal="right"/>
    </xf>
    <xf numFmtId="172" fontId="33" fillId="0" borderId="0" xfId="1" applyNumberFormat="1" applyFont="1" applyBorder="1"/>
    <xf numFmtId="10" fontId="33" fillId="0" borderId="0" xfId="0" applyNumberFormat="1" applyFont="1" applyAlignment="1">
      <alignment horizontal="left"/>
    </xf>
    <xf numFmtId="172" fontId="33" fillId="0" borderId="0" xfId="3" applyNumberFormat="1" applyFont="1" applyBorder="1"/>
    <xf numFmtId="168" fontId="33" fillId="0" borderId="0" xfId="0" applyNumberFormat="1" applyFont="1" applyAlignment="1">
      <alignment horizontal="left"/>
    </xf>
    <xf numFmtId="172" fontId="33" fillId="0" borderId="0" xfId="0" applyNumberFormat="1" applyFont="1"/>
    <xf numFmtId="0" fontId="34" fillId="20" borderId="0" xfId="0" applyFont="1" applyFill="1" applyAlignment="1">
      <alignment vertical="center"/>
    </xf>
    <xf numFmtId="0" fontId="35" fillId="20" borderId="0" xfId="0" applyFont="1" applyFill="1" applyAlignment="1">
      <alignment vertical="center"/>
    </xf>
    <xf numFmtId="3" fontId="0" fillId="8" borderId="0" xfId="0" applyNumberFormat="1" applyFill="1"/>
    <xf numFmtId="3" fontId="0" fillId="9" borderId="0" xfId="0" applyNumberFormat="1" applyFill="1"/>
    <xf numFmtId="3" fontId="0" fillId="9" borderId="0" xfId="0" applyNumberFormat="1" applyFill="1" applyAlignment="1">
      <alignment vertical="center"/>
    </xf>
    <xf numFmtId="3" fontId="0" fillId="0" borderId="0" xfId="0" applyNumberFormat="1"/>
    <xf numFmtId="170" fontId="9" fillId="0" borderId="0" xfId="1" applyNumberFormat="1" applyFont="1" applyBorder="1"/>
    <xf numFmtId="0" fontId="28" fillId="0" borderId="0" xfId="0" applyFont="1"/>
    <xf numFmtId="170" fontId="14" fillId="19" borderId="0" xfId="1" applyNumberFormat="1" applyFont="1" applyFill="1" applyBorder="1"/>
    <xf numFmtId="0" fontId="14" fillId="0" borderId="0" xfId="0" applyFont="1"/>
    <xf numFmtId="0" fontId="0" fillId="0" borderId="0" xfId="0" applyAlignment="1">
      <alignment horizontal="left"/>
    </xf>
    <xf numFmtId="49" fontId="6" fillId="7" borderId="0" xfId="0" applyNumberFormat="1" applyFont="1" applyFill="1" applyAlignment="1">
      <alignment horizontal="center"/>
    </xf>
    <xf numFmtId="49" fontId="0" fillId="8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0" fillId="9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170" fontId="0" fillId="0" borderId="0" xfId="0" applyNumberFormat="1"/>
    <xf numFmtId="170" fontId="0" fillId="0" borderId="0" xfId="0" applyNumberFormat="1" applyAlignment="1">
      <alignment horizontal="right"/>
    </xf>
    <xf numFmtId="170" fontId="0" fillId="0" borderId="0" xfId="1" applyNumberFormat="1" applyFont="1" applyBorder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7" fillId="4" borderId="1" xfId="0" applyNumberFormat="1" applyFont="1" applyFill="1" applyBorder="1" applyAlignment="1">
      <alignment horizontal="center" vertical="center"/>
    </xf>
    <xf numFmtId="170" fontId="33" fillId="0" borderId="0" xfId="0" applyNumberFormat="1" applyFont="1"/>
    <xf numFmtId="170" fontId="34" fillId="20" borderId="0" xfId="0" applyNumberFormat="1" applyFont="1" applyFill="1" applyAlignment="1">
      <alignment vertical="center"/>
    </xf>
    <xf numFmtId="0" fontId="38" fillId="0" borderId="0" xfId="0" applyFont="1"/>
    <xf numFmtId="170" fontId="7" fillId="4" borderId="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37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33" fillId="0" borderId="0" xfId="0" applyFont="1" applyAlignment="1">
      <alignment horizontal="left" indent="1"/>
    </xf>
    <xf numFmtId="0" fontId="33" fillId="0" borderId="0" xfId="0" applyFont="1" applyAlignment="1">
      <alignment horizontal="left"/>
    </xf>
    <xf numFmtId="0" fontId="31" fillId="0" borderId="0" xfId="0" applyFont="1" applyAlignment="1">
      <alignment horizontal="center"/>
    </xf>
    <xf numFmtId="0" fontId="6" fillId="7" borderId="0" xfId="0" applyFont="1" applyFill="1" applyAlignment="1">
      <alignment horizontal="center"/>
    </xf>
    <xf numFmtId="0" fontId="4" fillId="6" borderId="17" xfId="0" applyFont="1" applyFill="1" applyBorder="1" applyAlignment="1">
      <alignment horizontal="left" vertical="top" wrapText="1"/>
    </xf>
    <xf numFmtId="0" fontId="4" fillId="6" borderId="18" xfId="0" applyFont="1" applyFill="1" applyBorder="1" applyAlignment="1">
      <alignment horizontal="left" vertical="top" wrapText="1"/>
    </xf>
    <xf numFmtId="0" fontId="4" fillId="6" borderId="19" xfId="0" applyFont="1" applyFill="1" applyBorder="1" applyAlignment="1">
      <alignment horizontal="left" vertical="top" wrapText="1"/>
    </xf>
    <xf numFmtId="0" fontId="5" fillId="9" borderId="20" xfId="0" applyFont="1" applyFill="1" applyBorder="1" applyAlignment="1">
      <alignment horizontal="center" vertical="top"/>
    </xf>
    <xf numFmtId="0" fontId="5" fillId="9" borderId="21" xfId="0" applyFont="1" applyFill="1" applyBorder="1" applyAlignment="1">
      <alignment horizontal="center" vertical="top"/>
    </xf>
    <xf numFmtId="0" fontId="5" fillId="9" borderId="22" xfId="0" applyFont="1" applyFill="1" applyBorder="1" applyAlignment="1">
      <alignment horizontal="center" vertical="top"/>
    </xf>
    <xf numFmtId="0" fontId="7" fillId="7" borderId="8" xfId="0" applyFont="1" applyFill="1" applyBorder="1" applyAlignment="1">
      <alignment horizontal="center"/>
    </xf>
    <xf numFmtId="0" fontId="13" fillId="12" borderId="0" xfId="0" applyFont="1" applyFill="1" applyAlignment="1">
      <alignment horizontal="center" vertical="center"/>
    </xf>
    <xf numFmtId="14" fontId="10" fillId="0" borderId="10" xfId="0" applyNumberFormat="1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3" fillId="3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9" fillId="19" borderId="0" xfId="0" applyFont="1" applyFill="1" applyAlignment="1">
      <alignment horizontal="right"/>
    </xf>
    <xf numFmtId="0" fontId="40" fillId="0" borderId="0" xfId="4" applyFont="1" applyAlignment="1">
      <alignment horizontal="center" wrapText="1" shrinkToFit="1"/>
    </xf>
    <xf numFmtId="39" fontId="29" fillId="0" borderId="0" xfId="4" applyNumberFormat="1" applyFont="1" applyAlignment="1">
      <alignment horizontal="center" wrapText="1" shrinkToFit="1"/>
    </xf>
    <xf numFmtId="164" fontId="29" fillId="0" borderId="0" xfId="4" applyNumberFormat="1" applyFont="1" applyAlignment="1">
      <alignment horizontal="left" wrapText="1" indent="2" shrinkToFit="1"/>
    </xf>
  </cellXfs>
  <cellStyles count="5">
    <cellStyle name="Lien hypertexte" xfId="2" builtinId="8"/>
    <cellStyle name="Milliers" xfId="3" builtinId="3"/>
    <cellStyle name="Monétaire" xfId="1" builtinId="4"/>
    <cellStyle name="Normal" xfId="0" builtinId="0"/>
    <cellStyle name="Normal 2" xfId="4" xr:uid="{EF356598-CF6B-4986-810B-B175A0FEEDF5}"/>
  </cellStyles>
  <dxfs count="38"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patternFill>
          <bgColor rgb="FFE2F0FA"/>
        </patternFill>
      </fill>
    </dxf>
    <dxf>
      <fill>
        <gradientFill degree="90">
          <stop position="0">
            <color rgb="FFEDF9FD"/>
          </stop>
          <stop position="1">
            <color rgb="FFEDF9FD"/>
          </stop>
        </gradient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ill>
        <patternFill>
          <bgColor theme="0"/>
        </patternFill>
      </fill>
      <border>
        <left style="hair">
          <color theme="4" tint="-0.499984740745262"/>
        </left>
        <right style="hair">
          <color theme="4" tint="-0.499984740745262"/>
        </right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4" tint="-0.25098422193060094"/>
          </stop>
          <stop position="1">
            <color theme="4" tint="-0.49803155613879818"/>
          </stop>
        </gradientFill>
      </fill>
    </dxf>
  </dxfs>
  <tableStyles count="0" defaultTableStyle="TableStyleMedium2" defaultPivotStyle="PivotStyleLight16"/>
  <colors>
    <mruColors>
      <color rgb="FF666633"/>
      <color rgb="FFB2B2B2"/>
      <color rgb="FFEDF9FD"/>
      <color rgb="FFFFFFCC"/>
      <color rgb="FF99FFCC"/>
      <color rgb="FFE2F0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B$16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195904</xdr:colOff>
      <xdr:row>2</xdr:row>
      <xdr:rowOff>81064</xdr:rowOff>
    </xdr:from>
    <xdr:to>
      <xdr:col>7</xdr:col>
      <xdr:colOff>128351</xdr:colOff>
      <xdr:row>7</xdr:row>
      <xdr:rowOff>121596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1945532" y="797128"/>
          <a:ext cx="5296170" cy="952500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170099</xdr:colOff>
      <xdr:row>2</xdr:row>
      <xdr:rowOff>24119</xdr:rowOff>
    </xdr:from>
    <xdr:to>
      <xdr:col>4</xdr:col>
      <xdr:colOff>751609</xdr:colOff>
      <xdr:row>2</xdr:row>
      <xdr:rowOff>141144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017949" y="652769"/>
          <a:ext cx="1314935" cy="117025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050"/>
            <a:t>Facturation du temps</a:t>
          </a:r>
        </a:p>
      </xdr:txBody>
    </xdr:sp>
    <xdr:clientData/>
  </xdr:twoCellAnchor>
  <xdr:twoCellAnchor>
    <xdr:from>
      <xdr:col>8</xdr:col>
      <xdr:colOff>0</xdr:colOff>
      <xdr:row>14</xdr:row>
      <xdr:rowOff>0</xdr:rowOff>
    </xdr:from>
    <xdr:to>
      <xdr:col>8</xdr:col>
      <xdr:colOff>165430</xdr:colOff>
      <xdr:row>14</xdr:row>
      <xdr:rowOff>164747</xdr:rowOff>
    </xdr:to>
    <xdr:grpSp>
      <xdr:nvGrpSpPr>
        <xdr:cNvPr id="59" name="AddItemBtn" hidden="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953375" y="2914650"/>
          <a:ext cx="165430" cy="164747"/>
          <a:chOff x="6845682" y="2489085"/>
          <a:chExt cx="164592" cy="164592"/>
        </a:xfrm>
      </xdr:grpSpPr>
      <xdr:sp macro="[0]!BillingEntry_AddToInvoice" textlink="">
        <xdr:nvSpPr>
          <xdr:cNvPr id="58" name="Rectangle 57" hidden="1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SpPr/>
        </xdr:nvSpPr>
        <xdr:spPr>
          <a:xfrm>
            <a:off x="6845682" y="2489085"/>
            <a:ext cx="164592" cy="164592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US" sz="1100" b="1"/>
          </a:p>
        </xdr:txBody>
      </xdr:sp>
      <xdr:pic macro="[0]!BillingEntry_AddToInvoice">
        <xdr:nvPicPr>
          <xdr:cNvPr id="57" name="Graphic 56" descr="Arrow: Slight curve with solid fill" hidden="1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848420" y="2493763"/>
            <a:ext cx="149868" cy="15119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25978</xdr:colOff>
      <xdr:row>0</xdr:row>
      <xdr:rowOff>386898</xdr:rowOff>
    </xdr:from>
    <xdr:to>
      <xdr:col>5</xdr:col>
      <xdr:colOff>416502</xdr:colOff>
      <xdr:row>1</xdr:row>
      <xdr:rowOff>234745</xdr:rowOff>
    </xdr:to>
    <xdr:grpSp>
      <xdr:nvGrpSpPr>
        <xdr:cNvPr id="3076" name="Group 3075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pSpPr/>
      </xdr:nvGrpSpPr>
      <xdr:grpSpPr>
        <a:xfrm>
          <a:off x="1873828" y="377373"/>
          <a:ext cx="4838699" cy="238372"/>
          <a:chOff x="2688595" y="421535"/>
          <a:chExt cx="3424922" cy="234888"/>
        </a:xfrm>
      </xdr:grpSpPr>
      <xdr:grpSp>
        <xdr:nvGrpSpPr>
          <xdr:cNvPr id="63" name="Group 62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pSpPr/>
        </xdr:nvGrpSpPr>
        <xdr:grpSpPr>
          <a:xfrm>
            <a:off x="2688595" y="421535"/>
            <a:ext cx="915578" cy="234888"/>
            <a:chOff x="2688595" y="421535"/>
            <a:chExt cx="915578" cy="234888"/>
          </a:xfrm>
        </xdr:grpSpPr>
        <xdr:sp macro="[0]!BillingEntry_New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2688595" y="421535"/>
              <a:ext cx="915578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Add Entry</a:t>
              </a:r>
            </a:p>
          </xdr:txBody>
        </xdr:sp>
        <xdr:pic macro="[0]!BillingEntry_New">
          <xdr:nvPicPr>
            <xdr:cNvPr id="60" name="Graphic 59" descr="Badge Follow with solid fill">
              <a:extLst>
                <a:ext uri="{FF2B5EF4-FFF2-40B4-BE49-F238E27FC236}">
                  <a16:creationId xmlns:a16="http://schemas.microsoft.com/office/drawing/2014/main" id="{00000000-0008-0000-0000-00003C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731514" y="446288"/>
              <a:ext cx="183593" cy="185382"/>
            </a:xfrm>
            <a:prstGeom prst="rect">
              <a:avLst/>
            </a:prstGeom>
          </xdr:spPr>
        </xdr:pic>
      </xdr:grpSp>
      <xdr:grpSp>
        <xdr:nvGrpSpPr>
          <xdr:cNvPr id="3074" name="Group 3073">
            <a:extLst>
              <a:ext uri="{FF2B5EF4-FFF2-40B4-BE49-F238E27FC236}">
                <a16:creationId xmlns:a16="http://schemas.microsoft.com/office/drawing/2014/main" id="{00000000-0008-0000-0000-0000020C0000}"/>
              </a:ext>
            </a:extLst>
          </xdr:cNvPr>
          <xdr:cNvGrpSpPr/>
        </xdr:nvGrpSpPr>
        <xdr:grpSpPr>
          <a:xfrm>
            <a:off x="5101938" y="421535"/>
            <a:ext cx="1011579" cy="234888"/>
            <a:chOff x="5101938" y="421535"/>
            <a:chExt cx="1011579" cy="234888"/>
          </a:xfrm>
        </xdr:grpSpPr>
        <xdr:sp macro="[0]!BillingEntry_Delete" textlink="">
          <xdr:nvSpPr>
            <xdr:cNvPr id="33" name="Rectangle 32">
              <a:extLst>
                <a:ext uri="{FF2B5EF4-FFF2-40B4-BE49-F238E27FC236}">
                  <a16:creationId xmlns:a16="http://schemas.microsoft.com/office/drawing/2014/main" id="{00000000-0008-0000-0000-000021000000}"/>
                </a:ext>
              </a:extLst>
            </xdr:cNvPr>
            <xdr:cNvSpPr/>
          </xdr:nvSpPr>
          <xdr:spPr>
            <a:xfrm>
              <a:off x="5101938" y="421535"/>
              <a:ext cx="1011579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Delete Entry</a:t>
              </a:r>
            </a:p>
          </xdr:txBody>
        </xdr:sp>
        <xdr:pic macro="[0]!BillingEntry_Delete">
          <xdr:nvPicPr>
            <xdr:cNvPr id="61" name="Graphic 60" descr="Garbage with solid fill">
              <a:extLst>
                <a:ext uri="{FF2B5EF4-FFF2-40B4-BE49-F238E27FC236}">
                  <a16:creationId xmlns:a16="http://schemas.microsoft.com/office/drawing/2014/main" id="{00000000-0008-0000-0000-00003D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5122917" y="446288"/>
              <a:ext cx="183751" cy="185382"/>
            </a:xfrm>
            <a:prstGeom prst="rect">
              <a:avLst/>
            </a:prstGeom>
          </xdr:spPr>
        </xdr:pic>
      </xdr:grpSp>
      <xdr:grpSp>
        <xdr:nvGrpSpPr>
          <xdr:cNvPr id="3072" name="Group 3071">
            <a:extLst>
              <a:ext uri="{FF2B5EF4-FFF2-40B4-BE49-F238E27FC236}">
                <a16:creationId xmlns:a16="http://schemas.microsoft.com/office/drawing/2014/main" id="{00000000-0008-0000-0000-0000000C0000}"/>
              </a:ext>
            </a:extLst>
          </xdr:cNvPr>
          <xdr:cNvGrpSpPr/>
        </xdr:nvGrpSpPr>
        <xdr:grpSpPr>
          <a:xfrm>
            <a:off x="3885880" y="421535"/>
            <a:ext cx="934351" cy="234888"/>
            <a:chOff x="3896028" y="421535"/>
            <a:chExt cx="934351" cy="234888"/>
          </a:xfrm>
        </xdr:grpSpPr>
        <xdr:sp macro="[0]!BillingEntry_SaveUpdate" textlink="">
          <xdr:nvSpPr>
            <xdr:cNvPr id="31" name="Rectangl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SpPr/>
          </xdr:nvSpPr>
          <xdr:spPr>
            <a:xfrm>
              <a:off x="3896028" y="421535"/>
              <a:ext cx="934351" cy="234888"/>
            </a:xfrm>
            <a:prstGeom prst="rect">
              <a:avLst/>
            </a:prstGeom>
            <a:ln>
              <a:noFill/>
            </a:ln>
          </xdr:spPr>
          <xdr:style>
            <a:lnRef idx="3">
              <a:schemeClr val="lt1"/>
            </a:lnRef>
            <a:fillRef idx="1">
              <a:schemeClr val="accent2"/>
            </a:fillRef>
            <a:effectRef idx="1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1000" b="1"/>
                <a:t>Save Entry</a:t>
              </a:r>
            </a:p>
          </xdr:txBody>
        </xdr:sp>
        <xdr:pic macro="[0]!BillingEntry_SaveUpdate">
          <xdr:nvPicPr>
            <xdr:cNvPr id="62" name="Graphic 61" descr="Checkmark with solid fill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3944883" y="446288"/>
              <a:ext cx="183751" cy="185382"/>
            </a:xfrm>
            <a:prstGeom prst="rect">
              <a:avLst/>
            </a:prstGeom>
          </xdr:spPr>
        </xdr:pic>
      </xdr:grpSp>
    </xdr:grpSp>
    <xdr:clientData/>
  </xdr:twoCellAnchor>
  <xdr:twoCellAnchor editAs="oneCell">
    <xdr:from>
      <xdr:col>15</xdr:col>
      <xdr:colOff>0</xdr:colOff>
      <xdr:row>2</xdr:row>
      <xdr:rowOff>148557</xdr:rowOff>
    </xdr:from>
    <xdr:to>
      <xdr:col>16</xdr:col>
      <xdr:colOff>734467</xdr:colOff>
      <xdr:row>13</xdr:row>
      <xdr:rowOff>142875</xdr:rowOff>
    </xdr:to>
    <xdr:grpSp>
      <xdr:nvGrpSpPr>
        <xdr:cNvPr id="3085" name="Group 3084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GrpSpPr/>
      </xdr:nvGrpSpPr>
      <xdr:grpSpPr>
        <a:xfrm>
          <a:off x="16687800" y="777207"/>
          <a:ext cx="1858417" cy="2089818"/>
          <a:chOff x="14897539" y="772510"/>
          <a:chExt cx="1182886" cy="1752955"/>
        </a:xfrm>
      </xdr:grpSpPr>
      <xdr:grpSp>
        <xdr:nvGrpSpPr>
          <xdr:cNvPr id="3081" name="Group 3080">
            <a:extLst>
              <a:ext uri="{FF2B5EF4-FFF2-40B4-BE49-F238E27FC236}">
                <a16:creationId xmlns:a16="http://schemas.microsoft.com/office/drawing/2014/main" id="{00000000-0008-0000-0000-0000090C0000}"/>
              </a:ext>
            </a:extLst>
          </xdr:cNvPr>
          <xdr:cNvGrpSpPr/>
        </xdr:nvGrpSpPr>
        <xdr:grpSpPr>
          <a:xfrm>
            <a:off x="14897539" y="1173550"/>
            <a:ext cx="1182886" cy="1351915"/>
            <a:chOff x="14950091" y="972102"/>
            <a:chExt cx="1182886" cy="1351915"/>
          </a:xfrm>
        </xdr:grpSpPr>
        <xdr:grpSp>
          <xdr:nvGrpSpPr>
            <xdr:cNvPr id="3077" name="Group 3076">
              <a:extLs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GrpSpPr/>
          </xdr:nvGrpSpPr>
          <xdr:grpSpPr>
            <a:xfrm>
              <a:off x="14968942" y="972102"/>
              <a:ext cx="1164035" cy="230101"/>
              <a:chOff x="14944647" y="972102"/>
              <a:chExt cx="1164035" cy="230101"/>
            </a:xfrm>
          </xdr:grpSpPr>
          <xdr:sp macro="[0]!Invoice_New" textlink="">
            <xdr:nvSpPr>
              <xdr:cNvPr id="36" name="Rectangle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>
                <a:off x="14944647" y="972102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Nouvelle facture</a:t>
                </a:r>
              </a:p>
            </xdr:txBody>
          </xdr:sp>
          <xdr:pic macro="[0]!Invoice_SaveUpdate">
            <xdr:nvPicPr>
              <xdr:cNvPr id="49" name="Graphic 48" descr="Badge Follow with solid fill"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14976814" y="1015546"/>
                <a:ext cx="183593" cy="185382"/>
              </a:xfrm>
              <a:prstGeom prst="rect">
                <a:avLst/>
              </a:prstGeom>
            </xdr:spPr>
          </xdr:pic>
        </xdr:grpSp>
        <xdr:grpSp>
          <xdr:nvGrpSpPr>
            <xdr:cNvPr id="3078" name="Group 3077">
              <a:extLs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GrpSpPr/>
          </xdr:nvGrpSpPr>
          <xdr:grpSpPr>
            <a:xfrm>
              <a:off x="14950091" y="1334899"/>
              <a:ext cx="1164035" cy="236158"/>
              <a:chOff x="14945674" y="1334899"/>
              <a:chExt cx="1164035" cy="236158"/>
            </a:xfrm>
          </xdr:grpSpPr>
          <xdr:sp macro="[0]!Invoice_SaveUpdate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14945674" y="1334899"/>
                <a:ext cx="1164035" cy="230101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Sauvegarder facture</a:t>
                </a:r>
              </a:p>
            </xdr:txBody>
          </xdr:sp>
          <xdr:pic macro="[0]!Invoice_SaveUpdate">
            <xdr:nvPicPr>
              <xdr:cNvPr id="51" name="Graphic 50" descr="Checkmark with solid fill">
                <a:extLst>
                  <a:ext uri="{FF2B5EF4-FFF2-40B4-BE49-F238E27FC236}">
                    <a16:creationId xmlns:a16="http://schemas.microsoft.com/office/drawing/2014/main" id="{00000000-0008-0000-0000-00003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7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8"/>
                  </a:ext>
                </a:extLst>
              </a:blip>
              <a:stretch>
                <a:fillRect/>
              </a:stretch>
            </xdr:blipFill>
            <xdr:spPr>
              <a:xfrm>
                <a:off x="15000137" y="1385675"/>
                <a:ext cx="183751" cy="185382"/>
              </a:xfrm>
              <a:prstGeom prst="rect">
                <a:avLst/>
              </a:prstGeom>
            </xdr:spPr>
          </xdr:pic>
        </xdr:grpSp>
        <xdr:grpSp>
          <xdr:nvGrpSpPr>
            <xdr:cNvPr id="3080" name="Group 3079">
              <a:extLs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GrpSpPr/>
          </xdr:nvGrpSpPr>
          <xdr:grpSpPr>
            <a:xfrm>
              <a:off x="14950091" y="2093915"/>
              <a:ext cx="1164035" cy="230102"/>
              <a:chOff x="14974387" y="2093915"/>
              <a:chExt cx="1164035" cy="230102"/>
            </a:xfrm>
          </xdr:grpSpPr>
          <xdr:sp macro="[0]!Invoice_SaveUpdate" textlink="">
            <xdr:nvSpPr>
              <xdr:cNvPr id="47" name="Rectangle 46">
                <a:extLst>
                  <a:ext uri="{FF2B5EF4-FFF2-40B4-BE49-F238E27FC236}">
                    <a16:creationId xmlns:a16="http://schemas.microsoft.com/office/drawing/2014/main" id="{00000000-0008-0000-0000-00002F000000}"/>
                  </a:ext>
                </a:extLst>
              </xdr:cNvPr>
              <xdr:cNvSpPr/>
            </xdr:nvSpPr>
            <xdr:spPr>
              <a:xfrm>
                <a:off x="14974387" y="2093915"/>
                <a:ext cx="1164035" cy="230102"/>
              </a:xfrm>
              <a:prstGeom prst="rect">
                <a:avLst/>
              </a:prstGeom>
              <a:ln>
                <a:noFill/>
              </a:ln>
            </xdr:spPr>
            <xdr:style>
              <a:lnRef idx="3">
                <a:schemeClr val="lt1"/>
              </a:lnRef>
              <a:fillRef idx="1">
                <a:schemeClr val="accent2"/>
              </a:fillRef>
              <a:effectRef idx="1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r"/>
                <a:r>
                  <a:rPr lang="en-US" sz="1000" b="1"/>
                  <a:t>Détruire</a:t>
                </a:r>
                <a:r>
                  <a:rPr lang="en-US" sz="1000" b="1" baseline="0"/>
                  <a:t> facture</a:t>
                </a:r>
                <a:endParaRPr lang="en-US" sz="1000" b="1"/>
              </a:p>
            </xdr:txBody>
          </xdr:sp>
          <xdr:pic macro="[0]!Invoice_SaveUpdate">
            <xdr:nvPicPr>
              <xdr:cNvPr id="53" name="Graphic 52" descr="Garbage with solid fill">
                <a:extLst>
                  <a:ext uri="{FF2B5EF4-FFF2-40B4-BE49-F238E27FC236}">
                    <a16:creationId xmlns:a16="http://schemas.microsoft.com/office/drawing/2014/main" id="{00000000-0008-0000-0000-00003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15015669" y="2100308"/>
                <a:ext cx="183751" cy="185382"/>
              </a:xfrm>
              <a:prstGeom prst="rect">
                <a:avLst/>
              </a:prstGeom>
            </xdr:spPr>
          </xdr:pic>
        </xdr:grpSp>
      </xdr:grpSp>
      <xdr:grpSp>
        <xdr:nvGrpSpPr>
          <xdr:cNvPr id="3084" name="Group 3083">
            <a:extLst>
              <a:ext uri="{FF2B5EF4-FFF2-40B4-BE49-F238E27FC236}">
                <a16:creationId xmlns:a16="http://schemas.microsoft.com/office/drawing/2014/main" id="{00000000-0008-0000-0000-00000C0C0000}"/>
              </a:ext>
            </a:extLst>
          </xdr:cNvPr>
          <xdr:cNvGrpSpPr/>
        </xdr:nvGrpSpPr>
        <xdr:grpSpPr>
          <a:xfrm>
            <a:off x="14915728" y="772510"/>
            <a:ext cx="1151909" cy="354767"/>
            <a:chOff x="14915728" y="772510"/>
            <a:chExt cx="1151909" cy="354767"/>
          </a:xfrm>
        </xdr:grpSpPr>
        <xdr:sp macro="[0]!Invoice_SaveUpdate" textlink="">
          <xdr:nvSpPr>
            <xdr:cNvPr id="3082" name="Arrow: Right 3081">
              <a:extLs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>
            <a:xfrm>
              <a:off x="15612935" y="779387"/>
              <a:ext cx="454702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Invoice_SaveUpdate" textlink="">
          <xdr:nvSpPr>
            <xdr:cNvPr id="3083" name="Arrow: Right 3082">
              <a:extLs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>
            <a:xfrm flipH="1">
              <a:off x="14915728" y="772510"/>
              <a:ext cx="431023" cy="347890"/>
            </a:xfrm>
            <a:prstGeom prst="rightArrow">
              <a:avLst/>
            </a:prstGeom>
            <a:ln>
              <a:noFill/>
            </a:ln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3390900</xdr:colOff>
          <xdr:row>7</xdr:row>
          <xdr:rowOff>123825</xdr:rowOff>
        </xdr:from>
        <xdr:to>
          <xdr:col>8</xdr:col>
          <xdr:colOff>19050</xdr:colOff>
          <xdr:row>9</xdr:row>
          <xdr:rowOff>0</xdr:rowOff>
        </xdr:to>
        <xdr:sp macro="" textlink="">
          <xdr:nvSpPr>
            <xdr:cNvPr id="2" name="Check Box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Inclure les charges facturées ?</a:t>
              </a:r>
            </a:p>
          </xdr:txBody>
        </xdr:sp>
        <xdr:clientData/>
      </xdr:twoCellAnchor>
    </mc:Choice>
    <mc:Fallback/>
  </mc:AlternateContent>
  <xdr:oneCellAnchor>
    <xdr:from>
      <xdr:col>16</xdr:col>
      <xdr:colOff>432954</xdr:colOff>
      <xdr:row>20</xdr:row>
      <xdr:rowOff>173181</xdr:rowOff>
    </xdr:from>
    <xdr:ext cx="184731" cy="264560"/>
    <xdr:sp macro="" textlink="">
      <xdr:nvSpPr>
        <xdr:cNvPr id="3073" name="ZoneTexte 3072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SpPr txBox="1"/>
      </xdr:nvSpPr>
      <xdr:spPr>
        <a:xfrm>
          <a:off x="15179386" y="432088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twoCellAnchor>
    <xdr:from>
      <xdr:col>18</xdr:col>
      <xdr:colOff>0</xdr:colOff>
      <xdr:row>0</xdr:row>
      <xdr:rowOff>0</xdr:rowOff>
    </xdr:from>
    <xdr:to>
      <xdr:col>24</xdr:col>
      <xdr:colOff>11906</xdr:colOff>
      <xdr:row>14</xdr:row>
      <xdr:rowOff>180975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55125" y="0"/>
          <a:ext cx="12184856" cy="3276600"/>
        </a:xfrm>
        <a:prstGeom prst="rect">
          <a:avLst/>
        </a:prstGeom>
      </xdr:spPr>
    </xdr:pic>
    <xdr:clientData/>
  </xdr:twoCellAnchor>
  <xdr:twoCellAnchor>
    <xdr:from>
      <xdr:col>26</xdr:col>
      <xdr:colOff>9524</xdr:colOff>
      <xdr:row>78</xdr:row>
      <xdr:rowOff>0</xdr:rowOff>
    </xdr:from>
    <xdr:to>
      <xdr:col>28</xdr:col>
      <xdr:colOff>609599</xdr:colOff>
      <xdr:row>80</xdr:row>
      <xdr:rowOff>19199</xdr:rowOff>
    </xdr:to>
    <xdr:sp macro="[0]!Invoice_Prin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1861124" y="15287625"/>
          <a:ext cx="181927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Envoi par courriel</a:t>
          </a:r>
        </a:p>
      </xdr:txBody>
    </xdr:sp>
    <xdr:clientData/>
  </xdr:twoCellAnchor>
  <xdr:twoCellAnchor>
    <xdr:from>
      <xdr:col>26</xdr:col>
      <xdr:colOff>95250</xdr:colOff>
      <xdr:row>78</xdr:row>
      <xdr:rowOff>76200</xdr:rowOff>
    </xdr:from>
    <xdr:to>
      <xdr:col>26</xdr:col>
      <xdr:colOff>383939</xdr:colOff>
      <xdr:row>79</xdr:row>
      <xdr:rowOff>106706</xdr:rowOff>
    </xdr:to>
    <xdr:pic macro="[0]!Invoice_Print">
      <xdr:nvPicPr>
        <xdr:cNvPr id="10" name="Graphic 54" descr="Fax with solid fill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5363825"/>
          <a:ext cx="288689" cy="221006"/>
        </a:xfrm>
        <a:prstGeom prst="rect">
          <a:avLst/>
        </a:prstGeom>
      </xdr:spPr>
    </xdr:pic>
    <xdr:clientData/>
  </xdr:twoCellAnchor>
  <xdr:twoCellAnchor>
    <xdr:from>
      <xdr:col>26</xdr:col>
      <xdr:colOff>9525</xdr:colOff>
      <xdr:row>71</xdr:row>
      <xdr:rowOff>171301</xdr:rowOff>
    </xdr:from>
    <xdr:to>
      <xdr:col>29</xdr:col>
      <xdr:colOff>0</xdr:colOff>
      <xdr:row>74</xdr:row>
      <xdr:rowOff>0</xdr:rowOff>
    </xdr:to>
    <xdr:sp macro="[0]!Montrer_Heures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31632525" y="14125426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Montrer les heures </a:t>
          </a:r>
        </a:p>
      </xdr:txBody>
    </xdr:sp>
    <xdr:clientData/>
  </xdr:twoCellAnchor>
  <xdr:twoCellAnchor>
    <xdr:from>
      <xdr:col>26</xdr:col>
      <xdr:colOff>9525</xdr:colOff>
      <xdr:row>69</xdr:row>
      <xdr:rowOff>0</xdr:rowOff>
    </xdr:from>
    <xdr:to>
      <xdr:col>29</xdr:col>
      <xdr:colOff>0</xdr:colOff>
      <xdr:row>71</xdr:row>
      <xdr:rowOff>19199</xdr:rowOff>
    </xdr:to>
    <xdr:sp macro="[0]!Cacher_Heures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632525" y="13573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Cacher les heures </a:t>
          </a:r>
        </a:p>
      </xdr:txBody>
    </xdr:sp>
    <xdr:clientData/>
  </xdr:twoCellAnchor>
  <xdr:twoCellAnchor>
    <xdr:from>
      <xdr:col>25</xdr:col>
      <xdr:colOff>380999</xdr:colOff>
      <xdr:row>75</xdr:row>
      <xdr:rowOff>0</xdr:rowOff>
    </xdr:from>
    <xdr:to>
      <xdr:col>28</xdr:col>
      <xdr:colOff>504824</xdr:colOff>
      <xdr:row>77</xdr:row>
      <xdr:rowOff>19199</xdr:rowOff>
    </xdr:to>
    <xdr:sp macro="[0]!Invoice_Prin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31622999" y="14716125"/>
          <a:ext cx="1533525" cy="400199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Prévisualisation </a:t>
          </a:r>
        </a:p>
      </xdr:txBody>
    </xdr:sp>
    <xdr:clientData/>
  </xdr:twoCellAnchor>
  <xdr:twoCellAnchor>
    <xdr:from>
      <xdr:col>26</xdr:col>
      <xdr:colOff>95250</xdr:colOff>
      <xdr:row>75</xdr:row>
      <xdr:rowOff>95250</xdr:rowOff>
    </xdr:from>
    <xdr:to>
      <xdr:col>26</xdr:col>
      <xdr:colOff>383939</xdr:colOff>
      <xdr:row>76</xdr:row>
      <xdr:rowOff>125756</xdr:rowOff>
    </xdr:to>
    <xdr:pic macro="[0]!Invoice_Print">
      <xdr:nvPicPr>
        <xdr:cNvPr id="14" name="Graphic 54" descr="Fax with solid fill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31718250" y="14811375"/>
          <a:ext cx="288689" cy="221006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2</xdr:row>
      <xdr:rowOff>148557</xdr:rowOff>
    </xdr:from>
    <xdr:to>
      <xdr:col>16</xdr:col>
      <xdr:colOff>704850</xdr:colOff>
      <xdr:row>4</xdr:row>
      <xdr:rowOff>41877</xdr:rowOff>
    </xdr:to>
    <xdr:sp macro="[0]!Invoice_Delete" textlink="">
      <xdr:nvSpPr>
        <xdr:cNvPr id="3" name="Rectangle 2">
          <a:extLst>
            <a:ext uri="{FF2B5EF4-FFF2-40B4-BE49-F238E27FC236}">
              <a16:creationId xmlns:a16="http://schemas.microsoft.com/office/drawing/2014/main" id="{347147FE-2B7A-414E-AA10-02CFBE44605A}"/>
            </a:ext>
          </a:extLst>
        </xdr:cNvPr>
        <xdr:cNvSpPr/>
      </xdr:nvSpPr>
      <xdr:spPr>
        <a:xfrm>
          <a:off x="16687800" y="777207"/>
          <a:ext cx="1828800" cy="274320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Détruire</a:t>
          </a:r>
          <a:r>
            <a:rPr lang="en-US" sz="1000" b="1" baseline="0"/>
            <a:t> facture</a:t>
          </a:r>
          <a:endParaRPr lang="en-US" sz="1000" b="1"/>
        </a:p>
      </xdr:txBody>
    </xdr:sp>
    <xdr:clientData/>
  </xdr:twoCellAnchor>
  <xdr:twoCellAnchor>
    <xdr:from>
      <xdr:col>15</xdr:col>
      <xdr:colOff>0</xdr:colOff>
      <xdr:row>10</xdr:row>
      <xdr:rowOff>0</xdr:rowOff>
    </xdr:from>
    <xdr:to>
      <xdr:col>16</xdr:col>
      <xdr:colOff>704850</xdr:colOff>
      <xdr:row>11</xdr:row>
      <xdr:rowOff>83821</xdr:rowOff>
    </xdr:to>
    <xdr:sp macro="[0]!Invoice_Print" textlink="">
      <xdr:nvSpPr>
        <xdr:cNvPr id="6" name="Rectangle 5">
          <a:extLst>
            <a:ext uri="{FF2B5EF4-FFF2-40B4-BE49-F238E27FC236}">
              <a16:creationId xmlns:a16="http://schemas.microsoft.com/office/drawing/2014/main" id="{5C1DD743-EDC0-42A1-81D4-51B3CF60335C}"/>
            </a:ext>
          </a:extLst>
        </xdr:cNvPr>
        <xdr:cNvSpPr/>
      </xdr:nvSpPr>
      <xdr:spPr>
        <a:xfrm>
          <a:off x="16687800" y="2152650"/>
          <a:ext cx="1828800" cy="27432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000" b="1"/>
            <a:t>Prévisualiser</a:t>
          </a:r>
          <a:r>
            <a:rPr lang="en-US" sz="1000" b="1" baseline="0"/>
            <a:t> la facture</a:t>
          </a:r>
          <a:endParaRPr lang="en-US" sz="10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GCF_Facture_Actuelle.xlsx" TargetMode="External"/><Relationship Id="rId1" Type="http://schemas.openxmlformats.org/officeDocument/2006/relationships/externalLinkPath" Target="GCF_Facture_Actuel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e de facture"/>
      <sheetName val="Activités"/>
    </sheetNames>
    <sheetDataSet>
      <sheetData sheetId="0" refreshError="1"/>
      <sheetData sheetId="1">
        <row r="6">
          <cell r="C6" t="str">
            <v xml:space="preserve"> - Rencontre avec vous à nos bureaux;</v>
          </cell>
        </row>
        <row r="7">
          <cell r="C7" t="str">
            <v xml:space="preserve"> - Rencontre avec vous aux bureaux des notaires et déplacement ;</v>
          </cell>
        </row>
        <row r="8">
          <cell r="C8" t="str">
            <v xml:space="preserve"> - Rencontre avec vous à vos bureaux et déplacement;</v>
          </cell>
        </row>
        <row r="9">
          <cell r="C9" t="str">
            <v xml:space="preserve"> - Rencontre avec vous par Vidéoconférence ;</v>
          </cell>
        </row>
        <row r="10">
          <cell r="C10" t="str">
            <v xml:space="preserve"> - Préparation à la rencontre et rencontre avec vous à nos bureaux;</v>
          </cell>
        </row>
        <row r="11">
          <cell r="C11" t="str">
            <v xml:space="preserve"> - Préparation à la rencontre, déplacement et rencontre avec vous aux bureaux des notaires ;</v>
          </cell>
        </row>
        <row r="12">
          <cell r="C12" t="str">
            <v xml:space="preserve"> - Préparation à la rencontre, déplacement et rencontre avec vous à vos bureaux ;</v>
          </cell>
        </row>
        <row r="13">
          <cell r="C13" t="str">
            <v xml:space="preserve"> - Préparation à la rencontre et rencontre avec vous par Vidéoconférence ;</v>
          </cell>
        </row>
        <row r="14">
          <cell r="C14" t="str">
            <v xml:space="preserve"> - Recueullir les différentes informations pertinentes à l'élaboration de la planification fiscale ;</v>
          </cell>
        </row>
        <row r="15">
          <cell r="C15" t="str">
            <v xml:space="preserve"> - Recueuillir les informations pour la création d'une société;</v>
          </cell>
        </row>
        <row r="16">
          <cell r="C16" t="str">
            <v xml:space="preserve"> - Recueuillir les informations pour la création d'une fiducie;</v>
          </cell>
        </row>
        <row r="17">
          <cell r="C17" t="str">
            <v xml:space="preserve"> - Prise de connaissance et analyse des documents soumis;</v>
          </cell>
        </row>
        <row r="18">
          <cell r="C18" t="str">
            <v xml:space="preserve"> - Analyse des livres des minutes pour déterminer les caractéristiques fiscales des actions;</v>
          </cell>
        </row>
        <row r="19">
          <cell r="C19" t="str">
            <v xml:space="preserve"> - Analyse, réflexions et recherches fiscales permettant de déterminer le plan d'action fiscal optimal ;</v>
          </cell>
        </row>
        <row r="20">
          <cell r="C20" t="str">
            <v xml:space="preserve"> - Rédaction d'un mémorandum fiscal pour mettre en place la réorganisation fiscale déterminée ;</v>
          </cell>
        </row>
        <row r="21">
          <cell r="C21" t="str">
            <v xml:space="preserve"> - Rédaction de directives aux juristes afin de mettre en place la planification fiscale ;</v>
          </cell>
        </row>
        <row r="22">
          <cell r="C22" t="str">
            <v xml:space="preserve"> - Préparation d'organigrammes corporatifs avant et après opérations;</v>
          </cell>
        </row>
        <row r="23">
          <cell r="C23" t="str">
            <v xml:space="preserve"> - Recherches et analyses fiscales requises pour la mise en place de la réorganisation;</v>
          </cell>
        </row>
        <row r="24">
          <cell r="C24" t="str">
            <v xml:space="preserve"> - Analyse des risques fiscaux potentiels (règles générales anti-évitement générale et spécifiques);</v>
          </cell>
        </row>
        <row r="25">
          <cell r="C25" t="str">
            <v xml:space="preserve"> - Estimation du calcul du Revenu Protégé année par année nécessaire pour les fins de la réorganisation;</v>
          </cell>
        </row>
        <row r="26">
          <cell r="C26" t="str">
            <v xml:space="preserve"> - Révision de la documentation juridique afférente à la présente réorganisation;</v>
          </cell>
        </row>
        <row r="27">
          <cell r="C27" t="str">
            <v xml:space="preserve"> - Discussion avec un expert en taxes à la consommation pour les différents aspects de la réorganisation;</v>
          </cell>
        </row>
        <row r="28">
          <cell r="C28" t="str">
            <v xml:space="preserve"> - Analyses, calculs et préparation de tableaux en lien avec l'établissement d'une juste valeur marchande de la société ;</v>
          </cell>
        </row>
        <row r="29">
          <cell r="C29" t="str">
            <v xml:space="preserve"> - Divers calculs effectués en lien avec la mise en place;</v>
          </cell>
        </row>
        <row r="30">
          <cell r="C30" t="str">
            <v xml:space="preserve"> - Démarches d'obtention du numéro d'entreprise fédéral pour la nouvelle société ;</v>
          </cell>
        </row>
        <row r="31">
          <cell r="C31" t="str">
            <v xml:space="preserve"> - Préparation des formulaires d'obtention des numéros de fiducie fédéral et provincial pour la nouvelle fiducie ;</v>
          </cell>
        </row>
        <row r="32">
          <cell r="C32" t="str">
            <v xml:space="preserve"> - Préparation des formulaires de roulement T2057 et TP-518 requis;</v>
          </cell>
        </row>
        <row r="33">
          <cell r="C33" t="str">
            <v xml:space="preserve"> - Préparation des formulaires de ventes de comptes clients T2022 et TP-184 requis;</v>
          </cell>
        </row>
        <row r="34">
          <cell r="C34" t="str">
            <v xml:space="preserve"> - Préparation des formulaires de taxes FP-2044 requis pour le transfert de la totalité ou presque d'une entreprise;</v>
          </cell>
        </row>
        <row r="35">
          <cell r="C35" t="str">
            <v xml:space="preserve"> - Préparation des différents formulaires et annexes requises afin de déclarer un CDC ;</v>
          </cell>
        </row>
        <row r="36">
          <cell r="C36" t="str">
            <v xml:space="preserve"> - Préparation du formulaire T2027 - règlement de dette lors de la liquidation de filiale;</v>
          </cell>
        </row>
        <row r="37">
          <cell r="C37" t="str">
            <v xml:space="preserve"> - Préparer un sommaire de chèques à faire pour la séance de clôture ;</v>
          </cell>
        </row>
        <row r="38">
          <cell r="C38" t="str">
            <v xml:space="preserve"> - Validation de la conformité des chèques/virements effectués en concordance avec nos directives ;</v>
          </cell>
        </row>
        <row r="39">
          <cell r="C39" t="str">
            <v xml:space="preserve"> - Préparation des formulaires de choix fiscaux de clauses de non-concurrence;</v>
          </cell>
        </row>
        <row r="40">
          <cell r="C40" t="str">
            <v xml:space="preserve"> - Diverses discussions téléphoniques avec vous ;</v>
          </cell>
        </row>
        <row r="41">
          <cell r="C41" t="str">
            <v xml:space="preserve"> - Diverses discussions téléphoniques avec vous et le juriste;</v>
          </cell>
        </row>
        <row r="42">
          <cell r="C42" t="str">
            <v xml:space="preserve"> - Diverses discussions téléphoniques avec vous, le juriste et votre comptable;</v>
          </cell>
        </row>
        <row r="43">
          <cell r="C43" t="str">
            <v xml:space="preserve"> - Lecture, analyse et rédaction de divers courriels avec les divers intervenants;</v>
          </cell>
        </row>
        <row r="44">
          <cell r="C44" t="str">
            <v xml:space="preserve"> - Préparation à la rencontre et rencontre avec vous pour la signature des documents préparés;</v>
          </cell>
        </row>
        <row r="45">
          <cell r="C45" t="str">
            <v xml:space="preserve"> - Préparation à la rencontre, déplacement et rencontre avec vous pour la signature des documents préparés;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Blue II">
      <a:dk1>
        <a:sysClr val="windowText" lastClr="000000"/>
      </a:dk1>
      <a:lt1>
        <a:sysClr val="window" lastClr="FFFFFF"/>
      </a:lt1>
      <a:dk2>
        <a:srgbClr val="335B74"/>
      </a:dk2>
      <a:lt2>
        <a:srgbClr val="DFE3E5"/>
      </a:lt2>
      <a:accent1>
        <a:srgbClr val="1CADE4"/>
      </a:accent1>
      <a:accent2>
        <a:srgbClr val="2683C6"/>
      </a:accent2>
      <a:accent3>
        <a:srgbClr val="27CED7"/>
      </a:accent3>
      <a:accent4>
        <a:srgbClr val="42BA97"/>
      </a:accent4>
      <a:accent5>
        <a:srgbClr val="3E8853"/>
      </a:accent5>
      <a:accent6>
        <a:srgbClr val="62A39F"/>
      </a:accent6>
      <a:hlink>
        <a:srgbClr val="6EAC1C"/>
      </a:hlink>
      <a:folHlink>
        <a:srgbClr val="B26B0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robertv13@hotmail.com" TargetMode="External"/><Relationship Id="rId2" Type="http://schemas.openxmlformats.org/officeDocument/2006/relationships/hyperlink" Target="mailto:robertv13@gmail.com" TargetMode="External"/><Relationship Id="rId1" Type="http://schemas.openxmlformats.org/officeDocument/2006/relationships/hyperlink" Target="mailto:robertv13@me.com" TargetMode="External"/><Relationship Id="rId5" Type="http://schemas.openxmlformats.org/officeDocument/2006/relationships/hyperlink" Target="mailto:marie.guay@outlook.com" TargetMode="External"/><Relationship Id="rId4" Type="http://schemas.openxmlformats.org/officeDocument/2006/relationships/hyperlink" Target="mailto:robertv13@m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EEA73-2D4D-4EDE-B96D-E2EE5A823ADA}">
  <sheetPr codeName="shInvoice">
    <pageSetUpPr autoPageBreaks="0" fitToPage="1"/>
  </sheetPr>
  <dimension ref="A1:Y101"/>
  <sheetViews>
    <sheetView tabSelected="1" zoomScaleNormal="100" workbookViewId="0">
      <selection activeCell="V67" sqref="V67"/>
    </sheetView>
  </sheetViews>
  <sheetFormatPr baseColWidth="10" defaultColWidth="9.140625" defaultRowHeight="15" x14ac:dyDescent="0.25"/>
  <cols>
    <col min="1" max="1" width="17.85546875" customWidth="1"/>
    <col min="2" max="2" width="5.7109375" style="2" customWidth="1"/>
    <col min="3" max="3" width="4.140625" style="142" customWidth="1"/>
    <col min="4" max="4" width="11" bestFit="1" customWidth="1"/>
    <col min="5" max="5" width="55.7109375" customWidth="1"/>
    <col min="6" max="6" width="8.28515625" customWidth="1"/>
    <col min="7" max="7" width="10.85546875" customWidth="1"/>
    <col min="8" max="8" width="5.7109375" style="142" customWidth="1"/>
    <col min="9" max="10" width="3.7109375" customWidth="1"/>
    <col min="11" max="11" width="87.140625" customWidth="1"/>
    <col min="12" max="12" width="9" customWidth="1"/>
    <col min="13" max="13" width="9.7109375" customWidth="1"/>
    <col min="14" max="14" width="13" customWidth="1"/>
    <col min="15" max="15" width="4.7109375" style="152" customWidth="1"/>
    <col min="16" max="16" width="16.85546875" customWidth="1"/>
    <col min="17" max="17" width="11.5703125" customWidth="1"/>
    <col min="18" max="18" width="5.7109375" customWidth="1"/>
    <col min="19" max="19" width="5.140625" customWidth="1"/>
    <col min="20" max="20" width="124.85546875" customWidth="1"/>
    <col min="21" max="21" width="11.5703125" customWidth="1"/>
    <col min="22" max="22" width="17.5703125" customWidth="1"/>
    <col min="23" max="23" width="17.7109375" customWidth="1"/>
    <col min="24" max="26" width="5.7109375" customWidth="1"/>
    <col min="27" max="29" width="7.7109375" customWidth="1"/>
  </cols>
  <sheetData>
    <row r="1" spans="1:25" ht="30" customHeight="1" x14ac:dyDescent="0.45">
      <c r="A1" s="1"/>
      <c r="B1" s="20"/>
      <c r="C1" s="170" t="s">
        <v>206</v>
      </c>
      <c r="D1" s="170"/>
      <c r="E1" s="170"/>
      <c r="F1" s="170"/>
      <c r="G1" s="170"/>
      <c r="H1" s="170"/>
      <c r="I1" s="170" t="s">
        <v>123</v>
      </c>
      <c r="J1" s="170"/>
      <c r="K1" s="170"/>
      <c r="L1" s="170"/>
      <c r="M1" s="170"/>
      <c r="N1" s="170"/>
      <c r="O1" s="148"/>
      <c r="P1" s="100"/>
      <c r="Q1" s="100"/>
      <c r="R1" s="17"/>
      <c r="Y1" s="9"/>
    </row>
    <row r="2" spans="1:25" ht="20.100000000000001" customHeight="1" x14ac:dyDescent="0.25">
      <c r="A2" s="73" t="s">
        <v>93</v>
      </c>
      <c r="B2" s="85">
        <v>15</v>
      </c>
      <c r="C2" s="139"/>
      <c r="D2" s="8"/>
      <c r="E2" s="8"/>
      <c r="F2" s="8"/>
      <c r="G2" s="8"/>
      <c r="H2" s="139"/>
      <c r="I2" s="178"/>
      <c r="J2" s="178"/>
      <c r="K2" s="178"/>
      <c r="L2" s="178"/>
      <c r="M2" s="178"/>
      <c r="N2" s="178"/>
      <c r="O2" s="149"/>
      <c r="P2" s="29" t="s">
        <v>65</v>
      </c>
      <c r="Q2" s="18"/>
      <c r="R2" s="8"/>
      <c r="Y2" s="9"/>
    </row>
    <row r="3" spans="1:25" ht="15" customHeight="1" x14ac:dyDescent="0.25">
      <c r="A3" s="73" t="s">
        <v>35</v>
      </c>
      <c r="B3" s="66">
        <f ca="1">IFERROR(MATCH(B2,BillEntry_ID,0)+3,"")</f>
        <v>18</v>
      </c>
      <c r="C3" s="140"/>
      <c r="D3" s="9"/>
      <c r="E3" s="9"/>
      <c r="F3" s="9"/>
      <c r="G3" s="9"/>
      <c r="H3" s="140"/>
      <c r="I3" s="42"/>
      <c r="J3" s="41" t="s">
        <v>225</v>
      </c>
      <c r="K3" s="108"/>
      <c r="L3" s="43"/>
      <c r="M3" s="44"/>
      <c r="N3" s="45">
        <v>45199</v>
      </c>
      <c r="O3" s="150"/>
      <c r="P3" s="9"/>
      <c r="Q3" s="9"/>
      <c r="R3" s="9"/>
      <c r="Y3" s="9"/>
    </row>
    <row r="4" spans="1:25" ht="15" customHeight="1" x14ac:dyDescent="0.25">
      <c r="A4" s="73" t="s">
        <v>36</v>
      </c>
      <c r="B4" s="66">
        <f ca="1">IFERROR(MAX(BillEntry_ID)+1,1)</f>
        <v>31</v>
      </c>
      <c r="C4" s="140"/>
      <c r="D4" s="28" t="s">
        <v>61</v>
      </c>
      <c r="E4" s="103" t="s">
        <v>79</v>
      </c>
      <c r="F4" s="28" t="s">
        <v>4</v>
      </c>
      <c r="G4" s="30">
        <v>45153</v>
      </c>
      <c r="H4" s="140"/>
      <c r="I4" s="43"/>
      <c r="J4" s="181" t="s">
        <v>233</v>
      </c>
      <c r="K4" s="181"/>
      <c r="L4" s="43"/>
      <c r="M4" s="45"/>
      <c r="N4" s="45">
        <v>45229</v>
      </c>
      <c r="O4" s="150"/>
      <c r="P4" s="9"/>
      <c r="Q4" s="9"/>
      <c r="R4" s="9"/>
      <c r="Y4" s="9"/>
    </row>
    <row r="5" spans="1:25" ht="15" customHeight="1" x14ac:dyDescent="0.25">
      <c r="A5" s="74" t="s">
        <v>104</v>
      </c>
      <c r="B5" s="86">
        <f ca="1">IFERROR(INDEX(Cust_ID,MATCH(E4,Cust_Name,0),1),"")</f>
        <v>1</v>
      </c>
      <c r="C5" s="140"/>
      <c r="D5" s="174" t="s">
        <v>3</v>
      </c>
      <c r="E5" s="171" t="s">
        <v>166</v>
      </c>
      <c r="F5" s="28" t="s">
        <v>62</v>
      </c>
      <c r="G5" s="31">
        <v>10</v>
      </c>
      <c r="H5" s="140"/>
      <c r="I5" s="42"/>
      <c r="J5" s="42" t="s">
        <v>230</v>
      </c>
      <c r="K5" s="42"/>
      <c r="L5" s="43"/>
      <c r="M5" s="45"/>
      <c r="N5" s="42"/>
      <c r="O5" s="150"/>
      <c r="P5" s="9"/>
      <c r="Q5" s="9"/>
      <c r="R5" s="9"/>
      <c r="Y5" s="9"/>
    </row>
    <row r="6" spans="1:25" ht="15" customHeight="1" x14ac:dyDescent="0.25">
      <c r="A6" s="74" t="s">
        <v>34</v>
      </c>
      <c r="B6" s="67">
        <f ca="1">IFERROR(MATCH(E4,Cust_Name,0)+3,"")</f>
        <v>4</v>
      </c>
      <c r="C6" s="140"/>
      <c r="D6" s="175"/>
      <c r="E6" s="172"/>
      <c r="F6" s="28" t="s">
        <v>63</v>
      </c>
      <c r="G6" s="47">
        <v>30</v>
      </c>
      <c r="H6" s="140"/>
      <c r="I6" s="42"/>
      <c r="J6" s="42" t="s">
        <v>236</v>
      </c>
      <c r="K6" s="42"/>
      <c r="L6" s="43"/>
      <c r="M6" s="118" t="s">
        <v>159</v>
      </c>
      <c r="N6" s="117">
        <v>13</v>
      </c>
      <c r="O6" s="150"/>
      <c r="P6" s="9"/>
      <c r="Q6" s="9"/>
      <c r="R6" s="9"/>
      <c r="Y6" s="9"/>
    </row>
    <row r="7" spans="1:25" ht="15" customHeight="1" thickBot="1" x14ac:dyDescent="0.3">
      <c r="A7" s="74" t="s">
        <v>105</v>
      </c>
      <c r="B7" s="86">
        <f ca="1">IFERROR(MAX(Cust_ID)+1,1)</f>
        <v>6</v>
      </c>
      <c r="C7" s="140"/>
      <c r="D7" s="176"/>
      <c r="E7" s="173"/>
      <c r="F7" s="28" t="s">
        <v>64</v>
      </c>
      <c r="G7" s="32" t="s">
        <v>2</v>
      </c>
      <c r="H7" s="140"/>
      <c r="I7" s="48"/>
      <c r="J7" s="42"/>
      <c r="K7" s="42"/>
      <c r="L7" s="42"/>
      <c r="M7" s="49"/>
      <c r="N7" s="42"/>
      <c r="O7" s="150"/>
      <c r="P7" s="9"/>
      <c r="Q7" s="9"/>
      <c r="R7" s="9"/>
      <c r="Y7" s="9"/>
    </row>
    <row r="8" spans="1:25" s="116" customFormat="1" ht="15" customHeight="1" x14ac:dyDescent="0.25">
      <c r="A8" s="75" t="s">
        <v>106</v>
      </c>
      <c r="B8" s="87" t="str">
        <f ca="1">IFERROR(INDEX(Proj_ID,MATCH(E5,Proj_Name,0),1),"")</f>
        <v/>
      </c>
      <c r="C8" s="141"/>
      <c r="D8" s="110"/>
      <c r="E8" s="110"/>
      <c r="F8" s="110"/>
      <c r="G8" s="110"/>
      <c r="H8" s="141"/>
      <c r="I8" s="179" t="s">
        <v>78</v>
      </c>
      <c r="J8" s="180"/>
      <c r="K8" s="180"/>
      <c r="L8" s="180"/>
      <c r="M8" s="180"/>
      <c r="N8" s="180"/>
      <c r="O8" s="151"/>
      <c r="P8" s="110"/>
      <c r="Q8" s="110"/>
      <c r="R8" s="110"/>
      <c r="Y8" s="9"/>
    </row>
    <row r="9" spans="1:25" s="116" customFormat="1" ht="15" customHeight="1" x14ac:dyDescent="0.25">
      <c r="A9" s="75" t="s">
        <v>57</v>
      </c>
      <c r="B9" s="68" t="str">
        <f ca="1">IFERROR(MATCH(E5,Proj_Name,0)+3,"")</f>
        <v/>
      </c>
      <c r="C9" s="141"/>
      <c r="D9" s="110"/>
      <c r="E9" s="110"/>
      <c r="F9" s="110"/>
      <c r="G9" s="111"/>
      <c r="H9" s="141"/>
      <c r="I9" s="112"/>
      <c r="J9" s="39" t="s">
        <v>158</v>
      </c>
      <c r="K9" s="39"/>
      <c r="L9" s="113"/>
      <c r="M9" s="114"/>
      <c r="N9" s="115"/>
      <c r="O9" s="151"/>
      <c r="P9" s="110"/>
      <c r="Q9" s="110"/>
      <c r="R9" s="110"/>
      <c r="Y9" s="9"/>
    </row>
    <row r="10" spans="1:25" ht="15" customHeight="1" x14ac:dyDescent="0.25">
      <c r="A10" s="75" t="s">
        <v>107</v>
      </c>
      <c r="B10" s="87">
        <f ca="1">IFERROR(MAX(Proj_ID)+1,1)</f>
        <v>4</v>
      </c>
      <c r="C10" s="140"/>
      <c r="D10" s="177" t="s">
        <v>91</v>
      </c>
      <c r="E10" s="177"/>
      <c r="F10" s="177"/>
      <c r="G10" s="177"/>
      <c r="H10" s="140"/>
      <c r="I10" s="48"/>
      <c r="J10" s="48"/>
      <c r="K10" s="48" t="s">
        <v>164</v>
      </c>
      <c r="L10" s="109">
        <v>1</v>
      </c>
      <c r="M10" s="120">
        <v>300</v>
      </c>
      <c r="N10" s="63">
        <f>IF(L10*M10&lt;&gt;0,L10*M10,"")</f>
        <v>300</v>
      </c>
      <c r="O10" s="150">
        <v>31</v>
      </c>
      <c r="P10" s="9"/>
      <c r="Q10" s="9"/>
      <c r="R10" s="9"/>
      <c r="Y10" s="9"/>
    </row>
    <row r="11" spans="1:25" ht="15" customHeight="1" x14ac:dyDescent="0.25">
      <c r="A11" s="76" t="s">
        <v>103</v>
      </c>
      <c r="B11" s="88" t="str">
        <f ca="1">IFERROR(INDEX(ServItem_ID,MATCH(E6,ServItem_Name,0),1),"")</f>
        <v/>
      </c>
      <c r="C11" s="140"/>
      <c r="D11" s="33" t="s">
        <v>66</v>
      </c>
      <c r="E11" s="33" t="s">
        <v>3</v>
      </c>
      <c r="F11" s="33" t="s">
        <v>62</v>
      </c>
      <c r="G11" s="33" t="s">
        <v>64</v>
      </c>
      <c r="H11" s="140"/>
      <c r="I11" s="48"/>
      <c r="J11" s="48"/>
      <c r="K11" s="48" t="s">
        <v>165</v>
      </c>
      <c r="L11" s="109">
        <v>2</v>
      </c>
      <c r="M11" s="120">
        <v>300</v>
      </c>
      <c r="N11" s="63">
        <f t="shared" ref="N11:N46" si="0">IF(L11*M11&lt;&gt;0,L11*M11,"")</f>
        <v>600</v>
      </c>
      <c r="O11" s="150">
        <v>32</v>
      </c>
      <c r="P11" s="9"/>
      <c r="Q11" s="9"/>
      <c r="R11" s="9"/>
      <c r="Y11" s="9"/>
    </row>
    <row r="12" spans="1:25" ht="15" customHeight="1" x14ac:dyDescent="0.25">
      <c r="A12" s="76" t="s">
        <v>58</v>
      </c>
      <c r="B12" s="69" t="str">
        <f ca="1">IFERROR(MATCH(E6,ServItem_Name,0)+3,"")</f>
        <v/>
      </c>
      <c r="C12" s="119"/>
      <c r="D12" s="24"/>
      <c r="E12" s="25"/>
      <c r="F12" s="26"/>
      <c r="G12" s="27"/>
      <c r="H12" s="119"/>
      <c r="I12" s="48"/>
      <c r="J12" s="48"/>
      <c r="K12" s="48" t="s">
        <v>166</v>
      </c>
      <c r="L12" s="109">
        <v>3</v>
      </c>
      <c r="M12" s="121">
        <v>300</v>
      </c>
      <c r="N12" s="63">
        <f t="shared" si="0"/>
        <v>900</v>
      </c>
      <c r="O12" s="150">
        <v>33</v>
      </c>
      <c r="P12" s="9"/>
      <c r="Q12" s="9"/>
      <c r="R12" s="9"/>
      <c r="Y12" s="9"/>
    </row>
    <row r="13" spans="1:25" ht="15" customHeight="1" x14ac:dyDescent="0.25">
      <c r="A13" s="76" t="s">
        <v>108</v>
      </c>
      <c r="B13" s="88">
        <f ca="1">IFERROR(MAX(ServItem_ID)+1,1)</f>
        <v>41</v>
      </c>
      <c r="C13" s="119"/>
      <c r="D13" s="24"/>
      <c r="E13" s="25"/>
      <c r="F13" s="26"/>
      <c r="G13" s="27"/>
      <c r="H13" s="119"/>
      <c r="I13" s="48"/>
      <c r="J13" s="48"/>
      <c r="K13" s="48" t="s">
        <v>167</v>
      </c>
      <c r="L13" s="109">
        <v>4</v>
      </c>
      <c r="M13" s="121">
        <v>300</v>
      </c>
      <c r="N13" s="63">
        <f t="shared" si="0"/>
        <v>1200</v>
      </c>
      <c r="O13" s="150">
        <v>34</v>
      </c>
      <c r="P13" s="9"/>
      <c r="Q13" s="9"/>
      <c r="R13" s="9"/>
      <c r="Y13" s="9"/>
    </row>
    <row r="14" spans="1:25" ht="15" customHeight="1" x14ac:dyDescent="0.25">
      <c r="A14" s="77" t="s">
        <v>59</v>
      </c>
      <c r="B14" s="70">
        <f>COUNTA(E4,E5,E6,G4)</f>
        <v>3</v>
      </c>
      <c r="C14" s="119"/>
      <c r="D14" s="24"/>
      <c r="E14" s="25"/>
      <c r="F14" s="26"/>
      <c r="G14" s="27"/>
      <c r="H14" s="119"/>
      <c r="I14" s="48"/>
      <c r="J14" s="48"/>
      <c r="K14" s="48" t="s">
        <v>168</v>
      </c>
      <c r="L14" s="109">
        <v>5</v>
      </c>
      <c r="M14" s="121">
        <v>300</v>
      </c>
      <c r="N14" s="63">
        <f t="shared" si="0"/>
        <v>1500</v>
      </c>
      <c r="O14" s="150">
        <v>35</v>
      </c>
      <c r="P14" s="9"/>
      <c r="Q14" s="9"/>
      <c r="R14" s="9"/>
      <c r="Y14" s="9"/>
    </row>
    <row r="15" spans="1:25" ht="15" customHeight="1" x14ac:dyDescent="0.25">
      <c r="A15" s="77" t="s">
        <v>60</v>
      </c>
      <c r="B15" s="70" t="b">
        <v>0</v>
      </c>
      <c r="C15" s="119"/>
      <c r="D15" s="24"/>
      <c r="E15" s="25"/>
      <c r="F15" s="26"/>
      <c r="G15" s="27"/>
      <c r="H15" s="119"/>
      <c r="I15" s="48"/>
      <c r="J15" s="48"/>
      <c r="K15" s="48" t="s">
        <v>169</v>
      </c>
      <c r="L15" s="109">
        <v>4</v>
      </c>
      <c r="M15" s="121">
        <v>300</v>
      </c>
      <c r="N15" s="63">
        <f t="shared" si="0"/>
        <v>1200</v>
      </c>
      <c r="O15" s="150">
        <v>36</v>
      </c>
      <c r="P15" s="9"/>
      <c r="Q15" s="9"/>
      <c r="R15" s="9"/>
      <c r="Y15" s="9"/>
    </row>
    <row r="16" spans="1:25" ht="15" customHeight="1" x14ac:dyDescent="0.25">
      <c r="A16" s="77" t="s">
        <v>5</v>
      </c>
      <c r="B16" s="70" t="b">
        <v>1</v>
      </c>
      <c r="C16" s="119"/>
      <c r="D16" s="24"/>
      <c r="E16" s="25"/>
      <c r="F16" s="26"/>
      <c r="G16" s="27"/>
      <c r="H16" s="119"/>
      <c r="I16" s="48"/>
      <c r="J16" s="48"/>
      <c r="K16" s="48" t="s">
        <v>171</v>
      </c>
      <c r="L16" s="109">
        <v>3</v>
      </c>
      <c r="M16" s="121">
        <v>300</v>
      </c>
      <c r="N16" s="63">
        <f t="shared" si="0"/>
        <v>900</v>
      </c>
      <c r="O16" s="150">
        <v>37</v>
      </c>
      <c r="P16" s="9"/>
      <c r="Q16" s="9"/>
      <c r="R16" s="9"/>
      <c r="S16" s="123"/>
      <c r="T16" s="123"/>
      <c r="U16" s="123"/>
      <c r="V16" s="123"/>
      <c r="W16" s="123"/>
      <c r="X16" s="123"/>
      <c r="Y16" s="9"/>
    </row>
    <row r="17" spans="1:25" ht="15" customHeight="1" x14ac:dyDescent="0.25">
      <c r="A17" s="77" t="s">
        <v>41</v>
      </c>
      <c r="B17" s="70"/>
      <c r="C17" s="119"/>
      <c r="D17" s="24"/>
      <c r="E17" s="25"/>
      <c r="F17" s="26"/>
      <c r="G17" s="27"/>
      <c r="H17" s="119"/>
      <c r="I17" s="48"/>
      <c r="J17" s="48"/>
      <c r="K17" s="48"/>
      <c r="L17" s="109"/>
      <c r="M17" s="121"/>
      <c r="N17" s="63" t="str">
        <f t="shared" si="0"/>
        <v/>
      </c>
      <c r="O17" s="150"/>
      <c r="P17" s="9"/>
      <c r="Q17" s="9"/>
      <c r="R17" s="9"/>
      <c r="S17" s="123"/>
      <c r="T17" s="124" t="str">
        <f>J3</f>
        <v>Le 30 septembre 2023</v>
      </c>
      <c r="U17" s="123"/>
      <c r="V17" s="123"/>
      <c r="W17" s="123"/>
      <c r="X17" s="123"/>
      <c r="Y17" s="9"/>
    </row>
    <row r="18" spans="1:25" ht="15" customHeight="1" x14ac:dyDescent="0.25">
      <c r="A18" s="78" t="s">
        <v>109</v>
      </c>
      <c r="B18" s="89">
        <f ca="1">IFERROR(INDEX(Cust_ID,MATCH(J4,Cust_Name,0),1),"")</f>
        <v>5</v>
      </c>
      <c r="C18" s="119"/>
      <c r="D18" s="24"/>
      <c r="E18" s="25"/>
      <c r="F18" s="26"/>
      <c r="G18" s="27"/>
      <c r="H18" s="119"/>
      <c r="I18" s="48"/>
      <c r="J18" s="48"/>
      <c r="K18" s="48"/>
      <c r="L18" s="109"/>
      <c r="M18" s="121"/>
      <c r="N18" s="63" t="str">
        <f t="shared" si="0"/>
        <v/>
      </c>
      <c r="O18" s="150"/>
      <c r="P18" s="9"/>
      <c r="Q18" s="9"/>
      <c r="R18" s="9"/>
      <c r="S18" s="123"/>
      <c r="T18" s="123"/>
      <c r="U18" s="123"/>
      <c r="V18" s="123"/>
      <c r="W18" s="123"/>
      <c r="X18" s="123"/>
      <c r="Y18" s="9"/>
    </row>
    <row r="19" spans="1:25" ht="15" customHeight="1" x14ac:dyDescent="0.25">
      <c r="A19" s="78" t="s">
        <v>43</v>
      </c>
      <c r="B19" s="71">
        <f ca="1">IFERROR(MATCH(J4,Cust_Name,0)+3,"")</f>
        <v>8</v>
      </c>
      <c r="C19" s="119"/>
      <c r="D19" s="24"/>
      <c r="E19" s="25"/>
      <c r="F19" s="26"/>
      <c r="G19" s="27"/>
      <c r="H19" s="119"/>
      <c r="I19" s="48"/>
      <c r="J19" s="48"/>
      <c r="K19" s="48"/>
      <c r="L19" s="109"/>
      <c r="M19" s="121"/>
      <c r="N19" s="63" t="str">
        <f t="shared" si="0"/>
        <v/>
      </c>
      <c r="O19" s="150"/>
      <c r="P19" s="9"/>
      <c r="Q19" s="9"/>
      <c r="R19" s="9"/>
      <c r="S19" s="123"/>
      <c r="T19" s="125" t="s">
        <v>161</v>
      </c>
      <c r="U19" s="123"/>
      <c r="V19" s="123"/>
      <c r="W19" s="123"/>
      <c r="X19" s="123"/>
      <c r="Y19" s="9"/>
    </row>
    <row r="20" spans="1:25" ht="15" customHeight="1" x14ac:dyDescent="0.25">
      <c r="A20" s="78" t="s">
        <v>23</v>
      </c>
      <c r="B20" s="71">
        <v>16</v>
      </c>
      <c r="C20" s="119"/>
      <c r="D20" s="24"/>
      <c r="E20" s="65"/>
      <c r="F20" s="26"/>
      <c r="G20" s="24"/>
      <c r="H20" s="119"/>
      <c r="I20" s="48"/>
      <c r="J20" s="48"/>
      <c r="K20" s="48"/>
      <c r="L20" s="109"/>
      <c r="M20" s="121"/>
      <c r="N20" s="63" t="str">
        <f t="shared" si="0"/>
        <v/>
      </c>
      <c r="O20" s="150"/>
      <c r="P20" s="9"/>
      <c r="Q20" s="9"/>
      <c r="R20" s="9"/>
      <c r="S20" s="123"/>
      <c r="T20" s="125" t="str">
        <f>J4</f>
        <v>Marie Guay</v>
      </c>
      <c r="U20" s="123"/>
      <c r="V20" s="123"/>
      <c r="W20" s="123"/>
      <c r="X20" s="123"/>
      <c r="Y20" s="9"/>
    </row>
    <row r="21" spans="1:25" ht="15" customHeight="1" x14ac:dyDescent="0.25">
      <c r="A21" s="78" t="s">
        <v>110</v>
      </c>
      <c r="B21" s="89">
        <v>14</v>
      </c>
      <c r="C21" s="119"/>
      <c r="D21" s="24"/>
      <c r="E21" s="65"/>
      <c r="F21" s="26"/>
      <c r="G21" s="24"/>
      <c r="H21" s="119"/>
      <c r="I21" s="48"/>
      <c r="J21" s="48"/>
      <c r="K21" s="48"/>
      <c r="L21" s="109"/>
      <c r="M21" s="121"/>
      <c r="N21" s="63" t="str">
        <f t="shared" si="0"/>
        <v/>
      </c>
      <c r="O21" s="150"/>
      <c r="P21" s="9"/>
      <c r="Q21" s="9"/>
      <c r="R21" s="9"/>
      <c r="S21" s="123"/>
      <c r="T21" s="123" t="str">
        <f>J5</f>
        <v>3467 rue de la Noraye</v>
      </c>
      <c r="U21" s="123"/>
      <c r="V21" s="123"/>
      <c r="W21" s="123"/>
      <c r="X21" s="123"/>
      <c r="Y21" s="9"/>
    </row>
    <row r="22" spans="1:25" ht="15" customHeight="1" x14ac:dyDescent="0.25">
      <c r="A22" s="78" t="s">
        <v>33</v>
      </c>
      <c r="B22" s="71" t="str">
        <f ca="1">IFERROR(MATCH(Q2,Inv_ID,0)+3,"")</f>
        <v/>
      </c>
      <c r="C22" s="119"/>
      <c r="D22" s="24"/>
      <c r="E22" s="65"/>
      <c r="F22" s="26"/>
      <c r="G22" s="24"/>
      <c r="H22" s="119"/>
      <c r="I22" s="48"/>
      <c r="J22" s="48"/>
      <c r="K22" s="48"/>
      <c r="L22" s="109"/>
      <c r="M22" s="121"/>
      <c r="N22" s="63" t="str">
        <f t="shared" si="0"/>
        <v/>
      </c>
      <c r="O22" s="150"/>
      <c r="P22" s="9"/>
      <c r="Q22" s="9"/>
      <c r="R22" s="9"/>
      <c r="S22" s="123"/>
      <c r="T22" s="123" t="str">
        <f>J6</f>
        <v>Saint-Hubert, QC, J3Z 0A7</v>
      </c>
      <c r="U22" s="123"/>
      <c r="V22" s="123"/>
      <c r="W22" s="123"/>
      <c r="X22" s="123"/>
      <c r="Y22" s="9"/>
    </row>
    <row r="23" spans="1:25" ht="15" customHeight="1" x14ac:dyDescent="0.25">
      <c r="A23" s="79" t="s">
        <v>27</v>
      </c>
      <c r="B23" s="72" t="b">
        <v>0</v>
      </c>
      <c r="C23" s="119"/>
      <c r="D23" s="24"/>
      <c r="E23" s="65"/>
      <c r="F23" s="26"/>
      <c r="G23" s="24"/>
      <c r="H23" s="119"/>
      <c r="I23" s="48"/>
      <c r="J23" s="48"/>
      <c r="K23" s="48"/>
      <c r="L23" s="109"/>
      <c r="M23" s="121"/>
      <c r="N23" s="63" t="str">
        <f t="shared" si="0"/>
        <v/>
      </c>
      <c r="O23" s="150"/>
      <c r="P23" s="9"/>
      <c r="Q23" s="9"/>
      <c r="R23" s="9"/>
      <c r="S23" s="123"/>
      <c r="T23" s="123"/>
      <c r="U23" s="123"/>
      <c r="V23" s="123"/>
      <c r="W23" s="123"/>
      <c r="X23" s="123"/>
      <c r="Y23" s="9"/>
    </row>
    <row r="24" spans="1:25" ht="15" customHeight="1" x14ac:dyDescent="0.25">
      <c r="A24" s="79" t="s">
        <v>44</v>
      </c>
      <c r="B24" s="72" t="b">
        <v>1</v>
      </c>
      <c r="C24" s="119"/>
      <c r="D24" s="24"/>
      <c r="E24" s="65"/>
      <c r="F24" s="26"/>
      <c r="G24" s="24"/>
      <c r="H24" s="119"/>
      <c r="I24" s="48"/>
      <c r="J24" s="48"/>
      <c r="K24" s="48"/>
      <c r="L24" s="109"/>
      <c r="M24" s="121"/>
      <c r="N24" s="63" t="str">
        <f t="shared" si="0"/>
        <v/>
      </c>
      <c r="O24" s="150"/>
      <c r="P24" s="9"/>
      <c r="Q24" s="9"/>
      <c r="R24" s="9"/>
      <c r="S24" s="123"/>
      <c r="T24" s="123"/>
      <c r="U24" s="123"/>
      <c r="V24" s="126" t="s">
        <v>163</v>
      </c>
      <c r="W24" s="127">
        <f>N6</f>
        <v>13</v>
      </c>
      <c r="X24" s="123"/>
      <c r="Y24" s="9"/>
    </row>
    <row r="25" spans="1:25" ht="15" customHeight="1" thickBot="1" x14ac:dyDescent="0.3">
      <c r="A25" s="79" t="s">
        <v>45</v>
      </c>
      <c r="B25" s="72" t="b">
        <v>0</v>
      </c>
      <c r="C25" s="119"/>
      <c r="D25" s="24"/>
      <c r="E25" s="65"/>
      <c r="F25" s="26"/>
      <c r="G25" s="24"/>
      <c r="H25" s="119"/>
      <c r="I25" s="48"/>
      <c r="J25" s="48"/>
      <c r="K25" s="48"/>
      <c r="L25" s="109"/>
      <c r="M25" s="121"/>
      <c r="N25" s="63" t="str">
        <f t="shared" si="0"/>
        <v/>
      </c>
      <c r="O25" s="150"/>
      <c r="P25" s="9"/>
      <c r="Q25" s="9"/>
      <c r="R25" s="9"/>
      <c r="S25" s="122"/>
      <c r="T25" s="122"/>
      <c r="U25" s="122"/>
      <c r="V25" s="122"/>
      <c r="W25" s="122"/>
      <c r="X25" s="122"/>
      <c r="Y25" s="9"/>
    </row>
    <row r="26" spans="1:25" ht="15" customHeight="1" x14ac:dyDescent="0.25">
      <c r="A26" s="190" t="s">
        <v>210</v>
      </c>
      <c r="B26" s="101" t="b">
        <v>1</v>
      </c>
      <c r="C26" s="119"/>
      <c r="D26" s="24"/>
      <c r="E26" s="65"/>
      <c r="F26" s="26"/>
      <c r="G26" s="24"/>
      <c r="H26" s="119"/>
      <c r="I26" s="48"/>
      <c r="J26" s="48"/>
      <c r="K26" s="48"/>
      <c r="L26" s="109"/>
      <c r="M26" s="121"/>
      <c r="N26" s="63" t="str">
        <f t="shared" si="0"/>
        <v/>
      </c>
      <c r="O26" s="150"/>
      <c r="P26" s="9"/>
      <c r="Q26" s="9"/>
      <c r="R26" s="9"/>
      <c r="S26" s="169" t="s">
        <v>78</v>
      </c>
      <c r="T26" s="169"/>
      <c r="U26" s="169"/>
      <c r="V26" s="169"/>
      <c r="W26" s="169"/>
      <c r="X26" s="169"/>
      <c r="Y26" s="9"/>
    </row>
    <row r="27" spans="1:25" ht="15" customHeight="1" x14ac:dyDescent="0.25">
      <c r="A27" s="19"/>
      <c r="B27" s="20"/>
      <c r="C27" s="119"/>
      <c r="D27" s="24"/>
      <c r="E27" s="65"/>
      <c r="F27" s="26"/>
      <c r="G27" s="24"/>
      <c r="H27" s="119"/>
      <c r="I27" s="48"/>
      <c r="J27" s="48"/>
      <c r="K27" s="48"/>
      <c r="L27" s="109"/>
      <c r="M27" s="121"/>
      <c r="N27" s="63" t="str">
        <f t="shared" si="0"/>
        <v/>
      </c>
      <c r="O27" s="150"/>
      <c r="P27" s="9"/>
      <c r="Q27" s="9"/>
      <c r="R27" s="9"/>
      <c r="S27" s="123"/>
      <c r="T27" s="123"/>
      <c r="U27" s="123"/>
      <c r="V27" s="123"/>
      <c r="W27" s="123"/>
      <c r="X27" s="123"/>
      <c r="Y27" s="9"/>
    </row>
    <row r="28" spans="1:25" ht="15" customHeight="1" x14ac:dyDescent="0.25">
      <c r="A28" s="19"/>
      <c r="B28" s="20"/>
      <c r="C28" s="119"/>
      <c r="D28" s="24"/>
      <c r="E28" s="65"/>
      <c r="F28" s="26"/>
      <c r="G28" s="24"/>
      <c r="H28" s="119"/>
      <c r="I28" s="48"/>
      <c r="J28" s="48"/>
      <c r="K28" s="48"/>
      <c r="L28" s="109"/>
      <c r="M28" s="121"/>
      <c r="N28" s="63" t="str">
        <f t="shared" ref="N28:N34" si="1">IF(L28*M28&lt;&gt;0,L28*M28,"")</f>
        <v/>
      </c>
      <c r="O28" s="150"/>
      <c r="P28" s="9"/>
      <c r="Q28" s="9"/>
      <c r="R28" s="9"/>
      <c r="S28" s="123"/>
      <c r="T28" s="123" t="s">
        <v>158</v>
      </c>
      <c r="U28" s="123"/>
      <c r="V28" s="123"/>
      <c r="W28" s="123"/>
      <c r="X28" s="123"/>
      <c r="Y28" s="9"/>
    </row>
    <row r="29" spans="1:25" ht="15" customHeight="1" x14ac:dyDescent="0.25">
      <c r="A29" s="19"/>
      <c r="B29" s="20"/>
      <c r="C29" s="119"/>
      <c r="D29" s="24"/>
      <c r="E29" s="65"/>
      <c r="F29" s="26"/>
      <c r="G29" s="24"/>
      <c r="H29" s="119"/>
      <c r="I29" s="48"/>
      <c r="J29" s="48"/>
      <c r="K29" s="48"/>
      <c r="L29" s="109"/>
      <c r="M29" s="121"/>
      <c r="N29" s="63" t="str">
        <f t="shared" si="1"/>
        <v/>
      </c>
      <c r="O29" s="150"/>
      <c r="P29" s="9"/>
      <c r="Q29" s="9"/>
      <c r="R29" s="9"/>
      <c r="S29" s="144"/>
      <c r="T29" s="144"/>
      <c r="U29" s="144"/>
      <c r="V29" s="144"/>
      <c r="W29" s="144"/>
      <c r="X29" s="123"/>
      <c r="Y29" s="9"/>
    </row>
    <row r="30" spans="1:25" ht="15" customHeight="1" x14ac:dyDescent="0.25">
      <c r="A30" s="19"/>
      <c r="B30" s="20"/>
      <c r="C30" s="140"/>
      <c r="D30" s="14"/>
      <c r="E30" s="9"/>
      <c r="F30" s="9"/>
      <c r="G30" s="9"/>
      <c r="H30" s="140"/>
      <c r="I30" s="48"/>
      <c r="J30" s="48"/>
      <c r="K30" s="48"/>
      <c r="L30" s="109"/>
      <c r="M30" s="121"/>
      <c r="N30" s="63" t="str">
        <f t="shared" si="1"/>
        <v/>
      </c>
      <c r="O30" s="150"/>
      <c r="P30" s="9"/>
      <c r="Q30" s="9"/>
      <c r="R30" s="9"/>
      <c r="S30" s="144"/>
      <c r="T30" s="166" t="str">
        <f>IF(K10&lt;&gt;"",CONCATENATE("   - " &amp; K10),"")</f>
        <v xml:space="preserve">   - Rencontre avec vous à nos bureaux;</v>
      </c>
      <c r="U30" s="166"/>
      <c r="V30" s="166"/>
      <c r="W30" s="144"/>
      <c r="X30" s="123"/>
      <c r="Y30" s="9"/>
    </row>
    <row r="31" spans="1:25" ht="15" customHeight="1" x14ac:dyDescent="0.25">
      <c r="A31" s="19"/>
      <c r="B31" s="20"/>
      <c r="C31" s="140"/>
      <c r="D31" s="14"/>
      <c r="E31" s="9"/>
      <c r="F31" s="9"/>
      <c r="G31" s="9"/>
      <c r="H31" s="140"/>
      <c r="I31" s="48"/>
      <c r="J31" s="48"/>
      <c r="K31" s="48"/>
      <c r="L31" s="109"/>
      <c r="M31" s="121"/>
      <c r="N31" s="63" t="str">
        <f t="shared" si="1"/>
        <v/>
      </c>
      <c r="O31" s="150"/>
      <c r="P31" s="9"/>
      <c r="Q31" s="9"/>
      <c r="R31" s="9"/>
      <c r="S31" s="144"/>
      <c r="T31" s="166" t="str">
        <f t="shared" ref="T31:T44" si="2">IF(K11&lt;&gt;"",CONCATENATE("   - " &amp; K11),"")</f>
        <v xml:space="preserve">   - Rencontre avec vous aux bureaux des notaires et déplacement ;</v>
      </c>
      <c r="U31" s="166"/>
      <c r="V31" s="166"/>
      <c r="W31" s="144"/>
      <c r="X31" s="123"/>
      <c r="Y31" s="9"/>
    </row>
    <row r="32" spans="1:25" ht="15" customHeight="1" x14ac:dyDescent="0.25">
      <c r="A32" s="19"/>
      <c r="B32" s="20"/>
      <c r="C32" s="140"/>
      <c r="D32" s="14"/>
      <c r="E32" s="9"/>
      <c r="F32" s="9"/>
      <c r="G32" s="9"/>
      <c r="H32" s="140"/>
      <c r="I32" s="48"/>
      <c r="J32" s="48"/>
      <c r="K32" s="48"/>
      <c r="L32" s="109"/>
      <c r="M32" s="121"/>
      <c r="N32" s="63" t="str">
        <f t="shared" si="1"/>
        <v/>
      </c>
      <c r="O32" s="150"/>
      <c r="P32" s="9"/>
      <c r="Q32" s="9"/>
      <c r="R32" s="9"/>
      <c r="S32" s="144"/>
      <c r="T32" s="166" t="str">
        <f t="shared" si="2"/>
        <v xml:space="preserve">   - Rencontre avec vous à vos bureaux et déplacement;</v>
      </c>
      <c r="U32" s="166"/>
      <c r="V32" s="166"/>
      <c r="W32" s="144"/>
      <c r="X32" s="123"/>
      <c r="Y32" s="9"/>
    </row>
    <row r="33" spans="1:25" ht="15" customHeight="1" x14ac:dyDescent="0.25">
      <c r="A33" s="19"/>
      <c r="B33" s="20"/>
      <c r="C33" s="140"/>
      <c r="D33" s="14"/>
      <c r="E33" s="9"/>
      <c r="F33" s="9"/>
      <c r="G33" s="9"/>
      <c r="H33" s="140"/>
      <c r="I33" s="48"/>
      <c r="J33" s="48"/>
      <c r="K33" s="48"/>
      <c r="L33" s="109"/>
      <c r="M33" s="121"/>
      <c r="N33" s="63" t="str">
        <f t="shared" si="1"/>
        <v/>
      </c>
      <c r="O33" s="150"/>
      <c r="P33" s="9"/>
      <c r="Q33" s="9"/>
      <c r="R33" s="9"/>
      <c r="S33" s="144"/>
      <c r="T33" s="166" t="str">
        <f t="shared" si="2"/>
        <v xml:space="preserve">   - Rencontre avec vous par Vidéoconférence ;</v>
      </c>
      <c r="U33" s="166"/>
      <c r="V33" s="166"/>
      <c r="W33" s="144"/>
      <c r="X33" s="123"/>
      <c r="Y33" s="9"/>
    </row>
    <row r="34" spans="1:25" ht="15" customHeight="1" x14ac:dyDescent="0.25">
      <c r="A34" s="1"/>
      <c r="B34" s="20"/>
      <c r="C34" s="140"/>
      <c r="D34" s="14"/>
      <c r="E34" s="9"/>
      <c r="F34" s="9"/>
      <c r="G34" s="9"/>
      <c r="H34" s="140"/>
      <c r="I34" s="48"/>
      <c r="J34" s="48"/>
      <c r="K34" s="48"/>
      <c r="L34" s="109"/>
      <c r="M34" s="121"/>
      <c r="N34" s="63" t="str">
        <f t="shared" si="1"/>
        <v/>
      </c>
      <c r="O34" s="150"/>
      <c r="P34" s="9"/>
      <c r="Q34" s="9"/>
      <c r="R34" s="9"/>
      <c r="S34" s="144"/>
      <c r="T34" s="166" t="str">
        <f t="shared" si="2"/>
        <v xml:space="preserve">   - Préparation à la rencontre et rencontre avec vous à nos bureaux;</v>
      </c>
      <c r="U34" s="166"/>
      <c r="V34" s="166"/>
      <c r="W34" s="144"/>
      <c r="X34" s="123"/>
      <c r="Y34" s="9"/>
    </row>
    <row r="35" spans="1:25" ht="15" customHeight="1" x14ac:dyDescent="0.25">
      <c r="A35" s="1"/>
      <c r="B35" s="20"/>
      <c r="C35" s="140"/>
      <c r="D35" s="14"/>
      <c r="E35" s="9"/>
      <c r="F35" s="9"/>
      <c r="G35" s="9"/>
      <c r="H35" s="140"/>
      <c r="I35" s="48"/>
      <c r="J35" s="48"/>
      <c r="K35" s="48"/>
      <c r="L35" s="109"/>
      <c r="M35" s="121"/>
      <c r="N35" s="63" t="str">
        <f t="shared" si="0"/>
        <v/>
      </c>
      <c r="O35" s="150"/>
      <c r="P35" s="9"/>
      <c r="Q35" s="9"/>
      <c r="R35" s="9"/>
      <c r="S35" s="144"/>
      <c r="T35" s="166" t="str">
        <f t="shared" si="2"/>
        <v xml:space="preserve">   - Préparation à la rencontre, déplacement et rencontre avec vous aux bureaux des notaires ;</v>
      </c>
      <c r="U35" s="166"/>
      <c r="V35" s="166"/>
      <c r="W35" s="144"/>
      <c r="X35" s="123"/>
      <c r="Y35" s="9"/>
    </row>
    <row r="36" spans="1:25" ht="15" customHeight="1" x14ac:dyDescent="0.25">
      <c r="A36" s="1"/>
      <c r="B36" s="20"/>
      <c r="C36" s="140"/>
      <c r="D36" s="14"/>
      <c r="E36" s="9"/>
      <c r="F36" s="9"/>
      <c r="G36" s="9"/>
      <c r="H36" s="140"/>
      <c r="I36" s="48"/>
      <c r="J36" s="48"/>
      <c r="K36" s="48"/>
      <c r="L36" s="109"/>
      <c r="M36" s="121"/>
      <c r="N36" s="63" t="str">
        <f t="shared" si="0"/>
        <v/>
      </c>
      <c r="O36" s="150"/>
      <c r="P36" s="9"/>
      <c r="Q36" s="9"/>
      <c r="R36" s="9"/>
      <c r="S36" s="144"/>
      <c r="T36" s="166" t="str">
        <f t="shared" si="2"/>
        <v xml:space="preserve">   - Préparation à la rencontre et rencontre avec vous par Vidéoconférence ;</v>
      </c>
      <c r="U36" s="166"/>
      <c r="V36" s="166"/>
      <c r="W36" s="144"/>
      <c r="X36" s="123"/>
      <c r="Y36" s="9"/>
    </row>
    <row r="37" spans="1:25" ht="15" customHeight="1" x14ac:dyDescent="0.25">
      <c r="A37" s="1"/>
      <c r="B37" s="20"/>
      <c r="C37" s="140"/>
      <c r="D37" s="14"/>
      <c r="E37" s="9"/>
      <c r="F37" s="9"/>
      <c r="G37" s="9"/>
      <c r="H37" s="140"/>
      <c r="I37" s="48"/>
      <c r="J37" s="48"/>
      <c r="K37" s="48"/>
      <c r="L37" s="109"/>
      <c r="M37" s="121"/>
      <c r="N37" s="63" t="str">
        <f t="shared" si="0"/>
        <v/>
      </c>
      <c r="O37" s="150"/>
      <c r="P37" s="9"/>
      <c r="Q37" s="9"/>
      <c r="R37" s="9"/>
      <c r="S37" s="144"/>
      <c r="T37" s="166" t="str">
        <f t="shared" si="2"/>
        <v/>
      </c>
      <c r="U37" s="166"/>
      <c r="V37" s="166"/>
      <c r="W37" s="144"/>
      <c r="X37" s="123"/>
      <c r="Y37" s="9"/>
    </row>
    <row r="38" spans="1:25" ht="15" customHeight="1" x14ac:dyDescent="0.25">
      <c r="A38" s="1"/>
      <c r="B38" s="20"/>
      <c r="C38" s="140"/>
      <c r="D38" s="14"/>
      <c r="E38" s="9"/>
      <c r="F38" s="9"/>
      <c r="G38" s="9"/>
      <c r="H38" s="140"/>
      <c r="I38" s="48"/>
      <c r="J38" s="48"/>
      <c r="K38" s="48"/>
      <c r="L38" s="109"/>
      <c r="M38" s="121"/>
      <c r="N38" s="63" t="str">
        <f t="shared" si="0"/>
        <v/>
      </c>
      <c r="O38" s="150"/>
      <c r="P38" s="9"/>
      <c r="Q38" s="9"/>
      <c r="R38" s="9"/>
      <c r="S38" s="144"/>
      <c r="T38" s="166" t="str">
        <f t="shared" si="2"/>
        <v/>
      </c>
      <c r="U38" s="166"/>
      <c r="V38" s="166"/>
      <c r="W38" s="144"/>
      <c r="X38" s="123"/>
      <c r="Y38" s="9"/>
    </row>
    <row r="39" spans="1:25" ht="15" customHeight="1" x14ac:dyDescent="0.25">
      <c r="A39" s="1"/>
      <c r="B39" s="20"/>
      <c r="C39" s="140"/>
      <c r="D39" s="14"/>
      <c r="E39" s="9"/>
      <c r="F39" s="9"/>
      <c r="G39" s="9"/>
      <c r="H39" s="140"/>
      <c r="I39" s="48"/>
      <c r="J39" s="48"/>
      <c r="K39" s="48"/>
      <c r="L39" s="109"/>
      <c r="M39" s="121"/>
      <c r="N39" s="63" t="str">
        <f t="shared" si="0"/>
        <v/>
      </c>
      <c r="O39" s="150"/>
      <c r="P39" s="9"/>
      <c r="Q39" s="9"/>
      <c r="R39" s="9"/>
      <c r="S39" s="144"/>
      <c r="T39" s="166" t="str">
        <f t="shared" si="2"/>
        <v/>
      </c>
      <c r="U39" s="166"/>
      <c r="V39" s="166"/>
      <c r="W39" s="144"/>
      <c r="X39" s="123"/>
      <c r="Y39" s="9"/>
    </row>
    <row r="40" spans="1:25" ht="15" customHeight="1" x14ac:dyDescent="0.25">
      <c r="A40" s="1"/>
      <c r="B40" s="20"/>
      <c r="C40" s="140"/>
      <c r="D40" s="14"/>
      <c r="E40" s="9"/>
      <c r="F40" s="9"/>
      <c r="G40" s="9"/>
      <c r="H40" s="140"/>
      <c r="I40" s="48"/>
      <c r="J40" s="48"/>
      <c r="K40" s="48"/>
      <c r="L40" s="109"/>
      <c r="M40" s="121"/>
      <c r="N40" s="63" t="str">
        <f t="shared" si="0"/>
        <v/>
      </c>
      <c r="O40" s="150"/>
      <c r="P40" s="9"/>
      <c r="Q40" s="9"/>
      <c r="R40" s="9"/>
      <c r="S40" s="144"/>
      <c r="T40" s="166" t="str">
        <f t="shared" si="2"/>
        <v/>
      </c>
      <c r="U40" s="166"/>
      <c r="V40" s="166"/>
      <c r="W40" s="144"/>
      <c r="X40" s="123"/>
      <c r="Y40" s="9"/>
    </row>
    <row r="41" spans="1:25" ht="15" customHeight="1" x14ac:dyDescent="0.25">
      <c r="A41" s="1"/>
      <c r="B41" s="20"/>
      <c r="C41" s="140"/>
      <c r="D41" s="9"/>
      <c r="E41" s="9"/>
      <c r="F41" s="9"/>
      <c r="G41" s="9"/>
      <c r="H41" s="140"/>
      <c r="I41" s="48"/>
      <c r="J41" s="48"/>
      <c r="K41" s="48"/>
      <c r="L41" s="109"/>
      <c r="M41" s="121"/>
      <c r="N41" s="63"/>
      <c r="O41" s="150"/>
      <c r="P41" s="9"/>
      <c r="Q41" s="9"/>
      <c r="R41" s="9"/>
      <c r="S41" s="144"/>
      <c r="T41" s="166" t="str">
        <f t="shared" si="2"/>
        <v/>
      </c>
      <c r="U41" s="166"/>
      <c r="V41" s="166"/>
      <c r="W41" s="144"/>
      <c r="X41" s="123"/>
      <c r="Y41" s="9"/>
    </row>
    <row r="42" spans="1:25" ht="15" customHeight="1" x14ac:dyDescent="0.25">
      <c r="A42" s="1"/>
      <c r="B42" s="20"/>
      <c r="C42" s="140"/>
      <c r="D42" s="9"/>
      <c r="E42" s="9"/>
      <c r="F42" s="9"/>
      <c r="G42" s="9"/>
      <c r="H42" s="140"/>
      <c r="I42" s="48"/>
      <c r="J42" s="48"/>
      <c r="K42" s="48"/>
      <c r="L42" s="109"/>
      <c r="M42" s="121"/>
      <c r="N42" s="63"/>
      <c r="O42" s="150"/>
      <c r="P42" s="9"/>
      <c r="Q42" s="9"/>
      <c r="R42" s="9"/>
      <c r="S42" s="144"/>
      <c r="T42" s="166" t="str">
        <f t="shared" si="2"/>
        <v/>
      </c>
      <c r="U42" s="166"/>
      <c r="V42" s="166"/>
      <c r="W42" s="144"/>
      <c r="X42" s="123"/>
      <c r="Y42" s="9"/>
    </row>
    <row r="43" spans="1:25" ht="15" customHeight="1" x14ac:dyDescent="0.25">
      <c r="A43" s="1"/>
      <c r="B43" s="20"/>
      <c r="C43" s="140"/>
      <c r="D43" s="9"/>
      <c r="E43" s="9"/>
      <c r="F43" s="9"/>
      <c r="G43" s="9"/>
      <c r="H43" s="140"/>
      <c r="I43" s="48"/>
      <c r="J43" s="48"/>
      <c r="K43" s="48"/>
      <c r="L43" s="109"/>
      <c r="M43" s="121"/>
      <c r="N43" s="63"/>
      <c r="O43" s="150"/>
      <c r="P43" s="9"/>
      <c r="Q43" s="9"/>
      <c r="R43" s="9"/>
      <c r="S43" s="144"/>
      <c r="T43" s="166" t="str">
        <f t="shared" si="2"/>
        <v/>
      </c>
      <c r="U43" s="166"/>
      <c r="V43" s="166"/>
      <c r="W43" s="144"/>
      <c r="X43" s="123"/>
      <c r="Y43" s="9"/>
    </row>
    <row r="44" spans="1:25" ht="15" customHeight="1" x14ac:dyDescent="0.25">
      <c r="A44" s="1"/>
      <c r="B44" s="20"/>
      <c r="C44" s="140"/>
      <c r="D44" s="9"/>
      <c r="E44" s="9"/>
      <c r="F44" s="9"/>
      <c r="G44" s="9"/>
      <c r="H44" s="140"/>
      <c r="I44" s="48"/>
      <c r="J44" s="48"/>
      <c r="K44" s="48"/>
      <c r="L44" s="109"/>
      <c r="M44" s="121"/>
      <c r="N44" s="63" t="str">
        <f t="shared" si="0"/>
        <v/>
      </c>
      <c r="O44" s="150"/>
      <c r="P44" s="9"/>
      <c r="Q44" s="9"/>
      <c r="R44" s="9"/>
      <c r="S44" s="144"/>
      <c r="T44" s="166" t="str">
        <f t="shared" si="2"/>
        <v/>
      </c>
      <c r="U44" s="166"/>
      <c r="V44" s="166"/>
      <c r="W44" s="144"/>
      <c r="X44" s="123"/>
      <c r="Y44" s="9"/>
    </row>
    <row r="45" spans="1:25" ht="15" customHeight="1" x14ac:dyDescent="0.25">
      <c r="A45" s="1"/>
      <c r="B45" s="20"/>
      <c r="C45" s="140"/>
      <c r="D45" s="9"/>
      <c r="E45" s="9"/>
      <c r="F45" s="9"/>
      <c r="G45" s="9"/>
      <c r="H45" s="140"/>
      <c r="I45" s="48"/>
      <c r="J45" s="48"/>
      <c r="K45" s="48"/>
      <c r="L45" s="109"/>
      <c r="M45" s="121"/>
      <c r="N45" s="63" t="str">
        <f t="shared" si="0"/>
        <v/>
      </c>
      <c r="O45" s="150"/>
      <c r="P45" s="9"/>
      <c r="Q45" s="9"/>
      <c r="R45" s="9"/>
      <c r="S45" s="144"/>
      <c r="T45" s="166" t="str">
        <f>IF(K25&lt;&gt;"",CONCATENATE("   - " &amp; K25),"")</f>
        <v/>
      </c>
      <c r="U45" s="166"/>
      <c r="V45" s="166"/>
      <c r="W45" s="144"/>
      <c r="X45" s="123"/>
      <c r="Y45" s="9"/>
    </row>
    <row r="46" spans="1:25" ht="15" customHeight="1" x14ac:dyDescent="0.25">
      <c r="A46" s="1"/>
      <c r="B46" s="20"/>
      <c r="C46" s="140"/>
      <c r="D46" s="9"/>
      <c r="E46" s="9"/>
      <c r="F46" s="9"/>
      <c r="G46" s="9"/>
      <c r="H46" s="140"/>
      <c r="I46" s="48"/>
      <c r="J46" s="48"/>
      <c r="K46" s="48"/>
      <c r="L46" s="109"/>
      <c r="M46" s="121"/>
      <c r="N46" s="63" t="str">
        <f t="shared" si="0"/>
        <v/>
      </c>
      <c r="O46" s="150"/>
      <c r="P46" s="9"/>
      <c r="Q46" s="9"/>
      <c r="R46" s="9"/>
      <c r="S46" s="144"/>
      <c r="T46" s="166" t="str">
        <f>IF(K26&lt;&gt;"",CONCATENATE("   - " &amp; K26),"")</f>
        <v/>
      </c>
      <c r="U46" s="166"/>
      <c r="V46" s="166"/>
      <c r="W46" s="144"/>
      <c r="X46" s="123"/>
      <c r="Y46" s="9"/>
    </row>
    <row r="47" spans="1:25" ht="15" customHeight="1" x14ac:dyDescent="0.25">
      <c r="A47" s="1"/>
      <c r="B47" s="20"/>
      <c r="C47" s="140"/>
      <c r="D47" s="9"/>
      <c r="E47" s="9"/>
      <c r="F47" s="9"/>
      <c r="G47" s="9"/>
      <c r="H47" s="140"/>
      <c r="I47" s="34"/>
      <c r="J47" s="35" t="s">
        <v>70</v>
      </c>
      <c r="K47" s="34"/>
      <c r="L47" s="34"/>
      <c r="M47" s="36"/>
      <c r="N47" s="62">
        <f>SUM(N9:N46)</f>
        <v>6600</v>
      </c>
      <c r="O47" s="150"/>
      <c r="P47" s="9"/>
      <c r="Q47" s="9"/>
      <c r="R47" s="9"/>
      <c r="S47" s="144"/>
      <c r="T47" s="166" t="str">
        <f>IF(K27&lt;&gt;"",CONCATENATE("   - " &amp; K27),"")</f>
        <v/>
      </c>
      <c r="U47" s="166"/>
      <c r="V47" s="166"/>
      <c r="W47" s="144"/>
      <c r="X47" s="123"/>
      <c r="Y47" s="9"/>
    </row>
    <row r="48" spans="1:25" ht="15" customHeight="1" x14ac:dyDescent="0.25">
      <c r="A48" s="1"/>
      <c r="B48" s="20"/>
      <c r="C48" s="140"/>
      <c r="D48" s="9"/>
      <c r="E48" s="9"/>
      <c r="F48" s="9"/>
      <c r="G48" s="9"/>
      <c r="H48" s="140"/>
      <c r="I48" s="34"/>
      <c r="J48" s="34"/>
      <c r="K48" s="34"/>
      <c r="L48" s="37" t="s">
        <v>73</v>
      </c>
      <c r="M48" s="36"/>
      <c r="N48" s="63"/>
      <c r="O48" s="150"/>
      <c r="P48" s="9"/>
      <c r="Q48" s="9"/>
      <c r="R48" s="9"/>
      <c r="S48" s="144"/>
      <c r="T48" s="166" t="str">
        <f t="shared" ref="T48:T53" si="3">IF(K35&lt;&gt;"",CONCATENATE("   - " &amp; K35),"")</f>
        <v/>
      </c>
      <c r="U48" s="166"/>
      <c r="V48" s="166"/>
      <c r="W48" s="144"/>
      <c r="X48" s="123"/>
      <c r="Y48" s="9"/>
    </row>
    <row r="49" spans="1:25" ht="15" customHeight="1" x14ac:dyDescent="0.25">
      <c r="A49" s="1"/>
      <c r="B49" s="20"/>
      <c r="C49" s="140"/>
      <c r="D49" s="9"/>
      <c r="E49" s="9"/>
      <c r="F49" s="9"/>
      <c r="G49" s="9"/>
      <c r="H49" s="140"/>
      <c r="I49" s="34"/>
      <c r="J49" s="34"/>
      <c r="K49" s="34"/>
      <c r="L49" s="37" t="s">
        <v>74</v>
      </c>
      <c r="M49" s="36"/>
      <c r="N49" s="63"/>
      <c r="O49" s="150"/>
      <c r="P49" s="9"/>
      <c r="Q49" s="9"/>
      <c r="R49" s="9"/>
      <c r="S49" s="144"/>
      <c r="T49" s="166" t="str">
        <f t="shared" si="3"/>
        <v/>
      </c>
      <c r="U49" s="166"/>
      <c r="V49" s="166"/>
      <c r="W49" s="144"/>
      <c r="X49" s="123"/>
      <c r="Y49" s="9"/>
    </row>
    <row r="50" spans="1:25" ht="15" customHeight="1" x14ac:dyDescent="0.25">
      <c r="A50" s="1"/>
      <c r="B50" s="20"/>
      <c r="C50" s="140"/>
      <c r="D50" s="9"/>
      <c r="E50" s="9"/>
      <c r="F50" s="9"/>
      <c r="G50" s="9"/>
      <c r="H50" s="140"/>
      <c r="I50" s="34"/>
      <c r="J50" s="35"/>
      <c r="K50" s="34"/>
      <c r="L50" s="34"/>
      <c r="M50" s="38"/>
      <c r="N50" s="62">
        <f>N47+N48+N49</f>
        <v>6600</v>
      </c>
      <c r="O50" s="150"/>
      <c r="P50" s="9"/>
      <c r="Q50" s="9"/>
      <c r="R50" s="9"/>
      <c r="S50" s="144"/>
      <c r="T50" s="166" t="str">
        <f t="shared" si="3"/>
        <v/>
      </c>
      <c r="U50" s="166"/>
      <c r="V50" s="166"/>
      <c r="W50" s="144"/>
      <c r="X50" s="123"/>
      <c r="Y50" s="9"/>
    </row>
    <row r="51" spans="1:25" ht="15" customHeight="1" x14ac:dyDescent="0.25">
      <c r="A51" s="1"/>
      <c r="B51" s="20"/>
      <c r="C51" s="140"/>
      <c r="D51" s="9"/>
      <c r="E51" s="9"/>
      <c r="F51" s="9"/>
      <c r="G51" s="9"/>
      <c r="H51" s="140"/>
      <c r="I51" s="40"/>
      <c r="J51" s="40"/>
      <c r="K51" s="40"/>
      <c r="L51" s="40"/>
      <c r="M51" s="40"/>
      <c r="N51" s="143"/>
      <c r="O51" s="150"/>
      <c r="P51" s="9"/>
      <c r="Q51" s="9"/>
      <c r="R51" s="9"/>
      <c r="S51" s="144"/>
      <c r="T51" s="166" t="str">
        <f t="shared" si="3"/>
        <v/>
      </c>
      <c r="U51" s="166"/>
      <c r="V51" s="166"/>
      <c r="W51" s="144"/>
      <c r="X51" s="123"/>
      <c r="Y51" s="9"/>
    </row>
    <row r="52" spans="1:25" ht="15" customHeight="1" x14ac:dyDescent="0.25">
      <c r="A52" s="1"/>
      <c r="B52" s="20"/>
      <c r="C52" s="140"/>
      <c r="D52" s="9"/>
      <c r="E52" s="9"/>
      <c r="F52" s="9"/>
      <c r="G52" s="9"/>
      <c r="H52" s="140"/>
      <c r="I52" s="146" t="s">
        <v>76</v>
      </c>
      <c r="K52" s="146"/>
      <c r="L52" s="146"/>
      <c r="M52" s="146"/>
      <c r="N52" s="145">
        <v>3000</v>
      </c>
      <c r="O52" s="150"/>
      <c r="P52" s="9"/>
      <c r="Q52" s="9"/>
      <c r="R52" s="9"/>
      <c r="S52" s="144"/>
      <c r="T52" s="166" t="str">
        <f t="shared" si="3"/>
        <v/>
      </c>
      <c r="U52" s="166"/>
      <c r="V52" s="166"/>
      <c r="W52" s="144"/>
      <c r="X52" s="123"/>
      <c r="Y52" s="9"/>
    </row>
    <row r="53" spans="1:25" ht="15" customHeight="1" x14ac:dyDescent="0.25">
      <c r="A53" s="1"/>
      <c r="B53" s="20"/>
      <c r="C53" s="140"/>
      <c r="D53" s="9"/>
      <c r="E53" s="9"/>
      <c r="F53" s="9"/>
      <c r="G53" s="9"/>
      <c r="H53" s="140"/>
      <c r="I53" s="9"/>
      <c r="J53" s="9"/>
      <c r="K53" s="9"/>
      <c r="L53" s="9"/>
      <c r="M53" s="9"/>
      <c r="N53" s="9"/>
      <c r="O53" s="150"/>
      <c r="P53" s="9"/>
      <c r="Q53" s="9"/>
      <c r="R53" s="9"/>
      <c r="S53" s="144"/>
      <c r="T53" s="166" t="str">
        <f t="shared" si="3"/>
        <v/>
      </c>
      <c r="U53" s="166"/>
      <c r="V53" s="166"/>
      <c r="W53" s="144"/>
      <c r="X53" s="123"/>
      <c r="Y53" s="9"/>
    </row>
    <row r="54" spans="1:25" ht="15" customHeight="1" x14ac:dyDescent="0.25">
      <c r="A54" s="1"/>
      <c r="B54" s="20"/>
      <c r="C54" s="140"/>
      <c r="D54" s="9"/>
      <c r="E54" s="9"/>
      <c r="F54" s="9"/>
      <c r="G54" s="9"/>
      <c r="H54" s="140"/>
      <c r="I54" s="9"/>
      <c r="J54" s="9"/>
      <c r="K54" s="9"/>
      <c r="L54" s="9"/>
      <c r="M54" s="9"/>
      <c r="N54" s="9"/>
      <c r="O54" s="150"/>
      <c r="P54" s="9"/>
      <c r="Q54" s="9"/>
      <c r="R54" s="9"/>
      <c r="S54" s="144"/>
      <c r="T54" s="166" t="str">
        <f t="shared" ref="T54:T60" si="4">IF(K44&lt;&gt;"",CONCATENATE("   - " &amp; K44),"")</f>
        <v/>
      </c>
      <c r="U54" s="166"/>
      <c r="V54" s="166"/>
      <c r="W54" s="144"/>
      <c r="X54" s="123"/>
      <c r="Y54" s="9"/>
    </row>
    <row r="55" spans="1:25" ht="15" customHeight="1" x14ac:dyDescent="0.25">
      <c r="A55" s="1"/>
      <c r="B55" s="20"/>
      <c r="C55" s="140"/>
      <c r="D55" s="9"/>
      <c r="E55" s="9"/>
      <c r="F55" s="9"/>
      <c r="G55" s="9"/>
      <c r="H55" s="140"/>
      <c r="I55" s="9"/>
      <c r="J55" s="9"/>
      <c r="K55" s="9"/>
      <c r="L55" s="9"/>
      <c r="M55" s="9"/>
      <c r="N55" s="9"/>
      <c r="O55" s="150"/>
      <c r="P55" s="9"/>
      <c r="Q55" s="9"/>
      <c r="R55" s="9"/>
      <c r="S55" s="144"/>
      <c r="T55" s="166" t="str">
        <f t="shared" si="4"/>
        <v/>
      </c>
      <c r="U55" s="166"/>
      <c r="V55" s="166"/>
      <c r="W55" s="144"/>
      <c r="X55" s="123"/>
      <c r="Y55" s="9"/>
    </row>
    <row r="56" spans="1:25" ht="15" customHeight="1" x14ac:dyDescent="0.25">
      <c r="A56" s="1"/>
      <c r="B56" s="20"/>
      <c r="C56" s="140"/>
      <c r="D56" s="9"/>
      <c r="E56" s="9"/>
      <c r="F56" s="9"/>
      <c r="G56" s="9"/>
      <c r="H56" s="140"/>
      <c r="I56" s="9"/>
      <c r="J56" s="9"/>
      <c r="K56" s="9"/>
      <c r="L56" s="9"/>
      <c r="M56" s="9"/>
      <c r="N56" s="9"/>
      <c r="O56" s="150"/>
      <c r="P56" s="9"/>
      <c r="Q56" s="9"/>
      <c r="R56" s="9"/>
      <c r="S56" s="144"/>
      <c r="T56" s="166" t="str">
        <f t="shared" si="4"/>
        <v/>
      </c>
      <c r="U56" s="166"/>
      <c r="V56" s="166"/>
      <c r="W56" s="144"/>
      <c r="X56" s="123"/>
      <c r="Y56" s="9"/>
    </row>
    <row r="57" spans="1:25" ht="15" customHeight="1" x14ac:dyDescent="0.25">
      <c r="A57" s="1"/>
      <c r="B57" s="20"/>
      <c r="C57" s="140"/>
      <c r="D57" s="9"/>
      <c r="E57" s="9"/>
      <c r="F57" s="9"/>
      <c r="G57" s="9"/>
      <c r="H57" s="140"/>
      <c r="I57" s="9"/>
      <c r="J57" s="9"/>
      <c r="K57" s="9"/>
      <c r="L57" s="9"/>
      <c r="M57" s="9"/>
      <c r="N57" s="9"/>
      <c r="O57" s="150"/>
      <c r="P57" s="9"/>
      <c r="Q57" s="9"/>
      <c r="R57" s="9"/>
      <c r="S57" s="144"/>
      <c r="T57" s="166" t="str">
        <f t="shared" si="4"/>
        <v/>
      </c>
      <c r="U57" s="166"/>
      <c r="V57" s="166"/>
      <c r="W57" s="144"/>
      <c r="X57" s="123"/>
      <c r="Y57" s="9"/>
    </row>
    <row r="58" spans="1:25" ht="15" customHeight="1" x14ac:dyDescent="0.25">
      <c r="A58" s="1"/>
      <c r="B58" s="20"/>
      <c r="C58" s="140"/>
      <c r="D58" s="9"/>
      <c r="E58" s="9"/>
      <c r="F58" s="9"/>
      <c r="G58" s="9"/>
      <c r="H58" s="140"/>
      <c r="I58" s="9"/>
      <c r="J58" s="9"/>
      <c r="K58" s="9"/>
      <c r="L58" s="9"/>
      <c r="M58" s="9"/>
      <c r="N58" s="9"/>
      <c r="O58" s="150"/>
      <c r="P58" s="9"/>
      <c r="Q58" s="9"/>
      <c r="R58" s="9"/>
      <c r="S58" s="144"/>
      <c r="T58" s="166" t="str">
        <f t="shared" si="4"/>
        <v/>
      </c>
      <c r="U58" s="166"/>
      <c r="V58" s="166"/>
      <c r="W58" s="144"/>
      <c r="X58" s="123"/>
      <c r="Y58" s="9"/>
    </row>
    <row r="59" spans="1:25" ht="15" customHeight="1" x14ac:dyDescent="0.25">
      <c r="A59" s="1"/>
      <c r="B59" s="20"/>
      <c r="C59" s="140"/>
      <c r="D59" s="9"/>
      <c r="E59" s="9"/>
      <c r="F59" s="9"/>
      <c r="G59" s="9"/>
      <c r="H59" s="140"/>
      <c r="I59" s="9"/>
      <c r="J59" s="9"/>
      <c r="K59" s="9"/>
      <c r="L59" s="9"/>
      <c r="M59" s="9"/>
      <c r="N59" s="9"/>
      <c r="O59" s="150"/>
      <c r="P59" s="9"/>
      <c r="Q59" s="9"/>
      <c r="R59" s="9"/>
      <c r="S59" s="144"/>
      <c r="T59" s="166" t="str">
        <f t="shared" si="4"/>
        <v/>
      </c>
      <c r="U59" s="166"/>
      <c r="V59" s="166"/>
      <c r="W59" s="144"/>
      <c r="X59" s="123"/>
      <c r="Y59" s="9"/>
    </row>
    <row r="60" spans="1:25" ht="15" customHeight="1" x14ac:dyDescent="0.25">
      <c r="A60" s="1"/>
      <c r="B60" s="20"/>
      <c r="C60" s="140"/>
      <c r="D60" s="9"/>
      <c r="E60" s="9"/>
      <c r="F60" s="9"/>
      <c r="G60" s="9"/>
      <c r="H60" s="140"/>
      <c r="I60" s="9"/>
      <c r="J60" s="9"/>
      <c r="K60" s="9"/>
      <c r="L60" s="9"/>
      <c r="M60" s="9"/>
      <c r="N60" s="9"/>
      <c r="O60" s="150"/>
      <c r="P60" s="9"/>
      <c r="Q60" s="9"/>
      <c r="R60" s="9"/>
      <c r="S60" s="144"/>
      <c r="T60" s="166" t="str">
        <f t="shared" si="4"/>
        <v/>
      </c>
      <c r="U60" s="166"/>
      <c r="V60" s="166"/>
      <c r="W60" s="144"/>
      <c r="X60" s="123"/>
      <c r="Y60" s="9"/>
    </row>
    <row r="61" spans="1:25" ht="15" customHeight="1" x14ac:dyDescent="0.25">
      <c r="A61" s="1"/>
      <c r="B61" s="20"/>
      <c r="C61" s="140"/>
      <c r="D61" s="9"/>
      <c r="E61" s="9"/>
      <c r="F61" s="9"/>
      <c r="G61" s="9"/>
      <c r="H61" s="140"/>
      <c r="I61" s="9"/>
      <c r="J61" s="9"/>
      <c r="K61" s="9"/>
      <c r="L61" s="9"/>
      <c r="M61" s="9"/>
      <c r="N61" s="9"/>
      <c r="O61" s="150"/>
      <c r="P61" s="9"/>
      <c r="Q61" s="9"/>
      <c r="R61" s="9"/>
      <c r="S61" s="144"/>
      <c r="T61" s="166" t="str">
        <f t="shared" ref="T61:T63" si="5">IF(K51&lt;&gt;"",CONCATENATE("   - " &amp; K51),"")</f>
        <v/>
      </c>
      <c r="U61" s="166"/>
      <c r="V61" s="166"/>
      <c r="W61" s="144"/>
      <c r="X61" s="123"/>
      <c r="Y61" s="9"/>
    </row>
    <row r="62" spans="1:25" ht="15" customHeight="1" x14ac:dyDescent="0.25">
      <c r="A62" s="1"/>
      <c r="B62" s="20"/>
      <c r="C62" s="140"/>
      <c r="D62" s="9"/>
      <c r="E62" s="9"/>
      <c r="F62" s="9"/>
      <c r="G62" s="9"/>
      <c r="H62" s="140"/>
      <c r="I62" s="9"/>
      <c r="J62" s="9"/>
      <c r="K62" s="9"/>
      <c r="L62" s="9"/>
      <c r="M62" s="9"/>
      <c r="N62" s="9"/>
      <c r="O62" s="150"/>
      <c r="P62" s="9"/>
      <c r="Q62" s="9"/>
      <c r="R62" s="9"/>
      <c r="S62" s="144"/>
      <c r="T62" s="166" t="str">
        <f t="shared" si="5"/>
        <v/>
      </c>
      <c r="U62" s="166"/>
      <c r="V62" s="166"/>
      <c r="W62" s="144"/>
      <c r="X62" s="123"/>
      <c r="Y62" s="9"/>
    </row>
    <row r="63" spans="1:25" ht="15" customHeight="1" x14ac:dyDescent="0.25">
      <c r="A63" s="1"/>
      <c r="B63" s="20"/>
      <c r="C63" s="140"/>
      <c r="D63" s="9"/>
      <c r="E63" s="9"/>
      <c r="F63" s="9"/>
      <c r="G63" s="9"/>
      <c r="H63" s="140"/>
      <c r="I63" s="9"/>
      <c r="J63" s="9"/>
      <c r="K63" s="9"/>
      <c r="L63" s="9"/>
      <c r="M63" s="9"/>
      <c r="N63" s="9"/>
      <c r="O63" s="150"/>
      <c r="P63" s="9"/>
      <c r="Q63" s="9"/>
      <c r="R63" s="9"/>
      <c r="S63" s="144"/>
      <c r="T63" s="166" t="str">
        <f t="shared" si="5"/>
        <v/>
      </c>
      <c r="U63" s="166"/>
      <c r="V63" s="166"/>
      <c r="W63" s="144"/>
      <c r="X63" s="123"/>
      <c r="Y63" s="9"/>
    </row>
    <row r="64" spans="1:25" ht="15" customHeight="1" x14ac:dyDescent="0.25">
      <c r="A64" s="1"/>
      <c r="B64" s="20"/>
      <c r="C64" s="140"/>
      <c r="D64" s="9"/>
      <c r="E64" s="9"/>
      <c r="F64" s="9"/>
      <c r="G64" s="9"/>
      <c r="H64" s="140"/>
      <c r="I64" s="9"/>
      <c r="J64" s="9"/>
      <c r="K64" s="9"/>
      <c r="L64" s="9"/>
      <c r="M64" s="9"/>
      <c r="N64" s="9"/>
      <c r="O64" s="150"/>
      <c r="P64" s="9"/>
      <c r="Q64" s="9"/>
      <c r="R64" s="9"/>
      <c r="S64" s="144"/>
      <c r="T64" s="144"/>
      <c r="U64" s="144"/>
      <c r="V64" s="144"/>
      <c r="W64" s="144"/>
      <c r="X64" s="123"/>
      <c r="Y64" s="9"/>
    </row>
    <row r="65" spans="1:25" ht="15" customHeight="1" x14ac:dyDescent="0.25">
      <c r="A65" s="1"/>
      <c r="B65" s="20"/>
      <c r="C65" s="140"/>
      <c r="D65" s="9"/>
      <c r="E65" s="9"/>
      <c r="F65" s="9"/>
      <c r="G65" s="9"/>
      <c r="H65" s="140"/>
      <c r="I65" s="9"/>
      <c r="J65" s="9"/>
      <c r="K65" s="9"/>
      <c r="L65" s="9"/>
      <c r="M65" s="9"/>
      <c r="N65" s="9"/>
      <c r="O65" s="150"/>
      <c r="P65" s="9"/>
      <c r="Q65" s="9"/>
      <c r="R65" s="9"/>
      <c r="S65" s="123"/>
      <c r="T65" s="123"/>
      <c r="U65" s="191" t="s">
        <v>62</v>
      </c>
      <c r="V65" s="191" t="s">
        <v>63</v>
      </c>
      <c r="W65" s="123"/>
      <c r="X65" s="123"/>
      <c r="Y65" s="9"/>
    </row>
    <row r="66" spans="1:25" ht="15" customHeight="1" x14ac:dyDescent="0.25">
      <c r="A66" s="1"/>
      <c r="B66" s="20"/>
      <c r="C66" s="140"/>
      <c r="D66" s="9"/>
      <c r="E66" s="9"/>
      <c r="F66" s="9"/>
      <c r="G66" s="9"/>
      <c r="H66" s="140"/>
      <c r="I66" s="9"/>
      <c r="J66" s="9"/>
      <c r="K66" s="9"/>
      <c r="L66" s="9"/>
      <c r="M66" s="9"/>
      <c r="N66" s="9"/>
      <c r="O66" s="150"/>
      <c r="P66" s="9"/>
      <c r="Q66" s="9"/>
      <c r="R66" s="9"/>
      <c r="S66" s="123"/>
      <c r="T66" s="123"/>
      <c r="U66" s="192">
        <f>SUM(L10:L46)</f>
        <v>22</v>
      </c>
      <c r="V66" s="193">
        <v>300</v>
      </c>
      <c r="W66" s="123"/>
      <c r="X66" s="123"/>
      <c r="Y66" s="9"/>
    </row>
    <row r="67" spans="1:25" ht="15" customHeight="1" x14ac:dyDescent="0.25">
      <c r="A67" s="1"/>
      <c r="B67" s="20"/>
      <c r="C67" s="140"/>
      <c r="D67" s="9"/>
      <c r="E67" s="9"/>
      <c r="F67" s="9"/>
      <c r="G67" s="9"/>
      <c r="H67" s="140"/>
      <c r="I67" s="9"/>
      <c r="J67" s="9"/>
      <c r="K67" s="9"/>
      <c r="L67" s="9"/>
      <c r="M67" s="9"/>
      <c r="N67" s="9"/>
      <c r="O67" s="150"/>
      <c r="P67" s="9"/>
      <c r="Q67" s="9"/>
      <c r="R67" s="9"/>
      <c r="S67" s="123"/>
      <c r="T67" s="123"/>
      <c r="U67" s="123"/>
      <c r="V67" s="123"/>
      <c r="W67" s="123"/>
      <c r="X67" s="123"/>
      <c r="Y67" s="9"/>
    </row>
    <row r="68" spans="1:25" ht="15" customHeight="1" x14ac:dyDescent="0.25">
      <c r="A68" s="1"/>
      <c r="B68" s="20"/>
      <c r="C68" s="140"/>
      <c r="D68" s="9"/>
      <c r="E68" s="9"/>
      <c r="F68" s="9"/>
      <c r="G68" s="9"/>
      <c r="H68" s="140"/>
      <c r="I68" s="9"/>
      <c r="J68" s="9"/>
      <c r="K68" s="9"/>
      <c r="L68" s="9"/>
      <c r="M68" s="9"/>
      <c r="N68" s="9"/>
      <c r="O68" s="150"/>
      <c r="P68" s="9"/>
      <c r="Q68" s="9"/>
      <c r="R68" s="9"/>
      <c r="S68" s="123"/>
      <c r="T68" s="123"/>
      <c r="U68" s="123"/>
      <c r="V68" s="123"/>
      <c r="W68" s="123"/>
      <c r="X68" s="123"/>
      <c r="Y68" s="9"/>
    </row>
    <row r="69" spans="1:25" ht="15" customHeight="1" x14ac:dyDescent="0.25">
      <c r="A69" s="1"/>
      <c r="B69" s="20"/>
      <c r="C69" s="140"/>
      <c r="D69" s="9"/>
      <c r="E69" s="9"/>
      <c r="F69" s="9"/>
      <c r="G69" s="9"/>
      <c r="H69" s="140"/>
      <c r="I69" s="9"/>
      <c r="J69" s="9"/>
      <c r="K69" s="9"/>
      <c r="L69" s="9"/>
      <c r="M69" s="9"/>
      <c r="N69" s="9"/>
      <c r="O69" s="150"/>
      <c r="P69" s="9"/>
      <c r="Q69" s="9"/>
      <c r="R69" s="9"/>
      <c r="S69" s="129"/>
      <c r="T69" s="128" t="s">
        <v>70</v>
      </c>
      <c r="U69" s="129"/>
      <c r="V69" s="129"/>
      <c r="W69" s="130">
        <f>V66*U66</f>
        <v>6600</v>
      </c>
      <c r="X69" s="129"/>
      <c r="Y69" s="9"/>
    </row>
    <row r="70" spans="1:25" ht="15" customHeight="1" x14ac:dyDescent="0.25">
      <c r="A70" s="1"/>
      <c r="B70" s="20"/>
      <c r="C70" s="140"/>
      <c r="D70" s="9"/>
      <c r="E70" s="9"/>
      <c r="F70" s="9"/>
      <c r="G70" s="9"/>
      <c r="H70" s="140"/>
      <c r="I70" s="9"/>
      <c r="J70" s="9"/>
      <c r="K70" s="9"/>
      <c r="L70" s="9"/>
      <c r="M70" s="9"/>
      <c r="N70" s="9"/>
      <c r="O70" s="150"/>
      <c r="P70" s="9"/>
      <c r="Q70" s="9"/>
      <c r="R70" s="9"/>
      <c r="S70" s="129"/>
      <c r="T70" s="131" t="s">
        <v>73</v>
      </c>
      <c r="U70" s="129"/>
      <c r="V70" s="129"/>
      <c r="W70" s="132">
        <v>0</v>
      </c>
      <c r="X70" s="129"/>
      <c r="Y70" s="9"/>
    </row>
    <row r="71" spans="1:25" ht="15" customHeight="1" x14ac:dyDescent="0.25">
      <c r="A71" s="1"/>
      <c r="B71" s="20"/>
      <c r="C71" s="140"/>
      <c r="D71" s="9"/>
      <c r="E71" s="9"/>
      <c r="F71" s="9"/>
      <c r="G71" s="9"/>
      <c r="H71" s="140"/>
      <c r="I71" s="9"/>
      <c r="J71" s="9"/>
      <c r="K71" s="9"/>
      <c r="L71" s="9"/>
      <c r="M71" s="9"/>
      <c r="N71" s="9"/>
      <c r="O71" s="150"/>
      <c r="P71" s="9"/>
      <c r="Q71" s="9"/>
      <c r="R71" s="9"/>
      <c r="S71" s="129"/>
      <c r="T71" s="131" t="s">
        <v>74</v>
      </c>
      <c r="U71" s="129"/>
      <c r="V71" s="129"/>
      <c r="W71" s="132">
        <v>0</v>
      </c>
      <c r="X71" s="129"/>
      <c r="Y71" s="9"/>
    </row>
    <row r="72" spans="1:25" ht="15" customHeight="1" x14ac:dyDescent="0.25">
      <c r="A72" s="1"/>
      <c r="B72" s="20"/>
      <c r="C72" s="140"/>
      <c r="D72" s="9"/>
      <c r="E72" s="9"/>
      <c r="F72" s="9"/>
      <c r="G72" s="9"/>
      <c r="H72" s="140"/>
      <c r="I72" s="9"/>
      <c r="J72" s="9"/>
      <c r="K72" s="9"/>
      <c r="L72" s="9"/>
      <c r="M72" s="9"/>
      <c r="N72" s="9"/>
      <c r="O72" s="150"/>
      <c r="P72" s="9"/>
      <c r="Q72" s="9"/>
      <c r="R72" s="9"/>
      <c r="S72" s="129"/>
      <c r="T72" s="128" t="s">
        <v>71</v>
      </c>
      <c r="U72" s="129"/>
      <c r="V72" s="129"/>
      <c r="W72" s="130">
        <f>SUM(W69:W71)</f>
        <v>6600</v>
      </c>
      <c r="X72" s="129"/>
      <c r="Y72" s="9"/>
    </row>
    <row r="73" spans="1:25" ht="15" customHeight="1" x14ac:dyDescent="0.25">
      <c r="A73" s="1"/>
      <c r="B73" s="20"/>
      <c r="C73" s="140"/>
      <c r="D73" s="9"/>
      <c r="E73" s="9"/>
      <c r="F73" s="9"/>
      <c r="G73" s="9"/>
      <c r="H73" s="140"/>
      <c r="I73" s="9"/>
      <c r="J73" s="9"/>
      <c r="K73" s="9"/>
      <c r="L73" s="9"/>
      <c r="M73" s="9"/>
      <c r="N73" s="9"/>
      <c r="O73" s="150"/>
      <c r="P73" s="9"/>
      <c r="Q73" s="9"/>
      <c r="R73" s="9"/>
      <c r="S73" s="129"/>
      <c r="T73" s="129" t="s">
        <v>204</v>
      </c>
      <c r="U73" s="133">
        <v>0.05</v>
      </c>
      <c r="V73" s="129"/>
      <c r="W73" s="134">
        <f>ROUND(W72*U73,2)</f>
        <v>330</v>
      </c>
      <c r="X73" s="129"/>
      <c r="Y73" s="9"/>
    </row>
    <row r="74" spans="1:25" ht="15" customHeight="1" x14ac:dyDescent="0.25">
      <c r="A74" s="1"/>
      <c r="B74" s="20"/>
      <c r="C74" s="140"/>
      <c r="D74" s="9"/>
      <c r="E74" s="9"/>
      <c r="F74" s="9"/>
      <c r="G74" s="9"/>
      <c r="H74" s="140"/>
      <c r="I74" s="9"/>
      <c r="J74" s="9"/>
      <c r="K74" s="9"/>
      <c r="L74" s="9"/>
      <c r="M74" s="9"/>
      <c r="N74" s="9"/>
      <c r="O74" s="150"/>
      <c r="P74" s="9"/>
      <c r="Q74" s="9"/>
      <c r="R74" s="9"/>
      <c r="S74" s="129"/>
      <c r="T74" s="129" t="s">
        <v>72</v>
      </c>
      <c r="U74" s="135">
        <v>9.9750000000000005E-2</v>
      </c>
      <c r="V74" s="129"/>
      <c r="W74" s="134">
        <f>ROUND(W72*U74,2)</f>
        <v>658.35</v>
      </c>
      <c r="X74" s="129"/>
      <c r="Y74" s="9"/>
    </row>
    <row r="75" spans="1:25" ht="15" customHeight="1" x14ac:dyDescent="0.25">
      <c r="A75" s="1"/>
      <c r="B75" s="20"/>
      <c r="C75" s="140"/>
      <c r="D75" s="9"/>
      <c r="E75" s="9"/>
      <c r="F75" s="9"/>
      <c r="G75" s="9"/>
      <c r="H75" s="140"/>
      <c r="I75" s="9"/>
      <c r="J75" s="9"/>
      <c r="K75" s="9"/>
      <c r="L75" s="9"/>
      <c r="M75" s="9"/>
      <c r="N75" s="9"/>
      <c r="O75" s="150"/>
      <c r="P75" s="9"/>
      <c r="Q75" s="9"/>
      <c r="R75" s="9"/>
      <c r="S75" s="129"/>
      <c r="T75" s="129"/>
      <c r="U75" s="129"/>
      <c r="V75" s="129"/>
      <c r="W75" s="136"/>
      <c r="X75" s="129"/>
      <c r="Y75" s="9"/>
    </row>
    <row r="76" spans="1:25" ht="15" customHeight="1" x14ac:dyDescent="0.25">
      <c r="A76" s="1"/>
      <c r="B76" s="20"/>
      <c r="C76" s="140"/>
      <c r="D76" s="9"/>
      <c r="E76" s="9"/>
      <c r="F76" s="9"/>
      <c r="G76" s="9"/>
      <c r="H76" s="140"/>
      <c r="I76" s="9"/>
      <c r="J76" s="9"/>
      <c r="K76" s="9"/>
      <c r="L76" s="9"/>
      <c r="M76" s="9"/>
      <c r="N76" s="9"/>
      <c r="O76" s="150"/>
      <c r="P76" s="9"/>
      <c r="Q76" s="9"/>
      <c r="R76" s="9"/>
      <c r="S76" s="129"/>
      <c r="T76" s="128" t="s">
        <v>75</v>
      </c>
      <c r="U76" s="129"/>
      <c r="V76" s="129"/>
      <c r="W76" s="130">
        <f>SUM(W72:W74)</f>
        <v>7588.35</v>
      </c>
      <c r="X76" s="129"/>
      <c r="Y76" s="9"/>
    </row>
    <row r="77" spans="1:25" ht="15" customHeight="1" x14ac:dyDescent="0.25">
      <c r="A77" s="1"/>
      <c r="B77" s="20"/>
      <c r="C77" s="140"/>
      <c r="D77" s="9"/>
      <c r="E77" s="9"/>
      <c r="F77" s="9"/>
      <c r="G77" s="9"/>
      <c r="H77" s="140"/>
      <c r="I77" s="9"/>
      <c r="J77" s="9"/>
      <c r="K77" s="9"/>
      <c r="L77" s="9"/>
      <c r="M77" s="9"/>
      <c r="N77" s="9"/>
      <c r="O77" s="150"/>
      <c r="P77" s="9"/>
      <c r="Q77" s="9"/>
      <c r="R77" s="9"/>
      <c r="S77" s="129"/>
      <c r="T77" s="167"/>
      <c r="U77" s="167"/>
      <c r="V77" s="167"/>
      <c r="W77" s="159"/>
      <c r="X77" s="129"/>
      <c r="Y77" s="9"/>
    </row>
    <row r="78" spans="1:25" ht="15" customHeight="1" x14ac:dyDescent="0.25">
      <c r="A78" s="1"/>
      <c r="B78" s="20"/>
      <c r="C78" s="140"/>
      <c r="D78" s="9"/>
      <c r="E78" s="9"/>
      <c r="F78" s="9"/>
      <c r="G78" s="9"/>
      <c r="H78" s="140"/>
      <c r="I78" s="9"/>
      <c r="J78" s="9"/>
      <c r="K78" s="9"/>
      <c r="L78" s="9"/>
      <c r="M78" s="9"/>
      <c r="N78" s="9"/>
      <c r="O78" s="150"/>
      <c r="P78" s="9"/>
      <c r="Q78" s="9"/>
      <c r="R78" s="9"/>
      <c r="S78" s="129"/>
      <c r="T78" s="168" t="s">
        <v>76</v>
      </c>
      <c r="U78" s="168"/>
      <c r="V78" s="168"/>
      <c r="W78" s="159">
        <f>N52</f>
        <v>3000</v>
      </c>
      <c r="X78" s="129"/>
      <c r="Y78" s="9"/>
    </row>
    <row r="79" spans="1:25" ht="15" customHeight="1" x14ac:dyDescent="0.25">
      <c r="A79" s="1"/>
      <c r="B79" s="20"/>
      <c r="C79" s="140"/>
      <c r="D79" s="9"/>
      <c r="E79" s="9"/>
      <c r="F79" s="9"/>
      <c r="G79" s="9"/>
      <c r="H79" s="140"/>
      <c r="I79" s="9"/>
      <c r="J79" s="9"/>
      <c r="K79" s="9"/>
      <c r="L79" s="9"/>
      <c r="M79" s="9"/>
      <c r="N79" s="9"/>
      <c r="O79" s="150"/>
      <c r="P79" s="9"/>
      <c r="Q79" s="9"/>
      <c r="R79" s="9"/>
      <c r="S79" s="129"/>
      <c r="T79" s="167"/>
      <c r="U79" s="167"/>
      <c r="V79" s="167"/>
      <c r="W79" s="159"/>
      <c r="X79" s="129"/>
      <c r="Y79" s="9"/>
    </row>
    <row r="80" spans="1:25" ht="15" customHeight="1" x14ac:dyDescent="0.25">
      <c r="A80" s="1"/>
      <c r="B80" s="20"/>
      <c r="C80" s="140"/>
      <c r="D80" s="9"/>
      <c r="E80" s="9"/>
      <c r="F80" s="9"/>
      <c r="G80" s="9"/>
      <c r="H80" s="140"/>
      <c r="I80" s="9"/>
      <c r="J80" s="9"/>
      <c r="K80" s="9"/>
      <c r="L80" s="9"/>
      <c r="M80" s="9"/>
      <c r="N80" s="9"/>
      <c r="O80" s="150"/>
      <c r="P80" s="9"/>
      <c r="Q80" s="9"/>
      <c r="R80" s="9"/>
      <c r="S80" s="129"/>
      <c r="T80" s="137" t="s">
        <v>77</v>
      </c>
      <c r="U80" s="138"/>
      <c r="V80" s="138"/>
      <c r="W80" s="160">
        <f>W76-W78</f>
        <v>4588.3500000000004</v>
      </c>
      <c r="X80" s="129"/>
      <c r="Y80" s="9"/>
    </row>
    <row r="81" spans="1:25" ht="15" customHeight="1" x14ac:dyDescent="0.25">
      <c r="A81" s="1"/>
      <c r="B81" s="20"/>
      <c r="C81" s="140"/>
      <c r="D81" s="9"/>
      <c r="E81" s="9"/>
      <c r="F81" s="9"/>
      <c r="G81" s="9"/>
      <c r="H81" s="140"/>
      <c r="I81" s="9"/>
      <c r="J81" s="9"/>
      <c r="K81" s="9"/>
      <c r="L81" s="9"/>
      <c r="M81" s="9"/>
      <c r="N81" s="9"/>
      <c r="O81" s="150"/>
      <c r="P81" s="9"/>
      <c r="Q81" s="9"/>
      <c r="R81" s="9"/>
      <c r="S81" s="129"/>
      <c r="T81" s="129"/>
      <c r="U81" s="129"/>
      <c r="V81" s="129"/>
      <c r="W81" s="129"/>
      <c r="X81" s="129"/>
      <c r="Y81" s="9"/>
    </row>
    <row r="82" spans="1:25" ht="15" customHeight="1" x14ac:dyDescent="0.25">
      <c r="A82" s="1"/>
      <c r="B82" s="20"/>
      <c r="C82" s="140"/>
      <c r="D82" s="9"/>
      <c r="E82" s="9"/>
      <c r="F82" s="9"/>
      <c r="G82" s="9"/>
      <c r="H82" s="140"/>
      <c r="I82" s="9"/>
      <c r="J82" s="9"/>
      <c r="K82" s="9"/>
      <c r="L82" s="9"/>
      <c r="M82" s="9"/>
      <c r="N82" s="9"/>
      <c r="O82" s="150"/>
      <c r="P82" s="9"/>
      <c r="Q82" s="9"/>
      <c r="R82" s="9"/>
      <c r="S82" s="129"/>
      <c r="T82" s="129"/>
      <c r="U82" s="129"/>
      <c r="V82" s="129"/>
      <c r="W82" s="129"/>
      <c r="X82" s="129"/>
      <c r="Y82" s="9"/>
    </row>
    <row r="83" spans="1:25" ht="15" customHeight="1" x14ac:dyDescent="0.25">
      <c r="A83" s="1"/>
      <c r="B83" s="20"/>
      <c r="C83" s="140"/>
      <c r="D83" s="9"/>
      <c r="E83" s="9"/>
      <c r="F83" s="9"/>
      <c r="G83" s="9"/>
      <c r="H83" s="140"/>
      <c r="I83" s="9"/>
      <c r="J83" s="9"/>
      <c r="K83" s="9"/>
      <c r="L83" s="9"/>
      <c r="M83" s="9"/>
      <c r="N83" s="9"/>
      <c r="O83" s="150"/>
      <c r="P83" s="9"/>
      <c r="Q83" s="9"/>
      <c r="R83" s="9"/>
      <c r="S83" s="129"/>
      <c r="T83" s="163"/>
      <c r="U83" s="163"/>
      <c r="V83" s="163"/>
      <c r="W83" s="163"/>
      <c r="X83" s="129"/>
      <c r="Y83" s="9"/>
    </row>
    <row r="84" spans="1:25" ht="15" customHeight="1" x14ac:dyDescent="0.25">
      <c r="A84" s="1"/>
      <c r="B84" s="20"/>
      <c r="C84" s="140"/>
      <c r="D84" s="9"/>
      <c r="E84" s="9"/>
      <c r="F84" s="9"/>
      <c r="G84" s="9"/>
      <c r="H84" s="140"/>
      <c r="I84" s="9"/>
      <c r="J84" s="9"/>
      <c r="K84" s="9"/>
      <c r="L84" s="9"/>
      <c r="M84" s="9"/>
      <c r="N84" s="9"/>
      <c r="O84" s="150"/>
      <c r="P84" s="9"/>
      <c r="Q84" s="9"/>
      <c r="R84" s="9"/>
      <c r="S84" s="164" t="s">
        <v>67</v>
      </c>
      <c r="T84" s="164"/>
      <c r="U84" s="164"/>
      <c r="V84" s="164"/>
      <c r="W84" s="164"/>
      <c r="X84" s="164"/>
      <c r="Y84" s="9"/>
    </row>
    <row r="85" spans="1:25" ht="15" customHeight="1" x14ac:dyDescent="0.25">
      <c r="A85" s="1"/>
      <c r="B85" s="20"/>
      <c r="C85" s="140"/>
      <c r="D85" s="9"/>
      <c r="E85" s="9"/>
      <c r="F85" s="9"/>
      <c r="G85" s="9"/>
      <c r="H85" s="140"/>
      <c r="I85" s="9"/>
      <c r="J85" s="9"/>
      <c r="K85" s="9"/>
      <c r="L85" s="9"/>
      <c r="M85" s="9"/>
      <c r="N85" s="9"/>
      <c r="O85" s="150"/>
      <c r="P85" s="9"/>
      <c r="Q85" s="9"/>
      <c r="R85" s="9"/>
      <c r="S85" s="163" t="s">
        <v>68</v>
      </c>
      <c r="T85" s="163"/>
      <c r="U85" s="163"/>
      <c r="V85" s="163"/>
      <c r="W85" s="163"/>
      <c r="X85" s="163"/>
      <c r="Y85" s="9"/>
    </row>
    <row r="86" spans="1:25" ht="15" customHeight="1" x14ac:dyDescent="0.25">
      <c r="A86" s="1"/>
      <c r="B86" s="20"/>
      <c r="C86" s="140"/>
      <c r="D86" s="9"/>
      <c r="E86" s="9"/>
      <c r="F86" s="9"/>
      <c r="G86" s="9"/>
      <c r="H86" s="140"/>
      <c r="I86" s="9"/>
      <c r="J86" s="9"/>
      <c r="K86" s="9"/>
      <c r="L86" s="9"/>
      <c r="M86" s="9"/>
      <c r="N86" s="9"/>
      <c r="O86" s="150"/>
      <c r="P86" s="9"/>
      <c r="Q86" s="9"/>
      <c r="R86" s="9"/>
      <c r="S86" s="129"/>
      <c r="T86" s="129"/>
      <c r="U86" s="129"/>
      <c r="V86" s="129"/>
      <c r="W86" s="129"/>
      <c r="X86" s="129"/>
      <c r="Y86" s="9"/>
    </row>
    <row r="87" spans="1:25" ht="15" customHeight="1" x14ac:dyDescent="0.25">
      <c r="A87" s="1"/>
      <c r="B87" s="20"/>
      <c r="C87" s="140"/>
      <c r="D87" s="9"/>
      <c r="E87" s="9"/>
      <c r="F87" s="9"/>
      <c r="G87" s="9"/>
      <c r="H87" s="140"/>
      <c r="I87" s="9"/>
      <c r="J87" s="9"/>
      <c r="K87" s="9"/>
      <c r="L87" s="9"/>
      <c r="M87" s="9"/>
      <c r="N87" s="9"/>
      <c r="O87" s="150"/>
      <c r="P87" s="9"/>
      <c r="Q87" s="9"/>
      <c r="R87" s="9"/>
      <c r="S87" s="129"/>
      <c r="T87" s="164"/>
      <c r="U87" s="164"/>
      <c r="V87" s="164"/>
      <c r="W87" s="164"/>
      <c r="X87" s="129"/>
      <c r="Y87" s="9"/>
    </row>
    <row r="88" spans="1:25" ht="15" customHeight="1" x14ac:dyDescent="0.25">
      <c r="A88" s="1"/>
      <c r="B88" s="20"/>
      <c r="C88" s="140"/>
      <c r="D88" s="9"/>
      <c r="E88" s="9"/>
      <c r="F88" s="9"/>
      <c r="G88" s="9"/>
      <c r="H88" s="140"/>
      <c r="I88" s="9"/>
      <c r="J88" s="9"/>
      <c r="K88" s="9"/>
      <c r="L88" s="9"/>
      <c r="M88" s="9"/>
      <c r="N88" s="9"/>
      <c r="O88" s="150"/>
      <c r="P88" s="9"/>
      <c r="Q88" s="9"/>
      <c r="R88" s="9"/>
      <c r="S88" s="165" t="s">
        <v>69</v>
      </c>
      <c r="T88" s="165"/>
      <c r="U88" s="165"/>
      <c r="V88" s="165"/>
      <c r="W88" s="165"/>
      <c r="X88" s="165"/>
      <c r="Y88" s="9"/>
    </row>
    <row r="89" spans="1:25" ht="15" customHeight="1" x14ac:dyDescent="0.25">
      <c r="A89" s="1"/>
      <c r="B89" s="20"/>
      <c r="C89" s="140"/>
      <c r="D89" s="9"/>
      <c r="E89" s="9"/>
      <c r="F89" s="9"/>
      <c r="G89" s="9"/>
      <c r="H89" s="140"/>
      <c r="I89" s="9"/>
      <c r="J89" s="9"/>
      <c r="K89" s="9"/>
      <c r="L89" s="9"/>
      <c r="M89" s="9"/>
      <c r="N89" s="9"/>
      <c r="O89" s="150"/>
      <c r="P89" s="9"/>
      <c r="Q89" s="9"/>
      <c r="R89" s="9"/>
      <c r="S89" s="123"/>
      <c r="T89" s="123"/>
      <c r="U89" s="123"/>
      <c r="V89" s="123"/>
      <c r="W89" s="123"/>
      <c r="X89" s="123"/>
      <c r="Y89" s="9"/>
    </row>
    <row r="90" spans="1:25" x14ac:dyDescent="0.25">
      <c r="A90" s="1"/>
      <c r="B90" s="20"/>
      <c r="C90" s="140"/>
      <c r="D90" s="9"/>
      <c r="E90" s="9"/>
      <c r="F90" s="9"/>
      <c r="G90" s="9"/>
      <c r="H90" s="140"/>
      <c r="I90" s="9"/>
      <c r="J90" s="9"/>
      <c r="K90" s="9"/>
      <c r="L90" s="9"/>
      <c r="M90" s="9"/>
      <c r="N90" s="9"/>
      <c r="O90" s="150"/>
      <c r="P90" s="9"/>
      <c r="Q90" s="9"/>
      <c r="R90" s="9"/>
      <c r="S90" s="9"/>
      <c r="T90" s="9"/>
      <c r="U90" s="9"/>
      <c r="V90" s="9"/>
      <c r="W90" s="9"/>
      <c r="X90" s="9"/>
      <c r="Y90" s="9"/>
    </row>
    <row r="91" spans="1:25" x14ac:dyDescent="0.25">
      <c r="A91" s="1"/>
      <c r="B91" s="20"/>
      <c r="C91" s="140"/>
      <c r="D91" s="9"/>
      <c r="E91" s="9"/>
      <c r="F91" s="9"/>
      <c r="G91" s="9"/>
      <c r="H91" s="140"/>
      <c r="I91" s="9"/>
      <c r="J91" s="9"/>
      <c r="K91" s="9"/>
      <c r="L91" s="9"/>
      <c r="M91" s="9"/>
      <c r="N91" s="9"/>
      <c r="O91" s="150"/>
      <c r="P91" s="9"/>
      <c r="Q91" s="9"/>
      <c r="R91" s="9"/>
      <c r="S91" s="9"/>
      <c r="T91" s="9"/>
      <c r="U91" s="9"/>
      <c r="V91" s="9"/>
      <c r="W91" s="9"/>
      <c r="X91" s="9"/>
      <c r="Y91" s="9"/>
    </row>
    <row r="92" spans="1:25" x14ac:dyDescent="0.25">
      <c r="A92" s="1"/>
      <c r="B92" s="20"/>
      <c r="C92" s="140"/>
      <c r="D92" s="9"/>
      <c r="E92" s="9"/>
      <c r="F92" s="9"/>
      <c r="G92" s="9"/>
      <c r="H92" s="140"/>
      <c r="I92" s="9"/>
      <c r="J92" s="9"/>
      <c r="K92" s="9"/>
      <c r="L92" s="9"/>
      <c r="M92" s="9"/>
      <c r="N92" s="9"/>
      <c r="O92" s="150"/>
      <c r="P92" s="9"/>
      <c r="Q92" s="9"/>
      <c r="R92" s="9"/>
      <c r="S92" s="9"/>
      <c r="T92" s="9"/>
      <c r="U92" s="9"/>
      <c r="V92" s="9"/>
      <c r="W92" s="9"/>
      <c r="X92" s="9"/>
      <c r="Y92" s="9"/>
    </row>
    <row r="93" spans="1:25" x14ac:dyDescent="0.25">
      <c r="A93" s="1"/>
      <c r="B93" s="20"/>
      <c r="C93" s="140"/>
      <c r="D93" s="9"/>
      <c r="E93" s="9"/>
      <c r="F93" s="9"/>
      <c r="G93" s="9"/>
      <c r="H93" s="140"/>
      <c r="I93" s="9"/>
      <c r="J93" s="9"/>
      <c r="K93" s="9"/>
      <c r="L93" s="9"/>
      <c r="M93" s="9"/>
      <c r="N93" s="9"/>
      <c r="O93" s="150"/>
      <c r="P93" s="9"/>
      <c r="Q93" s="9"/>
      <c r="R93" s="9"/>
      <c r="S93" s="9"/>
      <c r="T93" s="9"/>
      <c r="U93" s="9"/>
      <c r="V93" s="9"/>
      <c r="W93" s="9"/>
      <c r="X93" s="9"/>
      <c r="Y93" s="9"/>
    </row>
    <row r="94" spans="1:25" x14ac:dyDescent="0.25">
      <c r="A94" s="1"/>
      <c r="B94" s="20"/>
      <c r="C94" s="140"/>
      <c r="D94" s="9"/>
      <c r="E94" s="9"/>
      <c r="F94" s="9"/>
      <c r="G94" s="9"/>
      <c r="H94" s="140"/>
      <c r="I94" s="9"/>
      <c r="J94" s="9"/>
      <c r="K94" s="9"/>
      <c r="L94" s="9"/>
      <c r="M94" s="9"/>
      <c r="N94" s="9"/>
      <c r="O94" s="150"/>
      <c r="P94" s="9"/>
      <c r="Q94" s="9"/>
      <c r="R94" s="9"/>
      <c r="S94" s="9"/>
      <c r="T94" s="9"/>
      <c r="U94" s="9"/>
      <c r="V94" s="9"/>
      <c r="W94" s="9"/>
      <c r="X94" s="9"/>
      <c r="Y94" s="9"/>
    </row>
    <row r="95" spans="1:25" x14ac:dyDescent="0.25">
      <c r="A95" s="1"/>
      <c r="B95" s="20"/>
      <c r="C95" s="140"/>
      <c r="D95" s="9"/>
      <c r="E95" s="9"/>
      <c r="F95" s="9"/>
      <c r="G95" s="9"/>
      <c r="H95" s="140"/>
      <c r="I95" s="9"/>
      <c r="J95" s="9"/>
      <c r="K95" s="9"/>
      <c r="L95" s="9"/>
      <c r="M95" s="9"/>
      <c r="N95" s="9"/>
      <c r="O95" s="150"/>
      <c r="P95" s="9"/>
      <c r="Q95" s="9"/>
      <c r="R95" s="9"/>
      <c r="S95" s="9"/>
      <c r="T95" s="9"/>
      <c r="U95" s="9"/>
      <c r="V95" s="9"/>
      <c r="W95" s="9"/>
      <c r="X95" s="9"/>
      <c r="Y95" s="9"/>
    </row>
    <row r="96" spans="1:25" x14ac:dyDescent="0.25">
      <c r="I96" s="9"/>
      <c r="J96" s="9"/>
      <c r="K96" s="9"/>
      <c r="L96" s="9"/>
      <c r="M96" s="9"/>
      <c r="N96" s="9"/>
    </row>
    <row r="97" spans="9:14" x14ac:dyDescent="0.25">
      <c r="I97" s="9"/>
      <c r="J97" s="9"/>
      <c r="K97" s="9"/>
      <c r="L97" s="9"/>
      <c r="M97" s="9"/>
      <c r="N97" s="9"/>
    </row>
    <row r="98" spans="9:14" x14ac:dyDescent="0.25">
      <c r="I98" s="9"/>
      <c r="J98" s="9"/>
      <c r="K98" s="9"/>
      <c r="L98" s="9"/>
      <c r="M98" s="9"/>
      <c r="N98" s="9"/>
    </row>
    <row r="99" spans="9:14" x14ac:dyDescent="0.25">
      <c r="I99" s="9"/>
      <c r="J99" s="9"/>
      <c r="K99" s="9"/>
      <c r="L99" s="9"/>
      <c r="M99" s="9"/>
      <c r="N99" s="9"/>
    </row>
    <row r="100" spans="9:14" x14ac:dyDescent="0.25">
      <c r="I100" s="9"/>
      <c r="J100" s="9"/>
      <c r="K100" s="9"/>
      <c r="L100" s="9"/>
      <c r="M100" s="9"/>
      <c r="N100" s="9"/>
    </row>
    <row r="101" spans="9:14" x14ac:dyDescent="0.25">
      <c r="I101" s="9"/>
      <c r="J101" s="9"/>
      <c r="K101" s="9"/>
      <c r="L101" s="9"/>
      <c r="M101" s="9"/>
      <c r="N101" s="9"/>
    </row>
  </sheetData>
  <mergeCells count="51">
    <mergeCell ref="I1:N1"/>
    <mergeCell ref="C1:H1"/>
    <mergeCell ref="E5:E7"/>
    <mergeCell ref="D5:D7"/>
    <mergeCell ref="D10:G10"/>
    <mergeCell ref="I2:N2"/>
    <mergeCell ref="I8:N8"/>
    <mergeCell ref="J4:K4"/>
    <mergeCell ref="S26:X26"/>
    <mergeCell ref="T30:V30"/>
    <mergeCell ref="T31:V31"/>
    <mergeCell ref="T32:V32"/>
    <mergeCell ref="T33:V33"/>
    <mergeCell ref="T34:V34"/>
    <mergeCell ref="T35:V35"/>
    <mergeCell ref="T36:V36"/>
    <mergeCell ref="T37:V37"/>
    <mergeCell ref="T38:V38"/>
    <mergeCell ref="T39:V39"/>
    <mergeCell ref="T40:V40"/>
    <mergeCell ref="T41:V41"/>
    <mergeCell ref="T42:V42"/>
    <mergeCell ref="T43:V43"/>
    <mergeCell ref="T44:V44"/>
    <mergeCell ref="T45:V45"/>
    <mergeCell ref="T46:V46"/>
    <mergeCell ref="T47:V47"/>
    <mergeCell ref="T48:V48"/>
    <mergeCell ref="T49:V49"/>
    <mergeCell ref="T50:V50"/>
    <mergeCell ref="T51:V51"/>
    <mergeCell ref="T52:V52"/>
    <mergeCell ref="T53:V53"/>
    <mergeCell ref="T54:V54"/>
    <mergeCell ref="T55:V55"/>
    <mergeCell ref="T56:V56"/>
    <mergeCell ref="T57:V57"/>
    <mergeCell ref="T58:V58"/>
    <mergeCell ref="S85:X85"/>
    <mergeCell ref="T87:W87"/>
    <mergeCell ref="S88:X88"/>
    <mergeCell ref="T59:V59"/>
    <mergeCell ref="T60:V60"/>
    <mergeCell ref="T61:V61"/>
    <mergeCell ref="T62:V62"/>
    <mergeCell ref="T63:V63"/>
    <mergeCell ref="T77:V77"/>
    <mergeCell ref="T78:V78"/>
    <mergeCell ref="T79:V79"/>
    <mergeCell ref="T83:W83"/>
    <mergeCell ref="S84:X84"/>
  </mergeCells>
  <conditionalFormatting sqref="D12:G29">
    <cfRule type="expression" dxfId="37" priority="13">
      <formula>$B$17=ROW()</formula>
    </cfRule>
    <cfRule type="expression" dxfId="36" priority="14">
      <formula>AND($D12&lt;&gt;"",MOD(ROW(),2)=1)</formula>
    </cfRule>
    <cfRule type="expression" dxfId="35" priority="15">
      <formula>AND($D12&lt;&gt;"",MOD(ROW(),2)=0)</formula>
    </cfRule>
  </conditionalFormatting>
  <dataValidations count="6">
    <dataValidation type="list" allowBlank="1" showInputMessage="1" sqref="E4" xr:uid="{3E4FCA8F-009F-440B-86D5-426C396609EB}">
      <formula1>Cust_Name</formula1>
    </dataValidation>
    <dataValidation type="list" allowBlank="1" showInputMessage="1" sqref="E5" xr:uid="{A809F33E-870F-4E8C-B542-83CE7843A9D6}">
      <formula1>CustProjects</formula1>
    </dataValidation>
    <dataValidation type="list" allowBlank="1" showInputMessage="1" showErrorMessage="1" sqref="G7" xr:uid="{3DF366BB-E3F1-41B0-AF3C-C1970FADC6D8}">
      <formula1>"Yes,No"</formula1>
    </dataValidation>
    <dataValidation type="list" allowBlank="1" showInputMessage="1" showErrorMessage="1" sqref="J4:K4" xr:uid="{C6A46840-E05F-41CF-ABBE-32F639FAE6EE}">
      <formula1>Cust_Name</formula1>
    </dataValidation>
    <dataValidation type="list" allowBlank="1" showInputMessage="1" showErrorMessage="1" sqref="J46" xr:uid="{F6481CD3-F549-4578-965E-6C9AC1F2FB88}">
      <formula1>ServItem_Name</formula1>
    </dataValidation>
    <dataValidation type="list" allowBlank="1" showInputMessage="1" showErrorMessage="1" sqref="T77:T79" xr:uid="{445A0D2A-ACB7-4F24-9EC6-2E7A1857E498}">
      <formula1>Liste_Activités</formula1>
    </dataValidation>
  </dataValidations>
  <printOptions horizontalCentered="1"/>
  <pageMargins left="0" right="0" top="0.39370078740157483" bottom="0" header="0" footer="0"/>
  <pageSetup scale="55" fitToHeight="0" orientation="portrait" horizontalDpi="4294967293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Check Box 8">
              <controlPr defaultSize="0" autoFill="0" autoLine="0" autoPict="0" macro="[0]!BillingEntry_LoadList">
                <anchor moveWithCells="1">
                  <from>
                    <xdr:col>4</xdr:col>
                    <xdr:colOff>3390900</xdr:colOff>
                    <xdr:row>7</xdr:row>
                    <xdr:rowOff>123825</xdr:rowOff>
                  </from>
                  <to>
                    <xdr:col>8</xdr:col>
                    <xdr:colOff>19050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errorTitle="Description non standard" error="Message d'erreur" xr:uid="{ED3CF6F5-22D6-44F2-9B7C-D78FB20F93E1}">
          <x14:formula1>
            <xm:f>'Service Items'!$C$4:$C$43</xm:f>
          </x14:formula1>
          <xm:sqref>K10:K46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D7DDF-C33A-4555-AC49-4DA8A4878912}">
  <sheetPr codeName="InvList"/>
  <dimension ref="A1:L35"/>
  <sheetViews>
    <sheetView zoomScaleNormal="100" workbookViewId="0">
      <selection activeCell="L16" sqref="L16"/>
    </sheetView>
  </sheetViews>
  <sheetFormatPr baseColWidth="10" defaultColWidth="9.140625" defaultRowHeight="15" x14ac:dyDescent="0.25"/>
  <cols>
    <col min="1" max="1" width="6.140625" bestFit="1" customWidth="1"/>
    <col min="2" max="2" width="12.7109375" style="2" customWidth="1"/>
    <col min="3" max="3" width="7.42578125" bestFit="1" customWidth="1"/>
    <col min="4" max="4" width="33.140625" customWidth="1"/>
    <col min="5" max="10" width="12.7109375" style="2" customWidth="1"/>
    <col min="11" max="12" width="12.7109375" style="23" customWidth="1"/>
  </cols>
  <sheetData>
    <row r="1" spans="1:12" ht="14.45" customHeight="1" x14ac:dyDescent="0.25">
      <c r="A1" s="10"/>
      <c r="B1" s="11" t="s">
        <v>211</v>
      </c>
      <c r="C1" s="11" t="s">
        <v>46</v>
      </c>
      <c r="D1" s="11" t="s">
        <v>207</v>
      </c>
      <c r="E1" s="11" t="s">
        <v>39</v>
      </c>
      <c r="F1" s="11" t="s">
        <v>220</v>
      </c>
      <c r="G1" s="11" t="s">
        <v>221</v>
      </c>
      <c r="H1" s="11" t="s">
        <v>222</v>
      </c>
      <c r="I1" s="11" t="s">
        <v>216</v>
      </c>
      <c r="J1" s="11" t="s">
        <v>217</v>
      </c>
      <c r="K1" s="22" t="s">
        <v>219</v>
      </c>
      <c r="L1" s="22" t="s">
        <v>218</v>
      </c>
    </row>
    <row r="2" spans="1:12" ht="14.45" customHeight="1" x14ac:dyDescent="0.25">
      <c r="A2" s="182" t="s">
        <v>226</v>
      </c>
      <c r="B2" s="182"/>
      <c r="C2" s="182"/>
      <c r="D2" s="182"/>
      <c r="E2" s="182"/>
      <c r="F2" s="182"/>
      <c r="G2" s="182"/>
      <c r="H2" s="182"/>
      <c r="I2" s="182"/>
      <c r="J2" s="182"/>
      <c r="K2" s="182"/>
      <c r="L2" s="182"/>
    </row>
    <row r="3" spans="1:12" x14ac:dyDescent="0.25">
      <c r="A3" s="50" t="s">
        <v>101</v>
      </c>
      <c r="B3" s="50" t="s">
        <v>227</v>
      </c>
      <c r="C3" s="50" t="s">
        <v>102</v>
      </c>
      <c r="D3" s="50" t="s">
        <v>228</v>
      </c>
      <c r="E3" s="50" t="s">
        <v>229</v>
      </c>
      <c r="F3" s="50" t="s">
        <v>208</v>
      </c>
      <c r="G3" s="50" t="s">
        <v>212</v>
      </c>
      <c r="H3" s="50" t="s">
        <v>213</v>
      </c>
      <c r="I3" s="50" t="s">
        <v>214</v>
      </c>
      <c r="J3" s="50" t="s">
        <v>215</v>
      </c>
      <c r="K3" s="84" t="s">
        <v>223</v>
      </c>
      <c r="L3" s="84" t="s">
        <v>224</v>
      </c>
    </row>
    <row r="4" spans="1:12" x14ac:dyDescent="0.25">
      <c r="A4" s="2">
        <v>1</v>
      </c>
      <c r="B4" s="21">
        <v>45198</v>
      </c>
      <c r="C4" s="2">
        <v>2</v>
      </c>
      <c r="D4" s="161" t="s">
        <v>86</v>
      </c>
      <c r="E4" s="21">
        <v>45228</v>
      </c>
      <c r="F4" s="21"/>
      <c r="G4" s="21"/>
      <c r="H4" s="21"/>
      <c r="I4" s="21"/>
      <c r="J4" s="21"/>
      <c r="K4" s="153">
        <v>0</v>
      </c>
      <c r="L4" s="153">
        <v>8551.27</v>
      </c>
    </row>
    <row r="5" spans="1:12" x14ac:dyDescent="0.25">
      <c r="A5" s="2">
        <v>2</v>
      </c>
      <c r="B5" s="21">
        <v>45198</v>
      </c>
      <c r="C5" s="2">
        <v>1</v>
      </c>
      <c r="D5" s="161" t="s">
        <v>79</v>
      </c>
      <c r="E5" s="21">
        <v>45228</v>
      </c>
      <c r="F5" s="21"/>
      <c r="G5" s="21"/>
      <c r="H5" s="21"/>
      <c r="I5" s="21"/>
      <c r="J5" s="21"/>
      <c r="K5" s="153">
        <v>500</v>
      </c>
      <c r="L5" s="153">
        <v>2213.27</v>
      </c>
    </row>
    <row r="6" spans="1:12" x14ac:dyDescent="0.25">
      <c r="A6" s="2">
        <v>3</v>
      </c>
      <c r="B6" s="21">
        <v>45198</v>
      </c>
      <c r="C6" s="2">
        <v>3</v>
      </c>
      <c r="D6" s="161" t="s">
        <v>111</v>
      </c>
      <c r="E6" s="21">
        <v>45228</v>
      </c>
      <c r="F6" s="21"/>
      <c r="G6" s="21"/>
      <c r="H6" s="21"/>
      <c r="I6" s="21"/>
      <c r="J6" s="21"/>
      <c r="K6" s="153">
        <v>0</v>
      </c>
      <c r="L6" s="153">
        <v>804.83</v>
      </c>
    </row>
    <row r="7" spans="1:12" x14ac:dyDescent="0.25">
      <c r="A7" s="2">
        <v>4</v>
      </c>
      <c r="B7" s="21">
        <v>45198</v>
      </c>
      <c r="C7" s="2">
        <v>1</v>
      </c>
      <c r="D7" s="161" t="s">
        <v>79</v>
      </c>
      <c r="E7" s="21">
        <v>45228</v>
      </c>
      <c r="F7" s="21"/>
      <c r="G7" s="21"/>
      <c r="H7" s="21"/>
      <c r="I7" s="21"/>
      <c r="J7" s="21"/>
      <c r="K7" s="153">
        <v>200</v>
      </c>
      <c r="L7" s="153">
        <v>2414.48</v>
      </c>
    </row>
    <row r="8" spans="1:12" x14ac:dyDescent="0.25">
      <c r="A8" s="2">
        <v>5</v>
      </c>
      <c r="B8" s="21">
        <v>45198</v>
      </c>
      <c r="C8" s="2">
        <v>2</v>
      </c>
      <c r="D8" s="161" t="s">
        <v>86</v>
      </c>
      <c r="E8" s="21">
        <v>45228</v>
      </c>
      <c r="F8" s="21"/>
      <c r="G8" s="21"/>
      <c r="H8" s="21"/>
      <c r="I8" s="21"/>
      <c r="J8" s="21"/>
      <c r="K8" s="153">
        <v>0</v>
      </c>
      <c r="L8" s="153">
        <v>3449.25</v>
      </c>
    </row>
    <row r="9" spans="1:12" x14ac:dyDescent="0.25">
      <c r="A9" s="2">
        <v>6</v>
      </c>
      <c r="B9" s="21">
        <v>45198</v>
      </c>
      <c r="C9" s="2">
        <v>3</v>
      </c>
      <c r="D9" s="161" t="s">
        <v>111</v>
      </c>
      <c r="E9" s="21">
        <v>45228</v>
      </c>
      <c r="F9" s="21"/>
      <c r="G9" s="21"/>
      <c r="H9" s="21"/>
      <c r="I9" s="21"/>
      <c r="J9" s="21"/>
      <c r="K9" s="153">
        <v>0</v>
      </c>
      <c r="L9" s="153">
        <v>689.85</v>
      </c>
    </row>
    <row r="10" spans="1:12" x14ac:dyDescent="0.25">
      <c r="A10" s="2">
        <v>7</v>
      </c>
      <c r="B10" s="21">
        <v>45198</v>
      </c>
      <c r="C10" s="2">
        <v>2</v>
      </c>
      <c r="D10" s="161" t="s">
        <v>111</v>
      </c>
      <c r="E10" s="21">
        <v>45228</v>
      </c>
      <c r="F10" s="21"/>
      <c r="G10" s="21"/>
      <c r="H10" s="21"/>
      <c r="I10" s="21"/>
      <c r="J10" s="21"/>
      <c r="K10" s="153">
        <v>500</v>
      </c>
      <c r="L10" s="153">
        <v>1034.78</v>
      </c>
    </row>
    <row r="11" spans="1:12" x14ac:dyDescent="0.25">
      <c r="A11" s="2">
        <v>8</v>
      </c>
      <c r="B11" s="21">
        <v>45196</v>
      </c>
      <c r="C11" s="2">
        <v>2</v>
      </c>
      <c r="D11" t="s">
        <v>86</v>
      </c>
      <c r="E11" s="21">
        <v>45228</v>
      </c>
      <c r="F11" s="21"/>
      <c r="G11" s="21"/>
      <c r="H11" s="21"/>
      <c r="I11" s="21"/>
      <c r="J11" s="21"/>
      <c r="K11" s="153">
        <v>0</v>
      </c>
      <c r="L11" s="153">
        <v>2069.5500000000002</v>
      </c>
    </row>
    <row r="12" spans="1:12" x14ac:dyDescent="0.25">
      <c r="A12" s="2">
        <v>9</v>
      </c>
      <c r="B12" s="21">
        <v>45196</v>
      </c>
      <c r="C12" s="2">
        <v>2</v>
      </c>
      <c r="D12" t="s">
        <v>86</v>
      </c>
      <c r="E12" s="21">
        <v>45228</v>
      </c>
      <c r="F12" s="21"/>
      <c r="G12" s="21"/>
      <c r="H12" s="21"/>
      <c r="I12" s="21"/>
      <c r="J12" s="21"/>
      <c r="K12" s="153">
        <v>500</v>
      </c>
      <c r="L12" s="153">
        <v>2759.4</v>
      </c>
    </row>
    <row r="13" spans="1:12" x14ac:dyDescent="0.25">
      <c r="A13" s="2">
        <v>10</v>
      </c>
      <c r="B13" s="21">
        <v>45197</v>
      </c>
      <c r="C13" s="2">
        <v>1</v>
      </c>
      <c r="D13" s="161" t="s">
        <v>79</v>
      </c>
      <c r="E13" s="21">
        <v>45228</v>
      </c>
      <c r="F13" s="21"/>
      <c r="G13" s="21"/>
      <c r="H13" s="21"/>
      <c r="I13" s="21"/>
      <c r="J13" s="21"/>
      <c r="K13" s="153">
        <v>0</v>
      </c>
      <c r="L13" s="153">
        <v>344.93</v>
      </c>
    </row>
    <row r="14" spans="1:12" x14ac:dyDescent="0.25">
      <c r="A14" s="2">
        <v>11</v>
      </c>
      <c r="B14" s="21">
        <v>45197</v>
      </c>
      <c r="C14" s="2">
        <v>2</v>
      </c>
      <c r="D14" t="s">
        <v>86</v>
      </c>
      <c r="E14" s="21">
        <v>45229</v>
      </c>
      <c r="F14" s="154">
        <v>2827.5</v>
      </c>
      <c r="G14" s="154">
        <v>0</v>
      </c>
      <c r="H14" s="154">
        <v>0</v>
      </c>
      <c r="I14" s="154">
        <v>141.38</v>
      </c>
      <c r="J14" s="154">
        <v>282.04000000000002</v>
      </c>
      <c r="K14" s="154">
        <v>3250.92</v>
      </c>
      <c r="L14" s="154">
        <v>500</v>
      </c>
    </row>
    <row r="15" spans="1:12" x14ac:dyDescent="0.25">
      <c r="A15" s="2">
        <v>12</v>
      </c>
      <c r="B15" s="21">
        <v>45199</v>
      </c>
      <c r="C15" s="2">
        <v>2</v>
      </c>
      <c r="D15" s="161" t="s">
        <v>111</v>
      </c>
      <c r="E15" s="21">
        <v>45229</v>
      </c>
      <c r="F15" s="154">
        <v>2275</v>
      </c>
      <c r="G15" s="154">
        <v>0</v>
      </c>
      <c r="H15" s="154">
        <v>0</v>
      </c>
      <c r="I15" s="154">
        <v>113.75</v>
      </c>
      <c r="J15" s="154">
        <v>226.93</v>
      </c>
      <c r="K15" s="154">
        <v>2615.6799999999998</v>
      </c>
      <c r="L15" s="154">
        <v>50</v>
      </c>
    </row>
    <row r="16" spans="1:12" x14ac:dyDescent="0.25">
      <c r="A16" s="2">
        <v>13</v>
      </c>
      <c r="B16" s="21">
        <v>45199</v>
      </c>
      <c r="C16" s="2">
        <v>5</v>
      </c>
      <c r="D16" s="161" t="s">
        <v>233</v>
      </c>
      <c r="E16" s="21">
        <v>45229</v>
      </c>
      <c r="F16" s="154">
        <v>6600</v>
      </c>
      <c r="G16" s="154">
        <v>0</v>
      </c>
      <c r="H16" s="154">
        <v>0</v>
      </c>
      <c r="I16" s="154">
        <v>330</v>
      </c>
      <c r="J16" s="154">
        <v>658.35</v>
      </c>
      <c r="K16" s="154">
        <v>7588.35</v>
      </c>
      <c r="L16" s="154">
        <v>3000</v>
      </c>
    </row>
    <row r="17" spans="1:12" x14ac:dyDescent="0.25">
      <c r="A17" s="2"/>
      <c r="B17" s="21"/>
      <c r="C17" s="2"/>
      <c r="E17" s="21"/>
      <c r="F17" s="21"/>
      <c r="G17" s="21"/>
      <c r="H17" s="21"/>
      <c r="I17" s="21"/>
      <c r="J17" s="21"/>
      <c r="K17" s="153"/>
      <c r="L17" s="153"/>
    </row>
    <row r="18" spans="1:12" x14ac:dyDescent="0.25">
      <c r="A18" s="2"/>
      <c r="B18" s="21"/>
      <c r="C18" s="2"/>
      <c r="E18" s="21"/>
      <c r="F18" s="21"/>
      <c r="G18" s="21"/>
      <c r="H18" s="21"/>
      <c r="I18" s="21"/>
      <c r="J18" s="21"/>
      <c r="K18" s="153"/>
      <c r="L18" s="153"/>
    </row>
    <row r="19" spans="1:12" x14ac:dyDescent="0.25">
      <c r="A19" s="2"/>
      <c r="B19" s="21"/>
      <c r="C19" s="2"/>
      <c r="E19" s="21"/>
      <c r="F19" s="21"/>
      <c r="G19" s="21"/>
      <c r="H19" s="21"/>
      <c r="I19" s="21"/>
      <c r="J19" s="21"/>
      <c r="K19" s="153"/>
      <c r="L19" s="153"/>
    </row>
    <row r="20" spans="1:12" x14ac:dyDescent="0.25">
      <c r="A20" s="2"/>
      <c r="B20" s="21"/>
      <c r="C20" s="2"/>
      <c r="E20" s="21"/>
      <c r="F20" s="21"/>
      <c r="G20" s="21"/>
      <c r="H20" s="21"/>
      <c r="I20" s="21"/>
      <c r="J20" s="21"/>
      <c r="K20" s="153"/>
      <c r="L20" s="153"/>
    </row>
    <row r="21" spans="1:12" x14ac:dyDescent="0.25">
      <c r="A21" s="2"/>
      <c r="B21" s="21"/>
      <c r="C21" s="2"/>
      <c r="E21" s="21"/>
      <c r="F21" s="21"/>
      <c r="G21" s="21"/>
      <c r="H21" s="21"/>
      <c r="I21" s="21"/>
      <c r="J21" s="21"/>
      <c r="K21" s="153"/>
      <c r="L21" s="153"/>
    </row>
    <row r="22" spans="1:12" x14ac:dyDescent="0.25">
      <c r="A22" s="2"/>
      <c r="B22" s="21"/>
      <c r="C22" s="2"/>
      <c r="E22" s="21"/>
      <c r="F22" s="21"/>
      <c r="G22" s="21"/>
      <c r="H22" s="21"/>
      <c r="I22" s="21"/>
      <c r="J22" s="21"/>
      <c r="K22" s="153"/>
      <c r="L22" s="153"/>
    </row>
    <row r="23" spans="1:12" x14ac:dyDescent="0.25">
      <c r="A23" s="2"/>
      <c r="B23" s="21"/>
      <c r="C23" s="2"/>
      <c r="E23" s="21"/>
      <c r="F23" s="21"/>
      <c r="G23" s="21"/>
      <c r="H23" s="21"/>
      <c r="I23" s="21"/>
      <c r="J23" s="21"/>
      <c r="K23" s="153"/>
      <c r="L23" s="153"/>
    </row>
    <row r="24" spans="1:12" x14ac:dyDescent="0.25">
      <c r="A24" s="2"/>
      <c r="B24" s="21"/>
      <c r="C24" s="2"/>
      <c r="E24" s="21"/>
      <c r="F24" s="21"/>
      <c r="G24" s="21"/>
      <c r="H24" s="21"/>
      <c r="I24" s="21"/>
      <c r="J24" s="21"/>
      <c r="K24" s="153"/>
      <c r="L24" s="153"/>
    </row>
    <row r="25" spans="1:12" x14ac:dyDescent="0.25">
      <c r="A25" s="2"/>
      <c r="B25" s="21"/>
      <c r="C25" s="2"/>
      <c r="E25" s="21"/>
      <c r="F25" s="21"/>
      <c r="G25" s="21"/>
      <c r="H25" s="21"/>
      <c r="I25" s="21"/>
      <c r="J25" s="21"/>
      <c r="K25" s="153"/>
      <c r="L25" s="153"/>
    </row>
    <row r="26" spans="1:12" x14ac:dyDescent="0.25">
      <c r="A26" s="2"/>
      <c r="B26" s="21"/>
      <c r="C26" s="2"/>
      <c r="E26" s="21"/>
      <c r="F26" s="21"/>
      <c r="G26" s="21"/>
      <c r="H26" s="21"/>
      <c r="I26" s="21"/>
      <c r="J26" s="21"/>
      <c r="K26" s="153"/>
      <c r="L26" s="153"/>
    </row>
    <row r="27" spans="1:12" x14ac:dyDescent="0.25">
      <c r="A27" s="2"/>
      <c r="B27" s="21"/>
      <c r="C27" s="2"/>
      <c r="E27" s="21"/>
      <c r="F27" s="21"/>
      <c r="G27" s="21"/>
      <c r="H27" s="21"/>
      <c r="I27" s="21"/>
      <c r="J27" s="21"/>
      <c r="K27" s="153"/>
      <c r="L27" s="153"/>
    </row>
    <row r="28" spans="1:12" x14ac:dyDescent="0.25">
      <c r="A28" s="2"/>
      <c r="B28" s="21"/>
      <c r="C28" s="2"/>
      <c r="E28" s="21"/>
      <c r="F28" s="21"/>
      <c r="G28" s="21"/>
      <c r="H28" s="21"/>
      <c r="I28" s="21"/>
      <c r="J28" s="21"/>
      <c r="K28" s="153"/>
      <c r="L28" s="153"/>
    </row>
    <row r="29" spans="1:12" x14ac:dyDescent="0.25">
      <c r="A29" s="2"/>
      <c r="B29" s="21"/>
      <c r="C29" s="2"/>
      <c r="E29" s="21"/>
      <c r="F29" s="21"/>
      <c r="G29" s="21"/>
      <c r="H29" s="21"/>
      <c r="I29" s="21"/>
      <c r="J29" s="21"/>
      <c r="K29" s="153"/>
      <c r="L29" s="153"/>
    </row>
    <row r="30" spans="1:12" x14ac:dyDescent="0.25">
      <c r="A30" s="2"/>
      <c r="C30" s="2"/>
    </row>
    <row r="31" spans="1:12" x14ac:dyDescent="0.25">
      <c r="A31" s="2"/>
      <c r="C31" s="2"/>
    </row>
    <row r="32" spans="1:12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</sheetData>
  <mergeCells count="1">
    <mergeCell ref="A2:L2"/>
  </mergeCells>
  <conditionalFormatting sqref="A4:C7 E4:L7 A8:L12 A17:L35 A13:C13 E13:L16 A16:C16 A14:D15">
    <cfRule type="expression" dxfId="34" priority="1">
      <formula>AND($A4&lt;&gt;"",MOD(ROW(),2)=0)</formula>
    </cfRule>
  </conditionalFormatting>
  <dataValidations count="1">
    <dataValidation type="list" allowBlank="1" showInputMessage="1" showErrorMessage="1" sqref="D4:D7 D13 D16" xr:uid="{743BB46C-A5CF-47FE-9AB9-C7C02F059D77}">
      <formula1>Cust_Name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E513-9EBD-4CD9-B4A7-8E37B5983B4F}">
  <sheetPr codeName="InvItems"/>
  <dimension ref="A1:T309"/>
  <sheetViews>
    <sheetView topLeftCell="A15" workbookViewId="0">
      <selection activeCell="F38" sqref="F38"/>
    </sheetView>
  </sheetViews>
  <sheetFormatPr baseColWidth="10" defaultColWidth="9.140625" defaultRowHeight="15" x14ac:dyDescent="0.25"/>
  <cols>
    <col min="1" max="1" width="6.140625" style="2" bestFit="1" customWidth="1"/>
    <col min="2" max="2" width="100.85546875" bestFit="1" customWidth="1"/>
    <col min="3" max="3" width="8.7109375" style="157" customWidth="1"/>
    <col min="4" max="4" width="10.7109375" customWidth="1"/>
    <col min="5" max="5" width="11.85546875" style="154" customWidth="1"/>
    <col min="6" max="6" width="8" bestFit="1" customWidth="1"/>
    <col min="7" max="7" width="5.5703125" bestFit="1" customWidth="1"/>
    <col min="8" max="11" width="2.7109375" customWidth="1"/>
    <col min="12" max="12" width="10.5703125" bestFit="1" customWidth="1"/>
    <col min="13" max="13" width="2.7109375" customWidth="1"/>
    <col min="14" max="14" width="10.7109375" bestFit="1" customWidth="1"/>
    <col min="15" max="15" width="21.5703125" bestFit="1" customWidth="1"/>
    <col min="16" max="16" width="26.85546875" bestFit="1" customWidth="1"/>
    <col min="17" max="18" width="7.28515625" bestFit="1" customWidth="1"/>
    <col min="19" max="19" width="8" bestFit="1" customWidth="1"/>
    <col min="20" max="20" width="4.42578125" bestFit="1" customWidth="1"/>
  </cols>
  <sheetData>
    <row r="1" spans="1:20" ht="14.45" customHeight="1" x14ac:dyDescent="0.25">
      <c r="A1" s="183" t="s">
        <v>25</v>
      </c>
      <c r="B1" s="183"/>
      <c r="C1" s="183"/>
      <c r="D1" s="183"/>
      <c r="E1" s="183"/>
      <c r="F1" s="183"/>
      <c r="G1" s="183"/>
      <c r="L1" s="15" t="s">
        <v>38</v>
      </c>
      <c r="N1" s="182" t="s">
        <v>38</v>
      </c>
      <c r="O1" s="182"/>
      <c r="P1" s="182"/>
      <c r="Q1" s="182"/>
      <c r="R1" s="182"/>
      <c r="S1" s="182"/>
      <c r="T1" s="182"/>
    </row>
    <row r="2" spans="1:20" ht="14.45" customHeight="1" x14ac:dyDescent="0.25">
      <c r="A2" s="182"/>
      <c r="B2" s="182"/>
      <c r="C2" s="182"/>
      <c r="D2" s="182"/>
      <c r="E2" s="182"/>
      <c r="F2" s="182"/>
      <c r="G2" s="182"/>
      <c r="L2" s="5" t="s">
        <v>26</v>
      </c>
      <c r="N2" s="5"/>
      <c r="O2" s="5"/>
      <c r="P2" s="5" t="s">
        <v>40</v>
      </c>
      <c r="Q2" s="5" t="s">
        <v>62</v>
      </c>
      <c r="R2" s="5" t="s">
        <v>209</v>
      </c>
      <c r="S2" s="5" t="s">
        <v>23</v>
      </c>
      <c r="T2" s="5" t="s">
        <v>24</v>
      </c>
    </row>
    <row r="3" spans="1:20" ht="18.75" x14ac:dyDescent="0.25">
      <c r="A3" s="52" t="s">
        <v>101</v>
      </c>
      <c r="B3" s="56" t="s">
        <v>3</v>
      </c>
      <c r="C3" s="158" t="s">
        <v>62</v>
      </c>
      <c r="D3" s="56" t="s">
        <v>209</v>
      </c>
      <c r="E3" s="162" t="s">
        <v>208</v>
      </c>
      <c r="F3" s="56" t="s">
        <v>23</v>
      </c>
      <c r="G3" s="56" t="s">
        <v>24</v>
      </c>
      <c r="L3" s="81">
        <v>1</v>
      </c>
      <c r="N3" s="12"/>
      <c r="Q3" s="2"/>
      <c r="R3" s="16"/>
      <c r="S3" s="2"/>
      <c r="T3" s="2"/>
    </row>
    <row r="4" spans="1:20" x14ac:dyDescent="0.25">
      <c r="A4" s="2">
        <v>1</v>
      </c>
      <c r="B4" s="147" t="s">
        <v>165</v>
      </c>
      <c r="C4" s="156">
        <v>2</v>
      </c>
      <c r="D4" s="154">
        <v>350</v>
      </c>
      <c r="E4" s="154">
        <v>700</v>
      </c>
      <c r="F4" s="2">
        <v>4</v>
      </c>
      <c r="G4" s="2">
        <f>ROW()</f>
        <v>4</v>
      </c>
      <c r="N4" s="12"/>
      <c r="Q4" s="2"/>
      <c r="R4" s="16"/>
      <c r="S4" s="2"/>
      <c r="T4" s="2"/>
    </row>
    <row r="5" spans="1:20" x14ac:dyDescent="0.25">
      <c r="A5" s="2">
        <v>1</v>
      </c>
      <c r="B5" t="s">
        <v>171</v>
      </c>
      <c r="C5" s="156">
        <v>3</v>
      </c>
      <c r="D5" s="154">
        <v>350</v>
      </c>
      <c r="E5" s="154">
        <v>1050</v>
      </c>
      <c r="F5" s="2">
        <v>4</v>
      </c>
      <c r="G5" s="2">
        <f>ROW()</f>
        <v>5</v>
      </c>
      <c r="N5" s="12"/>
      <c r="O5" s="2"/>
      <c r="Q5" s="2"/>
      <c r="R5" s="16"/>
      <c r="S5" s="2"/>
      <c r="T5" s="2"/>
    </row>
    <row r="6" spans="1:20" x14ac:dyDescent="0.25">
      <c r="A6" s="2">
        <v>1</v>
      </c>
      <c r="B6" t="s">
        <v>168</v>
      </c>
      <c r="C6" s="156">
        <v>0.5</v>
      </c>
      <c r="D6" s="154">
        <v>350</v>
      </c>
      <c r="E6" s="155">
        <v>175</v>
      </c>
      <c r="F6" s="2">
        <v>4</v>
      </c>
      <c r="G6" s="2">
        <f>ROW()</f>
        <v>6</v>
      </c>
      <c r="N6" s="12"/>
      <c r="Q6" s="2"/>
      <c r="R6" s="16"/>
      <c r="S6" s="2"/>
      <c r="T6" s="2"/>
    </row>
    <row r="7" spans="1:20" x14ac:dyDescent="0.25">
      <c r="A7" s="2">
        <v>1</v>
      </c>
      <c r="B7" t="s">
        <v>183</v>
      </c>
      <c r="C7" s="156">
        <v>1</v>
      </c>
      <c r="D7" s="154">
        <v>350</v>
      </c>
      <c r="E7" s="154">
        <v>350</v>
      </c>
      <c r="F7" s="2">
        <v>4</v>
      </c>
      <c r="G7" s="2">
        <f>ROW()</f>
        <v>7</v>
      </c>
      <c r="N7" s="12"/>
      <c r="Q7" s="2"/>
      <c r="R7" s="16"/>
      <c r="S7" s="2"/>
      <c r="T7" s="2"/>
    </row>
    <row r="8" spans="1:20" x14ac:dyDescent="0.25">
      <c r="A8" s="2">
        <v>1</v>
      </c>
      <c r="B8" t="s">
        <v>174</v>
      </c>
      <c r="C8" s="156">
        <v>0.75</v>
      </c>
      <c r="D8" s="154">
        <v>350</v>
      </c>
      <c r="E8" s="154">
        <v>262.5</v>
      </c>
      <c r="F8" s="2">
        <v>4</v>
      </c>
      <c r="G8" s="2">
        <f>ROW()</f>
        <v>8</v>
      </c>
      <c r="N8" s="12"/>
      <c r="Q8" s="2"/>
      <c r="R8" s="16"/>
      <c r="S8" s="2"/>
      <c r="T8" s="2"/>
    </row>
    <row r="9" spans="1:20" x14ac:dyDescent="0.25">
      <c r="A9" s="2">
        <v>1</v>
      </c>
      <c r="B9" t="s">
        <v>177</v>
      </c>
      <c r="C9" s="156">
        <v>4</v>
      </c>
      <c r="D9" s="154">
        <v>350</v>
      </c>
      <c r="E9" s="154">
        <v>1400</v>
      </c>
      <c r="F9" s="2">
        <v>4</v>
      </c>
      <c r="G9" s="2">
        <f>ROW()</f>
        <v>9</v>
      </c>
      <c r="N9" s="12"/>
      <c r="Q9" s="2"/>
      <c r="R9" s="16"/>
      <c r="S9" s="2"/>
      <c r="T9" s="2"/>
    </row>
    <row r="10" spans="1:20" x14ac:dyDescent="0.25">
      <c r="A10" s="2">
        <v>1</v>
      </c>
      <c r="B10" t="s">
        <v>205</v>
      </c>
      <c r="C10" s="156">
        <v>10</v>
      </c>
      <c r="D10" s="154">
        <v>350</v>
      </c>
      <c r="E10" s="154">
        <v>3500</v>
      </c>
      <c r="F10" s="2">
        <v>4</v>
      </c>
      <c r="G10" s="2">
        <f>ROW()</f>
        <v>10</v>
      </c>
      <c r="N10" s="12"/>
      <c r="Q10" s="2"/>
      <c r="R10" s="16"/>
      <c r="S10" s="2"/>
      <c r="T10" s="2"/>
    </row>
    <row r="11" spans="1:20" x14ac:dyDescent="0.25">
      <c r="A11" s="2">
        <v>2</v>
      </c>
      <c r="B11" t="s">
        <v>165</v>
      </c>
      <c r="C11" s="156">
        <v>3.5</v>
      </c>
      <c r="D11" s="154">
        <v>300</v>
      </c>
      <c r="E11" s="154">
        <v>1050</v>
      </c>
      <c r="F11" s="2">
        <v>5</v>
      </c>
      <c r="G11" s="2">
        <f>ROW()</f>
        <v>11</v>
      </c>
      <c r="N11" s="12"/>
      <c r="Q11" s="2"/>
      <c r="R11" s="16"/>
      <c r="S11" s="2"/>
      <c r="T11" s="2"/>
    </row>
    <row r="12" spans="1:20" x14ac:dyDescent="0.25">
      <c r="A12" s="2">
        <v>2</v>
      </c>
      <c r="B12" t="s">
        <v>189</v>
      </c>
      <c r="C12" s="156">
        <v>2</v>
      </c>
      <c r="D12" s="154">
        <v>300</v>
      </c>
      <c r="E12" s="154">
        <v>600</v>
      </c>
      <c r="F12" s="2">
        <v>5</v>
      </c>
      <c r="G12" s="2">
        <f>ROW()</f>
        <v>12</v>
      </c>
      <c r="N12" s="12"/>
      <c r="Q12" s="2"/>
      <c r="R12" s="16"/>
      <c r="S12" s="2"/>
      <c r="T12" s="2"/>
    </row>
    <row r="13" spans="1:20" x14ac:dyDescent="0.25">
      <c r="A13" s="2">
        <v>3</v>
      </c>
      <c r="B13" t="s">
        <v>167</v>
      </c>
      <c r="C13" s="156">
        <v>2</v>
      </c>
      <c r="D13" s="154">
        <v>350</v>
      </c>
      <c r="E13" s="154">
        <v>700</v>
      </c>
      <c r="F13" s="2">
        <v>6</v>
      </c>
      <c r="G13" s="2">
        <f>ROW()</f>
        <v>13</v>
      </c>
      <c r="N13" s="12"/>
      <c r="Q13" s="2"/>
      <c r="R13" s="16"/>
      <c r="S13" s="2"/>
      <c r="T13" s="2"/>
    </row>
    <row r="14" spans="1:20" x14ac:dyDescent="0.25">
      <c r="A14" s="2">
        <v>4</v>
      </c>
      <c r="B14" t="s">
        <v>165</v>
      </c>
      <c r="C14" s="156">
        <v>4</v>
      </c>
      <c r="D14" s="154">
        <v>300</v>
      </c>
      <c r="E14" s="154">
        <v>1200</v>
      </c>
      <c r="F14" s="2">
        <v>7</v>
      </c>
      <c r="G14" s="2">
        <f>ROW()</f>
        <v>14</v>
      </c>
      <c r="N14" s="12"/>
      <c r="Q14" s="2"/>
      <c r="R14" s="16"/>
      <c r="S14" s="2"/>
      <c r="T14" s="2"/>
    </row>
    <row r="15" spans="1:20" x14ac:dyDescent="0.25">
      <c r="A15" s="2">
        <v>4</v>
      </c>
      <c r="B15" t="s">
        <v>169</v>
      </c>
      <c r="C15" s="156">
        <v>2</v>
      </c>
      <c r="D15" s="154">
        <v>300</v>
      </c>
      <c r="E15" s="154">
        <v>600</v>
      </c>
      <c r="F15" s="2">
        <v>7</v>
      </c>
      <c r="G15" s="2">
        <f>ROW()</f>
        <v>15</v>
      </c>
      <c r="N15" s="12"/>
      <c r="Q15" s="2"/>
      <c r="R15" s="16"/>
      <c r="S15" s="2"/>
      <c r="T15" s="2"/>
    </row>
    <row r="16" spans="1:20" x14ac:dyDescent="0.25">
      <c r="A16" s="2">
        <v>5</v>
      </c>
      <c r="B16" t="s">
        <v>172</v>
      </c>
      <c r="C16" s="156">
        <v>1</v>
      </c>
      <c r="D16" s="154">
        <v>300</v>
      </c>
      <c r="E16" s="154">
        <v>300</v>
      </c>
      <c r="F16" s="2">
        <v>8</v>
      </c>
      <c r="G16" s="2">
        <f>ROW()</f>
        <v>16</v>
      </c>
      <c r="N16" s="12"/>
      <c r="Q16" s="2"/>
      <c r="R16" s="16"/>
      <c r="S16" s="2"/>
      <c r="T16" s="2"/>
    </row>
    <row r="17" spans="1:20" x14ac:dyDescent="0.25">
      <c r="A17" s="2">
        <v>5</v>
      </c>
      <c r="B17" t="s">
        <v>167</v>
      </c>
      <c r="C17" s="156">
        <v>2</v>
      </c>
      <c r="D17" s="154">
        <v>300</v>
      </c>
      <c r="E17" s="154">
        <v>600</v>
      </c>
      <c r="F17" s="2">
        <v>8</v>
      </c>
      <c r="G17" s="2">
        <f>ROW()</f>
        <v>17</v>
      </c>
      <c r="N17" s="12"/>
      <c r="Q17" s="2"/>
      <c r="R17" s="16"/>
      <c r="S17" s="2"/>
      <c r="T17" s="2"/>
    </row>
    <row r="18" spans="1:20" x14ac:dyDescent="0.25">
      <c r="A18" s="2">
        <v>5</v>
      </c>
      <c r="B18" t="s">
        <v>172</v>
      </c>
      <c r="C18" s="156">
        <v>3</v>
      </c>
      <c r="D18" s="154">
        <v>300</v>
      </c>
      <c r="E18" s="154">
        <v>900</v>
      </c>
      <c r="F18" s="2">
        <v>8</v>
      </c>
      <c r="G18" s="2">
        <f>ROW()</f>
        <v>18</v>
      </c>
      <c r="N18" s="12"/>
      <c r="Q18" s="2"/>
      <c r="R18" s="16"/>
      <c r="S18" s="2"/>
      <c r="T18" s="2"/>
    </row>
    <row r="19" spans="1:20" x14ac:dyDescent="0.25">
      <c r="A19" s="2">
        <v>5</v>
      </c>
      <c r="B19" t="s">
        <v>166</v>
      </c>
      <c r="C19" s="156">
        <v>4</v>
      </c>
      <c r="D19" s="154">
        <v>300</v>
      </c>
      <c r="E19" s="154">
        <v>1200</v>
      </c>
      <c r="F19" s="2">
        <v>8</v>
      </c>
      <c r="G19" s="2">
        <f>ROW()</f>
        <v>19</v>
      </c>
      <c r="N19" s="12"/>
      <c r="Q19" s="2"/>
      <c r="R19" s="16"/>
      <c r="S19" s="2"/>
      <c r="T19" s="2"/>
    </row>
    <row r="20" spans="1:20" x14ac:dyDescent="0.25">
      <c r="A20" s="2">
        <v>6</v>
      </c>
      <c r="B20" t="s">
        <v>203</v>
      </c>
      <c r="C20" s="156">
        <v>2</v>
      </c>
      <c r="D20" s="154">
        <v>300</v>
      </c>
      <c r="E20" s="154">
        <v>600</v>
      </c>
      <c r="F20" s="2">
        <v>9</v>
      </c>
      <c r="G20" s="2">
        <f>ROW()</f>
        <v>20</v>
      </c>
      <c r="Q20" s="2"/>
      <c r="R20" s="2"/>
      <c r="S20" s="2"/>
      <c r="T20" s="2"/>
    </row>
    <row r="21" spans="1:20" x14ac:dyDescent="0.25">
      <c r="A21" s="2">
        <v>7</v>
      </c>
      <c r="B21" t="s">
        <v>174</v>
      </c>
      <c r="C21" s="156">
        <v>1</v>
      </c>
      <c r="D21" s="154">
        <v>325</v>
      </c>
      <c r="E21" s="154">
        <v>325</v>
      </c>
      <c r="F21" s="2">
        <v>10</v>
      </c>
      <c r="G21" s="2">
        <f>ROW()</f>
        <v>21</v>
      </c>
      <c r="Q21" s="2"/>
      <c r="R21" s="2"/>
      <c r="S21" s="2"/>
      <c r="T21" s="2"/>
    </row>
    <row r="22" spans="1:20" x14ac:dyDescent="0.25">
      <c r="A22" s="2">
        <v>7</v>
      </c>
      <c r="B22" t="s">
        <v>189</v>
      </c>
      <c r="C22" s="156">
        <v>2</v>
      </c>
      <c r="D22" s="154">
        <v>325</v>
      </c>
      <c r="E22" s="154">
        <v>650</v>
      </c>
      <c r="F22" s="2">
        <v>10</v>
      </c>
      <c r="G22" s="2">
        <f>ROW()</f>
        <v>22</v>
      </c>
      <c r="Q22" s="2"/>
      <c r="R22" s="2"/>
      <c r="S22" s="2"/>
      <c r="T22" s="2"/>
    </row>
    <row r="23" spans="1:20" x14ac:dyDescent="0.25">
      <c r="A23" s="2">
        <v>8</v>
      </c>
      <c r="B23" t="s">
        <v>189</v>
      </c>
      <c r="C23" s="156">
        <v>6</v>
      </c>
      <c r="D23" s="154">
        <v>300</v>
      </c>
      <c r="E23" s="154">
        <v>1800</v>
      </c>
      <c r="F23" s="2">
        <v>11</v>
      </c>
      <c r="G23" s="2">
        <f>ROW()</f>
        <v>23</v>
      </c>
      <c r="Q23" s="2"/>
      <c r="R23" s="2"/>
      <c r="S23" s="2"/>
      <c r="T23" s="2"/>
    </row>
    <row r="24" spans="1:20" x14ac:dyDescent="0.25">
      <c r="A24" s="2">
        <v>9</v>
      </c>
      <c r="B24" t="s">
        <v>172</v>
      </c>
      <c r="C24" s="156">
        <v>5</v>
      </c>
      <c r="D24" s="154">
        <v>300</v>
      </c>
      <c r="E24" s="154">
        <v>1500</v>
      </c>
      <c r="F24" s="2">
        <v>12</v>
      </c>
      <c r="G24" s="2">
        <f>ROW()</f>
        <v>24</v>
      </c>
      <c r="Q24" s="2"/>
      <c r="R24" s="2"/>
      <c r="S24" s="2"/>
      <c r="T24" s="2"/>
    </row>
    <row r="25" spans="1:20" x14ac:dyDescent="0.25">
      <c r="A25" s="2">
        <v>10</v>
      </c>
      <c r="B25" t="s">
        <v>170</v>
      </c>
      <c r="C25" s="156">
        <v>1</v>
      </c>
      <c r="D25" s="154">
        <v>300</v>
      </c>
      <c r="E25" s="154">
        <v>300</v>
      </c>
      <c r="F25" s="2">
        <v>13</v>
      </c>
      <c r="G25" s="2">
        <f>ROW()</f>
        <v>25</v>
      </c>
      <c r="Q25" s="2"/>
      <c r="R25" s="2"/>
      <c r="S25" s="2"/>
      <c r="T25" s="2"/>
    </row>
    <row r="26" spans="1:20" x14ac:dyDescent="0.25">
      <c r="A26" s="2">
        <v>11</v>
      </c>
      <c r="B26" t="s">
        <v>189</v>
      </c>
      <c r="C26" s="156">
        <v>3</v>
      </c>
      <c r="D26" s="154">
        <v>290</v>
      </c>
      <c r="E26" s="154">
        <v>870</v>
      </c>
      <c r="F26" s="2">
        <v>14</v>
      </c>
      <c r="G26" s="2">
        <f>ROW()</f>
        <v>26</v>
      </c>
      <c r="Q26" s="2"/>
      <c r="R26" s="2"/>
      <c r="S26" s="2"/>
      <c r="T26" s="2"/>
    </row>
    <row r="27" spans="1:20" x14ac:dyDescent="0.25">
      <c r="A27" s="2">
        <v>11</v>
      </c>
      <c r="B27" t="s">
        <v>194</v>
      </c>
      <c r="C27" s="156">
        <v>5</v>
      </c>
      <c r="D27" s="154">
        <v>290</v>
      </c>
      <c r="E27" s="154">
        <v>1450</v>
      </c>
      <c r="F27" s="2">
        <v>14</v>
      </c>
      <c r="G27" s="2">
        <f>ROW()</f>
        <v>27</v>
      </c>
      <c r="Q27" s="2"/>
      <c r="R27" s="2"/>
      <c r="S27" s="2"/>
      <c r="T27" s="2"/>
    </row>
    <row r="28" spans="1:20" x14ac:dyDescent="0.25">
      <c r="A28" s="2">
        <v>11</v>
      </c>
      <c r="B28" t="s">
        <v>191</v>
      </c>
      <c r="C28" s="156">
        <v>1</v>
      </c>
      <c r="D28" s="154">
        <v>290</v>
      </c>
      <c r="E28" s="154">
        <v>290</v>
      </c>
      <c r="F28" s="2">
        <v>12</v>
      </c>
      <c r="G28" s="2">
        <f>ROW()</f>
        <v>28</v>
      </c>
      <c r="Q28" s="2"/>
      <c r="R28" s="2"/>
      <c r="S28" s="2"/>
      <c r="T28" s="2"/>
    </row>
    <row r="29" spans="1:20" x14ac:dyDescent="0.25">
      <c r="A29" s="2">
        <v>11</v>
      </c>
      <c r="B29" t="s">
        <v>167</v>
      </c>
      <c r="C29" s="156">
        <v>0.75</v>
      </c>
      <c r="D29" s="154">
        <v>290</v>
      </c>
      <c r="E29" s="154">
        <v>217.5</v>
      </c>
      <c r="F29" s="2">
        <v>13</v>
      </c>
      <c r="G29" s="2">
        <f>ROW()</f>
        <v>29</v>
      </c>
      <c r="Q29" s="2"/>
      <c r="R29" s="2"/>
      <c r="S29" s="2"/>
      <c r="T29" s="2"/>
    </row>
    <row r="30" spans="1:20" x14ac:dyDescent="0.25">
      <c r="A30" s="2">
        <v>12</v>
      </c>
      <c r="B30" t="s">
        <v>189</v>
      </c>
      <c r="C30" s="156">
        <v>7</v>
      </c>
      <c r="D30" s="154">
        <v>325</v>
      </c>
      <c r="E30" s="154">
        <v>2275</v>
      </c>
      <c r="F30" s="2">
        <v>15</v>
      </c>
      <c r="G30" s="2">
        <f>ROW()</f>
        <v>30</v>
      </c>
      <c r="Q30" s="2"/>
      <c r="R30" s="2"/>
      <c r="S30" s="2"/>
      <c r="T30" s="2"/>
    </row>
    <row r="31" spans="1:20" x14ac:dyDescent="0.25">
      <c r="A31" s="2">
        <v>13</v>
      </c>
      <c r="B31" t="s">
        <v>164</v>
      </c>
      <c r="C31" s="156">
        <v>1</v>
      </c>
      <c r="D31" s="154">
        <v>300</v>
      </c>
      <c r="E31" s="154">
        <v>300</v>
      </c>
      <c r="F31" s="2">
        <v>16</v>
      </c>
      <c r="G31" s="2">
        <f>ROW()</f>
        <v>31</v>
      </c>
      <c r="Q31" s="2"/>
      <c r="R31" s="2"/>
      <c r="S31" s="2"/>
      <c r="T31" s="2"/>
    </row>
    <row r="32" spans="1:20" x14ac:dyDescent="0.25">
      <c r="A32" s="2">
        <v>13</v>
      </c>
      <c r="B32" t="s">
        <v>165</v>
      </c>
      <c r="C32" s="156">
        <v>2</v>
      </c>
      <c r="D32" s="154">
        <v>300</v>
      </c>
      <c r="E32" s="154">
        <v>600</v>
      </c>
      <c r="F32" s="2">
        <v>16</v>
      </c>
      <c r="G32" s="2">
        <f>ROW()</f>
        <v>32</v>
      </c>
      <c r="Q32" s="2"/>
      <c r="R32" s="2"/>
      <c r="S32" s="2"/>
      <c r="T32" s="2"/>
    </row>
    <row r="33" spans="1:20" x14ac:dyDescent="0.25">
      <c r="A33" s="2">
        <v>13</v>
      </c>
      <c r="B33" t="s">
        <v>166</v>
      </c>
      <c r="C33" s="156">
        <v>3</v>
      </c>
      <c r="D33" s="154">
        <v>300</v>
      </c>
      <c r="E33" s="154">
        <v>900</v>
      </c>
      <c r="F33" s="2">
        <v>16</v>
      </c>
      <c r="G33" s="2">
        <f>ROW()</f>
        <v>33</v>
      </c>
      <c r="Q33" s="2"/>
      <c r="R33" s="2"/>
      <c r="S33" s="2"/>
      <c r="T33" s="2"/>
    </row>
    <row r="34" spans="1:20" x14ac:dyDescent="0.25">
      <c r="A34" s="2">
        <v>13</v>
      </c>
      <c r="B34" t="s">
        <v>167</v>
      </c>
      <c r="C34" s="156">
        <v>4</v>
      </c>
      <c r="D34" s="154">
        <v>300</v>
      </c>
      <c r="E34" s="154">
        <v>1200</v>
      </c>
      <c r="F34" s="2">
        <v>16</v>
      </c>
      <c r="G34" s="2">
        <f>ROW()</f>
        <v>34</v>
      </c>
      <c r="Q34" s="2"/>
      <c r="R34" s="2"/>
      <c r="S34" s="2"/>
      <c r="T34" s="2"/>
    </row>
    <row r="35" spans="1:20" x14ac:dyDescent="0.25">
      <c r="A35" s="2">
        <v>13</v>
      </c>
      <c r="B35" t="s">
        <v>168</v>
      </c>
      <c r="C35" s="156">
        <v>5</v>
      </c>
      <c r="D35" s="154">
        <v>300</v>
      </c>
      <c r="E35" s="154">
        <v>1500</v>
      </c>
      <c r="F35" s="2">
        <v>16</v>
      </c>
      <c r="G35" s="2">
        <f>ROW()</f>
        <v>35</v>
      </c>
      <c r="Q35" s="2"/>
      <c r="R35" s="2"/>
      <c r="S35" s="2"/>
      <c r="T35" s="2"/>
    </row>
    <row r="36" spans="1:20" x14ac:dyDescent="0.25">
      <c r="A36" s="2">
        <v>13</v>
      </c>
      <c r="B36" t="s">
        <v>169</v>
      </c>
      <c r="C36" s="156">
        <v>4</v>
      </c>
      <c r="D36" s="154">
        <v>300</v>
      </c>
      <c r="E36" s="154">
        <v>1200</v>
      </c>
      <c r="F36" s="2">
        <v>16</v>
      </c>
      <c r="G36" s="2">
        <f>ROW()</f>
        <v>36</v>
      </c>
      <c r="Q36" s="2"/>
      <c r="R36" s="2"/>
      <c r="S36" s="2"/>
      <c r="T36" s="2"/>
    </row>
    <row r="37" spans="1:20" x14ac:dyDescent="0.25">
      <c r="A37" s="2">
        <v>13</v>
      </c>
      <c r="B37" t="s">
        <v>171</v>
      </c>
      <c r="C37" s="156">
        <v>3</v>
      </c>
      <c r="D37" s="154">
        <v>300</v>
      </c>
      <c r="E37" s="154">
        <v>900</v>
      </c>
      <c r="F37" s="2">
        <v>16</v>
      </c>
      <c r="G37" s="2">
        <f>ROW()</f>
        <v>37</v>
      </c>
      <c r="Q37" s="2"/>
      <c r="R37" s="2"/>
      <c r="S37" s="2"/>
      <c r="T37" s="2"/>
    </row>
    <row r="38" spans="1:20" x14ac:dyDescent="0.25">
      <c r="C38" s="156"/>
      <c r="D38" s="154"/>
      <c r="F38" s="2"/>
      <c r="G38" s="2"/>
      <c r="Q38" s="2"/>
      <c r="R38" s="2"/>
      <c r="S38" s="2"/>
      <c r="T38" s="2"/>
    </row>
    <row r="39" spans="1:20" x14ac:dyDescent="0.25">
      <c r="C39" s="156"/>
      <c r="D39" s="154"/>
      <c r="F39" s="2"/>
      <c r="G39" s="2"/>
      <c r="Q39" s="2"/>
      <c r="R39" s="2"/>
      <c r="S39" s="2"/>
      <c r="T39" s="2"/>
    </row>
    <row r="40" spans="1:20" x14ac:dyDescent="0.25">
      <c r="C40" s="156"/>
      <c r="D40" s="154"/>
      <c r="F40" s="2"/>
      <c r="G40" s="2"/>
      <c r="Q40" s="2"/>
      <c r="R40" s="2"/>
      <c r="S40" s="2"/>
      <c r="T40" s="2"/>
    </row>
    <row r="41" spans="1:20" x14ac:dyDescent="0.25">
      <c r="C41" s="156"/>
      <c r="D41" s="154"/>
      <c r="F41" s="2"/>
      <c r="G41" s="2"/>
      <c r="Q41" s="2"/>
      <c r="R41" s="2"/>
      <c r="S41" s="2"/>
      <c r="T41" s="2"/>
    </row>
    <row r="42" spans="1:20" x14ac:dyDescent="0.25">
      <c r="C42" s="156"/>
      <c r="D42" s="154"/>
      <c r="F42" s="2"/>
      <c r="G42" s="2"/>
      <c r="Q42" s="2"/>
      <c r="R42" s="2"/>
      <c r="S42" s="2"/>
      <c r="T42" s="2"/>
    </row>
    <row r="43" spans="1:20" x14ac:dyDescent="0.25">
      <c r="C43" s="156"/>
      <c r="D43" s="154"/>
      <c r="F43" s="2"/>
      <c r="G43" s="2"/>
      <c r="Q43" s="2"/>
      <c r="R43" s="2"/>
      <c r="S43" s="2"/>
      <c r="T43" s="2"/>
    </row>
    <row r="44" spans="1:20" x14ac:dyDescent="0.25">
      <c r="C44" s="156"/>
      <c r="D44" s="154"/>
      <c r="F44" s="2"/>
      <c r="G44" s="2"/>
      <c r="Q44" s="2"/>
      <c r="R44" s="2"/>
      <c r="S44" s="2"/>
      <c r="T44" s="2"/>
    </row>
    <row r="45" spans="1:20" x14ac:dyDescent="0.25">
      <c r="C45" s="156"/>
      <c r="D45" s="154"/>
      <c r="F45" s="2"/>
      <c r="G45" s="2"/>
      <c r="Q45" s="2"/>
      <c r="R45" s="2"/>
      <c r="S45" s="2"/>
      <c r="T45" s="2"/>
    </row>
    <row r="46" spans="1:20" x14ac:dyDescent="0.25">
      <c r="C46" s="156"/>
      <c r="D46" s="154"/>
      <c r="F46" s="2"/>
      <c r="G46" s="2"/>
      <c r="Q46" s="2"/>
      <c r="R46" s="2"/>
      <c r="S46" s="2"/>
      <c r="T46" s="2"/>
    </row>
    <row r="47" spans="1:20" x14ac:dyDescent="0.25">
      <c r="C47" s="156"/>
      <c r="D47" s="154"/>
      <c r="F47" s="2"/>
      <c r="G47" s="2"/>
      <c r="Q47" s="2"/>
      <c r="R47" s="2"/>
      <c r="S47" s="2"/>
      <c r="T47" s="2"/>
    </row>
    <row r="48" spans="1:20" x14ac:dyDescent="0.25">
      <c r="C48" s="156"/>
      <c r="D48" s="154"/>
      <c r="F48" s="2"/>
      <c r="G48" s="2"/>
      <c r="Q48" s="2"/>
      <c r="R48" s="2"/>
      <c r="S48" s="2"/>
      <c r="T48" s="2"/>
    </row>
    <row r="49" spans="3:20" x14ac:dyDescent="0.25">
      <c r="C49" s="156"/>
      <c r="D49" s="154"/>
      <c r="F49" s="2"/>
      <c r="G49" s="2"/>
      <c r="Q49" s="2"/>
      <c r="R49" s="2"/>
      <c r="S49" s="2"/>
      <c r="T49" s="2"/>
    </row>
    <row r="50" spans="3:20" x14ac:dyDescent="0.25">
      <c r="C50" s="156"/>
      <c r="D50" s="154"/>
      <c r="F50" s="2"/>
      <c r="G50" s="2"/>
      <c r="Q50" s="2"/>
      <c r="R50" s="2"/>
      <c r="S50" s="2"/>
      <c r="T50" s="2"/>
    </row>
    <row r="51" spans="3:20" x14ac:dyDescent="0.25">
      <c r="C51" s="156"/>
      <c r="D51" s="154"/>
      <c r="F51" s="2"/>
      <c r="G51" s="2"/>
      <c r="Q51" s="2"/>
      <c r="R51" s="2"/>
      <c r="S51" s="2"/>
      <c r="T51" s="2"/>
    </row>
    <row r="52" spans="3:20" x14ac:dyDescent="0.25">
      <c r="C52" s="156"/>
      <c r="D52" s="2"/>
      <c r="F52" s="2"/>
      <c r="G52" s="2"/>
      <c r="Q52" s="2"/>
      <c r="R52" s="2"/>
      <c r="S52" s="2"/>
      <c r="T52" s="2"/>
    </row>
    <row r="53" spans="3:20" x14ac:dyDescent="0.25">
      <c r="C53" s="156"/>
      <c r="D53" s="2"/>
      <c r="F53" s="2"/>
      <c r="G53" s="2"/>
      <c r="Q53" s="2"/>
      <c r="R53" s="2"/>
      <c r="S53" s="2"/>
      <c r="T53" s="2"/>
    </row>
    <row r="54" spans="3:20" x14ac:dyDescent="0.25">
      <c r="C54" s="156"/>
      <c r="D54" s="2"/>
      <c r="F54" s="2"/>
      <c r="G54" s="2"/>
      <c r="Q54" s="2"/>
      <c r="R54" s="2"/>
      <c r="S54" s="2"/>
      <c r="T54" s="2"/>
    </row>
    <row r="55" spans="3:20" x14ac:dyDescent="0.25">
      <c r="C55" s="156"/>
      <c r="D55" s="2"/>
      <c r="F55" s="2"/>
      <c r="G55" s="2"/>
      <c r="Q55" s="2"/>
      <c r="R55" s="2"/>
      <c r="S55" s="2"/>
      <c r="T55" s="2"/>
    </row>
    <row r="56" spans="3:20" x14ac:dyDescent="0.25">
      <c r="C56" s="156"/>
      <c r="D56" s="2"/>
      <c r="F56" s="2"/>
      <c r="G56" s="2"/>
      <c r="Q56" s="2"/>
      <c r="R56" s="2"/>
      <c r="S56" s="2"/>
      <c r="T56" s="2"/>
    </row>
    <row r="57" spans="3:20" x14ac:dyDescent="0.25">
      <c r="C57" s="156"/>
      <c r="D57" s="2"/>
      <c r="F57" s="2"/>
      <c r="G57" s="2"/>
      <c r="Q57" s="2"/>
      <c r="R57" s="2"/>
      <c r="S57" s="2"/>
      <c r="T57" s="2"/>
    </row>
    <row r="58" spans="3:20" x14ac:dyDescent="0.25">
      <c r="C58" s="156"/>
      <c r="D58" s="2"/>
      <c r="F58" s="2"/>
      <c r="G58" s="2"/>
      <c r="Q58" s="2"/>
      <c r="R58" s="2"/>
      <c r="S58" s="2"/>
      <c r="T58" s="2"/>
    </row>
    <row r="59" spans="3:20" x14ac:dyDescent="0.25">
      <c r="C59" s="156"/>
      <c r="D59" s="2"/>
      <c r="F59" s="2"/>
      <c r="G59" s="2"/>
      <c r="Q59" s="2"/>
      <c r="R59" s="2"/>
      <c r="S59" s="2"/>
      <c r="T59" s="2"/>
    </row>
    <row r="60" spans="3:20" x14ac:dyDescent="0.25">
      <c r="C60" s="156"/>
      <c r="D60" s="2"/>
      <c r="F60" s="2"/>
      <c r="G60" s="2"/>
      <c r="Q60" s="2"/>
      <c r="R60" s="2"/>
      <c r="S60" s="2"/>
      <c r="T60" s="2"/>
    </row>
    <row r="61" spans="3:20" x14ac:dyDescent="0.25">
      <c r="C61" s="156"/>
      <c r="D61" s="2"/>
      <c r="F61" s="2"/>
      <c r="G61" s="2"/>
      <c r="Q61" s="2"/>
      <c r="R61" s="2"/>
      <c r="S61" s="2"/>
      <c r="T61" s="2"/>
    </row>
    <row r="62" spans="3:20" x14ac:dyDescent="0.25">
      <c r="C62" s="156"/>
      <c r="D62" s="2"/>
      <c r="F62" s="2"/>
      <c r="G62" s="2"/>
      <c r="Q62" s="2"/>
      <c r="R62" s="2"/>
      <c r="S62" s="2"/>
      <c r="T62" s="2"/>
    </row>
    <row r="63" spans="3:20" x14ac:dyDescent="0.25">
      <c r="C63" s="156"/>
      <c r="D63" s="2"/>
      <c r="F63" s="2"/>
      <c r="G63" s="2"/>
      <c r="Q63" s="2"/>
      <c r="R63" s="2"/>
      <c r="S63" s="2"/>
      <c r="T63" s="2"/>
    </row>
    <row r="64" spans="3:20" x14ac:dyDescent="0.25">
      <c r="C64" s="156"/>
      <c r="D64" s="2"/>
      <c r="F64" s="2"/>
      <c r="G64" s="2"/>
      <c r="Q64" s="2"/>
      <c r="R64" s="2"/>
      <c r="S64" s="2"/>
      <c r="T64" s="2"/>
    </row>
    <row r="65" spans="3:20" x14ac:dyDescent="0.25">
      <c r="C65" s="156"/>
      <c r="D65" s="2"/>
      <c r="F65" s="2"/>
      <c r="G65" s="2"/>
      <c r="Q65" s="2"/>
      <c r="R65" s="2"/>
      <c r="S65" s="2"/>
      <c r="T65" s="2"/>
    </row>
    <row r="66" spans="3:20" x14ac:dyDescent="0.25">
      <c r="C66" s="156"/>
      <c r="D66" s="2"/>
      <c r="F66" s="2"/>
      <c r="G66" s="2"/>
      <c r="Q66" s="2"/>
      <c r="R66" s="2"/>
      <c r="S66" s="2"/>
      <c r="T66" s="2"/>
    </row>
    <row r="67" spans="3:20" x14ac:dyDescent="0.25">
      <c r="C67" s="156"/>
      <c r="D67" s="2"/>
      <c r="F67" s="2"/>
      <c r="G67" s="2"/>
      <c r="Q67" s="2"/>
      <c r="R67" s="2"/>
      <c r="S67" s="2"/>
      <c r="T67" s="2"/>
    </row>
    <row r="68" spans="3:20" x14ac:dyDescent="0.25">
      <c r="C68" s="156"/>
      <c r="D68" s="2"/>
      <c r="F68" s="2"/>
      <c r="G68" s="2"/>
      <c r="Q68" s="2"/>
      <c r="R68" s="2"/>
      <c r="S68" s="2"/>
      <c r="T68" s="2"/>
    </row>
    <row r="69" spans="3:20" x14ac:dyDescent="0.25">
      <c r="C69" s="156"/>
      <c r="D69" s="2"/>
      <c r="F69" s="2"/>
      <c r="G69" s="2"/>
      <c r="Q69" s="2"/>
      <c r="R69" s="2"/>
      <c r="S69" s="2"/>
      <c r="T69" s="2"/>
    </row>
    <row r="70" spans="3:20" x14ac:dyDescent="0.25">
      <c r="C70" s="156"/>
      <c r="D70" s="2"/>
      <c r="F70" s="2"/>
      <c r="G70" s="2"/>
      <c r="Q70" s="2"/>
      <c r="R70" s="2"/>
      <c r="S70" s="2"/>
      <c r="T70" s="2"/>
    </row>
    <row r="71" spans="3:20" x14ac:dyDescent="0.25">
      <c r="C71" s="156"/>
      <c r="D71" s="2"/>
      <c r="F71" s="2"/>
      <c r="G71" s="2"/>
      <c r="Q71" s="2"/>
      <c r="R71" s="2"/>
      <c r="S71" s="2"/>
      <c r="T71" s="2"/>
    </row>
    <row r="72" spans="3:20" x14ac:dyDescent="0.25">
      <c r="C72" s="156"/>
      <c r="D72" s="2"/>
      <c r="F72" s="2"/>
      <c r="G72" s="2"/>
      <c r="Q72" s="2"/>
      <c r="R72" s="2"/>
      <c r="S72" s="2"/>
      <c r="T72" s="2"/>
    </row>
    <row r="73" spans="3:20" x14ac:dyDescent="0.25">
      <c r="C73" s="156"/>
      <c r="D73" s="2"/>
      <c r="F73" s="2"/>
      <c r="G73" s="2"/>
      <c r="Q73" s="2"/>
      <c r="R73" s="2"/>
      <c r="S73" s="2"/>
      <c r="T73" s="2"/>
    </row>
    <row r="74" spans="3:20" x14ac:dyDescent="0.25">
      <c r="C74" s="156"/>
      <c r="D74" s="2"/>
      <c r="F74" s="2"/>
      <c r="G74" s="2"/>
      <c r="Q74" s="2"/>
      <c r="R74" s="2"/>
      <c r="S74" s="2"/>
      <c r="T74" s="2"/>
    </row>
    <row r="75" spans="3:20" x14ac:dyDescent="0.25">
      <c r="C75" s="156"/>
      <c r="D75" s="2"/>
      <c r="F75" s="2"/>
      <c r="G75" s="2"/>
      <c r="Q75" s="2"/>
      <c r="R75" s="2"/>
      <c r="S75" s="2"/>
      <c r="T75" s="2"/>
    </row>
    <row r="76" spans="3:20" x14ac:dyDescent="0.25">
      <c r="C76" s="156"/>
      <c r="D76" s="2"/>
      <c r="F76" s="2"/>
      <c r="G76" s="2"/>
    </row>
    <row r="77" spans="3:20" x14ac:dyDescent="0.25">
      <c r="C77" s="156"/>
      <c r="D77" s="2"/>
      <c r="F77" s="2"/>
      <c r="G77" s="2"/>
    </row>
    <row r="78" spans="3:20" x14ac:dyDescent="0.25">
      <c r="C78" s="156"/>
      <c r="D78" s="2"/>
      <c r="F78" s="2"/>
      <c r="G78" s="2"/>
    </row>
    <row r="79" spans="3:20" x14ac:dyDescent="0.25">
      <c r="C79" s="156"/>
      <c r="D79" s="2"/>
      <c r="F79" s="2"/>
      <c r="G79" s="2"/>
    </row>
    <row r="80" spans="3:20" x14ac:dyDescent="0.25">
      <c r="C80" s="156"/>
      <c r="D80" s="2"/>
      <c r="F80" s="2"/>
      <c r="G80" s="2"/>
    </row>
    <row r="81" spans="3:7" x14ac:dyDescent="0.25">
      <c r="C81" s="156"/>
      <c r="D81" s="2"/>
      <c r="F81" s="2"/>
      <c r="G81" s="2"/>
    </row>
    <row r="82" spans="3:7" x14ac:dyDescent="0.25">
      <c r="C82" s="156"/>
      <c r="D82" s="2"/>
      <c r="F82" s="2"/>
      <c r="G82" s="2"/>
    </row>
    <row r="83" spans="3:7" x14ac:dyDescent="0.25">
      <c r="C83" s="156"/>
      <c r="D83" s="2"/>
      <c r="F83" s="2"/>
      <c r="G83" s="2"/>
    </row>
    <row r="84" spans="3:7" x14ac:dyDescent="0.25">
      <c r="C84" s="156"/>
      <c r="D84" s="2"/>
      <c r="F84" s="2"/>
      <c r="G84" s="2"/>
    </row>
    <row r="85" spans="3:7" x14ac:dyDescent="0.25">
      <c r="C85" s="156"/>
      <c r="D85" s="2"/>
      <c r="F85" s="2"/>
      <c r="G85" s="2"/>
    </row>
    <row r="86" spans="3:7" x14ac:dyDescent="0.25">
      <c r="C86" s="156"/>
      <c r="D86" s="2"/>
      <c r="F86" s="2"/>
      <c r="G86" s="2"/>
    </row>
    <row r="87" spans="3:7" x14ac:dyDescent="0.25">
      <c r="C87" s="156"/>
      <c r="D87" s="2"/>
      <c r="F87" s="2"/>
      <c r="G87" s="2"/>
    </row>
    <row r="88" spans="3:7" x14ac:dyDescent="0.25">
      <c r="C88" s="156"/>
      <c r="D88" s="2"/>
      <c r="F88" s="2"/>
      <c r="G88" s="2"/>
    </row>
    <row r="89" spans="3:7" x14ac:dyDescent="0.25">
      <c r="C89" s="156"/>
      <c r="D89" s="2"/>
      <c r="F89" s="2"/>
      <c r="G89" s="2"/>
    </row>
    <row r="90" spans="3:7" x14ac:dyDescent="0.25">
      <c r="C90" s="156"/>
      <c r="D90" s="2"/>
      <c r="F90" s="2"/>
      <c r="G90" s="2"/>
    </row>
    <row r="91" spans="3:7" x14ac:dyDescent="0.25">
      <c r="C91" s="156"/>
      <c r="D91" s="2"/>
      <c r="F91" s="2"/>
      <c r="G91" s="2"/>
    </row>
    <row r="92" spans="3:7" x14ac:dyDescent="0.25">
      <c r="C92" s="156"/>
      <c r="D92" s="2"/>
      <c r="F92" s="2"/>
      <c r="G92" s="2"/>
    </row>
    <row r="93" spans="3:7" x14ac:dyDescent="0.25">
      <c r="C93" s="156"/>
      <c r="D93" s="2"/>
      <c r="F93" s="2"/>
      <c r="G93" s="2"/>
    </row>
    <row r="94" spans="3:7" x14ac:dyDescent="0.25">
      <c r="C94" s="156"/>
      <c r="D94" s="2"/>
      <c r="F94" s="2"/>
      <c r="G94" s="2"/>
    </row>
    <row r="95" spans="3:7" x14ac:dyDescent="0.25">
      <c r="C95" s="156"/>
      <c r="D95" s="2"/>
      <c r="F95" s="2"/>
      <c r="G95" s="2"/>
    </row>
    <row r="96" spans="3:7" x14ac:dyDescent="0.25">
      <c r="C96" s="156"/>
      <c r="D96" s="2"/>
      <c r="F96" s="2"/>
      <c r="G96" s="2"/>
    </row>
    <row r="97" spans="3:7" x14ac:dyDescent="0.25">
      <c r="C97" s="156"/>
      <c r="D97" s="2"/>
      <c r="F97" s="2"/>
      <c r="G97" s="2"/>
    </row>
    <row r="98" spans="3:7" x14ac:dyDescent="0.25">
      <c r="C98" s="156"/>
      <c r="D98" s="2"/>
      <c r="F98" s="2"/>
      <c r="G98" s="2"/>
    </row>
    <row r="99" spans="3:7" x14ac:dyDescent="0.25">
      <c r="C99" s="156"/>
      <c r="D99" s="2"/>
      <c r="F99" s="2"/>
      <c r="G99" s="2"/>
    </row>
    <row r="100" spans="3:7" x14ac:dyDescent="0.25">
      <c r="C100" s="156"/>
      <c r="D100" s="2"/>
      <c r="F100" s="2"/>
      <c r="G100" s="2"/>
    </row>
    <row r="101" spans="3:7" x14ac:dyDescent="0.25">
      <c r="C101" s="156"/>
      <c r="D101" s="2"/>
      <c r="F101" s="2"/>
      <c r="G101" s="2"/>
    </row>
    <row r="102" spans="3:7" x14ac:dyDescent="0.25">
      <c r="C102" s="156"/>
      <c r="D102" s="2"/>
      <c r="F102" s="2"/>
      <c r="G102" s="2"/>
    </row>
    <row r="103" spans="3:7" x14ac:dyDescent="0.25">
      <c r="C103" s="156"/>
      <c r="D103" s="2"/>
      <c r="F103" s="2"/>
      <c r="G103" s="2"/>
    </row>
    <row r="104" spans="3:7" x14ac:dyDescent="0.25">
      <c r="C104" s="156"/>
      <c r="D104" s="2"/>
      <c r="F104" s="2"/>
      <c r="G104" s="2"/>
    </row>
    <row r="105" spans="3:7" x14ac:dyDescent="0.25">
      <c r="C105" s="156"/>
      <c r="D105" s="2"/>
      <c r="F105" s="2"/>
      <c r="G105" s="2"/>
    </row>
    <row r="106" spans="3:7" x14ac:dyDescent="0.25">
      <c r="C106" s="156"/>
      <c r="D106" s="2"/>
      <c r="F106" s="2"/>
      <c r="G106" s="2"/>
    </row>
    <row r="107" spans="3:7" x14ac:dyDescent="0.25">
      <c r="C107" s="156"/>
      <c r="D107" s="2"/>
      <c r="F107" s="2"/>
      <c r="G107" s="2"/>
    </row>
    <row r="108" spans="3:7" x14ac:dyDescent="0.25">
      <c r="C108" s="156"/>
      <c r="D108" s="2"/>
      <c r="F108" s="2"/>
      <c r="G108" s="2"/>
    </row>
    <row r="109" spans="3:7" x14ac:dyDescent="0.25">
      <c r="C109" s="156"/>
      <c r="D109" s="2"/>
      <c r="F109" s="2"/>
      <c r="G109" s="2"/>
    </row>
    <row r="110" spans="3:7" x14ac:dyDescent="0.25">
      <c r="C110" s="156"/>
      <c r="D110" s="2"/>
      <c r="F110" s="2"/>
      <c r="G110" s="2"/>
    </row>
    <row r="111" spans="3:7" x14ac:dyDescent="0.25">
      <c r="C111" s="156"/>
      <c r="D111" s="2"/>
      <c r="F111" s="2"/>
      <c r="G111" s="2"/>
    </row>
    <row r="112" spans="3:7" x14ac:dyDescent="0.25">
      <c r="C112" s="156"/>
      <c r="D112" s="2"/>
      <c r="F112" s="2"/>
      <c r="G112" s="2"/>
    </row>
    <row r="113" spans="3:7" x14ac:dyDescent="0.25">
      <c r="C113" s="156"/>
      <c r="D113" s="2"/>
      <c r="F113" s="2"/>
      <c r="G113" s="2"/>
    </row>
    <row r="114" spans="3:7" x14ac:dyDescent="0.25">
      <c r="C114" s="156"/>
      <c r="D114" s="2"/>
      <c r="F114" s="2"/>
      <c r="G114" s="2"/>
    </row>
    <row r="115" spans="3:7" x14ac:dyDescent="0.25">
      <c r="C115" s="156"/>
      <c r="D115" s="2"/>
      <c r="F115" s="2"/>
      <c r="G115" s="2"/>
    </row>
    <row r="116" spans="3:7" x14ac:dyDescent="0.25">
      <c r="C116" s="156"/>
      <c r="D116" s="2"/>
      <c r="F116" s="2"/>
      <c r="G116" s="2"/>
    </row>
    <row r="117" spans="3:7" x14ac:dyDescent="0.25">
      <c r="C117" s="156"/>
      <c r="D117" s="2"/>
      <c r="F117" s="2"/>
      <c r="G117" s="2"/>
    </row>
    <row r="118" spans="3:7" x14ac:dyDescent="0.25">
      <c r="C118" s="156"/>
      <c r="D118" s="2"/>
      <c r="F118" s="2"/>
      <c r="G118" s="2"/>
    </row>
    <row r="119" spans="3:7" x14ac:dyDescent="0.25">
      <c r="C119" s="156"/>
      <c r="D119" s="2"/>
      <c r="F119" s="2"/>
      <c r="G119" s="2"/>
    </row>
    <row r="120" spans="3:7" x14ac:dyDescent="0.25">
      <c r="C120" s="156"/>
      <c r="D120" s="2"/>
      <c r="F120" s="2"/>
      <c r="G120" s="2"/>
    </row>
    <row r="121" spans="3:7" x14ac:dyDescent="0.25">
      <c r="C121" s="156"/>
      <c r="D121" s="2"/>
      <c r="F121" s="2"/>
      <c r="G121" s="2"/>
    </row>
    <row r="122" spans="3:7" x14ac:dyDescent="0.25">
      <c r="C122" s="156"/>
      <c r="D122" s="2"/>
      <c r="F122" s="2"/>
      <c r="G122" s="2"/>
    </row>
    <row r="123" spans="3:7" x14ac:dyDescent="0.25">
      <c r="C123" s="156"/>
      <c r="D123" s="2"/>
      <c r="F123" s="2"/>
      <c r="G123" s="2"/>
    </row>
    <row r="124" spans="3:7" x14ac:dyDescent="0.25">
      <c r="C124" s="156"/>
      <c r="D124" s="2"/>
      <c r="F124" s="2"/>
      <c r="G124" s="2"/>
    </row>
    <row r="125" spans="3:7" x14ac:dyDescent="0.25">
      <c r="C125" s="156"/>
      <c r="D125" s="2"/>
      <c r="F125" s="2"/>
      <c r="G125" s="2"/>
    </row>
    <row r="126" spans="3:7" x14ac:dyDescent="0.25">
      <c r="C126" s="156"/>
      <c r="D126" s="2"/>
      <c r="F126" s="2"/>
      <c r="G126" s="2"/>
    </row>
    <row r="127" spans="3:7" x14ac:dyDescent="0.25">
      <c r="C127" s="156"/>
      <c r="D127" s="2"/>
      <c r="F127" s="2"/>
      <c r="G127" s="2"/>
    </row>
    <row r="128" spans="3:7" x14ac:dyDescent="0.25">
      <c r="C128" s="156"/>
      <c r="D128" s="2"/>
      <c r="F128" s="2"/>
      <c r="G128" s="2"/>
    </row>
    <row r="129" spans="3:7" x14ac:dyDescent="0.25">
      <c r="C129" s="156"/>
      <c r="D129" s="2"/>
      <c r="F129" s="2"/>
      <c r="G129" s="2"/>
    </row>
    <row r="130" spans="3:7" x14ac:dyDescent="0.25">
      <c r="C130" s="156"/>
      <c r="D130" s="2"/>
      <c r="F130" s="2"/>
      <c r="G130" s="2"/>
    </row>
    <row r="131" spans="3:7" x14ac:dyDescent="0.25">
      <c r="C131" s="156"/>
      <c r="D131" s="2"/>
      <c r="F131" s="2"/>
      <c r="G131" s="2"/>
    </row>
    <row r="132" spans="3:7" x14ac:dyDescent="0.25">
      <c r="C132" s="156"/>
      <c r="D132" s="2"/>
      <c r="F132" s="2"/>
      <c r="G132" s="2"/>
    </row>
    <row r="133" spans="3:7" x14ac:dyDescent="0.25">
      <c r="C133" s="156"/>
      <c r="D133" s="2"/>
      <c r="F133" s="2"/>
      <c r="G133" s="2"/>
    </row>
    <row r="134" spans="3:7" x14ac:dyDescent="0.25">
      <c r="C134" s="156"/>
      <c r="D134" s="2"/>
      <c r="F134" s="2"/>
      <c r="G134" s="2"/>
    </row>
    <row r="135" spans="3:7" x14ac:dyDescent="0.25">
      <c r="C135" s="156"/>
      <c r="D135" s="2"/>
      <c r="F135" s="2"/>
      <c r="G135" s="2"/>
    </row>
    <row r="136" spans="3:7" x14ac:dyDescent="0.25">
      <c r="C136" s="156"/>
      <c r="D136" s="2"/>
      <c r="F136" s="2"/>
      <c r="G136" s="2"/>
    </row>
    <row r="137" spans="3:7" x14ac:dyDescent="0.25">
      <c r="C137" s="156"/>
      <c r="D137" s="2"/>
      <c r="F137" s="2"/>
      <c r="G137" s="2"/>
    </row>
    <row r="138" spans="3:7" x14ac:dyDescent="0.25">
      <c r="C138" s="156"/>
      <c r="D138" s="2"/>
      <c r="F138" s="2"/>
      <c r="G138" s="2"/>
    </row>
    <row r="139" spans="3:7" x14ac:dyDescent="0.25">
      <c r="C139" s="156"/>
      <c r="D139" s="2"/>
      <c r="F139" s="2"/>
      <c r="G139" s="2"/>
    </row>
    <row r="140" spans="3:7" x14ac:dyDescent="0.25">
      <c r="C140" s="156"/>
      <c r="D140" s="2"/>
      <c r="F140" s="2"/>
      <c r="G140" s="2"/>
    </row>
    <row r="141" spans="3:7" x14ac:dyDescent="0.25">
      <c r="C141" s="156"/>
      <c r="D141" s="2"/>
      <c r="F141" s="2"/>
      <c r="G141" s="2"/>
    </row>
    <row r="142" spans="3:7" x14ac:dyDescent="0.25">
      <c r="C142" s="156"/>
      <c r="D142" s="2"/>
      <c r="F142" s="2"/>
      <c r="G142" s="2"/>
    </row>
    <row r="143" spans="3:7" x14ac:dyDescent="0.25">
      <c r="C143" s="156"/>
      <c r="D143" s="2"/>
      <c r="F143" s="2"/>
      <c r="G143" s="2"/>
    </row>
    <row r="144" spans="3:7" x14ac:dyDescent="0.25">
      <c r="C144" s="156"/>
      <c r="D144" s="2"/>
      <c r="F144" s="2"/>
      <c r="G144" s="2"/>
    </row>
    <row r="145" spans="3:7" x14ac:dyDescent="0.25">
      <c r="C145" s="156"/>
      <c r="D145" s="2"/>
      <c r="F145" s="2"/>
      <c r="G145" s="2"/>
    </row>
    <row r="146" spans="3:7" x14ac:dyDescent="0.25">
      <c r="C146" s="156"/>
      <c r="D146" s="2"/>
      <c r="F146" s="2"/>
      <c r="G146" s="2"/>
    </row>
    <row r="147" spans="3:7" x14ac:dyDescent="0.25">
      <c r="C147" s="156"/>
      <c r="D147" s="2"/>
      <c r="F147" s="2"/>
      <c r="G147" s="2"/>
    </row>
    <row r="148" spans="3:7" x14ac:dyDescent="0.25">
      <c r="C148" s="156"/>
      <c r="D148" s="2"/>
      <c r="F148" s="2"/>
      <c r="G148" s="2"/>
    </row>
    <row r="149" spans="3:7" x14ac:dyDescent="0.25">
      <c r="C149" s="156"/>
      <c r="D149" s="2"/>
      <c r="F149" s="2"/>
      <c r="G149" s="2"/>
    </row>
    <row r="150" spans="3:7" x14ac:dyDescent="0.25">
      <c r="C150" s="156"/>
      <c r="D150" s="2"/>
      <c r="F150" s="2"/>
      <c r="G150" s="2"/>
    </row>
    <row r="151" spans="3:7" x14ac:dyDescent="0.25">
      <c r="C151" s="156"/>
      <c r="D151" s="2"/>
      <c r="F151" s="2"/>
      <c r="G151" s="2"/>
    </row>
    <row r="152" spans="3:7" x14ac:dyDescent="0.25">
      <c r="C152" s="156"/>
      <c r="D152" s="2"/>
      <c r="F152" s="2"/>
      <c r="G152" s="2"/>
    </row>
    <row r="153" spans="3:7" x14ac:dyDescent="0.25">
      <c r="C153" s="156"/>
      <c r="D153" s="2"/>
      <c r="F153" s="2"/>
      <c r="G153" s="2"/>
    </row>
    <row r="154" spans="3:7" x14ac:dyDescent="0.25">
      <c r="C154" s="156"/>
      <c r="D154" s="2"/>
      <c r="F154" s="2"/>
      <c r="G154" s="2"/>
    </row>
    <row r="155" spans="3:7" x14ac:dyDescent="0.25">
      <c r="C155" s="156"/>
      <c r="D155" s="2"/>
      <c r="F155" s="2"/>
      <c r="G155" s="2"/>
    </row>
    <row r="156" spans="3:7" x14ac:dyDescent="0.25">
      <c r="C156" s="156"/>
      <c r="D156" s="2"/>
      <c r="F156" s="2"/>
      <c r="G156" s="2"/>
    </row>
    <row r="157" spans="3:7" x14ac:dyDescent="0.25">
      <c r="C157" s="156"/>
      <c r="D157" s="2"/>
      <c r="F157" s="2"/>
      <c r="G157" s="2"/>
    </row>
    <row r="158" spans="3:7" x14ac:dyDescent="0.25">
      <c r="C158" s="156"/>
      <c r="D158" s="2"/>
      <c r="F158" s="2"/>
      <c r="G158" s="2"/>
    </row>
    <row r="159" spans="3:7" x14ac:dyDescent="0.25">
      <c r="C159" s="156"/>
      <c r="D159" s="2"/>
      <c r="F159" s="2"/>
      <c r="G159" s="2"/>
    </row>
    <row r="160" spans="3:7" x14ac:dyDescent="0.25">
      <c r="C160" s="156"/>
      <c r="D160" s="2"/>
      <c r="F160" s="2"/>
      <c r="G160" s="2"/>
    </row>
    <row r="161" spans="3:7" x14ac:dyDescent="0.25">
      <c r="C161" s="156"/>
      <c r="D161" s="2"/>
      <c r="F161" s="2"/>
      <c r="G161" s="2"/>
    </row>
    <row r="162" spans="3:7" x14ac:dyDescent="0.25">
      <c r="C162" s="156"/>
      <c r="D162" s="2"/>
      <c r="F162" s="2"/>
      <c r="G162" s="2"/>
    </row>
    <row r="163" spans="3:7" x14ac:dyDescent="0.25">
      <c r="C163" s="156"/>
      <c r="D163" s="2"/>
      <c r="F163" s="2"/>
      <c r="G163" s="2"/>
    </row>
    <row r="164" spans="3:7" x14ac:dyDescent="0.25">
      <c r="C164" s="156"/>
      <c r="D164" s="2"/>
      <c r="F164" s="2"/>
      <c r="G164" s="2"/>
    </row>
    <row r="165" spans="3:7" x14ac:dyDescent="0.25">
      <c r="C165" s="156"/>
      <c r="D165" s="2"/>
      <c r="F165" s="2"/>
      <c r="G165" s="2"/>
    </row>
    <row r="166" spans="3:7" x14ac:dyDescent="0.25">
      <c r="C166" s="156"/>
      <c r="D166" s="2"/>
      <c r="F166" s="2"/>
      <c r="G166" s="2"/>
    </row>
    <row r="167" spans="3:7" x14ac:dyDescent="0.25">
      <c r="C167" s="156"/>
      <c r="D167" s="2"/>
      <c r="F167" s="2"/>
      <c r="G167" s="2"/>
    </row>
    <row r="168" spans="3:7" x14ac:dyDescent="0.25">
      <c r="C168" s="156"/>
      <c r="D168" s="2"/>
      <c r="F168" s="2"/>
      <c r="G168" s="2"/>
    </row>
    <row r="169" spans="3:7" x14ac:dyDescent="0.25">
      <c r="C169" s="156"/>
      <c r="D169" s="2"/>
      <c r="F169" s="2"/>
      <c r="G169" s="2"/>
    </row>
    <row r="170" spans="3:7" x14ac:dyDescent="0.25">
      <c r="C170" s="156"/>
      <c r="D170" s="2"/>
      <c r="F170" s="2"/>
      <c r="G170" s="2"/>
    </row>
    <row r="171" spans="3:7" x14ac:dyDescent="0.25">
      <c r="C171" s="156"/>
      <c r="D171" s="2"/>
      <c r="F171" s="2"/>
      <c r="G171" s="2"/>
    </row>
    <row r="172" spans="3:7" x14ac:dyDescent="0.25">
      <c r="C172" s="156"/>
      <c r="D172" s="2"/>
      <c r="F172" s="2"/>
      <c r="G172" s="2"/>
    </row>
    <row r="173" spans="3:7" x14ac:dyDescent="0.25">
      <c r="C173" s="156"/>
      <c r="D173" s="2"/>
      <c r="F173" s="2"/>
      <c r="G173" s="2"/>
    </row>
    <row r="174" spans="3:7" x14ac:dyDescent="0.25">
      <c r="C174" s="156"/>
      <c r="D174" s="2"/>
      <c r="F174" s="2"/>
      <c r="G174" s="2"/>
    </row>
    <row r="175" spans="3:7" x14ac:dyDescent="0.25">
      <c r="C175" s="156"/>
      <c r="D175" s="2"/>
      <c r="F175" s="2"/>
      <c r="G175" s="2"/>
    </row>
    <row r="176" spans="3:7" x14ac:dyDescent="0.25">
      <c r="C176" s="156"/>
      <c r="D176" s="2"/>
      <c r="F176" s="2"/>
      <c r="G176" s="2"/>
    </row>
    <row r="177" spans="3:7" x14ac:dyDescent="0.25">
      <c r="C177" s="156"/>
      <c r="D177" s="2"/>
      <c r="F177" s="2"/>
      <c r="G177" s="2"/>
    </row>
    <row r="178" spans="3:7" x14ac:dyDescent="0.25">
      <c r="C178" s="156"/>
      <c r="D178" s="2"/>
      <c r="F178" s="2"/>
      <c r="G178" s="2"/>
    </row>
    <row r="179" spans="3:7" x14ac:dyDescent="0.25">
      <c r="C179" s="156"/>
      <c r="D179" s="2"/>
      <c r="F179" s="2"/>
      <c r="G179" s="2"/>
    </row>
    <row r="180" spans="3:7" x14ac:dyDescent="0.25">
      <c r="C180" s="156"/>
      <c r="D180" s="2"/>
      <c r="F180" s="2"/>
      <c r="G180" s="2"/>
    </row>
    <row r="181" spans="3:7" x14ac:dyDescent="0.25">
      <c r="C181" s="156"/>
      <c r="D181" s="2"/>
      <c r="F181" s="2"/>
      <c r="G181" s="2"/>
    </row>
    <row r="182" spans="3:7" x14ac:dyDescent="0.25">
      <c r="C182" s="156"/>
      <c r="D182" s="2"/>
      <c r="F182" s="2"/>
      <c r="G182" s="2"/>
    </row>
    <row r="183" spans="3:7" x14ac:dyDescent="0.25">
      <c r="C183" s="156"/>
      <c r="D183" s="2"/>
      <c r="F183" s="2"/>
      <c r="G183" s="2"/>
    </row>
    <row r="184" spans="3:7" x14ac:dyDescent="0.25">
      <c r="C184" s="156"/>
      <c r="D184" s="2"/>
      <c r="F184" s="2"/>
      <c r="G184" s="2"/>
    </row>
    <row r="185" spans="3:7" x14ac:dyDescent="0.25">
      <c r="C185" s="156"/>
      <c r="D185" s="2"/>
      <c r="F185" s="2"/>
      <c r="G185" s="2"/>
    </row>
    <row r="186" spans="3:7" x14ac:dyDescent="0.25">
      <c r="C186" s="156"/>
      <c r="D186" s="2"/>
      <c r="F186" s="2"/>
      <c r="G186" s="2"/>
    </row>
    <row r="187" spans="3:7" x14ac:dyDescent="0.25">
      <c r="C187" s="156"/>
      <c r="D187" s="2"/>
      <c r="F187" s="2"/>
      <c r="G187" s="2"/>
    </row>
    <row r="188" spans="3:7" x14ac:dyDescent="0.25">
      <c r="C188" s="156"/>
      <c r="D188" s="2"/>
      <c r="F188" s="2"/>
      <c r="G188" s="2"/>
    </row>
    <row r="189" spans="3:7" x14ac:dyDescent="0.25">
      <c r="C189" s="156"/>
      <c r="D189" s="2"/>
      <c r="F189" s="2"/>
      <c r="G189" s="2"/>
    </row>
    <row r="190" spans="3:7" x14ac:dyDescent="0.25">
      <c r="C190" s="156"/>
      <c r="D190" s="2"/>
      <c r="F190" s="2"/>
      <c r="G190" s="2"/>
    </row>
    <row r="191" spans="3:7" x14ac:dyDescent="0.25">
      <c r="C191" s="156"/>
      <c r="D191" s="2"/>
      <c r="F191" s="2"/>
      <c r="G191" s="2"/>
    </row>
    <row r="192" spans="3:7" x14ac:dyDescent="0.25">
      <c r="C192" s="156"/>
      <c r="D192" s="2"/>
      <c r="F192" s="2"/>
      <c r="G192" s="2"/>
    </row>
    <row r="193" spans="3:7" x14ac:dyDescent="0.25">
      <c r="C193" s="156"/>
      <c r="D193" s="2"/>
      <c r="F193" s="2"/>
      <c r="G193" s="2"/>
    </row>
    <row r="194" spans="3:7" x14ac:dyDescent="0.25">
      <c r="C194" s="156"/>
      <c r="D194" s="2"/>
      <c r="F194" s="2"/>
      <c r="G194" s="2"/>
    </row>
    <row r="195" spans="3:7" x14ac:dyDescent="0.25">
      <c r="C195" s="156"/>
      <c r="D195" s="2"/>
      <c r="F195" s="2"/>
      <c r="G195" s="2"/>
    </row>
    <row r="196" spans="3:7" x14ac:dyDescent="0.25">
      <c r="C196" s="156"/>
      <c r="D196" s="2"/>
      <c r="F196" s="2"/>
      <c r="G196" s="2"/>
    </row>
    <row r="197" spans="3:7" x14ac:dyDescent="0.25">
      <c r="C197" s="156"/>
      <c r="D197" s="2"/>
      <c r="F197" s="2"/>
      <c r="G197" s="2"/>
    </row>
    <row r="198" spans="3:7" x14ac:dyDescent="0.25">
      <c r="C198" s="156"/>
      <c r="D198" s="2"/>
      <c r="F198" s="2"/>
      <c r="G198" s="2"/>
    </row>
    <row r="199" spans="3:7" x14ac:dyDescent="0.25">
      <c r="C199" s="156"/>
      <c r="D199" s="2"/>
      <c r="F199" s="2"/>
      <c r="G199" s="2"/>
    </row>
    <row r="200" spans="3:7" x14ac:dyDescent="0.25">
      <c r="C200" s="156"/>
      <c r="D200" s="2"/>
      <c r="F200" s="2"/>
      <c r="G200" s="2"/>
    </row>
    <row r="201" spans="3:7" x14ac:dyDescent="0.25">
      <c r="C201" s="156"/>
      <c r="D201" s="2"/>
      <c r="F201" s="2"/>
      <c r="G201" s="2"/>
    </row>
    <row r="202" spans="3:7" x14ac:dyDescent="0.25">
      <c r="C202" s="156"/>
      <c r="D202" s="2"/>
      <c r="F202" s="2"/>
      <c r="G202" s="2"/>
    </row>
    <row r="203" spans="3:7" x14ac:dyDescent="0.25">
      <c r="C203" s="156"/>
      <c r="D203" s="2"/>
      <c r="F203" s="2"/>
      <c r="G203" s="2"/>
    </row>
    <row r="204" spans="3:7" x14ac:dyDescent="0.25">
      <c r="C204" s="156"/>
      <c r="D204" s="2"/>
      <c r="F204" s="2"/>
      <c r="G204" s="2"/>
    </row>
    <row r="205" spans="3:7" x14ac:dyDescent="0.25">
      <c r="C205" s="156"/>
      <c r="D205" s="2"/>
      <c r="F205" s="2"/>
      <c r="G205" s="2"/>
    </row>
    <row r="206" spans="3:7" x14ac:dyDescent="0.25">
      <c r="C206" s="156"/>
      <c r="D206" s="2"/>
      <c r="F206" s="2"/>
      <c r="G206" s="2"/>
    </row>
    <row r="207" spans="3:7" x14ac:dyDescent="0.25">
      <c r="C207" s="156"/>
      <c r="D207" s="2"/>
      <c r="F207" s="2"/>
      <c r="G207" s="2"/>
    </row>
    <row r="208" spans="3:7" x14ac:dyDescent="0.25">
      <c r="C208" s="156"/>
      <c r="D208" s="2"/>
      <c r="F208" s="2"/>
      <c r="G208" s="2"/>
    </row>
    <row r="209" spans="3:7" x14ac:dyDescent="0.25">
      <c r="C209" s="156"/>
      <c r="D209" s="2"/>
      <c r="F209" s="2"/>
      <c r="G209" s="2"/>
    </row>
    <row r="210" spans="3:7" x14ac:dyDescent="0.25">
      <c r="C210" s="156"/>
      <c r="D210" s="2"/>
      <c r="F210" s="2"/>
      <c r="G210" s="2"/>
    </row>
    <row r="211" spans="3:7" x14ac:dyDescent="0.25">
      <c r="C211" s="156"/>
      <c r="D211" s="2"/>
      <c r="F211" s="2"/>
      <c r="G211" s="2"/>
    </row>
    <row r="212" spans="3:7" x14ac:dyDescent="0.25">
      <c r="C212" s="156"/>
      <c r="D212" s="2"/>
      <c r="F212" s="2"/>
      <c r="G212" s="2"/>
    </row>
    <row r="213" spans="3:7" x14ac:dyDescent="0.25">
      <c r="C213" s="156"/>
      <c r="D213" s="2"/>
      <c r="F213" s="2"/>
      <c r="G213" s="2"/>
    </row>
    <row r="214" spans="3:7" x14ac:dyDescent="0.25">
      <c r="C214" s="156"/>
      <c r="D214" s="2"/>
      <c r="F214" s="2"/>
      <c r="G214" s="2"/>
    </row>
    <row r="215" spans="3:7" x14ac:dyDescent="0.25">
      <c r="C215" s="156"/>
      <c r="D215" s="2"/>
      <c r="F215" s="2"/>
      <c r="G215" s="2"/>
    </row>
    <row r="216" spans="3:7" x14ac:dyDescent="0.25">
      <c r="C216" s="156"/>
      <c r="D216" s="2"/>
      <c r="F216" s="2"/>
      <c r="G216" s="2"/>
    </row>
    <row r="217" spans="3:7" x14ac:dyDescent="0.25">
      <c r="C217" s="156"/>
      <c r="D217" s="2"/>
      <c r="F217" s="2"/>
      <c r="G217" s="2"/>
    </row>
    <row r="218" spans="3:7" x14ac:dyDescent="0.25">
      <c r="C218" s="156"/>
      <c r="D218" s="2"/>
      <c r="F218" s="2"/>
      <c r="G218" s="2"/>
    </row>
    <row r="219" spans="3:7" x14ac:dyDescent="0.25">
      <c r="C219" s="156"/>
      <c r="D219" s="2"/>
      <c r="F219" s="2"/>
      <c r="G219" s="2"/>
    </row>
    <row r="220" spans="3:7" x14ac:dyDescent="0.25">
      <c r="C220" s="156"/>
      <c r="D220" s="2"/>
      <c r="F220" s="2"/>
      <c r="G220" s="2"/>
    </row>
    <row r="221" spans="3:7" x14ac:dyDescent="0.25">
      <c r="C221" s="156"/>
      <c r="D221" s="2"/>
      <c r="F221" s="2"/>
      <c r="G221" s="2"/>
    </row>
    <row r="222" spans="3:7" x14ac:dyDescent="0.25">
      <c r="C222" s="156"/>
      <c r="D222" s="2"/>
      <c r="F222" s="2"/>
      <c r="G222" s="2"/>
    </row>
    <row r="223" spans="3:7" x14ac:dyDescent="0.25">
      <c r="C223" s="156"/>
      <c r="D223" s="2"/>
      <c r="F223" s="2"/>
      <c r="G223" s="2"/>
    </row>
    <row r="224" spans="3:7" x14ac:dyDescent="0.25">
      <c r="C224" s="156"/>
      <c r="D224" s="2"/>
      <c r="F224" s="2"/>
      <c r="G224" s="2"/>
    </row>
    <row r="225" spans="3:7" x14ac:dyDescent="0.25">
      <c r="C225" s="156"/>
      <c r="D225" s="2"/>
      <c r="F225" s="2"/>
      <c r="G225" s="2"/>
    </row>
    <row r="226" spans="3:7" x14ac:dyDescent="0.25">
      <c r="C226" s="156"/>
      <c r="D226" s="2"/>
      <c r="F226" s="2"/>
      <c r="G226" s="2"/>
    </row>
    <row r="227" spans="3:7" x14ac:dyDescent="0.25">
      <c r="C227" s="156"/>
      <c r="D227" s="2"/>
      <c r="F227" s="2"/>
      <c r="G227" s="2"/>
    </row>
    <row r="228" spans="3:7" x14ac:dyDescent="0.25">
      <c r="C228" s="156"/>
      <c r="D228" s="2"/>
      <c r="F228" s="2"/>
      <c r="G228" s="2"/>
    </row>
    <row r="229" spans="3:7" x14ac:dyDescent="0.25">
      <c r="C229" s="156"/>
      <c r="D229" s="2"/>
      <c r="F229" s="2"/>
      <c r="G229" s="2"/>
    </row>
    <row r="230" spans="3:7" x14ac:dyDescent="0.25">
      <c r="C230" s="156"/>
      <c r="D230" s="2"/>
      <c r="F230" s="2"/>
      <c r="G230" s="2"/>
    </row>
    <row r="231" spans="3:7" x14ac:dyDescent="0.25">
      <c r="C231" s="156"/>
      <c r="D231" s="2"/>
      <c r="F231" s="2"/>
      <c r="G231" s="2"/>
    </row>
    <row r="232" spans="3:7" x14ac:dyDescent="0.25">
      <c r="C232" s="156"/>
      <c r="D232" s="2"/>
      <c r="F232" s="2"/>
      <c r="G232" s="2"/>
    </row>
    <row r="233" spans="3:7" x14ac:dyDescent="0.25">
      <c r="C233" s="156"/>
      <c r="D233" s="2"/>
      <c r="F233" s="2"/>
      <c r="G233" s="2"/>
    </row>
    <row r="234" spans="3:7" x14ac:dyDescent="0.25">
      <c r="C234" s="156"/>
      <c r="D234" s="2"/>
      <c r="F234" s="2"/>
      <c r="G234" s="2"/>
    </row>
    <row r="235" spans="3:7" x14ac:dyDescent="0.25">
      <c r="C235" s="156"/>
      <c r="D235" s="2"/>
      <c r="F235" s="2"/>
      <c r="G235" s="2"/>
    </row>
    <row r="236" spans="3:7" x14ac:dyDescent="0.25">
      <c r="C236" s="156"/>
      <c r="D236" s="2"/>
      <c r="F236" s="2"/>
      <c r="G236" s="2"/>
    </row>
    <row r="237" spans="3:7" x14ac:dyDescent="0.25">
      <c r="F237" s="2"/>
    </row>
    <row r="238" spans="3:7" x14ac:dyDescent="0.25">
      <c r="F238" s="2"/>
    </row>
    <row r="239" spans="3:7" x14ac:dyDescent="0.25">
      <c r="F239" s="2"/>
    </row>
    <row r="240" spans="3:7" x14ac:dyDescent="0.25">
      <c r="F240" s="2"/>
    </row>
    <row r="241" spans="6:6" x14ac:dyDescent="0.25">
      <c r="F241" s="2"/>
    </row>
    <row r="242" spans="6:6" x14ac:dyDescent="0.25">
      <c r="F242" s="2"/>
    </row>
    <row r="243" spans="6:6" x14ac:dyDescent="0.25">
      <c r="F243" s="2"/>
    </row>
    <row r="244" spans="6:6" x14ac:dyDescent="0.25">
      <c r="F244" s="2"/>
    </row>
    <row r="245" spans="6:6" x14ac:dyDescent="0.25">
      <c r="F245" s="2"/>
    </row>
    <row r="246" spans="6:6" x14ac:dyDescent="0.25">
      <c r="F246" s="2"/>
    </row>
    <row r="247" spans="6:6" x14ac:dyDescent="0.25">
      <c r="F247" s="2"/>
    </row>
    <row r="248" spans="6:6" x14ac:dyDescent="0.25">
      <c r="F248" s="2"/>
    </row>
    <row r="249" spans="6:6" x14ac:dyDescent="0.25">
      <c r="F249" s="2"/>
    </row>
    <row r="250" spans="6:6" x14ac:dyDescent="0.25">
      <c r="F250" s="2"/>
    </row>
    <row r="251" spans="6:6" x14ac:dyDescent="0.25">
      <c r="F251" s="2"/>
    </row>
    <row r="252" spans="6:6" x14ac:dyDescent="0.25">
      <c r="F252" s="2"/>
    </row>
    <row r="253" spans="6:6" x14ac:dyDescent="0.25">
      <c r="F253" s="2"/>
    </row>
    <row r="254" spans="6:6" x14ac:dyDescent="0.25">
      <c r="F254" s="2"/>
    </row>
    <row r="255" spans="6:6" x14ac:dyDescent="0.25">
      <c r="F255" s="2"/>
    </row>
    <row r="256" spans="6:6" x14ac:dyDescent="0.25">
      <c r="F256" s="2"/>
    </row>
    <row r="257" spans="6:6" x14ac:dyDescent="0.25">
      <c r="F257" s="2"/>
    </row>
    <row r="258" spans="6:6" x14ac:dyDescent="0.25">
      <c r="F258" s="2"/>
    </row>
    <row r="259" spans="6:6" x14ac:dyDescent="0.25">
      <c r="F259" s="2"/>
    </row>
    <row r="260" spans="6:6" x14ac:dyDescent="0.25">
      <c r="F260" s="2"/>
    </row>
    <row r="261" spans="6:6" x14ac:dyDescent="0.25">
      <c r="F261" s="2"/>
    </row>
    <row r="262" spans="6:6" x14ac:dyDescent="0.25">
      <c r="F262" s="2"/>
    </row>
    <row r="263" spans="6:6" x14ac:dyDescent="0.25">
      <c r="F263" s="2"/>
    </row>
    <row r="264" spans="6:6" x14ac:dyDescent="0.25">
      <c r="F264" s="2"/>
    </row>
    <row r="265" spans="6:6" x14ac:dyDescent="0.25">
      <c r="F265" s="2"/>
    </row>
    <row r="266" spans="6:6" x14ac:dyDescent="0.25">
      <c r="F266" s="2"/>
    </row>
    <row r="267" spans="6:6" x14ac:dyDescent="0.25">
      <c r="F267" s="2"/>
    </row>
    <row r="268" spans="6:6" x14ac:dyDescent="0.25">
      <c r="F268" s="2"/>
    </row>
    <row r="269" spans="6:6" x14ac:dyDescent="0.25">
      <c r="F269" s="2"/>
    </row>
    <row r="270" spans="6:6" x14ac:dyDescent="0.25">
      <c r="F270" s="2"/>
    </row>
    <row r="271" spans="6:6" x14ac:dyDescent="0.25">
      <c r="F271" s="2"/>
    </row>
    <row r="272" spans="6:6" x14ac:dyDescent="0.25">
      <c r="F272" s="2"/>
    </row>
    <row r="273" spans="6:6" x14ac:dyDescent="0.25">
      <c r="F273" s="2"/>
    </row>
    <row r="274" spans="6:6" x14ac:dyDescent="0.25">
      <c r="F274" s="2"/>
    </row>
    <row r="275" spans="6:6" x14ac:dyDescent="0.25">
      <c r="F275" s="2"/>
    </row>
    <row r="276" spans="6:6" x14ac:dyDescent="0.25">
      <c r="F276" s="2"/>
    </row>
    <row r="277" spans="6:6" x14ac:dyDescent="0.25">
      <c r="F277" s="2"/>
    </row>
    <row r="278" spans="6:6" x14ac:dyDescent="0.25">
      <c r="F278" s="2"/>
    </row>
    <row r="279" spans="6:6" x14ac:dyDescent="0.25">
      <c r="F279" s="2"/>
    </row>
    <row r="280" spans="6:6" x14ac:dyDescent="0.25">
      <c r="F280" s="2"/>
    </row>
    <row r="281" spans="6:6" x14ac:dyDescent="0.25">
      <c r="F281" s="2"/>
    </row>
    <row r="282" spans="6:6" x14ac:dyDescent="0.25">
      <c r="F282" s="2"/>
    </row>
    <row r="283" spans="6:6" x14ac:dyDescent="0.25">
      <c r="F283" s="2"/>
    </row>
    <row r="284" spans="6:6" x14ac:dyDescent="0.25">
      <c r="F284" s="2"/>
    </row>
    <row r="285" spans="6:6" x14ac:dyDescent="0.25">
      <c r="F285" s="2"/>
    </row>
    <row r="286" spans="6:6" x14ac:dyDescent="0.25">
      <c r="F286" s="2"/>
    </row>
    <row r="287" spans="6:6" x14ac:dyDescent="0.25">
      <c r="F287" s="2"/>
    </row>
    <row r="288" spans="6:6" x14ac:dyDescent="0.25">
      <c r="F288" s="2"/>
    </row>
    <row r="289" spans="6:6" x14ac:dyDescent="0.25">
      <c r="F289" s="2"/>
    </row>
    <row r="290" spans="6:6" x14ac:dyDescent="0.25">
      <c r="F290" s="2"/>
    </row>
    <row r="291" spans="6:6" x14ac:dyDescent="0.25">
      <c r="F291" s="2"/>
    </row>
    <row r="292" spans="6:6" x14ac:dyDescent="0.25">
      <c r="F292" s="2"/>
    </row>
    <row r="293" spans="6:6" x14ac:dyDescent="0.25">
      <c r="F293" s="2"/>
    </row>
    <row r="294" spans="6:6" x14ac:dyDescent="0.25">
      <c r="F294" s="2"/>
    </row>
    <row r="295" spans="6:6" x14ac:dyDescent="0.25">
      <c r="F295" s="2"/>
    </row>
    <row r="296" spans="6:6" x14ac:dyDescent="0.25">
      <c r="F296" s="2"/>
    </row>
    <row r="297" spans="6:6" x14ac:dyDescent="0.25">
      <c r="F297" s="2"/>
    </row>
    <row r="298" spans="6:6" x14ac:dyDescent="0.25">
      <c r="F298" s="2"/>
    </row>
    <row r="299" spans="6:6" x14ac:dyDescent="0.25">
      <c r="F299" s="2"/>
    </row>
    <row r="300" spans="6:6" x14ac:dyDescent="0.25">
      <c r="F300" s="2"/>
    </row>
    <row r="301" spans="6:6" x14ac:dyDescent="0.25">
      <c r="F301" s="2"/>
    </row>
    <row r="302" spans="6:6" x14ac:dyDescent="0.25">
      <c r="F302" s="2"/>
    </row>
    <row r="303" spans="6:6" x14ac:dyDescent="0.25">
      <c r="F303" s="2"/>
    </row>
    <row r="304" spans="6:6" x14ac:dyDescent="0.25">
      <c r="F304" s="2"/>
    </row>
    <row r="305" spans="6:6" x14ac:dyDescent="0.25">
      <c r="F305" s="2"/>
    </row>
    <row r="306" spans="6:6" x14ac:dyDescent="0.25">
      <c r="F306" s="2"/>
    </row>
    <row r="307" spans="6:6" x14ac:dyDescent="0.25">
      <c r="F307" s="2"/>
    </row>
    <row r="308" spans="6:6" x14ac:dyDescent="0.25">
      <c r="F308" s="2"/>
    </row>
    <row r="309" spans="6:6" x14ac:dyDescent="0.25">
      <c r="F309" s="2"/>
    </row>
  </sheetData>
  <sortState xmlns:xlrd2="http://schemas.microsoft.com/office/spreadsheetml/2017/richdata2" ref="A4:H19">
    <sortCondition ref="A4"/>
  </sortState>
  <mergeCells count="2">
    <mergeCell ref="A1:G2"/>
    <mergeCell ref="N1:T1"/>
  </mergeCells>
  <conditionalFormatting sqref="A4:G999">
    <cfRule type="expression" dxfId="33" priority="1">
      <formula>AND($A4&lt;&gt;"",MOD(ROW(),2)=0)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4690D-D678-41CF-A64C-700E926F2E95}">
  <sheetPr codeName="shBillEntries"/>
  <dimension ref="A1:Z149"/>
  <sheetViews>
    <sheetView zoomScale="90" zoomScaleNormal="90" workbookViewId="0">
      <selection activeCell="J4" sqref="J4:J33"/>
    </sheetView>
  </sheetViews>
  <sheetFormatPr baseColWidth="10" defaultColWidth="9.140625" defaultRowHeight="15" x14ac:dyDescent="0.25"/>
  <cols>
    <col min="1" max="2" width="8.7109375" customWidth="1"/>
    <col min="3" max="3" width="21.42578125" bestFit="1" customWidth="1"/>
    <col min="4" max="4" width="8.7109375" customWidth="1"/>
    <col min="5" max="5" width="26.85546875" bestFit="1" customWidth="1"/>
    <col min="6" max="6" width="7.140625" bestFit="1" customWidth="1"/>
    <col min="7" max="7" width="16" customWidth="1"/>
    <col min="8" max="8" width="12.7109375" style="2" customWidth="1"/>
    <col min="9" max="9" width="9.7109375" style="55" customWidth="1"/>
    <col min="10" max="10" width="86.28515625" bestFit="1" customWidth="1"/>
    <col min="11" max="11" width="12.42578125" customWidth="1"/>
    <col min="12" max="12" width="8.7109375" style="2" customWidth="1"/>
    <col min="13" max="13" width="6.7109375" style="2" customWidth="1"/>
    <col min="14" max="16" width="2.7109375" customWidth="1"/>
    <col min="19" max="20" width="2.7109375" customWidth="1"/>
    <col min="21" max="21" width="8.7109375" customWidth="1"/>
    <col min="22" max="22" width="12.7109375" style="2" customWidth="1"/>
    <col min="23" max="23" width="86.28515625" bestFit="1" customWidth="1"/>
    <col min="24" max="24" width="7.7109375" style="55" customWidth="1"/>
    <col min="25" max="25" width="8.7109375" style="2" customWidth="1"/>
    <col min="26" max="26" width="6.7109375" style="2" customWidth="1"/>
  </cols>
  <sheetData>
    <row r="1" spans="1:26" ht="14.45" customHeight="1" x14ac:dyDescent="0.25">
      <c r="A1" s="11"/>
      <c r="B1" s="59" t="s">
        <v>28</v>
      </c>
      <c r="C1" s="59" t="s">
        <v>30</v>
      </c>
      <c r="D1" s="59" t="s">
        <v>31</v>
      </c>
      <c r="E1" s="59" t="s">
        <v>29</v>
      </c>
      <c r="F1" s="59" t="s">
        <v>37</v>
      </c>
      <c r="G1" s="59" t="s">
        <v>32</v>
      </c>
      <c r="H1" s="59" t="s">
        <v>156</v>
      </c>
      <c r="I1" s="60" t="s">
        <v>157</v>
      </c>
      <c r="J1" s="59" t="s">
        <v>29</v>
      </c>
      <c r="K1" s="59" t="s">
        <v>154</v>
      </c>
      <c r="L1" s="59" t="s">
        <v>155</v>
      </c>
      <c r="M1" s="59"/>
      <c r="Q1" s="186" t="s">
        <v>38</v>
      </c>
      <c r="R1" s="187"/>
      <c r="U1" s="184" t="s">
        <v>92</v>
      </c>
      <c r="V1" s="185"/>
      <c r="W1" s="185"/>
      <c r="X1" s="185"/>
      <c r="Y1" s="185"/>
      <c r="Z1" s="185"/>
    </row>
    <row r="2" spans="1:26" ht="25.5" x14ac:dyDescent="0.25">
      <c r="A2" s="183" t="s">
        <v>91</v>
      </c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Q2" s="104" t="s">
        <v>94</v>
      </c>
      <c r="R2" s="104" t="s">
        <v>1</v>
      </c>
      <c r="U2" s="52" t="s">
        <v>93</v>
      </c>
      <c r="V2" s="56" t="s">
        <v>4</v>
      </c>
      <c r="W2" s="56" t="s">
        <v>3</v>
      </c>
      <c r="X2" s="58" t="s">
        <v>0</v>
      </c>
      <c r="Y2" s="56" t="s">
        <v>1</v>
      </c>
      <c r="Z2" s="56" t="s">
        <v>24</v>
      </c>
    </row>
    <row r="3" spans="1:26" ht="25.5" x14ac:dyDescent="0.25">
      <c r="A3" s="52" t="s">
        <v>93</v>
      </c>
      <c r="B3" s="52" t="s">
        <v>102</v>
      </c>
      <c r="C3" s="52" t="s">
        <v>9</v>
      </c>
      <c r="D3" s="52" t="s">
        <v>95</v>
      </c>
      <c r="E3" s="52" t="s">
        <v>17</v>
      </c>
      <c r="F3" s="52" t="s">
        <v>100</v>
      </c>
      <c r="G3" s="52" t="s">
        <v>6</v>
      </c>
      <c r="H3" s="52" t="s">
        <v>4</v>
      </c>
      <c r="I3" s="53" t="s">
        <v>0</v>
      </c>
      <c r="J3" s="52" t="s">
        <v>3</v>
      </c>
      <c r="K3" s="52" t="s">
        <v>22</v>
      </c>
      <c r="L3" s="52" t="s">
        <v>1</v>
      </c>
      <c r="M3" s="52" t="s">
        <v>24</v>
      </c>
      <c r="Q3" s="57">
        <f ca="1">IF(Invoice!B18="","&lt;&gt;",Invoice!B18)</f>
        <v>5</v>
      </c>
      <c r="R3" s="57" t="str">
        <f>IF(Invoice!B16=TRUE,"&lt;&gt;","No")</f>
        <v>&lt;&gt;</v>
      </c>
      <c r="U3" s="2"/>
      <c r="V3" s="21"/>
      <c r="X3" s="83"/>
    </row>
    <row r="4" spans="1:26" x14ac:dyDescent="0.25">
      <c r="A4" s="2">
        <v>1</v>
      </c>
      <c r="B4" s="2">
        <v>1</v>
      </c>
      <c r="C4" t="s">
        <v>79</v>
      </c>
      <c r="D4" s="2">
        <v>1</v>
      </c>
      <c r="E4" t="s">
        <v>117</v>
      </c>
      <c r="F4" s="2">
        <v>1</v>
      </c>
      <c r="G4" t="s">
        <v>124</v>
      </c>
      <c r="H4" s="21">
        <v>45139</v>
      </c>
      <c r="I4" s="82">
        <v>5</v>
      </c>
      <c r="J4" t="s">
        <v>164</v>
      </c>
      <c r="K4" s="61">
        <v>10</v>
      </c>
      <c r="L4" s="16" t="s">
        <v>2</v>
      </c>
      <c r="M4" s="2">
        <f>ROW()</f>
        <v>4</v>
      </c>
      <c r="U4" s="2"/>
      <c r="V4" s="21"/>
      <c r="X4" s="83"/>
    </row>
    <row r="5" spans="1:26" x14ac:dyDescent="0.25">
      <c r="A5" s="2">
        <v>2</v>
      </c>
      <c r="B5" s="2">
        <v>1</v>
      </c>
      <c r="C5" t="s">
        <v>79</v>
      </c>
      <c r="D5" s="2">
        <v>1</v>
      </c>
      <c r="E5" t="s">
        <v>117</v>
      </c>
      <c r="F5" s="2">
        <v>2</v>
      </c>
      <c r="G5" t="s">
        <v>125</v>
      </c>
      <c r="H5" s="21">
        <v>45140</v>
      </c>
      <c r="I5" s="83">
        <v>5</v>
      </c>
      <c r="J5" t="s">
        <v>165</v>
      </c>
      <c r="K5" s="61">
        <v>20</v>
      </c>
      <c r="L5" s="2" t="s">
        <v>2</v>
      </c>
      <c r="M5" s="2">
        <f>ROW()</f>
        <v>5</v>
      </c>
      <c r="U5" s="2"/>
      <c r="V5" s="21"/>
      <c r="X5" s="83"/>
    </row>
    <row r="6" spans="1:26" x14ac:dyDescent="0.25">
      <c r="A6" s="2">
        <v>3</v>
      </c>
      <c r="B6" s="2">
        <v>1</v>
      </c>
      <c r="C6" t="s">
        <v>79</v>
      </c>
      <c r="D6" s="2">
        <v>1</v>
      </c>
      <c r="E6" t="s">
        <v>117</v>
      </c>
      <c r="F6" s="2">
        <v>3</v>
      </c>
      <c r="G6" t="s">
        <v>126</v>
      </c>
      <c r="H6" s="21">
        <v>45141</v>
      </c>
      <c r="I6" s="83">
        <v>6</v>
      </c>
      <c r="J6" t="s">
        <v>166</v>
      </c>
      <c r="K6" s="61">
        <v>30</v>
      </c>
      <c r="L6" s="2" t="s">
        <v>2</v>
      </c>
      <c r="M6" s="2">
        <f>ROW()</f>
        <v>6</v>
      </c>
      <c r="U6" s="2"/>
      <c r="V6" s="21"/>
      <c r="X6" s="83"/>
    </row>
    <row r="7" spans="1:26" x14ac:dyDescent="0.25">
      <c r="A7" s="2">
        <v>4</v>
      </c>
      <c r="B7" s="2">
        <v>2</v>
      </c>
      <c r="C7" t="s">
        <v>86</v>
      </c>
      <c r="D7" s="2">
        <v>2</v>
      </c>
      <c r="E7" t="s">
        <v>118</v>
      </c>
      <c r="F7" s="2">
        <v>4</v>
      </c>
      <c r="G7" t="s">
        <v>127</v>
      </c>
      <c r="H7" s="21">
        <v>45142</v>
      </c>
      <c r="I7" s="83">
        <v>6</v>
      </c>
      <c r="J7" t="s">
        <v>167</v>
      </c>
      <c r="K7" s="61">
        <v>40</v>
      </c>
      <c r="L7" s="2" t="s">
        <v>2</v>
      </c>
      <c r="M7" s="2">
        <f>ROW()</f>
        <v>7</v>
      </c>
      <c r="U7" s="2"/>
      <c r="V7" s="21"/>
      <c r="X7" s="83"/>
    </row>
    <row r="8" spans="1:26" x14ac:dyDescent="0.25">
      <c r="A8" s="2">
        <v>5</v>
      </c>
      <c r="B8" s="2">
        <v>3</v>
      </c>
      <c r="C8" t="s">
        <v>111</v>
      </c>
      <c r="D8" s="2">
        <v>3</v>
      </c>
      <c r="E8" t="s">
        <v>119</v>
      </c>
      <c r="F8" s="2">
        <v>5</v>
      </c>
      <c r="G8" t="s">
        <v>128</v>
      </c>
      <c r="H8" s="21">
        <v>45143</v>
      </c>
      <c r="I8" s="83">
        <v>20</v>
      </c>
      <c r="J8" t="s">
        <v>168</v>
      </c>
      <c r="K8" s="61">
        <v>50</v>
      </c>
      <c r="L8" s="2" t="s">
        <v>2</v>
      </c>
      <c r="M8" s="2">
        <f>ROW()</f>
        <v>8</v>
      </c>
      <c r="U8" s="2"/>
      <c r="V8" s="21"/>
      <c r="X8" s="83"/>
      <c r="Y8" s="16"/>
    </row>
    <row r="9" spans="1:26" x14ac:dyDescent="0.25">
      <c r="A9" s="2">
        <v>6</v>
      </c>
      <c r="B9" s="2">
        <v>2</v>
      </c>
      <c r="C9" t="s">
        <v>86</v>
      </c>
      <c r="D9" s="2">
        <v>2</v>
      </c>
      <c r="E9" t="s">
        <v>118</v>
      </c>
      <c r="F9" s="2">
        <v>3</v>
      </c>
      <c r="G9" t="s">
        <v>129</v>
      </c>
      <c r="H9" s="21">
        <v>45144</v>
      </c>
      <c r="I9" s="83">
        <v>20</v>
      </c>
      <c r="J9" t="s">
        <v>166</v>
      </c>
      <c r="K9" s="61">
        <v>30</v>
      </c>
      <c r="L9" s="2" t="s">
        <v>2</v>
      </c>
      <c r="M9" s="2">
        <f>ROW()</f>
        <v>9</v>
      </c>
      <c r="U9" s="2"/>
      <c r="V9" s="21"/>
      <c r="X9" s="83"/>
    </row>
    <row r="10" spans="1:26" x14ac:dyDescent="0.25">
      <c r="A10" s="2">
        <v>7</v>
      </c>
      <c r="B10" s="2">
        <v>1</v>
      </c>
      <c r="C10" t="s">
        <v>79</v>
      </c>
      <c r="D10" s="2">
        <v>1</v>
      </c>
      <c r="E10" t="s">
        <v>117</v>
      </c>
      <c r="F10" s="2">
        <v>4</v>
      </c>
      <c r="G10" t="s">
        <v>130</v>
      </c>
      <c r="H10" s="21">
        <v>45145</v>
      </c>
      <c r="I10" s="83">
        <v>12</v>
      </c>
      <c r="J10" t="s">
        <v>167</v>
      </c>
      <c r="K10" s="61">
        <v>40</v>
      </c>
      <c r="L10" s="2" t="s">
        <v>2</v>
      </c>
      <c r="M10" s="2">
        <f>ROW()</f>
        <v>10</v>
      </c>
      <c r="U10" s="2"/>
      <c r="V10" s="21"/>
      <c r="X10" s="83"/>
    </row>
    <row r="11" spans="1:26" x14ac:dyDescent="0.25">
      <c r="A11" s="2">
        <v>8</v>
      </c>
      <c r="B11" s="2">
        <v>1</v>
      </c>
      <c r="C11" t="s">
        <v>79</v>
      </c>
      <c r="D11" s="2">
        <v>1</v>
      </c>
      <c r="E11" t="s">
        <v>117</v>
      </c>
      <c r="F11" s="2">
        <v>5</v>
      </c>
      <c r="G11" t="s">
        <v>131</v>
      </c>
      <c r="H11" s="21">
        <v>45146</v>
      </c>
      <c r="I11" s="83">
        <v>2</v>
      </c>
      <c r="J11" t="s">
        <v>168</v>
      </c>
      <c r="K11" s="61">
        <v>50</v>
      </c>
      <c r="L11" s="2" t="s">
        <v>2</v>
      </c>
      <c r="M11" s="2">
        <f>ROW()</f>
        <v>11</v>
      </c>
      <c r="U11" s="2"/>
      <c r="V11" s="21"/>
      <c r="X11" s="83"/>
    </row>
    <row r="12" spans="1:26" x14ac:dyDescent="0.25">
      <c r="A12" s="2">
        <v>9</v>
      </c>
      <c r="B12" s="2">
        <v>1</v>
      </c>
      <c r="C12" t="s">
        <v>79</v>
      </c>
      <c r="D12" s="2">
        <v>1</v>
      </c>
      <c r="E12" t="s">
        <v>117</v>
      </c>
      <c r="F12" s="2">
        <v>6</v>
      </c>
      <c r="G12" t="s">
        <v>132</v>
      </c>
      <c r="H12" s="21">
        <v>45147</v>
      </c>
      <c r="I12" s="83">
        <v>8</v>
      </c>
      <c r="J12" t="s">
        <v>169</v>
      </c>
      <c r="K12" s="61">
        <v>60</v>
      </c>
      <c r="L12" s="2" t="s">
        <v>2</v>
      </c>
      <c r="M12" s="2">
        <f>ROW()</f>
        <v>12</v>
      </c>
      <c r="U12" s="2"/>
      <c r="V12" s="21"/>
      <c r="X12" s="83"/>
    </row>
    <row r="13" spans="1:26" x14ac:dyDescent="0.25">
      <c r="A13" s="2">
        <v>10</v>
      </c>
      <c r="B13" s="2">
        <v>1</v>
      </c>
      <c r="C13" t="s">
        <v>79</v>
      </c>
      <c r="D13" s="2">
        <v>1</v>
      </c>
      <c r="E13" t="s">
        <v>117</v>
      </c>
      <c r="F13" s="2">
        <v>7</v>
      </c>
      <c r="G13" t="s">
        <v>133</v>
      </c>
      <c r="H13" s="21">
        <v>45148</v>
      </c>
      <c r="I13" s="83">
        <v>7</v>
      </c>
      <c r="J13" t="s">
        <v>170</v>
      </c>
      <c r="K13" s="61">
        <v>70</v>
      </c>
      <c r="L13" s="2" t="s">
        <v>2</v>
      </c>
      <c r="M13" s="2">
        <f>ROW()</f>
        <v>13</v>
      </c>
      <c r="U13" s="2"/>
      <c r="V13" s="21"/>
      <c r="X13" s="83"/>
    </row>
    <row r="14" spans="1:26" x14ac:dyDescent="0.25">
      <c r="A14" s="2">
        <v>11</v>
      </c>
      <c r="B14" s="2">
        <v>1</v>
      </c>
      <c r="C14" t="s">
        <v>79</v>
      </c>
      <c r="D14" s="2">
        <v>1</v>
      </c>
      <c r="E14" t="s">
        <v>117</v>
      </c>
      <c r="F14" s="2">
        <v>8</v>
      </c>
      <c r="G14" t="s">
        <v>134</v>
      </c>
      <c r="H14" s="21">
        <v>45149</v>
      </c>
      <c r="I14" s="83">
        <v>6</v>
      </c>
      <c r="J14" t="s">
        <v>171</v>
      </c>
      <c r="K14" s="61">
        <v>80</v>
      </c>
      <c r="L14" s="2" t="s">
        <v>2</v>
      </c>
      <c r="M14" s="2">
        <f>ROW()</f>
        <v>14</v>
      </c>
      <c r="U14" s="2"/>
      <c r="V14" s="21"/>
      <c r="X14" s="83"/>
    </row>
    <row r="15" spans="1:26" x14ac:dyDescent="0.25">
      <c r="A15" s="2">
        <v>12</v>
      </c>
      <c r="B15" s="2">
        <v>1</v>
      </c>
      <c r="C15" t="s">
        <v>79</v>
      </c>
      <c r="D15" s="2">
        <v>1</v>
      </c>
      <c r="E15" t="s">
        <v>117</v>
      </c>
      <c r="F15" s="2">
        <v>9</v>
      </c>
      <c r="G15" t="s">
        <v>135</v>
      </c>
      <c r="H15" s="21">
        <v>45150</v>
      </c>
      <c r="I15" s="83">
        <v>10</v>
      </c>
      <c r="J15" t="s">
        <v>172</v>
      </c>
      <c r="K15" s="61">
        <v>90</v>
      </c>
      <c r="L15" s="2" t="s">
        <v>2</v>
      </c>
      <c r="M15" s="2">
        <f>ROW()</f>
        <v>15</v>
      </c>
      <c r="U15" s="2"/>
      <c r="V15" s="21"/>
      <c r="X15" s="83"/>
    </row>
    <row r="16" spans="1:26" x14ac:dyDescent="0.25">
      <c r="A16" s="2">
        <v>13</v>
      </c>
      <c r="B16" s="101">
        <v>2</v>
      </c>
      <c r="C16" s="102" t="s">
        <v>86</v>
      </c>
      <c r="D16" s="2">
        <v>2</v>
      </c>
      <c r="E16" t="s">
        <v>118</v>
      </c>
      <c r="F16" s="2">
        <v>4</v>
      </c>
      <c r="G16" t="s">
        <v>136</v>
      </c>
      <c r="H16" s="21">
        <v>45151</v>
      </c>
      <c r="I16" s="83">
        <v>16</v>
      </c>
      <c r="J16" t="s">
        <v>167</v>
      </c>
      <c r="K16" s="61">
        <v>40</v>
      </c>
      <c r="L16" s="2" t="s">
        <v>2</v>
      </c>
      <c r="M16" s="2">
        <f>ROW()</f>
        <v>16</v>
      </c>
      <c r="U16" s="2"/>
      <c r="V16" s="21"/>
      <c r="X16" s="83"/>
    </row>
    <row r="17" spans="1:22" x14ac:dyDescent="0.25">
      <c r="A17" s="2">
        <v>14</v>
      </c>
      <c r="B17" s="2">
        <v>3</v>
      </c>
      <c r="C17" t="s">
        <v>111</v>
      </c>
      <c r="D17" s="2">
        <v>3</v>
      </c>
      <c r="E17" t="s">
        <v>119</v>
      </c>
      <c r="F17" s="2">
        <v>5</v>
      </c>
      <c r="G17" t="s">
        <v>137</v>
      </c>
      <c r="H17" s="21">
        <v>45152</v>
      </c>
      <c r="I17" s="83">
        <v>8</v>
      </c>
      <c r="J17" t="s">
        <v>168</v>
      </c>
      <c r="K17" s="61">
        <v>50</v>
      </c>
      <c r="L17" s="2" t="s">
        <v>2</v>
      </c>
      <c r="M17" s="2">
        <f>ROW()</f>
        <v>17</v>
      </c>
      <c r="U17" s="2"/>
      <c r="V17" s="21"/>
    </row>
    <row r="18" spans="1:22" x14ac:dyDescent="0.25">
      <c r="A18" s="2">
        <v>15</v>
      </c>
      <c r="B18" s="2">
        <v>2</v>
      </c>
      <c r="C18" t="s">
        <v>86</v>
      </c>
      <c r="D18" s="2">
        <v>2</v>
      </c>
      <c r="E18" t="s">
        <v>118</v>
      </c>
      <c r="F18" s="2">
        <v>3</v>
      </c>
      <c r="G18" t="s">
        <v>138</v>
      </c>
      <c r="H18" s="21">
        <v>45153</v>
      </c>
      <c r="I18" s="83">
        <v>10</v>
      </c>
      <c r="J18" t="s">
        <v>166</v>
      </c>
      <c r="K18" s="61">
        <v>30</v>
      </c>
      <c r="L18" s="2" t="s">
        <v>2</v>
      </c>
      <c r="M18" s="2">
        <f>ROW()</f>
        <v>18</v>
      </c>
      <c r="U18" s="2"/>
      <c r="V18" s="21"/>
    </row>
    <row r="19" spans="1:22" x14ac:dyDescent="0.25">
      <c r="A19" s="2">
        <v>16</v>
      </c>
      <c r="B19" s="2">
        <v>2</v>
      </c>
      <c r="C19" t="s">
        <v>86</v>
      </c>
      <c r="D19" s="2">
        <v>2</v>
      </c>
      <c r="E19" t="s">
        <v>118</v>
      </c>
      <c r="F19" s="2">
        <v>4</v>
      </c>
      <c r="G19" t="s">
        <v>139</v>
      </c>
      <c r="H19" s="21">
        <v>45154</v>
      </c>
      <c r="I19" s="83">
        <v>26</v>
      </c>
      <c r="J19" t="s">
        <v>167</v>
      </c>
      <c r="K19" s="61">
        <v>40</v>
      </c>
      <c r="L19" s="2" t="s">
        <v>2</v>
      </c>
      <c r="M19" s="2">
        <f>ROW()</f>
        <v>19</v>
      </c>
      <c r="U19" s="2"/>
      <c r="V19" s="21"/>
    </row>
    <row r="20" spans="1:22" x14ac:dyDescent="0.25">
      <c r="A20" s="2">
        <v>17</v>
      </c>
      <c r="B20" s="2">
        <v>3</v>
      </c>
      <c r="C20" t="s">
        <v>111</v>
      </c>
      <c r="D20" s="2">
        <v>3</v>
      </c>
      <c r="E20" t="s">
        <v>119</v>
      </c>
      <c r="F20" s="2">
        <v>5</v>
      </c>
      <c r="G20" t="s">
        <v>140</v>
      </c>
      <c r="H20" s="21">
        <v>45155</v>
      </c>
      <c r="I20" s="83">
        <v>14</v>
      </c>
      <c r="J20" t="s">
        <v>168</v>
      </c>
      <c r="K20" s="61">
        <v>50</v>
      </c>
      <c r="L20" s="2" t="s">
        <v>2</v>
      </c>
      <c r="M20" s="2">
        <f>ROW()</f>
        <v>20</v>
      </c>
      <c r="U20" s="2"/>
      <c r="V20" s="21"/>
    </row>
    <row r="21" spans="1:22" x14ac:dyDescent="0.25">
      <c r="A21" s="2">
        <v>18</v>
      </c>
      <c r="B21" s="2">
        <v>2</v>
      </c>
      <c r="C21" t="s">
        <v>86</v>
      </c>
      <c r="D21" s="2">
        <v>2</v>
      </c>
      <c r="E21" t="s">
        <v>118</v>
      </c>
      <c r="F21" s="2">
        <v>3</v>
      </c>
      <c r="G21" t="s">
        <v>141</v>
      </c>
      <c r="H21" s="21">
        <v>45156</v>
      </c>
      <c r="I21" s="83">
        <v>5</v>
      </c>
      <c r="J21" t="s">
        <v>166</v>
      </c>
      <c r="K21" s="61">
        <v>30</v>
      </c>
      <c r="L21" s="2" t="s">
        <v>2</v>
      </c>
      <c r="M21" s="2">
        <f>ROW()</f>
        <v>21</v>
      </c>
      <c r="U21" s="2"/>
    </row>
    <row r="22" spans="1:22" x14ac:dyDescent="0.25">
      <c r="A22" s="2">
        <v>19</v>
      </c>
      <c r="B22" s="2">
        <v>1</v>
      </c>
      <c r="C22" t="s">
        <v>79</v>
      </c>
      <c r="D22" s="2">
        <v>1</v>
      </c>
      <c r="E22" t="s">
        <v>117</v>
      </c>
      <c r="F22" s="2">
        <v>1</v>
      </c>
      <c r="G22" t="s">
        <v>142</v>
      </c>
      <c r="H22" s="21">
        <v>45170</v>
      </c>
      <c r="I22" s="82">
        <v>5</v>
      </c>
      <c r="J22" t="s">
        <v>164</v>
      </c>
      <c r="K22" s="61">
        <v>10</v>
      </c>
      <c r="L22" s="16" t="s">
        <v>2</v>
      </c>
      <c r="M22" s="2">
        <f>ROW()</f>
        <v>22</v>
      </c>
      <c r="U22" s="2"/>
    </row>
    <row r="23" spans="1:22" x14ac:dyDescent="0.25">
      <c r="A23" s="2">
        <v>20</v>
      </c>
      <c r="B23" s="2">
        <v>1</v>
      </c>
      <c r="C23" t="s">
        <v>79</v>
      </c>
      <c r="D23" s="2">
        <v>1</v>
      </c>
      <c r="E23" t="s">
        <v>117</v>
      </c>
      <c r="F23" s="2">
        <v>2</v>
      </c>
      <c r="G23" t="s">
        <v>143</v>
      </c>
      <c r="H23" s="21">
        <v>45171</v>
      </c>
      <c r="I23" s="83">
        <v>5</v>
      </c>
      <c r="J23" t="s">
        <v>165</v>
      </c>
      <c r="K23" s="61">
        <v>20</v>
      </c>
      <c r="L23" s="2" t="s">
        <v>2</v>
      </c>
      <c r="M23" s="2">
        <f>ROW()</f>
        <v>23</v>
      </c>
      <c r="U23" s="2"/>
    </row>
    <row r="24" spans="1:22" x14ac:dyDescent="0.25">
      <c r="A24" s="2">
        <v>21</v>
      </c>
      <c r="B24" s="2">
        <v>1</v>
      </c>
      <c r="C24" t="s">
        <v>79</v>
      </c>
      <c r="D24" s="2">
        <v>1</v>
      </c>
      <c r="E24" t="s">
        <v>117</v>
      </c>
      <c r="F24" s="2">
        <v>3</v>
      </c>
      <c r="G24" t="s">
        <v>144</v>
      </c>
      <c r="H24" s="21">
        <v>45172</v>
      </c>
      <c r="I24" s="83">
        <v>6</v>
      </c>
      <c r="J24" t="s">
        <v>166</v>
      </c>
      <c r="K24" s="61">
        <v>30</v>
      </c>
      <c r="L24" s="2" t="s">
        <v>2</v>
      </c>
      <c r="M24" s="2">
        <f>ROW()</f>
        <v>24</v>
      </c>
      <c r="U24" s="2"/>
    </row>
    <row r="25" spans="1:22" x14ac:dyDescent="0.25">
      <c r="A25" s="2">
        <v>22</v>
      </c>
      <c r="B25" s="2">
        <v>1</v>
      </c>
      <c r="C25" t="s">
        <v>79</v>
      </c>
      <c r="D25" s="2">
        <v>1</v>
      </c>
      <c r="E25" t="s">
        <v>117</v>
      </c>
      <c r="F25" s="2">
        <v>4</v>
      </c>
      <c r="G25" t="s">
        <v>145</v>
      </c>
      <c r="H25" s="21">
        <v>45176</v>
      </c>
      <c r="I25" s="83">
        <v>12</v>
      </c>
      <c r="J25" t="s">
        <v>167</v>
      </c>
      <c r="K25" s="61">
        <v>40</v>
      </c>
      <c r="L25" s="2" t="s">
        <v>2</v>
      </c>
      <c r="M25" s="2">
        <f>ROW()</f>
        <v>25</v>
      </c>
      <c r="U25" s="2"/>
    </row>
    <row r="26" spans="1:22" x14ac:dyDescent="0.25">
      <c r="A26" s="2">
        <v>23</v>
      </c>
      <c r="B26" s="2">
        <v>1</v>
      </c>
      <c r="C26" t="s">
        <v>79</v>
      </c>
      <c r="D26" s="2">
        <v>1</v>
      </c>
      <c r="E26" t="s">
        <v>117</v>
      </c>
      <c r="F26" s="2">
        <v>5</v>
      </c>
      <c r="G26" t="s">
        <v>146</v>
      </c>
      <c r="H26" s="21">
        <v>45177</v>
      </c>
      <c r="I26" s="83">
        <v>2</v>
      </c>
      <c r="J26" t="s">
        <v>168</v>
      </c>
      <c r="K26" s="61">
        <v>50</v>
      </c>
      <c r="L26" s="2" t="s">
        <v>2</v>
      </c>
      <c r="M26" s="2">
        <f>ROW()</f>
        <v>26</v>
      </c>
      <c r="U26" s="2"/>
    </row>
    <row r="27" spans="1:22" x14ac:dyDescent="0.25">
      <c r="A27" s="2">
        <v>24</v>
      </c>
      <c r="B27" s="2">
        <v>1</v>
      </c>
      <c r="C27" t="s">
        <v>79</v>
      </c>
      <c r="D27" s="2">
        <v>1</v>
      </c>
      <c r="E27" t="s">
        <v>117</v>
      </c>
      <c r="F27" s="2">
        <v>6</v>
      </c>
      <c r="G27" t="s">
        <v>147</v>
      </c>
      <c r="H27" s="21">
        <v>45178</v>
      </c>
      <c r="I27" s="83">
        <v>8</v>
      </c>
      <c r="J27" t="s">
        <v>169</v>
      </c>
      <c r="K27" s="61">
        <v>60</v>
      </c>
      <c r="L27" s="2" t="s">
        <v>2</v>
      </c>
      <c r="M27" s="2">
        <f>ROW()</f>
        <v>27</v>
      </c>
      <c r="U27" s="2"/>
    </row>
    <row r="28" spans="1:22" x14ac:dyDescent="0.25">
      <c r="A28" s="2">
        <v>25</v>
      </c>
      <c r="B28" s="2">
        <v>1</v>
      </c>
      <c r="C28" t="s">
        <v>79</v>
      </c>
      <c r="D28" s="2">
        <v>1</v>
      </c>
      <c r="E28" t="s">
        <v>117</v>
      </c>
      <c r="F28" s="2">
        <v>7</v>
      </c>
      <c r="G28" t="s">
        <v>148</v>
      </c>
      <c r="H28" s="21">
        <v>45179</v>
      </c>
      <c r="I28" s="83">
        <v>7</v>
      </c>
      <c r="J28" t="s">
        <v>170</v>
      </c>
      <c r="K28" s="61">
        <v>70</v>
      </c>
      <c r="L28" s="2" t="s">
        <v>2</v>
      </c>
      <c r="M28" s="2">
        <f>ROW()</f>
        <v>28</v>
      </c>
      <c r="U28" s="2"/>
    </row>
    <row r="29" spans="1:22" x14ac:dyDescent="0.25">
      <c r="A29" s="2">
        <v>26</v>
      </c>
      <c r="B29" s="2">
        <v>1</v>
      </c>
      <c r="C29" t="s">
        <v>79</v>
      </c>
      <c r="D29" s="2">
        <v>1</v>
      </c>
      <c r="E29" t="s">
        <v>117</v>
      </c>
      <c r="F29" s="2">
        <v>8</v>
      </c>
      <c r="G29" t="s">
        <v>149</v>
      </c>
      <c r="H29" s="21">
        <v>45180</v>
      </c>
      <c r="I29" s="83">
        <v>6</v>
      </c>
      <c r="J29" t="s">
        <v>171</v>
      </c>
      <c r="K29" s="61">
        <v>80</v>
      </c>
      <c r="L29" s="2" t="s">
        <v>2</v>
      </c>
      <c r="M29" s="2">
        <f>ROW()</f>
        <v>29</v>
      </c>
      <c r="U29" s="2"/>
    </row>
    <row r="30" spans="1:22" x14ac:dyDescent="0.25">
      <c r="A30" s="2">
        <v>27</v>
      </c>
      <c r="B30" s="2">
        <v>1</v>
      </c>
      <c r="C30" t="s">
        <v>79</v>
      </c>
      <c r="D30" s="2">
        <v>1</v>
      </c>
      <c r="E30" t="s">
        <v>117</v>
      </c>
      <c r="F30" s="2">
        <v>9</v>
      </c>
      <c r="G30" t="s">
        <v>150</v>
      </c>
      <c r="H30" s="21">
        <v>45181</v>
      </c>
      <c r="I30" s="83">
        <v>10</v>
      </c>
      <c r="J30" t="s">
        <v>172</v>
      </c>
      <c r="K30" s="61">
        <v>90</v>
      </c>
      <c r="L30" s="2" t="s">
        <v>2</v>
      </c>
      <c r="M30" s="2">
        <f>ROW()</f>
        <v>30</v>
      </c>
      <c r="U30" s="2"/>
    </row>
    <row r="31" spans="1:22" x14ac:dyDescent="0.25">
      <c r="A31" s="2">
        <v>28</v>
      </c>
      <c r="B31" s="2">
        <v>2</v>
      </c>
      <c r="C31" t="s">
        <v>86</v>
      </c>
      <c r="D31" s="2">
        <v>2</v>
      </c>
      <c r="E31" t="s">
        <v>118</v>
      </c>
      <c r="F31" s="2">
        <v>3</v>
      </c>
      <c r="G31" t="s">
        <v>151</v>
      </c>
      <c r="H31" s="21">
        <v>45175</v>
      </c>
      <c r="I31" s="83">
        <v>10</v>
      </c>
      <c r="J31" t="s">
        <v>166</v>
      </c>
      <c r="K31" s="61">
        <v>30</v>
      </c>
      <c r="L31" s="2" t="s">
        <v>2</v>
      </c>
      <c r="M31" s="2">
        <f>ROW()</f>
        <v>31</v>
      </c>
      <c r="U31" s="2"/>
    </row>
    <row r="32" spans="1:22" x14ac:dyDescent="0.25">
      <c r="A32" s="2">
        <v>29</v>
      </c>
      <c r="B32" s="2">
        <v>2</v>
      </c>
      <c r="C32" t="s">
        <v>86</v>
      </c>
      <c r="D32" s="2">
        <v>2</v>
      </c>
      <c r="E32" t="s">
        <v>118</v>
      </c>
      <c r="F32" s="2">
        <v>4</v>
      </c>
      <c r="G32" t="s">
        <v>152</v>
      </c>
      <c r="H32" s="21">
        <v>45173</v>
      </c>
      <c r="I32" s="83">
        <v>26</v>
      </c>
      <c r="J32" t="s">
        <v>167</v>
      </c>
      <c r="K32" s="61">
        <v>40</v>
      </c>
      <c r="L32" s="2" t="s">
        <v>2</v>
      </c>
      <c r="M32" s="2">
        <f>ROW()</f>
        <v>32</v>
      </c>
      <c r="U32" s="2"/>
    </row>
    <row r="33" spans="1:21" x14ac:dyDescent="0.25">
      <c r="A33" s="2">
        <v>30</v>
      </c>
      <c r="B33" s="2">
        <v>2</v>
      </c>
      <c r="C33" t="s">
        <v>86</v>
      </c>
      <c r="D33" s="2">
        <v>2</v>
      </c>
      <c r="E33" t="s">
        <v>118</v>
      </c>
      <c r="F33" s="2">
        <v>3</v>
      </c>
      <c r="G33" t="s">
        <v>153</v>
      </c>
      <c r="H33" s="21">
        <v>45175</v>
      </c>
      <c r="I33" s="83">
        <v>5</v>
      </c>
      <c r="J33" t="s">
        <v>166</v>
      </c>
      <c r="K33" s="61">
        <v>30</v>
      </c>
      <c r="L33" s="2" t="s">
        <v>2</v>
      </c>
      <c r="M33" s="2">
        <f>ROW()</f>
        <v>33</v>
      </c>
      <c r="U33" s="2"/>
    </row>
    <row r="34" spans="1:21" x14ac:dyDescent="0.25">
      <c r="A34" s="2"/>
      <c r="B34" s="2"/>
      <c r="D34" s="2"/>
      <c r="F34" s="2"/>
      <c r="I34" s="54"/>
      <c r="U34" s="2"/>
    </row>
    <row r="35" spans="1:21" x14ac:dyDescent="0.25">
      <c r="A35" s="2"/>
      <c r="B35" s="2"/>
      <c r="D35" s="2"/>
      <c r="F35" s="2"/>
      <c r="I35" s="54"/>
      <c r="U35" s="2"/>
    </row>
    <row r="36" spans="1:21" x14ac:dyDescent="0.25">
      <c r="A36" s="2"/>
      <c r="B36" s="2"/>
      <c r="D36" s="2"/>
      <c r="F36" s="2"/>
      <c r="I36" s="54"/>
      <c r="U36" s="2"/>
    </row>
    <row r="37" spans="1:21" x14ac:dyDescent="0.25">
      <c r="A37" s="2"/>
      <c r="B37" s="2"/>
      <c r="D37" s="2"/>
      <c r="F37" s="2"/>
      <c r="I37" s="54"/>
      <c r="U37" s="2"/>
    </row>
    <row r="38" spans="1:21" x14ac:dyDescent="0.25">
      <c r="A38" s="2"/>
      <c r="B38" s="2"/>
      <c r="D38" s="2"/>
      <c r="F38" s="2"/>
      <c r="I38" s="54"/>
      <c r="U38" s="2"/>
    </row>
    <row r="39" spans="1:21" x14ac:dyDescent="0.25">
      <c r="A39" s="2"/>
      <c r="B39" s="2"/>
      <c r="D39" s="2"/>
      <c r="F39" s="2"/>
      <c r="I39" s="54"/>
      <c r="U39" s="2"/>
    </row>
    <row r="40" spans="1:21" x14ac:dyDescent="0.25">
      <c r="A40" s="2"/>
      <c r="B40" s="2"/>
      <c r="D40" s="2"/>
      <c r="F40" s="2"/>
      <c r="I40" s="54"/>
      <c r="U40" s="2"/>
    </row>
    <row r="41" spans="1:21" x14ac:dyDescent="0.25">
      <c r="A41" s="2"/>
      <c r="B41" s="2"/>
      <c r="D41" s="2"/>
      <c r="F41" s="2"/>
      <c r="I41" s="54"/>
      <c r="U41" s="2"/>
    </row>
    <row r="42" spans="1:21" x14ac:dyDescent="0.25">
      <c r="A42" s="2"/>
      <c r="B42" s="2"/>
      <c r="D42" s="2"/>
      <c r="F42" s="2"/>
      <c r="I42" s="54"/>
    </row>
    <row r="43" spans="1:21" x14ac:dyDescent="0.25">
      <c r="A43" s="2"/>
      <c r="B43" s="2"/>
      <c r="D43" s="2"/>
      <c r="F43" s="2"/>
      <c r="I43" s="54"/>
    </row>
    <row r="44" spans="1:21" x14ac:dyDescent="0.25">
      <c r="A44" s="2"/>
      <c r="B44" s="2"/>
      <c r="D44" s="2"/>
      <c r="F44" s="2"/>
      <c r="I44" s="54"/>
    </row>
    <row r="45" spans="1:21" x14ac:dyDescent="0.25">
      <c r="A45" s="2"/>
      <c r="B45" s="2"/>
      <c r="D45" s="2"/>
      <c r="F45" s="2"/>
      <c r="I45" s="54"/>
    </row>
    <row r="46" spans="1:21" x14ac:dyDescent="0.25">
      <c r="A46" s="2"/>
      <c r="B46" s="2"/>
      <c r="D46" s="2"/>
      <c r="F46" s="2"/>
      <c r="I46" s="54"/>
    </row>
    <row r="47" spans="1:21" x14ac:dyDescent="0.25">
      <c r="A47" s="2"/>
      <c r="B47" s="2"/>
      <c r="D47" s="2"/>
      <c r="F47" s="2"/>
      <c r="I47" s="54"/>
    </row>
    <row r="48" spans="1:21" x14ac:dyDescent="0.25">
      <c r="A48" s="2"/>
      <c r="B48" s="2"/>
      <c r="D48" s="2"/>
      <c r="F48" s="2"/>
      <c r="I48" s="54"/>
    </row>
    <row r="49" spans="1:9" x14ac:dyDescent="0.25">
      <c r="A49" s="2"/>
      <c r="B49" s="2"/>
      <c r="D49" s="2"/>
      <c r="F49" s="2"/>
      <c r="I49" s="54"/>
    </row>
    <row r="50" spans="1:9" x14ac:dyDescent="0.25">
      <c r="A50" s="2"/>
      <c r="B50" s="2"/>
      <c r="D50" s="2"/>
      <c r="F50" s="2"/>
      <c r="I50" s="54"/>
    </row>
    <row r="51" spans="1:9" x14ac:dyDescent="0.25">
      <c r="A51" s="2"/>
      <c r="B51" s="2"/>
      <c r="D51" s="2"/>
      <c r="F51" s="2"/>
      <c r="I51" s="54"/>
    </row>
    <row r="52" spans="1:9" x14ac:dyDescent="0.25">
      <c r="A52" s="2"/>
      <c r="B52" s="2"/>
      <c r="D52" s="2"/>
      <c r="I52" s="54"/>
    </row>
    <row r="53" spans="1:9" x14ac:dyDescent="0.25">
      <c r="A53" s="2"/>
      <c r="B53" s="2"/>
      <c r="D53" s="2"/>
      <c r="I53" s="54"/>
    </row>
    <row r="54" spans="1:9" x14ac:dyDescent="0.25">
      <c r="A54" s="2"/>
      <c r="B54" s="2"/>
      <c r="D54" s="2"/>
      <c r="I54" s="54"/>
    </row>
    <row r="55" spans="1:9" x14ac:dyDescent="0.25">
      <c r="A55" s="2"/>
      <c r="B55" s="2"/>
      <c r="D55" s="2"/>
    </row>
    <row r="56" spans="1:9" x14ac:dyDescent="0.25">
      <c r="A56" s="2"/>
      <c r="B56" s="2"/>
      <c r="D56" s="2"/>
    </row>
    <row r="57" spans="1:9" x14ac:dyDescent="0.25">
      <c r="A57" s="2"/>
      <c r="B57" s="2"/>
      <c r="D57" s="2"/>
    </row>
    <row r="58" spans="1:9" x14ac:dyDescent="0.25">
      <c r="A58" s="2"/>
      <c r="B58" s="2"/>
      <c r="D58" s="2"/>
    </row>
    <row r="59" spans="1:9" x14ac:dyDescent="0.25">
      <c r="A59" s="2"/>
      <c r="B59" s="2"/>
      <c r="D59" s="2"/>
    </row>
    <row r="60" spans="1:9" x14ac:dyDescent="0.25">
      <c r="A60" s="2"/>
      <c r="B60" s="2"/>
      <c r="D60" s="2"/>
    </row>
    <row r="61" spans="1:9" x14ac:dyDescent="0.25">
      <c r="A61" s="2"/>
      <c r="B61" s="2"/>
      <c r="D61" s="2"/>
    </row>
    <row r="62" spans="1:9" x14ac:dyDescent="0.25">
      <c r="A62" s="2"/>
      <c r="B62" s="2"/>
      <c r="D62" s="2"/>
    </row>
    <row r="63" spans="1:9" x14ac:dyDescent="0.25">
      <c r="A63" s="2"/>
      <c r="B63" s="2"/>
      <c r="D63" s="2"/>
    </row>
    <row r="64" spans="1:9" x14ac:dyDescent="0.25">
      <c r="A64" s="2"/>
      <c r="B64" s="2"/>
      <c r="D64" s="2"/>
    </row>
    <row r="65" spans="1:4" x14ac:dyDescent="0.25">
      <c r="A65" s="2"/>
      <c r="B65" s="2"/>
      <c r="D65" s="2"/>
    </row>
    <row r="66" spans="1:4" x14ac:dyDescent="0.25">
      <c r="A66" s="2"/>
      <c r="B66" s="2"/>
      <c r="D66" s="2"/>
    </row>
    <row r="67" spans="1:4" x14ac:dyDescent="0.25">
      <c r="A67" s="2"/>
      <c r="B67" s="2"/>
      <c r="D67" s="2"/>
    </row>
    <row r="68" spans="1:4" x14ac:dyDescent="0.25">
      <c r="A68" s="2"/>
      <c r="B68" s="2"/>
      <c r="D68" s="2"/>
    </row>
    <row r="69" spans="1:4" x14ac:dyDescent="0.25">
      <c r="A69" s="2"/>
      <c r="B69" s="2"/>
      <c r="D69" s="2"/>
    </row>
    <row r="70" spans="1:4" x14ac:dyDescent="0.25">
      <c r="A70" s="2"/>
      <c r="B70" s="2"/>
      <c r="D70" s="2"/>
    </row>
    <row r="71" spans="1:4" x14ac:dyDescent="0.25">
      <c r="A71" s="2"/>
      <c r="B71" s="2"/>
      <c r="D71" s="2"/>
    </row>
    <row r="72" spans="1:4" x14ac:dyDescent="0.25">
      <c r="A72" s="2"/>
      <c r="B72" s="2"/>
      <c r="D72" s="2"/>
    </row>
    <row r="73" spans="1:4" x14ac:dyDescent="0.25">
      <c r="A73" s="2"/>
      <c r="B73" s="2"/>
      <c r="D73" s="2"/>
    </row>
    <row r="74" spans="1:4" x14ac:dyDescent="0.25">
      <c r="A74" s="2"/>
      <c r="B74" s="2"/>
      <c r="D74" s="2"/>
    </row>
    <row r="75" spans="1:4" x14ac:dyDescent="0.25">
      <c r="A75" s="2"/>
      <c r="B75" s="2"/>
    </row>
    <row r="76" spans="1:4" x14ac:dyDescent="0.25">
      <c r="A76" s="2"/>
      <c r="B76" s="2"/>
    </row>
    <row r="77" spans="1:4" x14ac:dyDescent="0.25">
      <c r="A77" s="2"/>
      <c r="B77" s="2"/>
    </row>
    <row r="78" spans="1:4" x14ac:dyDescent="0.25">
      <c r="A78" s="2"/>
      <c r="B78" s="2"/>
    </row>
    <row r="79" spans="1:4" x14ac:dyDescent="0.25">
      <c r="A79" s="2"/>
      <c r="B79" s="2"/>
    </row>
    <row r="80" spans="1:4" x14ac:dyDescent="0.25">
      <c r="A80" s="2"/>
      <c r="B80" s="2"/>
    </row>
    <row r="81" spans="1:2" x14ac:dyDescent="0.25">
      <c r="A81" s="2"/>
      <c r="B81" s="2"/>
    </row>
    <row r="82" spans="1:2" x14ac:dyDescent="0.25">
      <c r="A82" s="2"/>
      <c r="B82" s="2"/>
    </row>
    <row r="83" spans="1:2" x14ac:dyDescent="0.25">
      <c r="A83" s="2"/>
      <c r="B83" s="2"/>
    </row>
    <row r="84" spans="1:2" x14ac:dyDescent="0.25">
      <c r="A84" s="2"/>
      <c r="B84" s="2"/>
    </row>
    <row r="85" spans="1:2" x14ac:dyDescent="0.25">
      <c r="A85" s="2"/>
      <c r="B85" s="2"/>
    </row>
    <row r="86" spans="1:2" x14ac:dyDescent="0.25">
      <c r="A86" s="2"/>
      <c r="B86" s="2"/>
    </row>
    <row r="87" spans="1:2" x14ac:dyDescent="0.25">
      <c r="A87" s="2"/>
      <c r="B87" s="2"/>
    </row>
    <row r="88" spans="1:2" x14ac:dyDescent="0.25">
      <c r="A88" s="2"/>
      <c r="B88" s="2"/>
    </row>
    <row r="89" spans="1:2" x14ac:dyDescent="0.25">
      <c r="A89" s="2"/>
      <c r="B89" s="2"/>
    </row>
    <row r="90" spans="1:2" x14ac:dyDescent="0.25">
      <c r="A90" s="2"/>
      <c r="B90" s="2"/>
    </row>
    <row r="91" spans="1:2" x14ac:dyDescent="0.25">
      <c r="A91" s="2"/>
      <c r="B91" s="2"/>
    </row>
    <row r="92" spans="1:2" x14ac:dyDescent="0.25">
      <c r="A92" s="2"/>
      <c r="B92" s="2"/>
    </row>
    <row r="93" spans="1:2" x14ac:dyDescent="0.25">
      <c r="A93" s="2"/>
      <c r="B93" s="2"/>
    </row>
    <row r="94" spans="1:2" x14ac:dyDescent="0.25">
      <c r="A94" s="2"/>
      <c r="B94" s="2"/>
    </row>
    <row r="95" spans="1:2" x14ac:dyDescent="0.25">
      <c r="A95" s="2"/>
      <c r="B95" s="2"/>
    </row>
    <row r="96" spans="1:2" x14ac:dyDescent="0.25">
      <c r="A96" s="2"/>
      <c r="B96" s="2"/>
    </row>
    <row r="97" spans="1:2" x14ac:dyDescent="0.25">
      <c r="A97" s="2"/>
      <c r="B97" s="2"/>
    </row>
    <row r="98" spans="1:2" x14ac:dyDescent="0.25">
      <c r="A98" s="2"/>
      <c r="B98" s="2"/>
    </row>
    <row r="99" spans="1:2" x14ac:dyDescent="0.25">
      <c r="A99" s="2"/>
      <c r="B99" s="2"/>
    </row>
    <row r="100" spans="1:2" x14ac:dyDescent="0.25">
      <c r="A100" s="2"/>
      <c r="B100" s="2"/>
    </row>
    <row r="101" spans="1:2" x14ac:dyDescent="0.25">
      <c r="A101" s="2"/>
      <c r="B101" s="2"/>
    </row>
    <row r="102" spans="1:2" x14ac:dyDescent="0.25">
      <c r="A102" s="2"/>
      <c r="B102" s="2"/>
    </row>
    <row r="103" spans="1:2" x14ac:dyDescent="0.25">
      <c r="A103" s="2"/>
      <c r="B103" s="2"/>
    </row>
    <row r="104" spans="1:2" x14ac:dyDescent="0.25">
      <c r="A104" s="2"/>
      <c r="B104" s="2"/>
    </row>
    <row r="105" spans="1:2" x14ac:dyDescent="0.25">
      <c r="A105" s="2"/>
      <c r="B105" s="2"/>
    </row>
    <row r="106" spans="1:2" x14ac:dyDescent="0.25">
      <c r="A106" s="2"/>
      <c r="B106" s="2"/>
    </row>
    <row r="107" spans="1:2" x14ac:dyDescent="0.25">
      <c r="A107" s="2"/>
      <c r="B107" s="2"/>
    </row>
    <row r="108" spans="1:2" x14ac:dyDescent="0.25">
      <c r="A108" s="2"/>
      <c r="B108" s="2"/>
    </row>
    <row r="109" spans="1:2" x14ac:dyDescent="0.25">
      <c r="A109" s="2"/>
      <c r="B109" s="2"/>
    </row>
    <row r="110" spans="1:2" x14ac:dyDescent="0.25">
      <c r="A110" s="2"/>
      <c r="B110" s="2"/>
    </row>
    <row r="111" spans="1:2" x14ac:dyDescent="0.25">
      <c r="A111" s="2"/>
      <c r="B111" s="2"/>
    </row>
    <row r="112" spans="1:2" x14ac:dyDescent="0.25">
      <c r="A112" s="2"/>
      <c r="B112" s="2"/>
    </row>
    <row r="113" spans="1:2" x14ac:dyDescent="0.25">
      <c r="A113" s="2"/>
      <c r="B113" s="2"/>
    </row>
    <row r="114" spans="1:2" x14ac:dyDescent="0.25">
      <c r="A114" s="2"/>
      <c r="B114" s="2"/>
    </row>
    <row r="115" spans="1:2" x14ac:dyDescent="0.25">
      <c r="A115" s="2"/>
      <c r="B115" s="2"/>
    </row>
    <row r="116" spans="1:2" x14ac:dyDescent="0.25">
      <c r="A116" s="2"/>
      <c r="B116" s="2"/>
    </row>
    <row r="117" spans="1:2" x14ac:dyDescent="0.25">
      <c r="A117" s="2"/>
      <c r="B117" s="2"/>
    </row>
    <row r="118" spans="1:2" x14ac:dyDescent="0.25">
      <c r="A118" s="2"/>
      <c r="B118" s="2"/>
    </row>
    <row r="119" spans="1:2" x14ac:dyDescent="0.25">
      <c r="A119" s="2"/>
      <c r="B119" s="2"/>
    </row>
    <row r="120" spans="1:2" x14ac:dyDescent="0.25">
      <c r="A120" s="2"/>
      <c r="B120" s="2"/>
    </row>
    <row r="121" spans="1:2" x14ac:dyDescent="0.25">
      <c r="A121" s="2"/>
      <c r="B121" s="2"/>
    </row>
    <row r="122" spans="1:2" x14ac:dyDescent="0.25">
      <c r="A122" s="2"/>
      <c r="B122" s="2"/>
    </row>
    <row r="123" spans="1:2" x14ac:dyDescent="0.25">
      <c r="A123" s="2"/>
      <c r="B123" s="2"/>
    </row>
    <row r="124" spans="1:2" x14ac:dyDescent="0.25">
      <c r="A124" s="2"/>
      <c r="B124" s="2"/>
    </row>
    <row r="125" spans="1:2" x14ac:dyDescent="0.25">
      <c r="A125" s="2"/>
      <c r="B125" s="2"/>
    </row>
    <row r="126" spans="1:2" x14ac:dyDescent="0.25">
      <c r="A126" s="2"/>
      <c r="B126" s="2"/>
    </row>
    <row r="127" spans="1:2" x14ac:dyDescent="0.25">
      <c r="A127" s="2"/>
      <c r="B127" s="2"/>
    </row>
    <row r="128" spans="1:2" x14ac:dyDescent="0.25">
      <c r="A128" s="2"/>
      <c r="B128" s="2"/>
    </row>
    <row r="129" spans="1:2" x14ac:dyDescent="0.25">
      <c r="A129" s="2"/>
      <c r="B129" s="2"/>
    </row>
    <row r="130" spans="1:2" x14ac:dyDescent="0.25">
      <c r="A130" s="2"/>
      <c r="B130" s="2"/>
    </row>
    <row r="131" spans="1:2" x14ac:dyDescent="0.25">
      <c r="A131" s="2"/>
      <c r="B131" s="2"/>
    </row>
    <row r="132" spans="1:2" x14ac:dyDescent="0.25">
      <c r="A132" s="2"/>
      <c r="B132" s="2"/>
    </row>
    <row r="133" spans="1:2" x14ac:dyDescent="0.25">
      <c r="A133" s="2"/>
      <c r="B133" s="2"/>
    </row>
    <row r="134" spans="1:2" x14ac:dyDescent="0.25">
      <c r="A134" s="2"/>
      <c r="B134" s="2"/>
    </row>
    <row r="135" spans="1:2" x14ac:dyDescent="0.25">
      <c r="A135" s="2"/>
      <c r="B135" s="2"/>
    </row>
    <row r="136" spans="1:2" x14ac:dyDescent="0.25">
      <c r="A136" s="2"/>
      <c r="B136" s="2"/>
    </row>
    <row r="137" spans="1:2" x14ac:dyDescent="0.25">
      <c r="A137" s="2"/>
      <c r="B137" s="2"/>
    </row>
    <row r="138" spans="1:2" x14ac:dyDescent="0.25">
      <c r="A138" s="2"/>
      <c r="B138" s="2"/>
    </row>
    <row r="139" spans="1:2" x14ac:dyDescent="0.25">
      <c r="A139" s="2"/>
      <c r="B139" s="2"/>
    </row>
    <row r="140" spans="1:2" x14ac:dyDescent="0.25">
      <c r="A140" s="2"/>
      <c r="B140" s="2"/>
    </row>
    <row r="141" spans="1:2" x14ac:dyDescent="0.25">
      <c r="A141" s="2"/>
      <c r="B141" s="2"/>
    </row>
    <row r="142" spans="1:2" x14ac:dyDescent="0.25">
      <c r="A142" s="2"/>
      <c r="B142" s="2"/>
    </row>
    <row r="143" spans="1:2" x14ac:dyDescent="0.25">
      <c r="A143" s="2"/>
      <c r="B143" s="2"/>
    </row>
    <row r="144" spans="1:2" x14ac:dyDescent="0.25">
      <c r="A144" s="2"/>
      <c r="B144" s="2"/>
    </row>
    <row r="145" spans="1:2" x14ac:dyDescent="0.25">
      <c r="A145" s="2"/>
      <c r="B145" s="2"/>
    </row>
    <row r="146" spans="1:2" x14ac:dyDescent="0.25">
      <c r="A146" s="2"/>
      <c r="B146" s="2"/>
    </row>
    <row r="147" spans="1:2" x14ac:dyDescent="0.25">
      <c r="A147" s="2"/>
      <c r="B147" s="2"/>
    </row>
    <row r="148" spans="1:2" x14ac:dyDescent="0.25">
      <c r="A148" s="2"/>
      <c r="B148" s="2"/>
    </row>
    <row r="149" spans="1:2" x14ac:dyDescent="0.25">
      <c r="A149" s="2"/>
      <c r="B149" s="2"/>
    </row>
  </sheetData>
  <mergeCells count="3">
    <mergeCell ref="U1:Z1"/>
    <mergeCell ref="A2:M2"/>
    <mergeCell ref="Q1:R1"/>
  </mergeCells>
  <phoneticPr fontId="24" type="noConversion"/>
  <conditionalFormatting sqref="A4:D6 A34:M991 A7:B9 A10:D15 D7:D9 A16:B21 D16:D21 A22:D30 A31:B33 D31:D33 F4:M33">
    <cfRule type="expression" dxfId="32" priority="44">
      <formula>AND($A4&lt;&gt;"",MOD(ROW(),2)=0)</formula>
    </cfRule>
  </conditionalFormatting>
  <conditionalFormatting sqref="C7">
    <cfRule type="expression" dxfId="31" priority="43">
      <formula>AND($A7&lt;&gt;"",MOD(ROW(),2)=0)</formula>
    </cfRule>
  </conditionalFormatting>
  <conditionalFormatting sqref="C9">
    <cfRule type="expression" dxfId="30" priority="42">
      <formula>AND($A9&lt;&gt;"",MOD(ROW(),2)=0)</formula>
    </cfRule>
  </conditionalFormatting>
  <conditionalFormatting sqref="C8">
    <cfRule type="expression" dxfId="29" priority="41">
      <formula>AND($A8&lt;&gt;"",MOD(ROW(),2)=0)</formula>
    </cfRule>
  </conditionalFormatting>
  <conditionalFormatting sqref="E4:E6">
    <cfRule type="expression" dxfId="28" priority="40">
      <formula>AND($A4&lt;&gt;"",MOD(ROW(),2)=0)</formula>
    </cfRule>
  </conditionalFormatting>
  <conditionalFormatting sqref="E10:E15">
    <cfRule type="expression" dxfId="27" priority="39">
      <formula>AND($A10&lt;&gt;"",MOD(ROW(),2)=0)</formula>
    </cfRule>
  </conditionalFormatting>
  <conditionalFormatting sqref="E7">
    <cfRule type="expression" dxfId="26" priority="38">
      <formula>AND($A7&lt;&gt;"",MOD(ROW(),2)=0)</formula>
    </cfRule>
  </conditionalFormatting>
  <conditionalFormatting sqref="E9">
    <cfRule type="expression" dxfId="25" priority="37">
      <formula>AND($A9&lt;&gt;"",MOD(ROW(),2)=0)</formula>
    </cfRule>
  </conditionalFormatting>
  <conditionalFormatting sqref="E8">
    <cfRule type="expression" dxfId="24" priority="36">
      <formula>AND($A8&lt;&gt;"",MOD(ROW(),2)=0)</formula>
    </cfRule>
  </conditionalFormatting>
  <conditionalFormatting sqref="C16">
    <cfRule type="expression" dxfId="23" priority="32">
      <formula>AND($A16&lt;&gt;"",MOD(ROW(),2)=0)</formula>
    </cfRule>
  </conditionalFormatting>
  <conditionalFormatting sqref="C18">
    <cfRule type="expression" dxfId="22" priority="31">
      <formula>AND($A18&lt;&gt;"",MOD(ROW(),2)=0)</formula>
    </cfRule>
  </conditionalFormatting>
  <conditionalFormatting sqref="C17">
    <cfRule type="expression" dxfId="21" priority="30">
      <formula>AND($A17&lt;&gt;"",MOD(ROW(),2)=0)</formula>
    </cfRule>
  </conditionalFormatting>
  <conditionalFormatting sqref="E16">
    <cfRule type="expression" dxfId="20" priority="29">
      <formula>AND($A16&lt;&gt;"",MOD(ROW(),2)=0)</formula>
    </cfRule>
  </conditionalFormatting>
  <conditionalFormatting sqref="E18">
    <cfRule type="expression" dxfId="19" priority="28">
      <formula>AND($A18&lt;&gt;"",MOD(ROW(),2)=0)</formula>
    </cfRule>
  </conditionalFormatting>
  <conditionalFormatting sqref="E17">
    <cfRule type="expression" dxfId="18" priority="27">
      <formula>AND($A17&lt;&gt;"",MOD(ROW(),2)=0)</formula>
    </cfRule>
  </conditionalFormatting>
  <conditionalFormatting sqref="C19">
    <cfRule type="expression" dxfId="17" priority="26">
      <formula>AND($A19&lt;&gt;"",MOD(ROW(),2)=0)</formula>
    </cfRule>
  </conditionalFormatting>
  <conditionalFormatting sqref="C21">
    <cfRule type="expression" dxfId="16" priority="25">
      <formula>AND($A21&lt;&gt;"",MOD(ROW(),2)=0)</formula>
    </cfRule>
  </conditionalFormatting>
  <conditionalFormatting sqref="C20">
    <cfRule type="expression" dxfId="15" priority="24">
      <formula>AND($A20&lt;&gt;"",MOD(ROW(),2)=0)</formula>
    </cfRule>
  </conditionalFormatting>
  <conditionalFormatting sqref="E19">
    <cfRule type="expression" dxfId="14" priority="23">
      <formula>AND($A19&lt;&gt;"",MOD(ROW(),2)=0)</formula>
    </cfRule>
  </conditionalFormatting>
  <conditionalFormatting sqref="E21">
    <cfRule type="expression" dxfId="13" priority="22">
      <formula>AND($A21&lt;&gt;"",MOD(ROW(),2)=0)</formula>
    </cfRule>
  </conditionalFormatting>
  <conditionalFormatting sqref="E20">
    <cfRule type="expression" dxfId="12" priority="21">
      <formula>AND($A20&lt;&gt;"",MOD(ROW(),2)=0)</formula>
    </cfRule>
  </conditionalFormatting>
  <conditionalFormatting sqref="E22:E24">
    <cfRule type="expression" dxfId="11" priority="17">
      <formula>AND($A22&lt;&gt;"",MOD(ROW(),2)=0)</formula>
    </cfRule>
  </conditionalFormatting>
  <conditionalFormatting sqref="E25:E30">
    <cfRule type="expression" dxfId="10" priority="16">
      <formula>AND($A25&lt;&gt;"",MOD(ROW(),2)=0)</formula>
    </cfRule>
  </conditionalFormatting>
  <conditionalFormatting sqref="C31">
    <cfRule type="expression" dxfId="9" priority="11">
      <formula>AND($A31&lt;&gt;"",MOD(ROW(),2)=0)</formula>
    </cfRule>
  </conditionalFormatting>
  <conditionalFormatting sqref="E31">
    <cfRule type="expression" dxfId="8" priority="8">
      <formula>AND($A31&lt;&gt;"",MOD(ROW(),2)=0)</formula>
    </cfRule>
  </conditionalFormatting>
  <conditionalFormatting sqref="C32">
    <cfRule type="expression" dxfId="7" priority="6">
      <formula>AND($A32&lt;&gt;"",MOD(ROW(),2)=0)</formula>
    </cfRule>
  </conditionalFormatting>
  <conditionalFormatting sqref="C33">
    <cfRule type="expression" dxfId="6" priority="5">
      <formula>AND($A33&lt;&gt;"",MOD(ROW(),2)=0)</formula>
    </cfRule>
  </conditionalFormatting>
  <conditionalFormatting sqref="E32">
    <cfRule type="expression" dxfId="5" priority="3">
      <formula>AND($A32&lt;&gt;"",MOD(ROW(),2)=0)</formula>
    </cfRule>
  </conditionalFormatting>
  <conditionalFormatting sqref="E33">
    <cfRule type="expression" dxfId="4" priority="2">
      <formula>AND($A33&lt;&gt;"",MOD(ROW(),2)=0)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30485-28AD-40FC-BC20-DFD8274D9797}">
  <sheetPr codeName="ServItems"/>
  <dimension ref="A1:E43"/>
  <sheetViews>
    <sheetView topLeftCell="A11" workbookViewId="0">
      <selection activeCell="C4" sqref="C4:C43"/>
    </sheetView>
  </sheetViews>
  <sheetFormatPr baseColWidth="10" defaultColWidth="9.140625" defaultRowHeight="15" x14ac:dyDescent="0.25"/>
  <cols>
    <col min="1" max="1" width="7.42578125" bestFit="1" customWidth="1"/>
    <col min="2" max="2" width="24" bestFit="1" customWidth="1"/>
    <col min="3" max="3" width="121.28515625" customWidth="1"/>
    <col min="4" max="4" width="11.85546875" customWidth="1"/>
  </cols>
  <sheetData>
    <row r="1" spans="1:5" x14ac:dyDescent="0.25">
      <c r="A1" s="183" t="s">
        <v>121</v>
      </c>
      <c r="B1" s="183"/>
      <c r="C1" s="183"/>
      <c r="D1" s="188"/>
    </row>
    <row r="2" spans="1:5" x14ac:dyDescent="0.25">
      <c r="A2" s="182"/>
      <c r="B2" s="182"/>
      <c r="C2" s="182"/>
      <c r="D2" s="189"/>
    </row>
    <row r="3" spans="1:5" x14ac:dyDescent="0.25">
      <c r="A3" s="52" t="s">
        <v>100</v>
      </c>
      <c r="B3" s="56" t="s">
        <v>122</v>
      </c>
      <c r="C3" s="56" t="s">
        <v>120</v>
      </c>
      <c r="D3" s="56" t="s">
        <v>7</v>
      </c>
      <c r="E3" s="3"/>
    </row>
    <row r="4" spans="1:5" x14ac:dyDescent="0.25">
      <c r="A4" s="90">
        <v>1</v>
      </c>
      <c r="B4" s="97" t="s">
        <v>47</v>
      </c>
      <c r="C4" s="91" t="s">
        <v>164</v>
      </c>
      <c r="D4" s="105">
        <v>50</v>
      </c>
    </row>
    <row r="5" spans="1:5" x14ac:dyDescent="0.25">
      <c r="A5" s="92">
        <v>2</v>
      </c>
      <c r="B5" s="98" t="s">
        <v>48</v>
      </c>
      <c r="C5" s="93" t="s">
        <v>165</v>
      </c>
      <c r="D5" s="106">
        <v>40</v>
      </c>
    </row>
    <row r="6" spans="1:5" x14ac:dyDescent="0.25">
      <c r="A6" s="92">
        <v>3</v>
      </c>
      <c r="B6" s="98" t="s">
        <v>49</v>
      </c>
      <c r="C6" s="93" t="s">
        <v>166</v>
      </c>
      <c r="D6" s="106">
        <v>60</v>
      </c>
    </row>
    <row r="7" spans="1:5" x14ac:dyDescent="0.25">
      <c r="A7" s="92">
        <v>4</v>
      </c>
      <c r="B7" s="98" t="s">
        <v>50</v>
      </c>
      <c r="C7" s="93" t="s">
        <v>167</v>
      </c>
      <c r="D7" s="106">
        <v>75</v>
      </c>
    </row>
    <row r="8" spans="1:5" x14ac:dyDescent="0.25">
      <c r="A8" s="92">
        <v>5</v>
      </c>
      <c r="B8" s="98" t="s">
        <v>51</v>
      </c>
      <c r="C8" s="93" t="s">
        <v>168</v>
      </c>
      <c r="D8" s="106">
        <v>30</v>
      </c>
    </row>
    <row r="9" spans="1:5" x14ac:dyDescent="0.25">
      <c r="A9" s="92">
        <v>6</v>
      </c>
      <c r="B9" s="98" t="s">
        <v>52</v>
      </c>
      <c r="C9" s="93" t="s">
        <v>169</v>
      </c>
      <c r="D9" s="106">
        <v>80</v>
      </c>
    </row>
    <row r="10" spans="1:5" x14ac:dyDescent="0.25">
      <c r="A10" s="92">
        <v>7</v>
      </c>
      <c r="B10" s="98" t="s">
        <v>53</v>
      </c>
      <c r="C10" s="93" t="s">
        <v>170</v>
      </c>
      <c r="D10" s="106">
        <v>50</v>
      </c>
    </row>
    <row r="11" spans="1:5" x14ac:dyDescent="0.25">
      <c r="A11" s="92">
        <v>8</v>
      </c>
      <c r="B11" s="98" t="s">
        <v>54</v>
      </c>
      <c r="C11" s="93" t="s">
        <v>171</v>
      </c>
      <c r="D11" s="106">
        <v>60</v>
      </c>
    </row>
    <row r="12" spans="1:5" x14ac:dyDescent="0.25">
      <c r="A12" s="92">
        <v>9</v>
      </c>
      <c r="B12" s="98" t="s">
        <v>55</v>
      </c>
      <c r="C12" s="93" t="s">
        <v>172</v>
      </c>
      <c r="D12" s="106">
        <v>100</v>
      </c>
    </row>
    <row r="13" spans="1:5" x14ac:dyDescent="0.25">
      <c r="A13" s="92">
        <v>10</v>
      </c>
      <c r="B13" s="98" t="s">
        <v>56</v>
      </c>
      <c r="C13" s="93" t="s">
        <v>173</v>
      </c>
      <c r="D13" s="106">
        <v>35</v>
      </c>
    </row>
    <row r="14" spans="1:5" x14ac:dyDescent="0.25">
      <c r="A14" s="92">
        <v>11</v>
      </c>
      <c r="B14" s="98" t="s">
        <v>47</v>
      </c>
      <c r="C14" s="93" t="s">
        <v>174</v>
      </c>
      <c r="D14" s="106">
        <v>50</v>
      </c>
    </row>
    <row r="15" spans="1:5" x14ac:dyDescent="0.25">
      <c r="A15" s="92">
        <v>12</v>
      </c>
      <c r="B15" s="98" t="s">
        <v>48</v>
      </c>
      <c r="C15" s="93" t="s">
        <v>175</v>
      </c>
      <c r="D15" s="106">
        <v>40</v>
      </c>
    </row>
    <row r="16" spans="1:5" x14ac:dyDescent="0.25">
      <c r="A16" s="92">
        <v>13</v>
      </c>
      <c r="B16" s="98" t="s">
        <v>49</v>
      </c>
      <c r="C16" s="93" t="s">
        <v>176</v>
      </c>
      <c r="D16" s="106">
        <v>60</v>
      </c>
    </row>
    <row r="17" spans="1:4" x14ac:dyDescent="0.25">
      <c r="A17" s="92">
        <v>14</v>
      </c>
      <c r="B17" s="98" t="s">
        <v>50</v>
      </c>
      <c r="C17" s="93" t="s">
        <v>177</v>
      </c>
      <c r="D17" s="106">
        <v>75</v>
      </c>
    </row>
    <row r="18" spans="1:4" x14ac:dyDescent="0.25">
      <c r="A18" s="92">
        <v>15</v>
      </c>
      <c r="B18" s="98" t="s">
        <v>51</v>
      </c>
      <c r="C18" s="93" t="s">
        <v>178</v>
      </c>
      <c r="D18" s="106">
        <v>30</v>
      </c>
    </row>
    <row r="19" spans="1:4" x14ac:dyDescent="0.25">
      <c r="A19" s="92">
        <v>16</v>
      </c>
      <c r="B19" s="98" t="s">
        <v>52</v>
      </c>
      <c r="C19" s="93" t="s">
        <v>179</v>
      </c>
      <c r="D19" s="106">
        <v>80</v>
      </c>
    </row>
    <row r="20" spans="1:4" x14ac:dyDescent="0.25">
      <c r="A20" s="92">
        <v>17</v>
      </c>
      <c r="B20" s="98" t="s">
        <v>53</v>
      </c>
      <c r="C20" s="93" t="s">
        <v>180</v>
      </c>
      <c r="D20" s="106">
        <v>50</v>
      </c>
    </row>
    <row r="21" spans="1:4" x14ac:dyDescent="0.25">
      <c r="A21" s="92">
        <v>18</v>
      </c>
      <c r="B21" s="98" t="s">
        <v>54</v>
      </c>
      <c r="C21" s="93" t="s">
        <v>181</v>
      </c>
      <c r="D21" s="106">
        <v>60</v>
      </c>
    </row>
    <row r="22" spans="1:4" x14ac:dyDescent="0.25">
      <c r="A22" s="92">
        <v>19</v>
      </c>
      <c r="B22" s="98" t="s">
        <v>55</v>
      </c>
      <c r="C22" s="93" t="s">
        <v>182</v>
      </c>
      <c r="D22" s="106">
        <v>100</v>
      </c>
    </row>
    <row r="23" spans="1:4" x14ac:dyDescent="0.25">
      <c r="A23" s="92">
        <v>20</v>
      </c>
      <c r="B23" s="98" t="s">
        <v>56</v>
      </c>
      <c r="C23" s="93" t="s">
        <v>183</v>
      </c>
      <c r="D23" s="106">
        <v>35</v>
      </c>
    </row>
    <row r="24" spans="1:4" x14ac:dyDescent="0.25">
      <c r="A24" s="92">
        <v>21</v>
      </c>
      <c r="B24" s="98" t="s">
        <v>47</v>
      </c>
      <c r="C24" s="93" t="s">
        <v>184</v>
      </c>
      <c r="D24" s="106">
        <v>50</v>
      </c>
    </row>
    <row r="25" spans="1:4" x14ac:dyDescent="0.25">
      <c r="A25" s="92">
        <v>22</v>
      </c>
      <c r="B25" s="98" t="s">
        <v>48</v>
      </c>
      <c r="C25" s="93" t="s">
        <v>185</v>
      </c>
      <c r="D25" s="106">
        <v>40</v>
      </c>
    </row>
    <row r="26" spans="1:4" x14ac:dyDescent="0.25">
      <c r="A26" s="92">
        <v>23</v>
      </c>
      <c r="B26" s="98" t="s">
        <v>49</v>
      </c>
      <c r="C26" s="93" t="s">
        <v>186</v>
      </c>
      <c r="D26" s="106">
        <v>60</v>
      </c>
    </row>
    <row r="27" spans="1:4" x14ac:dyDescent="0.25">
      <c r="A27" s="92">
        <v>24</v>
      </c>
      <c r="B27" s="98" t="s">
        <v>50</v>
      </c>
      <c r="C27" s="93" t="s">
        <v>187</v>
      </c>
      <c r="D27" s="106">
        <v>75</v>
      </c>
    </row>
    <row r="28" spans="1:4" x14ac:dyDescent="0.25">
      <c r="A28" s="92">
        <v>25</v>
      </c>
      <c r="B28" s="98" t="s">
        <v>51</v>
      </c>
      <c r="C28" s="93" t="s">
        <v>188</v>
      </c>
      <c r="D28" s="106">
        <v>30</v>
      </c>
    </row>
    <row r="29" spans="1:4" x14ac:dyDescent="0.25">
      <c r="A29" s="92">
        <v>26</v>
      </c>
      <c r="B29" s="98" t="s">
        <v>52</v>
      </c>
      <c r="C29" s="93" t="s">
        <v>189</v>
      </c>
      <c r="D29" s="106">
        <v>80</v>
      </c>
    </row>
    <row r="30" spans="1:4" x14ac:dyDescent="0.25">
      <c r="A30" s="92">
        <v>27</v>
      </c>
      <c r="B30" s="98" t="s">
        <v>53</v>
      </c>
      <c r="C30" s="94" t="s">
        <v>190</v>
      </c>
      <c r="D30" s="106">
        <v>50</v>
      </c>
    </row>
    <row r="31" spans="1:4" x14ac:dyDescent="0.25">
      <c r="A31" s="92">
        <v>28</v>
      </c>
      <c r="B31" s="98" t="s">
        <v>54</v>
      </c>
      <c r="C31" s="94" t="s">
        <v>191</v>
      </c>
      <c r="D31" s="106">
        <v>60</v>
      </c>
    </row>
    <row r="32" spans="1:4" x14ac:dyDescent="0.25">
      <c r="A32" s="92">
        <v>29</v>
      </c>
      <c r="B32" s="98" t="s">
        <v>55</v>
      </c>
      <c r="C32" s="94" t="s">
        <v>192</v>
      </c>
      <c r="D32" s="106">
        <v>100</v>
      </c>
    </row>
    <row r="33" spans="1:4" x14ac:dyDescent="0.25">
      <c r="A33" s="92">
        <v>30</v>
      </c>
      <c r="B33" s="98" t="s">
        <v>56</v>
      </c>
      <c r="C33" s="94" t="s">
        <v>193</v>
      </c>
      <c r="D33" s="106">
        <v>35</v>
      </c>
    </row>
    <row r="34" spans="1:4" x14ac:dyDescent="0.25">
      <c r="A34" s="92">
        <v>31</v>
      </c>
      <c r="B34" s="98" t="s">
        <v>47</v>
      </c>
      <c r="C34" s="94" t="s">
        <v>194</v>
      </c>
      <c r="D34" s="106">
        <v>50</v>
      </c>
    </row>
    <row r="35" spans="1:4" x14ac:dyDescent="0.25">
      <c r="A35" s="92">
        <v>32</v>
      </c>
      <c r="B35" s="98" t="s">
        <v>48</v>
      </c>
      <c r="C35" s="94" t="s">
        <v>195</v>
      </c>
      <c r="D35" s="106">
        <v>40</v>
      </c>
    </row>
    <row r="36" spans="1:4" x14ac:dyDescent="0.25">
      <c r="A36" s="92">
        <v>33</v>
      </c>
      <c r="B36" s="98" t="s">
        <v>49</v>
      </c>
      <c r="C36" s="94" t="s">
        <v>196</v>
      </c>
      <c r="D36" s="106">
        <v>60</v>
      </c>
    </row>
    <row r="37" spans="1:4" x14ac:dyDescent="0.25">
      <c r="A37" s="92">
        <v>34</v>
      </c>
      <c r="B37" s="98" t="s">
        <v>50</v>
      </c>
      <c r="C37" s="94" t="s">
        <v>197</v>
      </c>
      <c r="D37" s="106">
        <v>75</v>
      </c>
    </row>
    <row r="38" spans="1:4" x14ac:dyDescent="0.25">
      <c r="A38" s="92">
        <v>35</v>
      </c>
      <c r="B38" s="98" t="s">
        <v>51</v>
      </c>
      <c r="C38" s="93" t="s">
        <v>198</v>
      </c>
      <c r="D38" s="106">
        <v>30</v>
      </c>
    </row>
    <row r="39" spans="1:4" x14ac:dyDescent="0.25">
      <c r="A39" s="92">
        <v>36</v>
      </c>
      <c r="B39" s="98" t="s">
        <v>52</v>
      </c>
      <c r="C39" s="93" t="s">
        <v>199</v>
      </c>
      <c r="D39" s="106">
        <v>80</v>
      </c>
    </row>
    <row r="40" spans="1:4" x14ac:dyDescent="0.25">
      <c r="A40" s="92">
        <v>37</v>
      </c>
      <c r="B40" s="98" t="s">
        <v>53</v>
      </c>
      <c r="C40" s="93" t="s">
        <v>200</v>
      </c>
      <c r="D40" s="106">
        <v>50</v>
      </c>
    </row>
    <row r="41" spans="1:4" x14ac:dyDescent="0.25">
      <c r="A41" s="92">
        <v>38</v>
      </c>
      <c r="B41" s="98" t="s">
        <v>54</v>
      </c>
      <c r="C41" s="93" t="s">
        <v>201</v>
      </c>
      <c r="D41" s="106">
        <v>60</v>
      </c>
    </row>
    <row r="42" spans="1:4" x14ac:dyDescent="0.25">
      <c r="A42" s="92">
        <v>39</v>
      </c>
      <c r="B42" s="98" t="s">
        <v>55</v>
      </c>
      <c r="C42" s="93" t="s">
        <v>202</v>
      </c>
      <c r="D42" s="106">
        <v>100</v>
      </c>
    </row>
    <row r="43" spans="1:4" x14ac:dyDescent="0.25">
      <c r="A43" s="95">
        <v>40</v>
      </c>
      <c r="B43" s="99" t="s">
        <v>56</v>
      </c>
      <c r="C43" s="96" t="s">
        <v>203</v>
      </c>
      <c r="D43" s="107">
        <v>35</v>
      </c>
    </row>
  </sheetData>
  <mergeCells count="1">
    <mergeCell ref="A1:D2"/>
  </mergeCells>
  <conditionalFormatting sqref="A4:D999">
    <cfRule type="expression" dxfId="3" priority="1">
      <formula>AND($A4&lt;&gt;"",MOD(ROW(),2)=0)</formula>
    </cfRule>
  </conditionalFormatting>
  <pageMargins left="0.7" right="0.7" top="0.75" bottom="0.75" header="0.3" footer="0.3"/>
  <pageSetup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4CFCB-D43C-4036-ABAC-F3B56E39130D}">
  <sheetPr codeName="Projects"/>
  <dimension ref="A1:M107"/>
  <sheetViews>
    <sheetView zoomScaleNormal="100" workbookViewId="0">
      <selection activeCell="B6" sqref="B6"/>
    </sheetView>
  </sheetViews>
  <sheetFormatPr baseColWidth="10" defaultColWidth="9.140625" defaultRowHeight="15" x14ac:dyDescent="0.25"/>
  <cols>
    <col min="1" max="1" width="8.7109375" customWidth="1"/>
    <col min="2" max="2" width="29.140625" customWidth="1"/>
    <col min="3" max="3" width="8.7109375" customWidth="1"/>
    <col min="4" max="4" width="24.7109375" customWidth="1"/>
    <col min="5" max="8" width="10.7109375" customWidth="1"/>
    <col min="9" max="10" width="3.7109375" customWidth="1"/>
    <col min="11" max="11" width="8.7109375" customWidth="1"/>
    <col min="12" max="12" width="3.7109375" customWidth="1"/>
    <col min="13" max="13" width="39.28515625" customWidth="1"/>
  </cols>
  <sheetData>
    <row r="1" spans="1:13" ht="14.45" customHeight="1" x14ac:dyDescent="0.25">
      <c r="A1" s="183" t="s">
        <v>16</v>
      </c>
      <c r="B1" s="183"/>
      <c r="C1" s="183"/>
      <c r="D1" s="183"/>
      <c r="E1" s="183"/>
      <c r="F1" s="183"/>
      <c r="G1" s="183"/>
      <c r="H1" s="183"/>
      <c r="K1" s="13" t="s">
        <v>38</v>
      </c>
      <c r="M1" s="64" t="s">
        <v>42</v>
      </c>
    </row>
    <row r="2" spans="1:13" ht="14.45" customHeight="1" x14ac:dyDescent="0.25">
      <c r="A2" s="182"/>
      <c r="B2" s="182"/>
      <c r="C2" s="182"/>
      <c r="D2" s="182"/>
      <c r="E2" s="182"/>
      <c r="F2" s="182"/>
      <c r="G2" s="182"/>
      <c r="H2" s="182"/>
      <c r="K2" s="5" t="s">
        <v>94</v>
      </c>
      <c r="M2" s="5" t="s">
        <v>17</v>
      </c>
    </row>
    <row r="3" spans="1:13" ht="25.5" x14ac:dyDescent="0.25">
      <c r="A3" s="52" t="s">
        <v>96</v>
      </c>
      <c r="B3" s="56" t="s">
        <v>17</v>
      </c>
      <c r="C3" s="52" t="s">
        <v>97</v>
      </c>
      <c r="D3" s="56" t="s">
        <v>9</v>
      </c>
      <c r="E3" s="52" t="s">
        <v>18</v>
      </c>
      <c r="F3" s="52" t="s">
        <v>19</v>
      </c>
      <c r="G3" s="52" t="s">
        <v>20</v>
      </c>
      <c r="H3" s="52" t="s">
        <v>21</v>
      </c>
      <c r="K3" s="80"/>
      <c r="M3" t="s">
        <v>117</v>
      </c>
    </row>
    <row r="4" spans="1:13" x14ac:dyDescent="0.25">
      <c r="A4" s="2">
        <v>1</v>
      </c>
      <c r="B4" t="s">
        <v>117</v>
      </c>
      <c r="C4" s="2">
        <v>1</v>
      </c>
      <c r="D4" t="s">
        <v>79</v>
      </c>
      <c r="G4" s="7"/>
      <c r="H4" s="4"/>
      <c r="M4" t="s">
        <v>118</v>
      </c>
    </row>
    <row r="5" spans="1:13" x14ac:dyDescent="0.25">
      <c r="A5" s="2">
        <v>2</v>
      </c>
      <c r="B5" t="s">
        <v>118</v>
      </c>
      <c r="C5" s="2">
        <v>2</v>
      </c>
      <c r="D5" t="s">
        <v>86</v>
      </c>
      <c r="G5" s="7"/>
      <c r="H5" s="4"/>
      <c r="M5" t="s">
        <v>119</v>
      </c>
    </row>
    <row r="6" spans="1:13" x14ac:dyDescent="0.25">
      <c r="A6" s="2">
        <v>3</v>
      </c>
      <c r="B6" t="s">
        <v>119</v>
      </c>
      <c r="C6" s="2">
        <v>3</v>
      </c>
      <c r="D6" t="s">
        <v>111</v>
      </c>
      <c r="G6" s="7"/>
      <c r="H6" s="4"/>
    </row>
    <row r="7" spans="1:13" x14ac:dyDescent="0.25">
      <c r="A7" s="2"/>
      <c r="C7" s="2"/>
      <c r="G7" s="7"/>
      <c r="H7" s="4"/>
    </row>
    <row r="8" spans="1:13" x14ac:dyDescent="0.25">
      <c r="A8" s="2"/>
      <c r="C8" s="2"/>
      <c r="G8" s="7"/>
      <c r="H8" s="4"/>
    </row>
    <row r="9" spans="1:13" x14ac:dyDescent="0.25">
      <c r="A9" s="2"/>
      <c r="C9" s="2"/>
      <c r="G9" s="7"/>
      <c r="H9" s="4"/>
    </row>
    <row r="10" spans="1:13" x14ac:dyDescent="0.25">
      <c r="A10" s="2"/>
      <c r="C10" s="2"/>
      <c r="G10" s="7"/>
      <c r="H10" s="4"/>
    </row>
    <row r="11" spans="1:13" x14ac:dyDescent="0.25">
      <c r="A11" s="2"/>
      <c r="C11" s="2"/>
      <c r="G11" s="7"/>
      <c r="H11" s="4"/>
    </row>
    <row r="12" spans="1:13" x14ac:dyDescent="0.25">
      <c r="A12" s="2"/>
      <c r="C12" s="2"/>
    </row>
    <row r="13" spans="1:13" x14ac:dyDescent="0.25">
      <c r="A13" s="2"/>
      <c r="C13" s="2"/>
    </row>
    <row r="14" spans="1:13" x14ac:dyDescent="0.25">
      <c r="A14" s="2"/>
      <c r="C14" s="2"/>
    </row>
    <row r="15" spans="1:13" x14ac:dyDescent="0.25">
      <c r="A15" s="2"/>
      <c r="C15" s="2"/>
    </row>
    <row r="16" spans="1:13" x14ac:dyDescent="0.25">
      <c r="A16" s="2"/>
      <c r="C16" s="2"/>
    </row>
    <row r="17" spans="1:3" x14ac:dyDescent="0.25">
      <c r="A17" s="2"/>
      <c r="C17" s="2"/>
    </row>
    <row r="18" spans="1:3" x14ac:dyDescent="0.25">
      <c r="A18" s="2"/>
      <c r="C18" s="2"/>
    </row>
    <row r="19" spans="1:3" x14ac:dyDescent="0.25">
      <c r="A19" s="2"/>
      <c r="C19" s="2"/>
    </row>
    <row r="20" spans="1:3" x14ac:dyDescent="0.25">
      <c r="A20" s="2"/>
      <c r="C20" s="2"/>
    </row>
    <row r="21" spans="1:3" x14ac:dyDescent="0.25">
      <c r="A21" s="2"/>
      <c r="C21" s="2"/>
    </row>
    <row r="22" spans="1:3" x14ac:dyDescent="0.25">
      <c r="A22" s="2"/>
      <c r="C22" s="2"/>
    </row>
    <row r="23" spans="1:3" x14ac:dyDescent="0.25">
      <c r="A23" s="2"/>
      <c r="C23" s="2"/>
    </row>
    <row r="24" spans="1:3" x14ac:dyDescent="0.25">
      <c r="A24" s="2"/>
      <c r="C24" s="2"/>
    </row>
    <row r="25" spans="1:3" x14ac:dyDescent="0.25">
      <c r="A25" s="2"/>
      <c r="C25" s="2"/>
    </row>
    <row r="26" spans="1:3" x14ac:dyDescent="0.25">
      <c r="A26" s="2"/>
      <c r="C26" s="2"/>
    </row>
    <row r="27" spans="1:3" x14ac:dyDescent="0.25">
      <c r="A27" s="2"/>
      <c r="C27" s="2"/>
    </row>
    <row r="28" spans="1:3" x14ac:dyDescent="0.25">
      <c r="A28" s="2"/>
      <c r="C28" s="2"/>
    </row>
    <row r="29" spans="1:3" x14ac:dyDescent="0.25">
      <c r="A29" s="2"/>
      <c r="C29" s="2"/>
    </row>
    <row r="30" spans="1:3" x14ac:dyDescent="0.25">
      <c r="A30" s="2"/>
      <c r="C30" s="2"/>
    </row>
    <row r="31" spans="1:3" x14ac:dyDescent="0.25">
      <c r="A31" s="2"/>
      <c r="C31" s="2"/>
    </row>
    <row r="32" spans="1:3" x14ac:dyDescent="0.25">
      <c r="A32" s="2"/>
      <c r="C32" s="2"/>
    </row>
    <row r="33" spans="1:3" x14ac:dyDescent="0.25">
      <c r="A33" s="2"/>
      <c r="C33" s="2"/>
    </row>
    <row r="34" spans="1:3" x14ac:dyDescent="0.25">
      <c r="A34" s="2"/>
      <c r="C34" s="2"/>
    </row>
    <row r="35" spans="1:3" x14ac:dyDescent="0.25">
      <c r="A35" s="2"/>
      <c r="C35" s="2"/>
    </row>
    <row r="36" spans="1:3" x14ac:dyDescent="0.25">
      <c r="A36" s="2"/>
      <c r="C36" s="2"/>
    </row>
    <row r="37" spans="1:3" x14ac:dyDescent="0.25">
      <c r="A37" s="2"/>
      <c r="C37" s="2"/>
    </row>
    <row r="38" spans="1:3" x14ac:dyDescent="0.25">
      <c r="A38" s="2"/>
      <c r="C38" s="2"/>
    </row>
    <row r="39" spans="1:3" x14ac:dyDescent="0.25">
      <c r="A39" s="2"/>
      <c r="C39" s="2"/>
    </row>
    <row r="40" spans="1:3" x14ac:dyDescent="0.25">
      <c r="A40" s="2"/>
      <c r="C40" s="2"/>
    </row>
    <row r="41" spans="1:3" x14ac:dyDescent="0.25">
      <c r="A41" s="2"/>
      <c r="C41" s="2"/>
    </row>
    <row r="42" spans="1:3" x14ac:dyDescent="0.25">
      <c r="A42" s="2"/>
      <c r="C42" s="2"/>
    </row>
    <row r="43" spans="1:3" x14ac:dyDescent="0.25">
      <c r="A43" s="2"/>
      <c r="C43" s="2"/>
    </row>
    <row r="44" spans="1:3" x14ac:dyDescent="0.25">
      <c r="A44" s="2"/>
      <c r="C44" s="2"/>
    </row>
    <row r="45" spans="1:3" x14ac:dyDescent="0.25">
      <c r="A45" s="2"/>
      <c r="C45" s="2"/>
    </row>
    <row r="46" spans="1:3" x14ac:dyDescent="0.25">
      <c r="A46" s="2"/>
      <c r="C46" s="2"/>
    </row>
    <row r="47" spans="1:3" x14ac:dyDescent="0.25">
      <c r="A47" s="2"/>
      <c r="C47" s="2"/>
    </row>
    <row r="48" spans="1:3" x14ac:dyDescent="0.25">
      <c r="A48" s="2"/>
      <c r="C48" s="2"/>
    </row>
    <row r="49" spans="1:3" x14ac:dyDescent="0.25">
      <c r="A49" s="2"/>
      <c r="C49" s="2"/>
    </row>
    <row r="50" spans="1:3" x14ac:dyDescent="0.25">
      <c r="A50" s="2"/>
      <c r="C50" s="2"/>
    </row>
    <row r="51" spans="1:3" x14ac:dyDescent="0.25">
      <c r="A51" s="2"/>
      <c r="C51" s="2"/>
    </row>
    <row r="52" spans="1:3" x14ac:dyDescent="0.25">
      <c r="A52" s="2"/>
      <c r="C52" s="2"/>
    </row>
    <row r="53" spans="1:3" x14ac:dyDescent="0.25">
      <c r="A53" s="2"/>
      <c r="C53" s="2"/>
    </row>
    <row r="54" spans="1:3" x14ac:dyDescent="0.25">
      <c r="A54" s="2"/>
      <c r="C54" s="2"/>
    </row>
    <row r="55" spans="1:3" x14ac:dyDescent="0.25">
      <c r="A55" s="2"/>
      <c r="C55" s="2"/>
    </row>
    <row r="56" spans="1:3" x14ac:dyDescent="0.25">
      <c r="A56" s="2"/>
      <c r="C56" s="2"/>
    </row>
    <row r="57" spans="1:3" x14ac:dyDescent="0.25">
      <c r="A57" s="2"/>
      <c r="C57" s="2"/>
    </row>
    <row r="58" spans="1:3" x14ac:dyDescent="0.25">
      <c r="A58" s="2"/>
      <c r="C58" s="2"/>
    </row>
    <row r="59" spans="1:3" x14ac:dyDescent="0.25">
      <c r="A59" s="2"/>
      <c r="C59" s="2"/>
    </row>
    <row r="60" spans="1:3" x14ac:dyDescent="0.25">
      <c r="A60" s="2"/>
      <c r="C60" s="2"/>
    </row>
    <row r="61" spans="1:3" x14ac:dyDescent="0.25">
      <c r="A61" s="2"/>
      <c r="C61" s="2"/>
    </row>
    <row r="62" spans="1:3" x14ac:dyDescent="0.25">
      <c r="A62" s="2"/>
      <c r="C62" s="2"/>
    </row>
    <row r="63" spans="1:3" x14ac:dyDescent="0.25">
      <c r="A63" s="2"/>
      <c r="C63" s="2"/>
    </row>
    <row r="64" spans="1:3" x14ac:dyDescent="0.25">
      <c r="A64" s="2"/>
      <c r="C64" s="2"/>
    </row>
    <row r="65" spans="1:3" x14ac:dyDescent="0.25">
      <c r="A65" s="2"/>
      <c r="C65" s="2"/>
    </row>
    <row r="66" spans="1:3" x14ac:dyDescent="0.25">
      <c r="A66" s="2"/>
      <c r="C66" s="2"/>
    </row>
    <row r="67" spans="1:3" x14ac:dyDescent="0.25">
      <c r="A67" s="2"/>
      <c r="C67" s="2"/>
    </row>
    <row r="68" spans="1:3" x14ac:dyDescent="0.25">
      <c r="A68" s="2"/>
      <c r="C68" s="2"/>
    </row>
    <row r="69" spans="1:3" x14ac:dyDescent="0.25">
      <c r="A69" s="2"/>
      <c r="C69" s="2"/>
    </row>
    <row r="70" spans="1:3" x14ac:dyDescent="0.25">
      <c r="A70" s="2"/>
      <c r="C70" s="2"/>
    </row>
    <row r="71" spans="1:3" x14ac:dyDescent="0.25">
      <c r="A71" s="2"/>
      <c r="C71" s="2"/>
    </row>
    <row r="72" spans="1:3" x14ac:dyDescent="0.25">
      <c r="A72" s="2"/>
      <c r="C72" s="2"/>
    </row>
    <row r="73" spans="1:3" x14ac:dyDescent="0.25">
      <c r="A73" s="2"/>
      <c r="C73" s="2"/>
    </row>
    <row r="74" spans="1:3" x14ac:dyDescent="0.25">
      <c r="A74" s="2"/>
      <c r="C74" s="2"/>
    </row>
    <row r="75" spans="1:3" x14ac:dyDescent="0.25">
      <c r="A75" s="2"/>
      <c r="C75" s="2"/>
    </row>
    <row r="76" spans="1:3" x14ac:dyDescent="0.25">
      <c r="A76" s="2"/>
      <c r="C76" s="2"/>
    </row>
    <row r="77" spans="1:3" x14ac:dyDescent="0.25">
      <c r="A77" s="2"/>
      <c r="C77" s="2"/>
    </row>
    <row r="78" spans="1:3" x14ac:dyDescent="0.25">
      <c r="A78" s="2"/>
      <c r="C78" s="2"/>
    </row>
    <row r="79" spans="1:3" x14ac:dyDescent="0.25">
      <c r="A79" s="2"/>
      <c r="C79" s="2"/>
    </row>
    <row r="80" spans="1:3" x14ac:dyDescent="0.25">
      <c r="A80" s="2"/>
      <c r="C80" s="2"/>
    </row>
    <row r="81" spans="1:3" x14ac:dyDescent="0.25">
      <c r="A81" s="2"/>
      <c r="C81" s="2"/>
    </row>
    <row r="82" spans="1:3" x14ac:dyDescent="0.25">
      <c r="A82" s="2"/>
      <c r="C82" s="2"/>
    </row>
    <row r="83" spans="1:3" x14ac:dyDescent="0.25">
      <c r="A83" s="2"/>
      <c r="C83" s="2"/>
    </row>
    <row r="84" spans="1:3" x14ac:dyDescent="0.25">
      <c r="A84" s="2"/>
      <c r="C84" s="2"/>
    </row>
    <row r="85" spans="1:3" x14ac:dyDescent="0.25">
      <c r="A85" s="2"/>
      <c r="C85" s="2"/>
    </row>
    <row r="86" spans="1:3" x14ac:dyDescent="0.25">
      <c r="A86" s="2"/>
      <c r="C86" s="2"/>
    </row>
    <row r="87" spans="1:3" x14ac:dyDescent="0.25">
      <c r="A87" s="2"/>
      <c r="C87" s="2"/>
    </row>
    <row r="88" spans="1:3" x14ac:dyDescent="0.25">
      <c r="A88" s="2"/>
      <c r="C88" s="2"/>
    </row>
    <row r="89" spans="1:3" x14ac:dyDescent="0.25">
      <c r="A89" s="2"/>
      <c r="C89" s="2"/>
    </row>
    <row r="90" spans="1:3" x14ac:dyDescent="0.25">
      <c r="A90" s="2"/>
      <c r="C90" s="2"/>
    </row>
    <row r="91" spans="1:3" x14ac:dyDescent="0.25">
      <c r="A91" s="2"/>
      <c r="C91" s="2"/>
    </row>
    <row r="92" spans="1:3" x14ac:dyDescent="0.25">
      <c r="A92" s="2"/>
      <c r="C92" s="2"/>
    </row>
    <row r="93" spans="1:3" x14ac:dyDescent="0.25">
      <c r="A93" s="2"/>
      <c r="C93" s="2"/>
    </row>
    <row r="94" spans="1:3" x14ac:dyDescent="0.25">
      <c r="A94" s="2"/>
      <c r="C94" s="2"/>
    </row>
    <row r="95" spans="1:3" x14ac:dyDescent="0.25">
      <c r="A95" s="2"/>
      <c r="C95" s="2"/>
    </row>
    <row r="96" spans="1:3" x14ac:dyDescent="0.25">
      <c r="A96" s="2"/>
      <c r="C96" s="2"/>
    </row>
    <row r="97" spans="1:3" x14ac:dyDescent="0.25">
      <c r="A97" s="2"/>
      <c r="C97" s="2"/>
    </row>
    <row r="98" spans="1:3" x14ac:dyDescent="0.25">
      <c r="A98" s="2"/>
      <c r="C98" s="2"/>
    </row>
    <row r="99" spans="1:3" x14ac:dyDescent="0.25">
      <c r="A99" s="2"/>
      <c r="C99" s="2"/>
    </row>
    <row r="100" spans="1:3" x14ac:dyDescent="0.25">
      <c r="A100" s="2"/>
      <c r="C100" s="2"/>
    </row>
    <row r="101" spans="1:3" x14ac:dyDescent="0.25">
      <c r="A101" s="2"/>
      <c r="C101" s="2"/>
    </row>
    <row r="102" spans="1:3" x14ac:dyDescent="0.25">
      <c r="A102" s="2"/>
      <c r="C102" s="2"/>
    </row>
    <row r="103" spans="1:3" x14ac:dyDescent="0.25">
      <c r="A103" s="2"/>
      <c r="C103" s="2"/>
    </row>
    <row r="104" spans="1:3" x14ac:dyDescent="0.25">
      <c r="A104" s="2"/>
      <c r="C104" s="2"/>
    </row>
    <row r="105" spans="1:3" x14ac:dyDescent="0.25">
      <c r="A105" s="2"/>
      <c r="C105" s="2"/>
    </row>
    <row r="106" spans="1:3" x14ac:dyDescent="0.25">
      <c r="A106" s="2"/>
      <c r="C106" s="2"/>
    </row>
    <row r="107" spans="1:3" x14ac:dyDescent="0.25">
      <c r="A107" s="2"/>
      <c r="C107" s="2"/>
    </row>
  </sheetData>
  <mergeCells count="1">
    <mergeCell ref="A1:H2"/>
  </mergeCells>
  <conditionalFormatting sqref="A7:H11 A4:C6 E4:H6">
    <cfRule type="expression" dxfId="2" priority="3">
      <formula>AND($A4&lt;&gt;"",MOD(ROW(),2)=0)</formula>
    </cfRule>
  </conditionalFormatting>
  <conditionalFormatting sqref="D4:D6">
    <cfRule type="expression" dxfId="1" priority="1">
      <formula>AND($A4&lt;&gt;"",MOD(ROW(),2)=0)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A80C3-47C9-45A2-9607-2D3EB116CDD7}">
  <sheetPr codeName="Customers"/>
  <dimension ref="A1:I25"/>
  <sheetViews>
    <sheetView workbookViewId="0">
      <selection activeCell="H16" sqref="H16"/>
    </sheetView>
  </sheetViews>
  <sheetFormatPr baseColWidth="10" defaultColWidth="9.140625" defaultRowHeight="15" x14ac:dyDescent="0.25"/>
  <cols>
    <col min="1" max="1" width="6.85546875" bestFit="1" customWidth="1"/>
    <col min="2" max="2" width="25" customWidth="1"/>
    <col min="3" max="3" width="32.28515625" customWidth="1"/>
    <col min="4" max="4" width="20.140625" customWidth="1"/>
    <col min="5" max="5" width="13.140625" bestFit="1" customWidth="1"/>
    <col min="6" max="6" width="12" style="2" customWidth="1"/>
    <col min="7" max="7" width="15.7109375" customWidth="1"/>
    <col min="8" max="8" width="18.85546875" bestFit="1" customWidth="1"/>
    <col min="9" max="9" width="29.42578125" customWidth="1"/>
  </cols>
  <sheetData>
    <row r="1" spans="1:9" x14ac:dyDescent="0.25">
      <c r="A1" s="183" t="s">
        <v>8</v>
      </c>
      <c r="B1" s="183"/>
      <c r="C1" s="183"/>
      <c r="D1" s="183"/>
      <c r="E1" s="183"/>
      <c r="F1" s="183"/>
      <c r="G1" s="183"/>
      <c r="H1" s="183"/>
      <c r="I1" s="183"/>
    </row>
    <row r="2" spans="1:9" x14ac:dyDescent="0.25">
      <c r="A2" s="182"/>
      <c r="B2" s="182"/>
      <c r="C2" s="182"/>
      <c r="D2" s="182"/>
      <c r="E2" s="182"/>
      <c r="F2" s="182"/>
      <c r="G2" s="182"/>
      <c r="H2" s="182"/>
      <c r="I2" s="182"/>
    </row>
    <row r="3" spans="1:9" ht="26.25" x14ac:dyDescent="0.25">
      <c r="A3" s="51" t="s">
        <v>98</v>
      </c>
      <c r="B3" s="56" t="s">
        <v>9</v>
      </c>
      <c r="C3" s="56" t="s">
        <v>10</v>
      </c>
      <c r="D3" s="56" t="s">
        <v>11</v>
      </c>
      <c r="E3" s="56" t="s">
        <v>12</v>
      </c>
      <c r="F3" s="56" t="s">
        <v>13</v>
      </c>
      <c r="G3" s="56" t="s">
        <v>14</v>
      </c>
      <c r="H3" s="56"/>
      <c r="I3" s="56" t="s">
        <v>15</v>
      </c>
    </row>
    <row r="4" spans="1:9" x14ac:dyDescent="0.25">
      <c r="A4" s="2">
        <v>1</v>
      </c>
      <c r="B4" t="s">
        <v>79</v>
      </c>
      <c r="C4" t="s">
        <v>80</v>
      </c>
      <c r="D4" t="s">
        <v>81</v>
      </c>
      <c r="E4" t="s">
        <v>82</v>
      </c>
      <c r="F4" s="2" t="s">
        <v>83</v>
      </c>
      <c r="G4" s="6" t="s">
        <v>84</v>
      </c>
      <c r="H4" s="6" t="s">
        <v>160</v>
      </c>
      <c r="I4" s="46" t="s">
        <v>85</v>
      </c>
    </row>
    <row r="5" spans="1:9" x14ac:dyDescent="0.25">
      <c r="A5" s="2">
        <v>2</v>
      </c>
      <c r="B5" t="s">
        <v>86</v>
      </c>
      <c r="C5" t="s">
        <v>99</v>
      </c>
      <c r="D5" t="s">
        <v>87</v>
      </c>
      <c r="E5" t="s">
        <v>82</v>
      </c>
      <c r="F5" s="2" t="s">
        <v>88</v>
      </c>
      <c r="G5" t="s">
        <v>89</v>
      </c>
      <c r="H5" t="s">
        <v>161</v>
      </c>
      <c r="I5" s="46" t="s">
        <v>90</v>
      </c>
    </row>
    <row r="6" spans="1:9" x14ac:dyDescent="0.25">
      <c r="A6" s="2">
        <v>3</v>
      </c>
      <c r="B6" t="s">
        <v>111</v>
      </c>
      <c r="C6" t="s">
        <v>112</v>
      </c>
      <c r="D6" t="s">
        <v>113</v>
      </c>
      <c r="E6" t="s">
        <v>82</v>
      </c>
      <c r="F6" s="2" t="s">
        <v>114</v>
      </c>
      <c r="G6" t="s">
        <v>115</v>
      </c>
      <c r="H6" t="s">
        <v>162</v>
      </c>
      <c r="I6" s="46" t="s">
        <v>116</v>
      </c>
    </row>
    <row r="7" spans="1:9" x14ac:dyDescent="0.25">
      <c r="A7" s="2">
        <v>4</v>
      </c>
      <c r="B7" t="s">
        <v>160</v>
      </c>
      <c r="C7" t="s">
        <v>230</v>
      </c>
      <c r="D7" t="s">
        <v>231</v>
      </c>
      <c r="E7" t="s">
        <v>82</v>
      </c>
      <c r="F7" s="2" t="s">
        <v>232</v>
      </c>
      <c r="G7" t="s">
        <v>84</v>
      </c>
      <c r="H7" t="s">
        <v>160</v>
      </c>
      <c r="I7" s="46" t="s">
        <v>85</v>
      </c>
    </row>
    <row r="8" spans="1:9" x14ac:dyDescent="0.25">
      <c r="A8" s="2">
        <v>5</v>
      </c>
      <c r="B8" t="s">
        <v>233</v>
      </c>
      <c r="C8" t="s">
        <v>230</v>
      </c>
      <c r="D8" t="s">
        <v>231</v>
      </c>
      <c r="E8" t="s">
        <v>82</v>
      </c>
      <c r="F8" s="2" t="s">
        <v>232</v>
      </c>
      <c r="G8" t="s">
        <v>234</v>
      </c>
      <c r="H8" t="s">
        <v>233</v>
      </c>
      <c r="I8" s="46" t="s">
        <v>235</v>
      </c>
    </row>
    <row r="9" spans="1:9" x14ac:dyDescent="0.25">
      <c r="A9" s="2"/>
    </row>
    <row r="10" spans="1:9" x14ac:dyDescent="0.25">
      <c r="A10" s="2"/>
    </row>
    <row r="11" spans="1:9" x14ac:dyDescent="0.25">
      <c r="A11" s="2"/>
    </row>
    <row r="12" spans="1:9" x14ac:dyDescent="0.25">
      <c r="A12" s="2"/>
    </row>
    <row r="13" spans="1:9" x14ac:dyDescent="0.25">
      <c r="A13" s="2"/>
    </row>
    <row r="14" spans="1:9" x14ac:dyDescent="0.25">
      <c r="A14" s="2"/>
    </row>
    <row r="15" spans="1:9" x14ac:dyDescent="0.25">
      <c r="A15" s="2"/>
    </row>
    <row r="16" spans="1:9" x14ac:dyDescent="0.25">
      <c r="A16" s="2"/>
    </row>
    <row r="17" spans="1:1" x14ac:dyDescent="0.25">
      <c r="A17" s="2"/>
    </row>
    <row r="18" spans="1:1" x14ac:dyDescent="0.25">
      <c r="A18" s="2"/>
    </row>
    <row r="19" spans="1:1" x14ac:dyDescent="0.25">
      <c r="A19" s="2"/>
    </row>
    <row r="20" spans="1:1" x14ac:dyDescent="0.25">
      <c r="A20" s="2"/>
    </row>
    <row r="21" spans="1:1" x14ac:dyDescent="0.25">
      <c r="A21" s="2"/>
    </row>
    <row r="22" spans="1:1" x14ac:dyDescent="0.25">
      <c r="A22" s="2"/>
    </row>
    <row r="23" spans="1:1" x14ac:dyDescent="0.25">
      <c r="A23" s="2"/>
    </row>
    <row r="24" spans="1:1" x14ac:dyDescent="0.25">
      <c r="A24" s="2"/>
    </row>
    <row r="25" spans="1:1" x14ac:dyDescent="0.25">
      <c r="A25" s="2"/>
    </row>
  </sheetData>
  <mergeCells count="1">
    <mergeCell ref="A1:I2"/>
  </mergeCells>
  <conditionalFormatting sqref="A4:I88">
    <cfRule type="expression" dxfId="0" priority="1">
      <formula>AND($A4&lt;&gt;"",MOD(ROW(),2)=0)</formula>
    </cfRule>
  </conditionalFormatting>
  <hyperlinks>
    <hyperlink ref="I4" r:id="rId1" xr:uid="{43479342-7CF1-44DB-8860-7945196E4ED1}"/>
    <hyperlink ref="I5" r:id="rId2" xr:uid="{E9917960-E388-4618-A27E-BCD098F6B688}"/>
    <hyperlink ref="I6" r:id="rId3" xr:uid="{087317A4-64EE-4B2F-B43B-28A7C0E8F328}"/>
    <hyperlink ref="I7" r:id="rId4" xr:uid="{E58BDBEC-89E0-4010-B197-91A8C92F5AAA}"/>
    <hyperlink ref="I8" r:id="rId5" xr:uid="{F489FE95-E9A5-4A05-9ACB-F5AB4E9A1BA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7</vt:i4>
      </vt:variant>
    </vt:vector>
  </HeadingPairs>
  <TitlesOfParts>
    <vt:vector size="14" baseType="lpstr">
      <vt:lpstr>Invoice</vt:lpstr>
      <vt:lpstr>Invoice List</vt:lpstr>
      <vt:lpstr>Invoice Items</vt:lpstr>
      <vt:lpstr>Billing Entries</vt:lpstr>
      <vt:lpstr>Service Items</vt:lpstr>
      <vt:lpstr>Projects</vt:lpstr>
      <vt:lpstr>Customers</vt:lpstr>
      <vt:lpstr>'Billing Entries'!Criteres</vt:lpstr>
      <vt:lpstr>'Invoice Items'!Criteres</vt:lpstr>
      <vt:lpstr>Projects!Criteres</vt:lpstr>
      <vt:lpstr>'Billing Entries'!Extraire</vt:lpstr>
      <vt:lpstr>'Invoice Items'!Extraire</vt:lpstr>
      <vt:lpstr>Projects!Extraire</vt:lpstr>
      <vt:lpstr>Invoice!Zone_d_impression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Austins</dc:creator>
  <cp:lastModifiedBy>Robert M. Vigneault</cp:lastModifiedBy>
  <cp:lastPrinted>2023-09-30T13:23:59Z</cp:lastPrinted>
  <dcterms:created xsi:type="dcterms:W3CDTF">2023-05-08T04:58:50Z</dcterms:created>
  <dcterms:modified xsi:type="dcterms:W3CDTF">2023-09-30T13:27:38Z</dcterms:modified>
</cp:coreProperties>
</file>