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1432951F-C376-4377-BC1A-4444FB90F3AB}" xr6:coauthVersionLast="47" xr6:coauthVersionMax="47" xr10:uidLastSave="{00000000-0000-0000-0000-000000000000}"/>
  <bookViews>
    <workbookView xWindow="-120" yWindow="-120" windowWidth="29040" windowHeight="15840" xr2:uid="{B0B3B48D-8C79-43D5-970B-F3D87D6E4E73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1" l="1"/>
  <c r="C23" i="1"/>
  <c r="B23" i="1"/>
  <c r="F12" i="1"/>
  <c r="G12" i="1" s="1"/>
  <c r="F13" i="1"/>
  <c r="G13" i="1" s="1"/>
  <c r="F14" i="1"/>
  <c r="K14" i="1" s="1"/>
  <c r="G14" i="1"/>
  <c r="H14" i="1" s="1"/>
  <c r="L14" i="1" s="1"/>
  <c r="F15" i="1"/>
  <c r="K15" i="1" s="1"/>
  <c r="G15" i="1"/>
  <c r="I15" i="1" s="1"/>
  <c r="M15" i="1" s="1"/>
  <c r="H15" i="1"/>
  <c r="L15" i="1" s="1"/>
  <c r="F16" i="1"/>
  <c r="G16" i="1"/>
  <c r="H16" i="1" s="1"/>
  <c r="L16" i="1" s="1"/>
  <c r="I16" i="1"/>
  <c r="M16" i="1" s="1"/>
  <c r="K16" i="1"/>
  <c r="F17" i="1"/>
  <c r="G17" i="1" s="1"/>
  <c r="K17" i="1"/>
  <c r="F18" i="1"/>
  <c r="G18" i="1"/>
  <c r="H18" i="1" s="1"/>
  <c r="L18" i="1" s="1"/>
  <c r="K18" i="1"/>
  <c r="F19" i="1"/>
  <c r="G19" i="1" s="1"/>
  <c r="K19" i="1"/>
  <c r="F20" i="1"/>
  <c r="G20" i="1" s="1"/>
  <c r="F21" i="1"/>
  <c r="K21" i="1" s="1"/>
  <c r="G21" i="1"/>
  <c r="H21" i="1" s="1"/>
  <c r="L21" i="1" s="1"/>
  <c r="F22" i="1"/>
  <c r="K22" i="1" s="1"/>
  <c r="G22" i="1"/>
  <c r="I22" i="1" s="1"/>
  <c r="M22" i="1" s="1"/>
  <c r="H22" i="1"/>
  <c r="L22" i="1" s="1"/>
  <c r="B22" i="1"/>
  <c r="D22" i="1" s="1"/>
  <c r="C22" i="1"/>
  <c r="K4" i="1"/>
  <c r="K5" i="1"/>
  <c r="K6" i="1"/>
  <c r="K7" i="1"/>
  <c r="K8" i="1"/>
  <c r="K9" i="1"/>
  <c r="K10" i="1"/>
  <c r="K11" i="1"/>
  <c r="K3" i="1"/>
  <c r="C21" i="1"/>
  <c r="B21" i="1"/>
  <c r="B20" i="1"/>
  <c r="D20" i="1" s="1"/>
  <c r="C20" i="1"/>
  <c r="B19" i="1"/>
  <c r="C19" i="1"/>
  <c r="B18" i="1"/>
  <c r="D18" i="1" s="1"/>
  <c r="C18" i="1"/>
  <c r="B17" i="1"/>
  <c r="D17" i="1" s="1"/>
  <c r="C17" i="1"/>
  <c r="B16" i="1"/>
  <c r="C16" i="1"/>
  <c r="B15" i="1"/>
  <c r="D15" i="1" s="1"/>
  <c r="C15" i="1"/>
  <c r="B14" i="1"/>
  <c r="C14" i="1"/>
  <c r="D14" i="1"/>
  <c r="B13" i="1"/>
  <c r="C13" i="1"/>
  <c r="B12" i="1"/>
  <c r="C12" i="1"/>
  <c r="B11" i="1"/>
  <c r="C11" i="1"/>
  <c r="B10" i="1"/>
  <c r="D10" i="1" s="1"/>
  <c r="F10" i="1" s="1"/>
  <c r="G10" i="1" s="1"/>
  <c r="C10" i="1"/>
  <c r="B9" i="1"/>
  <c r="C9" i="1"/>
  <c r="D9" i="1"/>
  <c r="F9" i="1" s="1"/>
  <c r="G9" i="1" s="1"/>
  <c r="B8" i="1"/>
  <c r="D8" i="1" s="1"/>
  <c r="F8" i="1" s="1"/>
  <c r="G8" i="1" s="1"/>
  <c r="C8" i="1"/>
  <c r="B7" i="1"/>
  <c r="C7" i="1"/>
  <c r="C6" i="1"/>
  <c r="B6" i="1"/>
  <c r="C5" i="1"/>
  <c r="B5" i="1"/>
  <c r="C4" i="1"/>
  <c r="B4" i="1"/>
  <c r="C3" i="1"/>
  <c r="B3" i="1"/>
  <c r="D3" i="1" s="1"/>
  <c r="F3" i="1" s="1"/>
  <c r="G3" i="1" s="1"/>
  <c r="I3" i="1" s="1"/>
  <c r="F23" i="1" l="1"/>
  <c r="G23" i="1" s="1"/>
  <c r="H20" i="1"/>
  <c r="L20" i="1" s="1"/>
  <c r="I20" i="1"/>
  <c r="M20" i="1" s="1"/>
  <c r="H17" i="1"/>
  <c r="L17" i="1" s="1"/>
  <c r="I17" i="1"/>
  <c r="M17" i="1" s="1"/>
  <c r="H13" i="1"/>
  <c r="L13" i="1" s="1"/>
  <c r="I13" i="1"/>
  <c r="M13" i="1" s="1"/>
  <c r="H19" i="1"/>
  <c r="L19" i="1" s="1"/>
  <c r="I19" i="1"/>
  <c r="M19" i="1" s="1"/>
  <c r="H12" i="1"/>
  <c r="L12" i="1" s="1"/>
  <c r="I12" i="1"/>
  <c r="M12" i="1" s="1"/>
  <c r="I18" i="1"/>
  <c r="M18" i="1" s="1"/>
  <c r="K20" i="1"/>
  <c r="K12" i="1"/>
  <c r="K13" i="1"/>
  <c r="I21" i="1"/>
  <c r="M21" i="1" s="1"/>
  <c r="I14" i="1"/>
  <c r="M14" i="1" s="1"/>
  <c r="D16" i="1"/>
  <c r="D13" i="1"/>
  <c r="D12" i="1"/>
  <c r="D7" i="1"/>
  <c r="F7" i="1" s="1"/>
  <c r="G7" i="1" s="1"/>
  <c r="D19" i="1"/>
  <c r="D21" i="1"/>
  <c r="D11" i="1"/>
  <c r="F11" i="1" s="1"/>
  <c r="G11" i="1" s="1"/>
  <c r="I10" i="1"/>
  <c r="M10" i="1" s="1"/>
  <c r="H10" i="1"/>
  <c r="L10" i="1" s="1"/>
  <c r="H9" i="1"/>
  <c r="L9" i="1" s="1"/>
  <c r="I9" i="1"/>
  <c r="M9" i="1" s="1"/>
  <c r="I8" i="1"/>
  <c r="M8" i="1" s="1"/>
  <c r="H8" i="1"/>
  <c r="L8" i="1" s="1"/>
  <c r="H7" i="1"/>
  <c r="L7" i="1" s="1"/>
  <c r="I7" i="1"/>
  <c r="M7" i="1" s="1"/>
  <c r="D6" i="1"/>
  <c r="F6" i="1" s="1"/>
  <c r="G6" i="1" s="1"/>
  <c r="D5" i="1"/>
  <c r="F5" i="1" s="1"/>
  <c r="G5" i="1" s="1"/>
  <c r="D4" i="1"/>
  <c r="F4" i="1" s="1"/>
  <c r="G4" i="1" s="1"/>
  <c r="M3" i="1"/>
  <c r="H3" i="1"/>
  <c r="L3" i="1"/>
  <c r="I23" i="1" l="1"/>
  <c r="M23" i="1" s="1"/>
  <c r="H23" i="1"/>
  <c r="L23" i="1" s="1"/>
  <c r="K23" i="1"/>
  <c r="H11" i="1"/>
  <c r="L11" i="1" s="1"/>
  <c r="I11" i="1"/>
  <c r="M11" i="1" s="1"/>
  <c r="I6" i="1"/>
  <c r="M6" i="1" s="1"/>
  <c r="H6" i="1"/>
  <c r="L6" i="1" s="1"/>
  <c r="I5" i="1"/>
  <c r="M5" i="1" s="1"/>
  <c r="H5" i="1"/>
  <c r="L5" i="1" s="1"/>
  <c r="I4" i="1"/>
  <c r="M4" i="1" s="1"/>
  <c r="H4" i="1"/>
  <c r="L4" i="1" s="1"/>
</calcChain>
</file>

<file path=xl/sharedStrings.xml><?xml version="1.0" encoding="utf-8"?>
<sst xmlns="http://schemas.openxmlformats.org/spreadsheetml/2006/main" count="14" uniqueCount="7">
  <si>
    <t>MHT</t>
  </si>
  <si>
    <t>TPS</t>
  </si>
  <si>
    <t>TVQ</t>
  </si>
  <si>
    <t>TTC</t>
  </si>
  <si>
    <t>Calcul du montant TTC</t>
  </si>
  <si>
    <t>Calcul du montant AVANT taxes</t>
  </si>
  <si>
    <t>Écarts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</si>
</sst>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" fontId="0" fillId="0" borderId="0" xfId="0" applyNumberFormat="1"/>
    <xf numFmtId="4" fontId="1" fillId="2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4" fontId="1" fillId="0" borderId="0" xfId="0" applyNumberFormat="1" applyFont="1" applyAlignment="1">
      <alignment horizontal="center" vertical="center"/>
    </xf>
    <xf numFmtId="4" fontId="2" fillId="3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0A2D2-715C-4589-95BC-1D12AA10582A}">
  <sheetPr codeName="Feuil1"/>
  <dimension ref="A1:M23"/>
  <sheetViews>
    <sheetView tabSelected="1" workbookViewId="0">
      <selection activeCell="B23" sqref="B23"/>
    </sheetView>
  </sheetViews>
  <sheetFormatPr baseColWidth="10" defaultRowHeight="15" x14ac:dyDescent="0.25"/>
  <cols>
    <col min="1" max="4" width="11.42578125" style="1"/>
    <col min="5" max="5" width="3.7109375" style="1" customWidth="1"/>
    <col min="7" max="9" width="11.42578125" style="1"/>
    <col min="10" max="10" width="3.7109375" style="1" customWidth="1"/>
  </cols>
  <sheetData>
    <row r="1" spans="1:13" x14ac:dyDescent="0.25">
      <c r="A1" s="6" t="s">
        <v>4</v>
      </c>
      <c r="B1" s="6"/>
      <c r="C1" s="6"/>
      <c r="D1" s="6"/>
      <c r="F1" s="6" t="s">
        <v>5</v>
      </c>
      <c r="G1" s="6"/>
      <c r="H1" s="6"/>
      <c r="I1" s="6"/>
      <c r="K1" s="6" t="s">
        <v>6</v>
      </c>
      <c r="L1" s="6"/>
      <c r="M1" s="6"/>
    </row>
    <row r="2" spans="1:13" x14ac:dyDescent="0.25">
      <c r="A2" s="2" t="s">
        <v>0</v>
      </c>
      <c r="B2" s="2" t="s">
        <v>1</v>
      </c>
      <c r="C2" s="2" t="s">
        <v>2</v>
      </c>
      <c r="D2" s="2" t="s">
        <v>3</v>
      </c>
      <c r="E2" s="5"/>
      <c r="F2" s="2" t="s">
        <v>3</v>
      </c>
      <c r="G2" s="2" t="s">
        <v>0</v>
      </c>
      <c r="H2" s="2" t="s">
        <v>1</v>
      </c>
      <c r="I2" s="2" t="s">
        <v>2</v>
      </c>
      <c r="J2" s="5"/>
      <c r="K2" s="2" t="s">
        <v>3</v>
      </c>
      <c r="L2" s="2" t="s">
        <v>1</v>
      </c>
      <c r="M2" s="2" t="s">
        <v>2</v>
      </c>
    </row>
    <row r="3" spans="1:13" s="4" customFormat="1" x14ac:dyDescent="0.25">
      <c r="A3" s="3">
        <v>250</v>
      </c>
      <c r="B3" s="3">
        <f t="shared" ref="B3:B23" si="0">ROUND(A3*0.05,2)</f>
        <v>12.5</v>
      </c>
      <c r="C3" s="3">
        <f t="shared" ref="C3:C20" si="1">ROUND(A3*0.09975,2)</f>
        <v>24.94</v>
      </c>
      <c r="D3" s="3">
        <f t="shared" ref="D3:D20" si="2">SUM(A3:C3)</f>
        <v>287.44</v>
      </c>
      <c r="E3" s="3"/>
      <c r="F3" s="3">
        <f t="shared" ref="F3:F20" si="3">D3</f>
        <v>287.44</v>
      </c>
      <c r="G3" s="3">
        <f t="shared" ref="G3:G23" si="4">ROUND(F3/1.14975,2)</f>
        <v>250</v>
      </c>
      <c r="H3" s="3">
        <f t="shared" ref="H3:H23" si="5">ROUND(G3*0.05,2)</f>
        <v>12.5</v>
      </c>
      <c r="I3" s="3">
        <f t="shared" ref="I3:I20" si="6">ROUND(G3*0.09975,2)</f>
        <v>24.94</v>
      </c>
      <c r="J3" s="3"/>
      <c r="K3" s="3">
        <f>D3-F3</f>
        <v>0</v>
      </c>
      <c r="L3" s="3">
        <f t="shared" ref="K3:L20" si="7">B3-H3</f>
        <v>0</v>
      </c>
      <c r="M3" s="3">
        <f t="shared" ref="M3:M20" si="8">C3-I3</f>
        <v>0</v>
      </c>
    </row>
    <row r="4" spans="1:13" x14ac:dyDescent="0.25">
      <c r="A4" s="1">
        <v>25</v>
      </c>
      <c r="B4" s="3">
        <f t="shared" si="0"/>
        <v>1.25</v>
      </c>
      <c r="C4" s="3">
        <f t="shared" si="1"/>
        <v>2.4900000000000002</v>
      </c>
      <c r="D4" s="3">
        <f t="shared" si="2"/>
        <v>28.740000000000002</v>
      </c>
      <c r="E4" s="3"/>
      <c r="F4" s="3">
        <f t="shared" si="3"/>
        <v>28.740000000000002</v>
      </c>
      <c r="G4" s="3">
        <f t="shared" si="4"/>
        <v>25</v>
      </c>
      <c r="H4" s="3">
        <f t="shared" si="5"/>
        <v>1.25</v>
      </c>
      <c r="I4" s="3">
        <f t="shared" si="6"/>
        <v>2.4900000000000002</v>
      </c>
      <c r="J4" s="3"/>
      <c r="K4" s="3">
        <f t="shared" ref="K4:K21" si="9">D4-F4</f>
        <v>0</v>
      </c>
      <c r="L4" s="3">
        <f t="shared" si="7"/>
        <v>0</v>
      </c>
      <c r="M4" s="3">
        <f t="shared" si="8"/>
        <v>0</v>
      </c>
    </row>
    <row r="5" spans="1:13" x14ac:dyDescent="0.25">
      <c r="A5" s="1">
        <v>2.5</v>
      </c>
      <c r="B5" s="3">
        <f t="shared" si="0"/>
        <v>0.13</v>
      </c>
      <c r="C5" s="3">
        <f t="shared" si="1"/>
        <v>0.25</v>
      </c>
      <c r="D5" s="3">
        <f t="shared" si="2"/>
        <v>2.88</v>
      </c>
      <c r="E5" s="3"/>
      <c r="F5" s="3">
        <f t="shared" si="3"/>
        <v>2.88</v>
      </c>
      <c r="G5" s="3">
        <f t="shared" si="4"/>
        <v>2.5</v>
      </c>
      <c r="H5" s="3">
        <f t="shared" si="5"/>
        <v>0.13</v>
      </c>
      <c r="I5" s="3">
        <f t="shared" si="6"/>
        <v>0.25</v>
      </c>
      <c r="J5" s="3"/>
      <c r="K5" s="3">
        <f t="shared" si="9"/>
        <v>0</v>
      </c>
      <c r="L5" s="3">
        <f t="shared" si="7"/>
        <v>0</v>
      </c>
      <c r="M5" s="3">
        <f t="shared" si="8"/>
        <v>0</v>
      </c>
    </row>
    <row r="6" spans="1:13" x14ac:dyDescent="0.25">
      <c r="A6" s="1">
        <v>0.25</v>
      </c>
      <c r="B6" s="3">
        <f t="shared" si="0"/>
        <v>0.01</v>
      </c>
      <c r="C6" s="3">
        <f t="shared" si="1"/>
        <v>0.02</v>
      </c>
      <c r="D6" s="3">
        <f t="shared" si="2"/>
        <v>0.28000000000000003</v>
      </c>
      <c r="E6" s="3"/>
      <c r="F6" s="3">
        <f t="shared" si="3"/>
        <v>0.28000000000000003</v>
      </c>
      <c r="G6" s="3">
        <f t="shared" si="4"/>
        <v>0.24</v>
      </c>
      <c r="H6" s="3">
        <f t="shared" si="5"/>
        <v>0.01</v>
      </c>
      <c r="I6" s="3">
        <f t="shared" si="6"/>
        <v>0.02</v>
      </c>
      <c r="J6" s="3"/>
      <c r="K6" s="3">
        <f t="shared" si="9"/>
        <v>0</v>
      </c>
      <c r="L6" s="3">
        <f t="shared" si="7"/>
        <v>0</v>
      </c>
      <c r="M6" s="3">
        <f t="shared" si="8"/>
        <v>0</v>
      </c>
    </row>
    <row r="7" spans="1:13" x14ac:dyDescent="0.25">
      <c r="A7" s="1">
        <v>2500</v>
      </c>
      <c r="B7" s="1">
        <f t="shared" si="0"/>
        <v>125</v>
      </c>
      <c r="C7" s="1">
        <f t="shared" si="1"/>
        <v>249.38</v>
      </c>
      <c r="D7" s="1">
        <f t="shared" si="2"/>
        <v>2874.38</v>
      </c>
      <c r="F7" s="3">
        <f t="shared" si="3"/>
        <v>2874.38</v>
      </c>
      <c r="G7" s="1">
        <f t="shared" si="4"/>
        <v>2500</v>
      </c>
      <c r="H7" s="1">
        <f t="shared" si="5"/>
        <v>125</v>
      </c>
      <c r="I7" s="1">
        <f t="shared" si="6"/>
        <v>249.38</v>
      </c>
      <c r="K7" s="3">
        <f t="shared" si="9"/>
        <v>0</v>
      </c>
      <c r="L7" s="3">
        <f t="shared" si="7"/>
        <v>0</v>
      </c>
      <c r="M7" s="3">
        <f t="shared" si="8"/>
        <v>0</v>
      </c>
    </row>
    <row r="8" spans="1:13" x14ac:dyDescent="0.25">
      <c r="A8" s="1">
        <v>25000</v>
      </c>
      <c r="B8" s="1">
        <f t="shared" si="0"/>
        <v>1250</v>
      </c>
      <c r="C8" s="1">
        <f t="shared" si="1"/>
        <v>2493.75</v>
      </c>
      <c r="D8" s="1">
        <f t="shared" si="2"/>
        <v>28743.75</v>
      </c>
      <c r="F8" s="3">
        <f t="shared" si="3"/>
        <v>28743.75</v>
      </c>
      <c r="G8" s="1">
        <f t="shared" si="4"/>
        <v>25000</v>
      </c>
      <c r="H8" s="1">
        <f t="shared" si="5"/>
        <v>1250</v>
      </c>
      <c r="I8" s="1">
        <f t="shared" si="6"/>
        <v>2493.75</v>
      </c>
      <c r="K8" s="3">
        <f t="shared" si="9"/>
        <v>0</v>
      </c>
      <c r="L8" s="3">
        <f t="shared" si="7"/>
        <v>0</v>
      </c>
      <c r="M8" s="3">
        <f t="shared" si="8"/>
        <v>0</v>
      </c>
    </row>
    <row r="9" spans="1:13" x14ac:dyDescent="0.25">
      <c r="A9" s="1">
        <v>250000</v>
      </c>
      <c r="B9" s="1">
        <f t="shared" si="0"/>
        <v>12500</v>
      </c>
      <c r="C9" s="1">
        <f t="shared" si="1"/>
        <v>24937.5</v>
      </c>
      <c r="D9" s="1">
        <f t="shared" si="2"/>
        <v>287437.5</v>
      </c>
      <c r="F9" s="3">
        <f t="shared" si="3"/>
        <v>287437.5</v>
      </c>
      <c r="G9" s="1">
        <f t="shared" si="4"/>
        <v>250000</v>
      </c>
      <c r="H9" s="1">
        <f t="shared" si="5"/>
        <v>12500</v>
      </c>
      <c r="I9" s="1">
        <f t="shared" si="6"/>
        <v>24937.5</v>
      </c>
      <c r="K9" s="3">
        <f t="shared" si="9"/>
        <v>0</v>
      </c>
      <c r="L9" s="3">
        <f t="shared" si="7"/>
        <v>0</v>
      </c>
      <c r="M9" s="3">
        <f t="shared" si="8"/>
        <v>0</v>
      </c>
    </row>
    <row r="10" spans="1:13" x14ac:dyDescent="0.25">
      <c r="A10" s="1">
        <v>999.99</v>
      </c>
      <c r="B10" s="1">
        <f t="shared" si="0"/>
        <v>50</v>
      </c>
      <c r="C10" s="1">
        <f t="shared" si="1"/>
        <v>99.75</v>
      </c>
      <c r="D10" s="1">
        <f t="shared" si="2"/>
        <v>1149.74</v>
      </c>
      <c r="F10" s="3">
        <f t="shared" si="3"/>
        <v>1149.74</v>
      </c>
      <c r="G10" s="1">
        <f t="shared" si="4"/>
        <v>999.99</v>
      </c>
      <c r="H10" s="1">
        <f t="shared" si="5"/>
        <v>50</v>
      </c>
      <c r="I10" s="1">
        <f t="shared" si="6"/>
        <v>99.75</v>
      </c>
      <c r="K10" s="3">
        <f t="shared" si="9"/>
        <v>0</v>
      </c>
      <c r="L10" s="3">
        <f t="shared" si="7"/>
        <v>0</v>
      </c>
      <c r="M10" s="3">
        <f t="shared" si="8"/>
        <v>0</v>
      </c>
    </row>
    <row r="11" spans="1:13" x14ac:dyDescent="0.25">
      <c r="A11" s="1">
        <v>888.88</v>
      </c>
      <c r="B11" s="1">
        <f t="shared" si="0"/>
        <v>44.44</v>
      </c>
      <c r="C11" s="1">
        <f t="shared" si="1"/>
        <v>88.67</v>
      </c>
      <c r="D11" s="1">
        <f t="shared" si="2"/>
        <v>1021.9899999999999</v>
      </c>
      <c r="F11" s="3">
        <f t="shared" si="3"/>
        <v>1021.9899999999999</v>
      </c>
      <c r="G11" s="1">
        <f t="shared" si="4"/>
        <v>888.88</v>
      </c>
      <c r="H11" s="1">
        <f t="shared" si="5"/>
        <v>44.44</v>
      </c>
      <c r="I11" s="1">
        <f t="shared" si="6"/>
        <v>88.67</v>
      </c>
      <c r="K11" s="3">
        <f t="shared" si="9"/>
        <v>0</v>
      </c>
      <c r="L11" s="3">
        <f t="shared" si="7"/>
        <v>0</v>
      </c>
      <c r="M11" s="3">
        <f t="shared" si="8"/>
        <v>0</v>
      </c>
    </row>
    <row r="12" spans="1:13" x14ac:dyDescent="0.25">
      <c r="A12" s="1">
        <v>777.77</v>
      </c>
      <c r="B12" s="1">
        <f t="shared" si="0"/>
        <v>38.89</v>
      </c>
      <c r="C12" s="1">
        <f t="shared" si="1"/>
        <v>77.58</v>
      </c>
      <c r="D12" s="1">
        <f t="shared" si="2"/>
        <v>894.24</v>
      </c>
      <c r="F12" s="3">
        <f t="shared" ref="F12:F22" si="10">D12</f>
        <v>894.24</v>
      </c>
      <c r="G12" s="1">
        <f t="shared" si="4"/>
        <v>777.77</v>
      </c>
      <c r="H12" s="1">
        <f t="shared" si="5"/>
        <v>38.89</v>
      </c>
      <c r="I12" s="1">
        <f t="shared" ref="I12:I22" si="11">ROUND(G12*0.09975,2)</f>
        <v>77.58</v>
      </c>
      <c r="K12" s="3">
        <f t="shared" ref="K12:K22" si="12">D12-F12</f>
        <v>0</v>
      </c>
      <c r="L12" s="3">
        <f t="shared" ref="L12:L22" si="13">B12-H12</f>
        <v>0</v>
      </c>
      <c r="M12" s="3">
        <f t="shared" ref="M12:M22" si="14">C12-I12</f>
        <v>0</v>
      </c>
    </row>
    <row r="13" spans="1:13" x14ac:dyDescent="0.25">
      <c r="A13" s="1">
        <v>666.66</v>
      </c>
      <c r="B13" s="1">
        <f t="shared" si="0"/>
        <v>33.33</v>
      </c>
      <c r="C13" s="1">
        <f t="shared" si="1"/>
        <v>66.5</v>
      </c>
      <c r="D13" s="1">
        <f t="shared" si="2"/>
        <v>766.49</v>
      </c>
      <c r="F13" s="3">
        <f t="shared" si="10"/>
        <v>766.49</v>
      </c>
      <c r="G13" s="1">
        <f t="shared" si="4"/>
        <v>666.66</v>
      </c>
      <c r="H13" s="1">
        <f t="shared" si="5"/>
        <v>33.33</v>
      </c>
      <c r="I13" s="1">
        <f t="shared" si="11"/>
        <v>66.5</v>
      </c>
      <c r="K13" s="3">
        <f t="shared" si="12"/>
        <v>0</v>
      </c>
      <c r="L13" s="3">
        <f t="shared" si="13"/>
        <v>0</v>
      </c>
      <c r="M13" s="3">
        <f t="shared" si="14"/>
        <v>0</v>
      </c>
    </row>
    <row r="14" spans="1:13" x14ac:dyDescent="0.25">
      <c r="A14" s="1">
        <v>555.54999999999995</v>
      </c>
      <c r="B14" s="1">
        <f t="shared" si="0"/>
        <v>27.78</v>
      </c>
      <c r="C14" s="1">
        <f t="shared" si="1"/>
        <v>55.42</v>
      </c>
      <c r="D14" s="1">
        <f t="shared" si="2"/>
        <v>638.74999999999989</v>
      </c>
      <c r="F14" s="3">
        <f t="shared" si="10"/>
        <v>638.74999999999989</v>
      </c>
      <c r="G14" s="1">
        <f t="shared" si="4"/>
        <v>555.55999999999995</v>
      </c>
      <c r="H14" s="1">
        <f t="shared" si="5"/>
        <v>27.78</v>
      </c>
      <c r="I14" s="1">
        <f t="shared" si="11"/>
        <v>55.42</v>
      </c>
      <c r="K14" s="3">
        <f t="shared" si="12"/>
        <v>0</v>
      </c>
      <c r="L14" s="3">
        <f t="shared" si="13"/>
        <v>0</v>
      </c>
      <c r="M14" s="3">
        <f t="shared" si="14"/>
        <v>0</v>
      </c>
    </row>
    <row r="15" spans="1:13" x14ac:dyDescent="0.25">
      <c r="A15" s="1">
        <v>444.44</v>
      </c>
      <c r="B15" s="1">
        <f t="shared" si="0"/>
        <v>22.22</v>
      </c>
      <c r="C15" s="1">
        <f t="shared" si="1"/>
        <v>44.33</v>
      </c>
      <c r="D15" s="1">
        <f t="shared" si="2"/>
        <v>510.98999999999995</v>
      </c>
      <c r="F15" s="3">
        <f t="shared" si="10"/>
        <v>510.98999999999995</v>
      </c>
      <c r="G15" s="1">
        <f t="shared" si="4"/>
        <v>444.44</v>
      </c>
      <c r="H15" s="1">
        <f t="shared" si="5"/>
        <v>22.22</v>
      </c>
      <c r="I15" s="1">
        <f t="shared" si="11"/>
        <v>44.33</v>
      </c>
      <c r="K15" s="3">
        <f t="shared" si="12"/>
        <v>0</v>
      </c>
      <c r="L15" s="3">
        <f t="shared" si="13"/>
        <v>0</v>
      </c>
      <c r="M15" s="3">
        <f t="shared" si="14"/>
        <v>0</v>
      </c>
    </row>
    <row r="16" spans="1:13" x14ac:dyDescent="0.25">
      <c r="A16" s="1">
        <v>333.33</v>
      </c>
      <c r="B16" s="1">
        <f t="shared" si="0"/>
        <v>16.670000000000002</v>
      </c>
      <c r="C16" s="1">
        <f t="shared" si="1"/>
        <v>33.25</v>
      </c>
      <c r="D16" s="1">
        <f t="shared" si="2"/>
        <v>383.25</v>
      </c>
      <c r="F16" s="3">
        <f t="shared" si="10"/>
        <v>383.25</v>
      </c>
      <c r="G16" s="1">
        <f t="shared" si="4"/>
        <v>333.33</v>
      </c>
      <c r="H16" s="1">
        <f t="shared" si="5"/>
        <v>16.670000000000002</v>
      </c>
      <c r="I16" s="1">
        <f t="shared" si="11"/>
        <v>33.25</v>
      </c>
      <c r="K16" s="3">
        <f t="shared" si="12"/>
        <v>0</v>
      </c>
      <c r="L16" s="3">
        <f t="shared" si="13"/>
        <v>0</v>
      </c>
      <c r="M16" s="3">
        <f t="shared" si="14"/>
        <v>0</v>
      </c>
    </row>
    <row r="17" spans="1:13" x14ac:dyDescent="0.25">
      <c r="A17" s="1">
        <v>222.22</v>
      </c>
      <c r="B17" s="1">
        <f t="shared" si="0"/>
        <v>11.11</v>
      </c>
      <c r="C17" s="1">
        <f t="shared" si="1"/>
        <v>22.17</v>
      </c>
      <c r="D17" s="1">
        <f t="shared" si="2"/>
        <v>255.5</v>
      </c>
      <c r="F17" s="3">
        <f t="shared" si="10"/>
        <v>255.5</v>
      </c>
      <c r="G17" s="1">
        <f t="shared" si="4"/>
        <v>222.22</v>
      </c>
      <c r="H17" s="1">
        <f t="shared" si="5"/>
        <v>11.11</v>
      </c>
      <c r="I17" s="1">
        <f t="shared" si="11"/>
        <v>22.17</v>
      </c>
      <c r="K17" s="3">
        <f t="shared" si="12"/>
        <v>0</v>
      </c>
      <c r="L17" s="3">
        <f t="shared" si="13"/>
        <v>0</v>
      </c>
      <c r="M17" s="3">
        <f t="shared" si="14"/>
        <v>0</v>
      </c>
    </row>
    <row r="18" spans="1:13" x14ac:dyDescent="0.25">
      <c r="A18" s="1">
        <v>111.11</v>
      </c>
      <c r="B18" s="1">
        <f t="shared" si="0"/>
        <v>5.56</v>
      </c>
      <c r="C18" s="1">
        <f t="shared" si="1"/>
        <v>11.08</v>
      </c>
      <c r="D18" s="1">
        <f t="shared" si="2"/>
        <v>127.75</v>
      </c>
      <c r="F18" s="3">
        <f t="shared" si="10"/>
        <v>127.75</v>
      </c>
      <c r="G18" s="1">
        <f t="shared" si="4"/>
        <v>111.11</v>
      </c>
      <c r="H18" s="1">
        <f t="shared" si="5"/>
        <v>5.56</v>
      </c>
      <c r="I18" s="1">
        <f t="shared" si="11"/>
        <v>11.08</v>
      </c>
      <c r="K18" s="3">
        <f t="shared" si="12"/>
        <v>0</v>
      </c>
      <c r="L18" s="3">
        <f t="shared" si="13"/>
        <v>0</v>
      </c>
      <c r="M18" s="3">
        <f t="shared" si="14"/>
        <v>0</v>
      </c>
    </row>
    <row r="19" spans="1:13" x14ac:dyDescent="0.25">
      <c r="A19" s="1">
        <v>11.11</v>
      </c>
      <c r="B19" s="1">
        <f t="shared" si="0"/>
        <v>0.56000000000000005</v>
      </c>
      <c r="C19" s="1">
        <f t="shared" si="1"/>
        <v>1.1100000000000001</v>
      </c>
      <c r="D19" s="1">
        <f t="shared" si="2"/>
        <v>12.78</v>
      </c>
      <c r="F19" s="3">
        <f t="shared" si="10"/>
        <v>12.78</v>
      </c>
      <c r="G19" s="1">
        <f t="shared" si="4"/>
        <v>11.12</v>
      </c>
      <c r="H19" s="1">
        <f t="shared" si="5"/>
        <v>0.56000000000000005</v>
      </c>
      <c r="I19" s="1">
        <f t="shared" si="11"/>
        <v>1.1100000000000001</v>
      </c>
      <c r="K19" s="3">
        <f t="shared" si="12"/>
        <v>0</v>
      </c>
      <c r="L19" s="3">
        <f t="shared" si="13"/>
        <v>0</v>
      </c>
      <c r="M19" s="3">
        <f t="shared" si="14"/>
        <v>0</v>
      </c>
    </row>
    <row r="20" spans="1:13" x14ac:dyDescent="0.25">
      <c r="A20" s="1">
        <v>1.1100000000000001</v>
      </c>
      <c r="B20" s="1">
        <f t="shared" si="0"/>
        <v>0.06</v>
      </c>
      <c r="C20" s="1">
        <f t="shared" si="1"/>
        <v>0.11</v>
      </c>
      <c r="D20" s="1">
        <f t="shared" si="2"/>
        <v>1.2800000000000002</v>
      </c>
      <c r="F20" s="3">
        <f t="shared" si="10"/>
        <v>1.2800000000000002</v>
      </c>
      <c r="G20" s="1">
        <f t="shared" si="4"/>
        <v>1.1100000000000001</v>
      </c>
      <c r="H20" s="1">
        <f t="shared" si="5"/>
        <v>0.06</v>
      </c>
      <c r="I20" s="1">
        <f t="shared" si="11"/>
        <v>0.11</v>
      </c>
      <c r="K20" s="3">
        <f t="shared" si="12"/>
        <v>0</v>
      </c>
      <c r="L20" s="3">
        <f t="shared" si="13"/>
        <v>0</v>
      </c>
      <c r="M20" s="3">
        <f t="shared" si="14"/>
        <v>0</v>
      </c>
    </row>
    <row r="21" spans="1:13" x14ac:dyDescent="0.25">
      <c r="A21" s="1">
        <v>226.09</v>
      </c>
      <c r="B21" s="1">
        <f t="shared" si="0"/>
        <v>11.3</v>
      </c>
      <c r="C21" s="1">
        <f t="shared" ref="C21:C22" si="15">ROUND(A21*0.09975,2)</f>
        <v>22.55</v>
      </c>
      <c r="D21" s="1">
        <f t="shared" ref="D21:D22" si="16">SUM(A21:C21)</f>
        <v>259.94</v>
      </c>
      <c r="F21" s="3">
        <f t="shared" si="10"/>
        <v>259.94</v>
      </c>
      <c r="G21" s="1">
        <f t="shared" si="4"/>
        <v>226.08</v>
      </c>
      <c r="H21" s="1">
        <f t="shared" si="5"/>
        <v>11.3</v>
      </c>
      <c r="I21" s="1">
        <f t="shared" si="11"/>
        <v>22.55</v>
      </c>
      <c r="K21" s="3">
        <f t="shared" si="12"/>
        <v>0</v>
      </c>
      <c r="L21" s="3">
        <f t="shared" si="13"/>
        <v>0</v>
      </c>
      <c r="M21" s="3">
        <f t="shared" si="14"/>
        <v>0</v>
      </c>
    </row>
    <row r="22" spans="1:13" x14ac:dyDescent="0.25">
      <c r="A22" s="1">
        <v>2400</v>
      </c>
      <c r="B22" s="1">
        <f t="shared" si="0"/>
        <v>120</v>
      </c>
      <c r="C22" s="1">
        <f t="shared" si="15"/>
        <v>239.4</v>
      </c>
      <c r="D22" s="1">
        <f t="shared" si="16"/>
        <v>2759.4</v>
      </c>
      <c r="F22" s="3">
        <f t="shared" si="10"/>
        <v>2759.4</v>
      </c>
      <c r="G22" s="1">
        <f t="shared" si="4"/>
        <v>2400</v>
      </c>
      <c r="H22" s="1">
        <f t="shared" si="5"/>
        <v>120</v>
      </c>
      <c r="I22" s="1">
        <f t="shared" si="11"/>
        <v>239.4</v>
      </c>
      <c r="K22" s="3">
        <f t="shared" si="12"/>
        <v>0</v>
      </c>
      <c r="L22" s="3">
        <f t="shared" si="13"/>
        <v>0</v>
      </c>
      <c r="M22" s="3">
        <f t="shared" si="14"/>
        <v>0</v>
      </c>
    </row>
    <row r="23" spans="1:13" x14ac:dyDescent="0.25">
      <c r="A23" s="1">
        <v>650</v>
      </c>
      <c r="B23" s="1">
        <f t="shared" si="0"/>
        <v>32.5</v>
      </c>
      <c r="C23" s="1">
        <f t="shared" ref="C23" si="17">ROUND(A23*0.09975,2)</f>
        <v>64.84</v>
      </c>
      <c r="D23" s="1">
        <f t="shared" ref="D23" si="18">SUM(A23:C23)</f>
        <v>747.34</v>
      </c>
      <c r="F23" s="3">
        <f t="shared" ref="F23" si="19">D23</f>
        <v>747.34</v>
      </c>
      <c r="G23" s="1">
        <f t="shared" si="4"/>
        <v>650</v>
      </c>
      <c r="H23" s="1">
        <f t="shared" si="5"/>
        <v>32.5</v>
      </c>
      <c r="I23" s="1">
        <f t="shared" ref="I23" si="20">ROUND(G23*0.09975,2)</f>
        <v>64.84</v>
      </c>
      <c r="K23" s="3">
        <f t="shared" ref="K23" si="21">D23-F23</f>
        <v>0</v>
      </c>
      <c r="L23" s="3">
        <f t="shared" ref="L23" si="22">B23-H23</f>
        <v>0</v>
      </c>
      <c r="M23" s="3">
        <f t="shared" ref="M23" si="23">C23-I23</f>
        <v>0</v>
      </c>
    </row>
  </sheetData>
  <mergeCells count="3">
    <mergeCell ref="A1:D1"/>
    <mergeCell ref="F1:I1"/>
    <mergeCell ref="K1:M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2023-10-13T18:18:31Z</dcterms:created>
  <dcterms:modified xsi:type="dcterms:W3CDTF">2023-10-13T20:20:49Z</dcterms:modified>
</cp:coreProperties>
</file>