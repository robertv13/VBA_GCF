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24E14EB-99BB-475E-9C20-48DFF65E1DE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5" i="9" l="1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31" i="3"/>
  <c r="U32" i="3"/>
  <c r="U33" i="3"/>
  <c r="U34" i="3"/>
  <c r="U35" i="3"/>
  <c r="U36" i="3"/>
  <c r="U37" i="3"/>
  <c r="U30" i="3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<sst xmlns="http://schemas.openxmlformats.org/spreadsheetml/2006/main" count="583" uniqueCount="251">
  <si>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</si>
  <si>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</si>
  <si>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</si>
  <si>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</si>
  <si>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</si>
  <si>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</si>
  <si>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</si>
  <si>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</si>
  <si>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</si>
  <si>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</si>
  <si>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</si>
  <si>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</si>
  <si>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</si>
  <si>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</si>
  <si>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</si>
  <si>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</si>
  <si>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</si>
  <si>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</si>
  <si>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</si>
  <si>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</si>
  <si>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</si>
  <si>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</si>
  <si>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</si>
  <si>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</si>
  <si>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</si>
  <si>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</si>
  <si>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</si>
  <si>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</si>
  <si>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</si>
  <si>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</si>
  <si>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</si>
  <si>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</si>
  <si>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</si>
  <si>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</si>
  <si>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</si>
  <si>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</si>
  <si>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</si>
  <si>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</si>
  <si>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</si>
  <si>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</si>
  <si>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</si>
  <si>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</si>
  <si>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</si>
  <si>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</si>
  <si>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</si>
  <si>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</si>
  <si>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</si>
  <si>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</si>
  <si>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</si>
  <si>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</si>
  <si>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</si>
  <si>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</si>
  <si>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</si>
  <si>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</si>
  <si>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</si>
  <si>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</si>
  <si>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</si>
  <si>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</si>
  <si>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</si>
  <si>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</si>
  <si>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</si>
  <si>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</si>
  <si>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</si>
  <si>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</si>
  <si>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</si>
  <si>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</si>
  <si>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</si>
  <si>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</si>
  <si>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</si>
  <si>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</si>
  <si>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</si>
  <si>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</si>
  <si>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</si>
  <si>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</si>
  <si>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</si>
  <si>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</si>
  <si>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</si>
  <si>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</si>
  <si>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</si>
  <si>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</si>
  <si>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</si>
  <si>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</si>
  <si>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</si>
  <si>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</si>
  <si>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</si>
  <si>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</si>
  <si>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</si>
  <si>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</si>
  <si>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</si>
  <si>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</si>
  <si>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</si>
  <si>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</si>
  <si>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</si>
  <si>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</si>
  <si>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</si>
  <si>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</si>
  <si>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</si>
  <si>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</si>
  <si>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</si>
  <si>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</si>
  <si>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</si>
  <si>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</si>
  <si>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</si>
  <si>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</si>
  <si>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</si>
  <si>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</si>
  <si>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</si>
  <si>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</si>
  <si>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</si>
  <si>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</si>
  <si>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</si>
  <si>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</si>
  <si>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</si>
  <si>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</si>
  <si>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</si>
  <si>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</si>
  <si>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</si>
  <si>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</si>
  <si>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</si>
  <si>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</si>
  <si>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</si>
  <si>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</si>
  <si>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</si>
  <si>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</si>
  <si>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</si>
  <si>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</si>
  <si>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</si>
  <si>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</si>
  <si>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</si>
  <si>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</si>
  <si>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</si>
  <si>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</si>
  <si>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</si>
  <si>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</si>
  <si>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</si>
  <si>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</si>
  <si>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</si>
  <si>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</si>
  <si>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</si>
  <si>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</si>
  <si>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</si>
  <si>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</si>
  <si>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</si>
  <si>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</si>
  <si>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</si>
  <si>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</si>
  <si>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</si>
  <si>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</si>
  <si>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</si>
  <si>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</si>
  <si>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</si>
  <si>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</si>
  <si>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</si>
  <si>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</si>
  <si>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</si>
  <si>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</si>
  <si>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</si>
  <si>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</si>
  <si>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</si>
  <si>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</si>
  <si>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</si>
  <si>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</si>
  <si>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</si>
  <si>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</si>
  <si>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</si>
  <si>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</si>
  <si>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</si>
  <si>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</si>
  <si>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</si>
  <si>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</si>
  <si>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</si>
  <si>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</si>
  <si>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</si>
  <si>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</si>
  <si>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</si>
  <si>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</si>
  <si>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</si>
  <si>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</si>
  <si>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</si>
  <si>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</si>
  <si>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</si>
  <si>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</si>
  <si>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</si>
  <si>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</si>
  <si>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</si>
  <si>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</si>
  <si>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</si>
  <si>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</si>
  <si>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</si>
  <si>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</si>
  <si>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</si>
  <si>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</si>
  <si>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</si>
  <si>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</si>
  <si>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</si>
  <si>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</si>
  <si>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</si>
  <si>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</si>
  <si>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</si>
  <si>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</si>
  <si>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</si>
  <si>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</si>
  <si>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</si>
  <si>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</si>
  <si>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</si>
  <si>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</si>
  <si>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</si>
  <si>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</si>
  <si>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</si>
  <si>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</si>
  <si>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</si>
  <si>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</si>
  <si>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</si>
  <si>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</si>
  <si>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</si>
  <si>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</si>
  <si>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</si>
  <si>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</si>
  <si>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</si>
  <si>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</si>
  <si>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</si>
  <si>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</si>
  <si>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</si>
  <si>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</si>
  <si>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</si>
  <si>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</si>
  <si>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</si>
  <si>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</si>
  <si>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</si>
  <si>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</si>
  <si>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</si>
  <si>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</si>
  <si>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</si>
  <si>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</si>
  <si>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</si>
  <si>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</si>
  <si>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</si>
  <si>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</si>
  <si>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</si>
  <si>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</si>
  <si>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</si>
  <si>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</si>
  <si>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</si>
  <si>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</si>
  <si>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</si>
  <si>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</si>
  <si>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</si>
  <si>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</si>
  <si>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</si>
  <si>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New Invoice ?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</si>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</sst>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03257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202305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M10" sqref="M1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4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3" t="s">
        <v>205</v>
      </c>
      <c r="D1" s="173"/>
      <c r="E1" s="173"/>
      <c r="F1" s="173"/>
      <c r="G1" s="173"/>
      <c r="H1" s="173"/>
      <c r="I1" s="173" t="s">
        <v>122</v>
      </c>
      <c r="J1" s="173"/>
      <c r="K1" s="173"/>
      <c r="L1" s="173"/>
      <c r="M1" s="173"/>
      <c r="N1" s="173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1"/>
      <c r="J2" s="181"/>
      <c r="K2" s="181"/>
      <c r="L2" s="181"/>
      <c r="M2" s="181"/>
      <c r="N2" s="181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3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4" t="s">
        <v>85</v>
      </c>
      <c r="K4" s="184"/>
      <c r="L4" s="43"/>
      <c r="M4" s="163" t="s">
        <v>235</v>
      </c>
      <c r="N4" s="44">
        <v>45233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77" t="s">
        <v>3</v>
      </c>
      <c r="E5" s="174" t="s">
        <v>165</v>
      </c>
      <c r="F5" s="28" t="s">
        <v>61</v>
      </c>
      <c r="G5" s="31">
        <v>10</v>
      </c>
      <c r="H5" s="137"/>
      <c r="I5" s="42"/>
      <c r="J5" s="42" t="s">
        <v>98</v>
      </c>
      <c r="K5" s="42"/>
      <c r="L5" s="43"/>
      <c r="M5" s="163" t="s">
        <v>237</v>
      </c>
      <c r="N5" s="120">
        <v>325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78"/>
      <c r="E6" s="175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22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79"/>
      <c r="E7" s="176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2" t="s">
        <v>77</v>
      </c>
      <c r="J8" s="183"/>
      <c r="K8" s="183"/>
      <c r="L8" s="183"/>
      <c r="M8" s="183"/>
      <c r="N8" s="183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0" t="s">
        <v>90</v>
      </c>
      <c r="E10" s="180"/>
      <c r="F10" s="180"/>
      <c r="G10" s="180"/>
      <c r="H10" s="137"/>
      <c r="I10" s="47"/>
      <c r="J10" s="47"/>
      <c r="K10" s="47" t="s">
        <v>183</v>
      </c>
      <c r="L10" s="108">
        <v>3</v>
      </c>
      <c r="M10" s="119">
        <v>325</v>
      </c>
      <c r="N10" s="62">
        <f>IF(L10*M10&lt;&gt;0,L10*M10,"")</f>
        <v>975</v>
      </c>
      <c r="O10" s="147">
        <v>65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4"/>
      <c r="L11" s="108"/>
      <c r="M11" s="119"/>
      <c r="N11" s="62" t="str">
        <f t="shared" ref="N11:N46" si="0">IF(L11*M11&lt;&gt;0,L11*M11,"")</f>
        <v/>
      </c>
      <c r="O11" s="147"/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4</v>
      </c>
      <c r="D12" s="24">
        <v>45142</v>
      </c>
      <c r="E12" s="25" t="s">
        <v>166</v>
      </c>
      <c r="F12" s="26">
        <v>6</v>
      </c>
      <c r="G12" s="27" t="s">
        <v>2</v>
      </c>
      <c r="H12" s="118">
        <v>7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6</v>
      </c>
      <c r="D13" s="24">
        <v>45144</v>
      </c>
      <c r="E13" s="25" t="s">
        <v>165</v>
      </c>
      <c r="F13" s="26">
        <v>20</v>
      </c>
      <c r="G13" s="27" t="s">
        <v>2</v>
      </c>
      <c r="H13" s="118">
        <v>9</v>
      </c>
      <c r="I13" s="47"/>
      <c r="J13" s="47"/>
      <c r="K13" s="164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13</v>
      </c>
      <c r="D14" s="24">
        <v>45151</v>
      </c>
      <c r="E14" s="25" t="s">
        <v>166</v>
      </c>
      <c r="F14" s="26">
        <v>16</v>
      </c>
      <c r="G14" s="27" t="s">
        <v>2</v>
      </c>
      <c r="H14" s="118">
        <v>16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15</v>
      </c>
      <c r="D15" s="24">
        <v>45153</v>
      </c>
      <c r="E15" s="25" t="s">
        <v>165</v>
      </c>
      <c r="F15" s="26">
        <v>10</v>
      </c>
      <c r="G15" s="27" t="s">
        <v>2</v>
      </c>
      <c r="H15" s="118">
        <v>18</v>
      </c>
      <c r="I15" s="47"/>
      <c r="J15" s="47"/>
      <c r="K15" s="164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16</v>
      </c>
      <c r="D16" s="24">
        <v>45154</v>
      </c>
      <c r="E16" s="25" t="s">
        <v>166</v>
      </c>
      <c r="F16" s="26">
        <v>26</v>
      </c>
      <c r="G16" s="27" t="s">
        <v>2</v>
      </c>
      <c r="H16" s="118">
        <v>19</v>
      </c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>
        <v>15</v>
      </c>
      <c r="C17" s="118">
        <v>18</v>
      </c>
      <c r="D17" s="24">
        <v>45156</v>
      </c>
      <c r="E17" s="25" t="s">
        <v>165</v>
      </c>
      <c r="F17" s="26">
        <v>5</v>
      </c>
      <c r="G17" s="27" t="s">
        <v>2</v>
      </c>
      <c r="H17" s="118">
        <v>21</v>
      </c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2</v>
      </c>
      <c r="C18" s="118">
        <v>28</v>
      </c>
      <c r="D18" s="24">
        <v>45175</v>
      </c>
      <c r="E18" s="25" t="s">
        <v>165</v>
      </c>
      <c r="F18" s="26">
        <v>10</v>
      </c>
      <c r="G18" s="27" t="s">
        <v>2</v>
      </c>
      <c r="H18" s="118">
        <v>31</v>
      </c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5</v>
      </c>
      <c r="C19" s="118">
        <v>29</v>
      </c>
      <c r="D19" s="24">
        <v>45173</v>
      </c>
      <c r="E19" s="25" t="s">
        <v>166</v>
      </c>
      <c r="F19" s="26">
        <v>26</v>
      </c>
      <c r="G19" s="27" t="s">
        <v>2</v>
      </c>
      <c r="H19" s="118">
        <v>32</v>
      </c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25</v>
      </c>
      <c r="C20" s="118">
        <v>30</v>
      </c>
      <c r="D20" s="24">
        <v>45175</v>
      </c>
      <c r="E20" s="64" t="s">
        <v>165</v>
      </c>
      <c r="F20" s="26">
        <v>5</v>
      </c>
      <c r="G20" s="24" t="s">
        <v>2</v>
      </c>
      <c r="H20" s="118">
        <v>33</v>
      </c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CANPLEX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23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3175 de la Gare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Mascouche, QC, J7K 3C1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22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5" t="s">
        <v>246</v>
      </c>
      <c r="B26" s="166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2" t="s">
        <v>77</v>
      </c>
      <c r="T26" s="172"/>
      <c r="U26" s="172"/>
      <c r="V26" s="172"/>
      <c r="W26" s="172"/>
      <c r="X26" s="172"/>
      <c r="Y26" s="9"/>
    </row>
    <row r="27" spans="1:25" ht="15" customHeight="1" x14ac:dyDescent="0.25">
      <c r="A27" s="165" t="s">
        <v>249</v>
      </c>
      <c r="B27" s="166" t="b">
        <v>0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7" t="s">
        <v>208</v>
      </c>
      <c r="B28" s="170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 xml:space="preserve">   - Révision de la documentation juridique afférente à la présente réorganisation;</v>
      </c>
      <c r="U30" s="171" t="str">
        <f>IF($B$26=TRUE,$L10,"")</f>
        <v/>
      </c>
      <c r="V30" s="171" t="str">
        <f>IF($B$26=TRUE,$M10,"")</f>
        <v/>
      </c>
      <c r="W30" s="141"/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/>
      </c>
      <c r="U31" s="171" t="str">
        <f t="shared" ref="U31:U64" si="3">IF($B$26=TRUE,$L11,"")</f>
        <v/>
      </c>
      <c r="V31" s="171" t="str">
        <f t="shared" ref="V31:V64" si="4">IF($B$26=TRUE,$M11,"")</f>
        <v/>
      </c>
      <c r="W31" s="141"/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71" t="str">
        <f t="shared" si="3"/>
        <v/>
      </c>
      <c r="V32" s="171" t="str">
        <f t="shared" si="4"/>
        <v/>
      </c>
      <c r="W32" s="141"/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71" t="str">
        <f t="shared" si="3"/>
        <v/>
      </c>
      <c r="V33" s="171" t="str">
        <f t="shared" si="4"/>
        <v/>
      </c>
      <c r="W33" s="141"/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71" t="str">
        <f t="shared" si="3"/>
        <v/>
      </c>
      <c r="V34" s="171" t="str">
        <f t="shared" si="4"/>
        <v/>
      </c>
      <c r="W34" s="141"/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71" t="str">
        <f t="shared" si="3"/>
        <v/>
      </c>
      <c r="V35" s="171" t="str">
        <f t="shared" si="4"/>
        <v/>
      </c>
      <c r="W35" s="141"/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71" t="str">
        <f t="shared" si="3"/>
        <v/>
      </c>
      <c r="V36" s="171" t="str">
        <f t="shared" si="4"/>
        <v/>
      </c>
      <c r="W36" s="141"/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71" t="str">
        <f t="shared" si="3"/>
        <v/>
      </c>
      <c r="V37" s="171" t="str">
        <f t="shared" si="4"/>
        <v/>
      </c>
      <c r="W37" s="141"/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71" t="str">
        <f t="shared" si="3"/>
        <v/>
      </c>
      <c r="V38" s="171" t="str">
        <f t="shared" si="4"/>
        <v/>
      </c>
      <c r="W38" s="141"/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71" t="str">
        <f t="shared" si="3"/>
        <v/>
      </c>
      <c r="V39" s="171" t="str">
        <f t="shared" si="4"/>
        <v/>
      </c>
      <c r="W39" s="141"/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71" t="str">
        <f t="shared" si="3"/>
        <v/>
      </c>
      <c r="V40" s="171" t="str">
        <f t="shared" si="4"/>
        <v/>
      </c>
      <c r="W40" s="141"/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71" t="str">
        <f t="shared" si="3"/>
        <v/>
      </c>
      <c r="V41" s="171" t="str">
        <f t="shared" si="4"/>
        <v/>
      </c>
      <c r="W41" s="141"/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71" t="str">
        <f t="shared" si="3"/>
        <v/>
      </c>
      <c r="V42" s="171" t="str">
        <f t="shared" si="4"/>
        <v/>
      </c>
      <c r="W42" s="141"/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71" t="str">
        <f t="shared" si="3"/>
        <v/>
      </c>
      <c r="V43" s="171" t="str">
        <f t="shared" si="4"/>
        <v/>
      </c>
      <c r="W43" s="141"/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71" t="str">
        <f t="shared" si="3"/>
        <v/>
      </c>
      <c r="V44" s="171" t="str">
        <f t="shared" si="4"/>
        <v/>
      </c>
      <c r="W44" s="141"/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71" t="str">
        <f t="shared" si="3"/>
        <v/>
      </c>
      <c r="V45" s="171" t="str">
        <f t="shared" si="4"/>
        <v/>
      </c>
      <c r="W45" s="141"/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71" t="str">
        <f t="shared" si="3"/>
        <v/>
      </c>
      <c r="V46" s="171" t="str">
        <f t="shared" si="4"/>
        <v/>
      </c>
      <c r="W46" s="141"/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975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71" t="str">
        <f t="shared" si="3"/>
        <v/>
      </c>
      <c r="V47" s="171" t="str">
        <f t="shared" si="4"/>
        <v/>
      </c>
      <c r="W47" s="141"/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5">IF(K35&lt;&gt;"",CONCATENATE("   - " &amp; K35),"")</f>
        <v/>
      </c>
      <c r="U48" s="171" t="str">
        <f t="shared" si="3"/>
        <v/>
      </c>
      <c r="V48" s="171" t="str">
        <f t="shared" si="4"/>
        <v/>
      </c>
      <c r="W48" s="141"/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5"/>
        <v/>
      </c>
      <c r="U49" s="171" t="str">
        <f t="shared" si="3"/>
        <v/>
      </c>
      <c r="V49" s="171" t="str">
        <f t="shared" si="4"/>
        <v/>
      </c>
      <c r="W49" s="141"/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975</v>
      </c>
      <c r="O50" s="147"/>
      <c r="P50" s="9"/>
      <c r="Q50" s="9"/>
      <c r="R50" s="9"/>
      <c r="S50" s="141"/>
      <c r="T50" s="141" t="str">
        <f t="shared" si="5"/>
        <v/>
      </c>
      <c r="U50" s="171" t="str">
        <f t="shared" si="3"/>
        <v/>
      </c>
      <c r="V50" s="171" t="str">
        <f t="shared" si="4"/>
        <v/>
      </c>
      <c r="W50" s="141"/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5"/>
        <v/>
      </c>
      <c r="U51" s="171" t="str">
        <f t="shared" si="3"/>
        <v/>
      </c>
      <c r="V51" s="171" t="str">
        <f t="shared" si="4"/>
        <v/>
      </c>
      <c r="W51" s="141"/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5"/>
        <v/>
      </c>
      <c r="U52" s="171" t="str">
        <f t="shared" si="3"/>
        <v/>
      </c>
      <c r="V52" s="171" t="str">
        <f t="shared" si="4"/>
        <v/>
      </c>
      <c r="W52" s="141"/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5"/>
        <v/>
      </c>
      <c r="U53" s="171" t="str">
        <f t="shared" si="3"/>
        <v/>
      </c>
      <c r="V53" s="171" t="str">
        <f t="shared" si="4"/>
        <v/>
      </c>
      <c r="W53" s="141"/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6">IF(K44&lt;&gt;"",CONCATENATE("   - " &amp; K44),"")</f>
        <v/>
      </c>
      <c r="U54" s="171" t="str">
        <f t="shared" si="3"/>
        <v/>
      </c>
      <c r="V54" s="171" t="str">
        <f t="shared" si="4"/>
        <v/>
      </c>
      <c r="W54" s="141"/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6"/>
        <v/>
      </c>
      <c r="U55" s="171" t="str">
        <f t="shared" si="3"/>
        <v/>
      </c>
      <c r="V55" s="171" t="str">
        <f t="shared" si="4"/>
        <v/>
      </c>
      <c r="W55" s="141"/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6"/>
        <v/>
      </c>
      <c r="U56" s="171" t="str">
        <f t="shared" si="3"/>
        <v/>
      </c>
      <c r="V56" s="171" t="str">
        <f t="shared" si="4"/>
        <v/>
      </c>
      <c r="W56" s="141"/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6"/>
        <v/>
      </c>
      <c r="U57" s="171" t="str">
        <f t="shared" si="3"/>
        <v/>
      </c>
      <c r="V57" s="171" t="str">
        <f t="shared" si="4"/>
        <v/>
      </c>
      <c r="W57" s="141"/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6"/>
        <v/>
      </c>
      <c r="U58" s="171" t="str">
        <f t="shared" si="3"/>
        <v/>
      </c>
      <c r="V58" s="171" t="str">
        <f t="shared" si="4"/>
        <v/>
      </c>
      <c r="W58" s="141"/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6"/>
        <v/>
      </c>
      <c r="U59" s="171" t="str">
        <f t="shared" si="3"/>
        <v/>
      </c>
      <c r="V59" s="171" t="str">
        <f t="shared" si="4"/>
        <v/>
      </c>
      <c r="W59" s="141"/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6"/>
        <v/>
      </c>
      <c r="U60" s="171" t="str">
        <f t="shared" si="3"/>
        <v/>
      </c>
      <c r="V60" s="171" t="str">
        <f t="shared" si="4"/>
        <v/>
      </c>
      <c r="W60" s="141"/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7">IF(K51&lt;&gt;"",CONCATENATE("   - " &amp; K51),"")</f>
        <v/>
      </c>
      <c r="U61" s="171" t="str">
        <f t="shared" si="3"/>
        <v/>
      </c>
      <c r="V61" s="171" t="str">
        <f t="shared" si="4"/>
        <v/>
      </c>
      <c r="W61" s="141"/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7"/>
        <v/>
      </c>
      <c r="U62" s="171" t="str">
        <f t="shared" si="3"/>
        <v/>
      </c>
      <c r="V62" s="171" t="str">
        <f t="shared" si="4"/>
        <v/>
      </c>
      <c r="W62" s="141"/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7"/>
        <v/>
      </c>
      <c r="U63" s="171" t="str">
        <f t="shared" si="3"/>
        <v/>
      </c>
      <c r="V63" s="171" t="str">
        <f t="shared" si="4"/>
        <v/>
      </c>
      <c r="W63" s="141"/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71" t="str">
        <f t="shared" si="3"/>
        <v/>
      </c>
      <c r="V64" s="171" t="str">
        <f t="shared" si="4"/>
        <v/>
      </c>
      <c r="W64" s="141"/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60" t="s">
        <v>61</v>
      </c>
      <c r="V65" s="16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61">
        <f>SUM(L10:L46)</f>
        <v>3</v>
      </c>
      <c r="V66" s="162">
        <v>325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975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975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8">
        <v>0.05</v>
      </c>
      <c r="V73" s="128"/>
      <c r="W73" s="132">
        <f>ROUND(W72*U73,2)</f>
        <v>48.75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9">
        <v>9.9750000000000005E-2</v>
      </c>
      <c r="V74" s="128"/>
      <c r="W74" s="132">
        <f>ROUND(W72*U74,2)</f>
        <v>97.26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1121.01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88"/>
      <c r="U77" s="188"/>
      <c r="V77" s="188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89" t="s">
        <v>75</v>
      </c>
      <c r="U78" s="189"/>
      <c r="V78" s="189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88"/>
      <c r="U79" s="188"/>
      <c r="V79" s="188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1121.01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85"/>
      <c r="U83" s="185"/>
      <c r="V83" s="185"/>
      <c r="W83" s="185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86" t="s">
        <v>66</v>
      </c>
      <c r="T84" s="186"/>
      <c r="U84" s="186"/>
      <c r="V84" s="186"/>
      <c r="W84" s="186"/>
      <c r="X84" s="186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85" t="s">
        <v>67</v>
      </c>
      <c r="T85" s="185"/>
      <c r="U85" s="185"/>
      <c r="V85" s="185"/>
      <c r="W85" s="185"/>
      <c r="X85" s="185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86"/>
      <c r="U87" s="186"/>
      <c r="V87" s="186"/>
      <c r="W87" s="186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87" t="s">
        <v>68</v>
      </c>
      <c r="T88" s="187"/>
      <c r="U88" s="187"/>
      <c r="V88" s="187"/>
      <c r="W88" s="187"/>
      <c r="X88" s="187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85:X85"/>
    <mergeCell ref="T87:W87"/>
    <mergeCell ref="S88:X88"/>
    <mergeCell ref="T77:V77"/>
    <mergeCell ref="T78:V78"/>
    <mergeCell ref="T79:V79"/>
    <mergeCell ref="T83:W83"/>
    <mergeCell ref="S84:X84"/>
    <mergeCell ref="S26:X26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0" t="s">
        <v>223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45202</v>
      </c>
      <c r="C25" s="2">
        <v>2</v>
      </c>
      <c r="D25" t="s">
        <v>85</v>
      </c>
      <c r="E25" s="21">
        <v>45233</v>
      </c>
      <c r="F25" s="151">
        <v>975</v>
      </c>
      <c r="G25" s="151">
        <v>0</v>
      </c>
      <c r="H25" s="151">
        <v>0</v>
      </c>
      <c r="I25" s="151">
        <v>48.75</v>
      </c>
      <c r="J25" s="151">
        <v>97.26</v>
      </c>
      <c r="K25" s="151">
        <v>1121.01</v>
      </c>
      <c r="L25" s="151">
        <v>0</v>
      </c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1" t="s">
        <v>25</v>
      </c>
      <c r="B1" s="191"/>
      <c r="C1" s="191"/>
      <c r="D1" s="191"/>
      <c r="E1" s="191"/>
      <c r="F1" s="191"/>
      <c r="G1" s="191"/>
      <c r="L1" s="15" t="s">
        <v>38</v>
      </c>
      <c r="N1" s="190" t="s">
        <v>38</v>
      </c>
      <c r="O1" s="190"/>
      <c r="P1" s="190"/>
      <c r="Q1" s="190"/>
      <c r="R1" s="190"/>
      <c r="S1" s="190"/>
    </row>
    <row r="2" spans="1:19" ht="14.45" customHeight="1" x14ac:dyDescent="0.25">
      <c r="A2" s="190"/>
      <c r="B2" s="190"/>
      <c r="C2" s="190"/>
      <c r="D2" s="190"/>
      <c r="E2" s="190"/>
      <c r="F2" s="190"/>
      <c r="G2" s="190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B65" t="s">
        <v>183</v>
      </c>
      <c r="C65" s="153">
        <v>3</v>
      </c>
      <c r="D65" s="150">
        <v>325</v>
      </c>
      <c r="E65" s="150">
        <v>975</v>
      </c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C66" s="153"/>
      <c r="D66" s="150"/>
      <c r="E66" s="150"/>
      <c r="F66" s="2"/>
      <c r="G66" s="2"/>
      <c r="Q66" s="2"/>
      <c r="R66" s="2"/>
      <c r="S66" s="2"/>
    </row>
    <row r="67" spans="1:19" x14ac:dyDescent="0.25">
      <c r="C67" s="153"/>
      <c r="D67" s="150"/>
      <c r="E67" s="150"/>
      <c r="F67" s="2"/>
      <c r="G67" s="2"/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4" t="s">
        <v>38</v>
      </c>
      <c r="R1" s="195"/>
      <c r="U1" s="192" t="s">
        <v>91</v>
      </c>
      <c r="V1" s="193"/>
      <c r="W1" s="193"/>
      <c r="X1" s="193"/>
      <c r="Y1" s="193"/>
      <c r="Z1" s="193"/>
    </row>
    <row r="2" spans="1:26" ht="25.5" x14ac:dyDescent="0.25">
      <c r="A2" s="191" t="s">
        <v>90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2</v>
      </c>
      <c r="R3" s="56" t="str">
        <f>IF(Invoice!B16=TRUE,"&lt;&gt;","No")</f>
        <v>&lt;&gt;</v>
      </c>
      <c r="U3" s="2">
        <v>4</v>
      </c>
      <c r="V3" s="21">
        <v>45142</v>
      </c>
      <c r="W3" t="s">
        <v>166</v>
      </c>
      <c r="X3" s="82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165</v>
      </c>
      <c r="X4" s="82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166</v>
      </c>
      <c r="X5" s="82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165</v>
      </c>
      <c r="X6" s="82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166</v>
      </c>
      <c r="X7" s="82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165</v>
      </c>
      <c r="X8" s="82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165</v>
      </c>
      <c r="X9" s="82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166</v>
      </c>
      <c r="X10" s="82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165</v>
      </c>
      <c r="X11" s="82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1" t="s">
        <v>120</v>
      </c>
      <c r="B1" s="191"/>
      <c r="C1" s="191"/>
      <c r="D1" s="196"/>
    </row>
    <row r="2" spans="1:5" x14ac:dyDescent="0.25">
      <c r="A2" s="190"/>
      <c r="B2" s="190"/>
      <c r="C2" s="190"/>
      <c r="D2" s="197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1" t="s">
        <v>16</v>
      </c>
      <c r="B1" s="191"/>
      <c r="C1" s="191"/>
      <c r="D1" s="191"/>
      <c r="E1" s="191"/>
      <c r="F1" s="191"/>
      <c r="G1" s="191"/>
      <c r="H1" s="191"/>
      <c r="K1" s="13" t="s">
        <v>38</v>
      </c>
      <c r="M1" s="63" t="s">
        <v>41</v>
      </c>
    </row>
    <row r="2" spans="1:13" ht="14.45" customHeight="1" x14ac:dyDescent="0.25">
      <c r="A2" s="190"/>
      <c r="B2" s="190"/>
      <c r="C2" s="190"/>
      <c r="D2" s="190"/>
      <c r="E2" s="190"/>
      <c r="F2" s="190"/>
      <c r="G2" s="190"/>
      <c r="H2" s="190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1" t="s">
        <v>8</v>
      </c>
      <c r="B1" s="191"/>
      <c r="C1" s="191"/>
      <c r="D1" s="191"/>
      <c r="E1" s="191"/>
      <c r="F1" s="191"/>
      <c r="G1" s="191"/>
      <c r="H1" s="191"/>
      <c r="I1" s="191"/>
    </row>
    <row r="2" spans="1:9" x14ac:dyDescent="0.25">
      <c r="A2" s="190"/>
      <c r="B2" s="190"/>
      <c r="C2" s="190"/>
      <c r="D2" s="190"/>
      <c r="E2" s="190"/>
      <c r="F2" s="190"/>
      <c r="G2" s="190"/>
      <c r="H2" s="190"/>
      <c r="I2" s="190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2023-10-03T18:45:26Z</cp:lastPrinted>
  <dcterms:created xsi:type="dcterms:W3CDTF">2023-05-08T04:58:50Z</dcterms:created>
  <dcterms:modified xsi:type="dcterms:W3CDTF">2023-10-03T19:28:47Z</dcterms:modified>
</cp:coreProperties>
</file>