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A2062E5-0CFF-4B62-86F9-8DE65A8E8F05}" xr6:coauthVersionLast="47" xr6:coauthVersionMax="47" xr10:uidLastSave="{00000000-0000-0000-0000-000000000000}"/>
  <bookViews>
    <workbookView xWindow="-120" yWindow="-120" windowWidth="29040" windowHeight="15840" tabRatio="882" activeTab="7" xr2:uid="{00000000-000D-0000-FFFF-FFFF00000000}"/>
  </bookViews>
  <sheets>
    <sheet name="TEC" sheetId="53" r:id="rId1"/>
    <sheet name="Juill" sheetId="49" r:id="rId2"/>
    <sheet name="BV" sheetId="50" r:id="rId3"/>
    <sheet name="Couv." sheetId="5" r:id="rId4"/>
    <sheet name="TM" sheetId="6" r:id="rId5"/>
    <sheet name="ER" sheetId="79" r:id="rId6"/>
    <sheet name="BNR" sheetId="8" r:id="rId7"/>
    <sheet name="Bilan" sheetId="4" r:id="rId8"/>
    <sheet name="A" sheetId="2" r:id="rId9"/>
    <sheet name="A2" sheetId="33" r:id="rId10"/>
    <sheet name="A3" sheetId="69" r:id="rId11"/>
    <sheet name="Comptes GL" sheetId="37" r:id="rId12"/>
  </sheets>
  <definedNames>
    <definedName name="_xlnm._FilterDatabase" localSheetId="1" hidden="1">Juill!$A$9:$BT$122</definedName>
    <definedName name="_xlnm._FilterDatabase" localSheetId="0" hidden="1">TEC!$A$3:$E$130</definedName>
    <definedName name="_Order1" hidden="1">255</definedName>
    <definedName name="_Order2" hidden="1">255</definedName>
    <definedName name="_xlnm.Print_Titles" localSheetId="0">TEC!$1:$3</definedName>
    <definedName name="Liste_clients">#REF!</definedName>
    <definedName name="Liste_de_comptes_de_GL" localSheetId="2">BV!$B$7:$B$75</definedName>
    <definedName name="Liste_de_comptes_de_GL">'Comptes GL'!$B$7:$B$66</definedName>
    <definedName name="oui_non">#REF!</definedName>
    <definedName name="taxes">#REF!</definedName>
    <definedName name="Taxesv2">#REF!</definedName>
    <definedName name="Ttaxes">#REF!</definedName>
    <definedName name="_xlnm.Print_Area" localSheetId="8">A!$A$1:$F$35</definedName>
    <definedName name="_xlnm.Print_Area" localSheetId="9">'A2'!$A$1:$H$26</definedName>
    <definedName name="_xlnm.Print_Area" localSheetId="10">'A3'!$A$1:$G$54</definedName>
    <definedName name="_xlnm.Print_Area" localSheetId="7">Bilan!$A$1:$E$48</definedName>
    <definedName name="_xlnm.Print_Area" localSheetId="6">BNR!$A$7:$D$26</definedName>
    <definedName name="_xlnm.Print_Area" localSheetId="5">ER!$A$1:$D$47</definedName>
    <definedName name="_xlnm.Print_Area" localSheetId="0">TEC!$A$1:$E$294</definedName>
    <definedName name="_xlnm.Print_Area" localSheetId="4">TM!$A$1:$I$35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" i="49" l="1"/>
  <c r="G76" i="49" s="1"/>
  <c r="F76" i="49"/>
  <c r="E77" i="49"/>
  <c r="F77" i="49"/>
  <c r="E78" i="49"/>
  <c r="F78" i="49"/>
  <c r="E13" i="49"/>
  <c r="G13" i="49" s="1"/>
  <c r="F13" i="49"/>
  <c r="E14" i="49"/>
  <c r="F14" i="49"/>
  <c r="AH7" i="49"/>
  <c r="AH210" i="49" s="1"/>
  <c r="AH9" i="49"/>
  <c r="AH10" i="49"/>
  <c r="AH11" i="49"/>
  <c r="AH12" i="49"/>
  <c r="AH13" i="49"/>
  <c r="AH14" i="49"/>
  <c r="AH15" i="49"/>
  <c r="AH16" i="49"/>
  <c r="AH17" i="49"/>
  <c r="AH18" i="49"/>
  <c r="AH19" i="49"/>
  <c r="AH20" i="49"/>
  <c r="AH21" i="49"/>
  <c r="AH22" i="49"/>
  <c r="AH23" i="49"/>
  <c r="AH24" i="49"/>
  <c r="AH25" i="49"/>
  <c r="AH26" i="49"/>
  <c r="AH27" i="49"/>
  <c r="AH28" i="49"/>
  <c r="AH29" i="49"/>
  <c r="AH30" i="49"/>
  <c r="AH31" i="49"/>
  <c r="AH32" i="49"/>
  <c r="AH33" i="49"/>
  <c r="AH34" i="49"/>
  <c r="AH35" i="49"/>
  <c r="AH36" i="49"/>
  <c r="AH37" i="49"/>
  <c r="AH38" i="49"/>
  <c r="AH39" i="49"/>
  <c r="AH40" i="49"/>
  <c r="AH41" i="49"/>
  <c r="AH42" i="49"/>
  <c r="AH43" i="49"/>
  <c r="AH44" i="49"/>
  <c r="AH45" i="49"/>
  <c r="AH46" i="49"/>
  <c r="AH47" i="49"/>
  <c r="AH48" i="49"/>
  <c r="AH49" i="49"/>
  <c r="AH50" i="49"/>
  <c r="AH51" i="49"/>
  <c r="AH52" i="49"/>
  <c r="AH53" i="49"/>
  <c r="AH54" i="49"/>
  <c r="AH55" i="49"/>
  <c r="AH56" i="49"/>
  <c r="AH57" i="49"/>
  <c r="AH58" i="49"/>
  <c r="AH59" i="49"/>
  <c r="AH60" i="49"/>
  <c r="AH61" i="49"/>
  <c r="AH62" i="49"/>
  <c r="AH63" i="49"/>
  <c r="AH64" i="49"/>
  <c r="AH65" i="49"/>
  <c r="AH66" i="49"/>
  <c r="AH67" i="49"/>
  <c r="AH68" i="49"/>
  <c r="AH69" i="49"/>
  <c r="AH70" i="49"/>
  <c r="AH71" i="49"/>
  <c r="AH72" i="49"/>
  <c r="AH73" i="49"/>
  <c r="AH74" i="49"/>
  <c r="AH75" i="49"/>
  <c r="AH76" i="49"/>
  <c r="AH77" i="49"/>
  <c r="AH78" i="49"/>
  <c r="AH79" i="49"/>
  <c r="AH80" i="49"/>
  <c r="AH81" i="49"/>
  <c r="AH82" i="49"/>
  <c r="AH83" i="49"/>
  <c r="AH84" i="49"/>
  <c r="AH85" i="49"/>
  <c r="AH86" i="49"/>
  <c r="AH87" i="49"/>
  <c r="AH88" i="49"/>
  <c r="AH89" i="49"/>
  <c r="AH90" i="49"/>
  <c r="AH91" i="49"/>
  <c r="AH92" i="49"/>
  <c r="AH93" i="49"/>
  <c r="AH94" i="49"/>
  <c r="AH95" i="49"/>
  <c r="AH96" i="49"/>
  <c r="AH97" i="49"/>
  <c r="AH98" i="49"/>
  <c r="AH99" i="49"/>
  <c r="AH100" i="49"/>
  <c r="AH101" i="49"/>
  <c r="AH102" i="49"/>
  <c r="AH103" i="49"/>
  <c r="AH104" i="49"/>
  <c r="AH105" i="49"/>
  <c r="AH106" i="49"/>
  <c r="AH107" i="49"/>
  <c r="AH108" i="49"/>
  <c r="AH109" i="49"/>
  <c r="AH110" i="49"/>
  <c r="AH111" i="49"/>
  <c r="AH112" i="49"/>
  <c r="AH113" i="49"/>
  <c r="AH114" i="49"/>
  <c r="AH115" i="49"/>
  <c r="AH116" i="49"/>
  <c r="AH117" i="49"/>
  <c r="AH118" i="49"/>
  <c r="AH119" i="49"/>
  <c r="AH120" i="49"/>
  <c r="AH121" i="49"/>
  <c r="AH122" i="49"/>
  <c r="AH123" i="49"/>
  <c r="AH124" i="49"/>
  <c r="AH125" i="49"/>
  <c r="AH126" i="49"/>
  <c r="AH127" i="49"/>
  <c r="AH128" i="49"/>
  <c r="AH129" i="49"/>
  <c r="AH130" i="49"/>
  <c r="AH131" i="49"/>
  <c r="AH132" i="49"/>
  <c r="AH133" i="49"/>
  <c r="AH134" i="49"/>
  <c r="AH135" i="49"/>
  <c r="AH136" i="49"/>
  <c r="AH137" i="49"/>
  <c r="AH138" i="49"/>
  <c r="AH139" i="49"/>
  <c r="AH140" i="49"/>
  <c r="AH141" i="49"/>
  <c r="AH142" i="49"/>
  <c r="AH143" i="49"/>
  <c r="AH144" i="49"/>
  <c r="AH145" i="49"/>
  <c r="AH146" i="49"/>
  <c r="AH147" i="49"/>
  <c r="AH148" i="49"/>
  <c r="AH149" i="49"/>
  <c r="AH150" i="49"/>
  <c r="AH151" i="49"/>
  <c r="AH152" i="49"/>
  <c r="AH153" i="49"/>
  <c r="AH154" i="49"/>
  <c r="AH155" i="49"/>
  <c r="AH156" i="49"/>
  <c r="AH157" i="49"/>
  <c r="AH158" i="49"/>
  <c r="AH159" i="49"/>
  <c r="AH160" i="49"/>
  <c r="AH161" i="49"/>
  <c r="AH162" i="49"/>
  <c r="AH163" i="49"/>
  <c r="AH164" i="49"/>
  <c r="AH165" i="49"/>
  <c r="AH166" i="49"/>
  <c r="AH167" i="49"/>
  <c r="AH168" i="49"/>
  <c r="AH169" i="49"/>
  <c r="AH170" i="49"/>
  <c r="AH171" i="49"/>
  <c r="AH172" i="49"/>
  <c r="AH173" i="49"/>
  <c r="AH174" i="49"/>
  <c r="AH175" i="49"/>
  <c r="AH176" i="49"/>
  <c r="AH177" i="49"/>
  <c r="AH178" i="49"/>
  <c r="AH179" i="49"/>
  <c r="AH180" i="49"/>
  <c r="AH181" i="49"/>
  <c r="AH182" i="49"/>
  <c r="AH183" i="49"/>
  <c r="AH184" i="49"/>
  <c r="AH185" i="49"/>
  <c r="AH186" i="49"/>
  <c r="AH187" i="49"/>
  <c r="AH188" i="49"/>
  <c r="AH189" i="49"/>
  <c r="AH190" i="49"/>
  <c r="AH191" i="49"/>
  <c r="AH192" i="49"/>
  <c r="AH193" i="49"/>
  <c r="AH194" i="49"/>
  <c r="AH195" i="49"/>
  <c r="AH196" i="49"/>
  <c r="AH197" i="49"/>
  <c r="AH198" i="49"/>
  <c r="AH199" i="49"/>
  <c r="AH200" i="49"/>
  <c r="AH201" i="49"/>
  <c r="AH202" i="49"/>
  <c r="AH203" i="49"/>
  <c r="AH204" i="49"/>
  <c r="AH205" i="49"/>
  <c r="AH208" i="49"/>
  <c r="BB9" i="49"/>
  <c r="BB10" i="49"/>
  <c r="BB11" i="49"/>
  <c r="BB12" i="49"/>
  <c r="BB13" i="49"/>
  <c r="BB14" i="49"/>
  <c r="BB15" i="49"/>
  <c r="BB16" i="49"/>
  <c r="BB17" i="49"/>
  <c r="BB18" i="49"/>
  <c r="BB19" i="49"/>
  <c r="BB20" i="49"/>
  <c r="BB21" i="49"/>
  <c r="BB22" i="49"/>
  <c r="BB23" i="49"/>
  <c r="BB24" i="49"/>
  <c r="BB25" i="49"/>
  <c r="BB26" i="49"/>
  <c r="BB27" i="49"/>
  <c r="BB28" i="49"/>
  <c r="BB29" i="49"/>
  <c r="BB30" i="49"/>
  <c r="BB31" i="49"/>
  <c r="BB32" i="49"/>
  <c r="BB33" i="49"/>
  <c r="BB34" i="49"/>
  <c r="BB35" i="49"/>
  <c r="BB36" i="49"/>
  <c r="BB37" i="49"/>
  <c r="BB38" i="49"/>
  <c r="BB39" i="49"/>
  <c r="BB40" i="49"/>
  <c r="BB41" i="49"/>
  <c r="BB42" i="49"/>
  <c r="BB43" i="49"/>
  <c r="BB44" i="49"/>
  <c r="BB45" i="49"/>
  <c r="BB46" i="49"/>
  <c r="BB47" i="49"/>
  <c r="BB48" i="49"/>
  <c r="BB49" i="49"/>
  <c r="BB50" i="49"/>
  <c r="BB51" i="49"/>
  <c r="BB52" i="49"/>
  <c r="BB53" i="49"/>
  <c r="BB54" i="49"/>
  <c r="BB55" i="49"/>
  <c r="BB56" i="49"/>
  <c r="BB57" i="49"/>
  <c r="BB58" i="49"/>
  <c r="BB59" i="49"/>
  <c r="BB60" i="49"/>
  <c r="BB61" i="49"/>
  <c r="BB62" i="49"/>
  <c r="BB63" i="49"/>
  <c r="BB64" i="49"/>
  <c r="BB65" i="49"/>
  <c r="BB66" i="49"/>
  <c r="BB67" i="49"/>
  <c r="BB68" i="49"/>
  <c r="BB69" i="49"/>
  <c r="BB70" i="49"/>
  <c r="BB71" i="49"/>
  <c r="BB72" i="49"/>
  <c r="BB73" i="49"/>
  <c r="BB74" i="49"/>
  <c r="BB75" i="49"/>
  <c r="BB76" i="49"/>
  <c r="BB77" i="49"/>
  <c r="BB78" i="49"/>
  <c r="BB79" i="49"/>
  <c r="BB80" i="49"/>
  <c r="BB81" i="49"/>
  <c r="BB82" i="49"/>
  <c r="BB83" i="49"/>
  <c r="BB84" i="49"/>
  <c r="BB85" i="49"/>
  <c r="BB86" i="49"/>
  <c r="BB87" i="49"/>
  <c r="BB88" i="49"/>
  <c r="BB89" i="49"/>
  <c r="BB90" i="49"/>
  <c r="BB91" i="49"/>
  <c r="BB92" i="49"/>
  <c r="BB93" i="49"/>
  <c r="BB94" i="49"/>
  <c r="BB95" i="49"/>
  <c r="BB96" i="49"/>
  <c r="BB97" i="49"/>
  <c r="BB98" i="49"/>
  <c r="BB99" i="49"/>
  <c r="BB100" i="49"/>
  <c r="BB101" i="49"/>
  <c r="BB102" i="49"/>
  <c r="BB103" i="49"/>
  <c r="BB104" i="49"/>
  <c r="BB105" i="49"/>
  <c r="BB106" i="49"/>
  <c r="BB107" i="49"/>
  <c r="BB108" i="49"/>
  <c r="BB109" i="49"/>
  <c r="BB110" i="49"/>
  <c r="BB111" i="49"/>
  <c r="BB112" i="49"/>
  <c r="BB113" i="49"/>
  <c r="BB114" i="49"/>
  <c r="BB115" i="49"/>
  <c r="BB116" i="49"/>
  <c r="BB117" i="49"/>
  <c r="BB118" i="49"/>
  <c r="BB119" i="49"/>
  <c r="BB120" i="49"/>
  <c r="BB121" i="49"/>
  <c r="BB122" i="49"/>
  <c r="BB123" i="49"/>
  <c r="BB124" i="49"/>
  <c r="BB125" i="49"/>
  <c r="BB126" i="49"/>
  <c r="BB127" i="49"/>
  <c r="BB128" i="49"/>
  <c r="BB129" i="49"/>
  <c r="BB130" i="49"/>
  <c r="BB131" i="49"/>
  <c r="BB132" i="49"/>
  <c r="BB133" i="49"/>
  <c r="BB134" i="49"/>
  <c r="BB135" i="49"/>
  <c r="BB136" i="49"/>
  <c r="BB137" i="49"/>
  <c r="BB138" i="49"/>
  <c r="BB139" i="49"/>
  <c r="BB140" i="49"/>
  <c r="BB141" i="49"/>
  <c r="BB142" i="49"/>
  <c r="BB143" i="49"/>
  <c r="BB144" i="49"/>
  <c r="BB145" i="49"/>
  <c r="BB146" i="49"/>
  <c r="BB147" i="49"/>
  <c r="BB148" i="49"/>
  <c r="BB149" i="49"/>
  <c r="BB150" i="49"/>
  <c r="BB151" i="49"/>
  <c r="BB152" i="49"/>
  <c r="BB153" i="49"/>
  <c r="BB154" i="49"/>
  <c r="BB155" i="49"/>
  <c r="BB156" i="49"/>
  <c r="BB157" i="49"/>
  <c r="BB158" i="49"/>
  <c r="BB159" i="49"/>
  <c r="BB160" i="49"/>
  <c r="BB161" i="49"/>
  <c r="BB162" i="49"/>
  <c r="BB163" i="49"/>
  <c r="BB164" i="49"/>
  <c r="BB165" i="49"/>
  <c r="BB166" i="49"/>
  <c r="BB167" i="49"/>
  <c r="BB168" i="49"/>
  <c r="BB169" i="49"/>
  <c r="BB170" i="49"/>
  <c r="BB171" i="49"/>
  <c r="BB172" i="49"/>
  <c r="BB173" i="49"/>
  <c r="BB174" i="49"/>
  <c r="BB175" i="49"/>
  <c r="BB176" i="49"/>
  <c r="BB177" i="49"/>
  <c r="BB178" i="49"/>
  <c r="BB179" i="49"/>
  <c r="BB180" i="49"/>
  <c r="BB181" i="49"/>
  <c r="BB182" i="49"/>
  <c r="BB183" i="49"/>
  <c r="BB184" i="49"/>
  <c r="BB185" i="49"/>
  <c r="BB186" i="49"/>
  <c r="BB187" i="49"/>
  <c r="BB188" i="49"/>
  <c r="BB189" i="49"/>
  <c r="BB190" i="49"/>
  <c r="BB191" i="49"/>
  <c r="BB192" i="49"/>
  <c r="BB193" i="49"/>
  <c r="BB194" i="49"/>
  <c r="BB195" i="49"/>
  <c r="BB196" i="49"/>
  <c r="BB197" i="49"/>
  <c r="BB198" i="49"/>
  <c r="BB199" i="49"/>
  <c r="BB200" i="49"/>
  <c r="BB201" i="49"/>
  <c r="BB202" i="49"/>
  <c r="BB203" i="49"/>
  <c r="BB204" i="49"/>
  <c r="BB205" i="49"/>
  <c r="BB20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J30" i="49"/>
  <c r="J31" i="49"/>
  <c r="J32" i="49"/>
  <c r="J33" i="49"/>
  <c r="J34" i="49"/>
  <c r="J35" i="49"/>
  <c r="J36" i="49"/>
  <c r="J37" i="49"/>
  <c r="J38" i="49"/>
  <c r="J39" i="49"/>
  <c r="J40" i="49"/>
  <c r="J41" i="49"/>
  <c r="J42" i="49"/>
  <c r="J43" i="49"/>
  <c r="J44" i="49"/>
  <c r="J45" i="49"/>
  <c r="J46" i="49"/>
  <c r="J47" i="49"/>
  <c r="J48" i="49"/>
  <c r="J49" i="49"/>
  <c r="J50" i="49"/>
  <c r="J51" i="49"/>
  <c r="J52" i="49"/>
  <c r="J53" i="49"/>
  <c r="J54" i="49"/>
  <c r="J55" i="49"/>
  <c r="J56" i="49"/>
  <c r="J57" i="49"/>
  <c r="J58" i="49"/>
  <c r="J59" i="49"/>
  <c r="J60" i="49"/>
  <c r="J61" i="49"/>
  <c r="J62" i="49"/>
  <c r="J63" i="49"/>
  <c r="J64" i="49"/>
  <c r="J65" i="49"/>
  <c r="J66" i="49"/>
  <c r="J67" i="49"/>
  <c r="J68" i="49"/>
  <c r="J69" i="49"/>
  <c r="J70" i="49"/>
  <c r="J71" i="49"/>
  <c r="J72" i="49"/>
  <c r="J73" i="49"/>
  <c r="J74" i="49"/>
  <c r="J75" i="49"/>
  <c r="J76" i="49"/>
  <c r="J77" i="49"/>
  <c r="J78" i="49"/>
  <c r="J79" i="49"/>
  <c r="J80" i="49"/>
  <c r="J81" i="49"/>
  <c r="J82" i="49"/>
  <c r="J83" i="49"/>
  <c r="J84" i="49"/>
  <c r="J85" i="49"/>
  <c r="J86" i="49"/>
  <c r="J87" i="49"/>
  <c r="J88" i="49"/>
  <c r="J89" i="49"/>
  <c r="J90" i="49"/>
  <c r="J91" i="49"/>
  <c r="J92" i="49"/>
  <c r="J93" i="49"/>
  <c r="J94" i="49"/>
  <c r="J95" i="49"/>
  <c r="J96" i="49"/>
  <c r="J97" i="49"/>
  <c r="J98" i="49"/>
  <c r="J99" i="49"/>
  <c r="J100" i="49"/>
  <c r="J101" i="49"/>
  <c r="J102" i="49"/>
  <c r="J103" i="49"/>
  <c r="J104" i="49"/>
  <c r="J105" i="49"/>
  <c r="J106" i="49"/>
  <c r="J107" i="49"/>
  <c r="J108" i="49"/>
  <c r="J109" i="49"/>
  <c r="J110" i="49"/>
  <c r="J111" i="49"/>
  <c r="J112" i="49"/>
  <c r="J113" i="49"/>
  <c r="J114" i="49"/>
  <c r="J115" i="49"/>
  <c r="J116" i="49"/>
  <c r="J117" i="49"/>
  <c r="J118" i="49"/>
  <c r="J119" i="49"/>
  <c r="J120" i="49"/>
  <c r="J121" i="49"/>
  <c r="J122" i="49"/>
  <c r="J123" i="49"/>
  <c r="J124" i="49"/>
  <c r="J125" i="49"/>
  <c r="J126" i="49"/>
  <c r="J127" i="49"/>
  <c r="J128" i="49"/>
  <c r="J129" i="49"/>
  <c r="J130" i="49"/>
  <c r="J131" i="49"/>
  <c r="J132" i="49"/>
  <c r="J133" i="49"/>
  <c r="J134" i="49"/>
  <c r="J135" i="49"/>
  <c r="J136" i="49"/>
  <c r="J137" i="49"/>
  <c r="J138" i="49"/>
  <c r="J139" i="49"/>
  <c r="J140" i="49"/>
  <c r="J141" i="49"/>
  <c r="J142" i="49"/>
  <c r="J143" i="49"/>
  <c r="J144" i="49"/>
  <c r="J145" i="49"/>
  <c r="J146" i="49"/>
  <c r="J147" i="49"/>
  <c r="J148" i="49"/>
  <c r="J149" i="49"/>
  <c r="J150" i="49"/>
  <c r="J151" i="49"/>
  <c r="J152" i="49"/>
  <c r="J153" i="49"/>
  <c r="J154" i="49"/>
  <c r="J155" i="49"/>
  <c r="J156" i="49"/>
  <c r="J157" i="49"/>
  <c r="J158" i="49"/>
  <c r="J159" i="49"/>
  <c r="J160" i="49"/>
  <c r="J161" i="49"/>
  <c r="J162" i="49"/>
  <c r="J163" i="49"/>
  <c r="J164" i="49"/>
  <c r="J165" i="49"/>
  <c r="J166" i="49"/>
  <c r="J167" i="49"/>
  <c r="J168" i="49"/>
  <c r="J169" i="49"/>
  <c r="J170" i="49"/>
  <c r="J171" i="49"/>
  <c r="J172" i="49"/>
  <c r="J173" i="49"/>
  <c r="J174" i="49"/>
  <c r="J175" i="49"/>
  <c r="J176" i="49"/>
  <c r="J177" i="49"/>
  <c r="J178" i="49"/>
  <c r="J179" i="49"/>
  <c r="J180" i="49"/>
  <c r="J181" i="49"/>
  <c r="J182" i="49"/>
  <c r="J183" i="49"/>
  <c r="J184" i="49"/>
  <c r="J185" i="49"/>
  <c r="J186" i="49"/>
  <c r="J187" i="49"/>
  <c r="J188" i="49"/>
  <c r="J189" i="49"/>
  <c r="J190" i="49"/>
  <c r="J191" i="49"/>
  <c r="J192" i="49"/>
  <c r="J193" i="49"/>
  <c r="J194" i="49"/>
  <c r="J195" i="49"/>
  <c r="J196" i="49"/>
  <c r="J197" i="49"/>
  <c r="J198" i="49"/>
  <c r="J199" i="49"/>
  <c r="J200" i="49"/>
  <c r="J201" i="49"/>
  <c r="J202" i="49"/>
  <c r="J203" i="49"/>
  <c r="J204" i="49"/>
  <c r="J205" i="49"/>
  <c r="E9" i="50"/>
  <c r="F9" i="50"/>
  <c r="G9" i="50"/>
  <c r="H9" i="50"/>
  <c r="I9" i="50"/>
  <c r="D9" i="50"/>
  <c r="C9" i="50" s="1"/>
  <c r="J9" i="50"/>
  <c r="K9" i="50"/>
  <c r="L9" i="50"/>
  <c r="M9" i="50"/>
  <c r="N9" i="50"/>
  <c r="L9" i="49"/>
  <c r="L10" i="49"/>
  <c r="L11" i="49"/>
  <c r="L12" i="49"/>
  <c r="L13" i="49"/>
  <c r="L14" i="49"/>
  <c r="L15" i="49"/>
  <c r="L16" i="49"/>
  <c r="L17" i="49"/>
  <c r="L18" i="49"/>
  <c r="L19" i="49"/>
  <c r="L20" i="49"/>
  <c r="L21" i="49"/>
  <c r="L22" i="49"/>
  <c r="L23" i="49"/>
  <c r="L24" i="49"/>
  <c r="L25" i="49"/>
  <c r="L26" i="49"/>
  <c r="L27" i="49"/>
  <c r="L28" i="49"/>
  <c r="L29" i="49"/>
  <c r="L30" i="49"/>
  <c r="L31" i="49"/>
  <c r="L32" i="49"/>
  <c r="L33" i="49"/>
  <c r="L34" i="49"/>
  <c r="L35" i="49"/>
  <c r="L36" i="49"/>
  <c r="L37" i="49"/>
  <c r="L38" i="49"/>
  <c r="L39" i="49"/>
  <c r="L40" i="49"/>
  <c r="L41" i="49"/>
  <c r="L42" i="49"/>
  <c r="L43" i="49"/>
  <c r="L44" i="49"/>
  <c r="L45" i="49"/>
  <c r="L46" i="49"/>
  <c r="L47" i="49"/>
  <c r="L48" i="49"/>
  <c r="L49" i="49"/>
  <c r="L50" i="49"/>
  <c r="L51" i="49"/>
  <c r="L52" i="49"/>
  <c r="L53" i="49"/>
  <c r="L54" i="49"/>
  <c r="L55" i="49"/>
  <c r="L56" i="49"/>
  <c r="L57" i="49"/>
  <c r="L58" i="49"/>
  <c r="L59" i="49"/>
  <c r="L60" i="49"/>
  <c r="L61" i="49"/>
  <c r="L62" i="49"/>
  <c r="L63" i="49"/>
  <c r="L64" i="49"/>
  <c r="L65" i="49"/>
  <c r="L66" i="49"/>
  <c r="L67" i="49"/>
  <c r="L68" i="49"/>
  <c r="L69" i="49"/>
  <c r="L70" i="49"/>
  <c r="L71" i="49"/>
  <c r="L72" i="49"/>
  <c r="L73" i="49"/>
  <c r="L74" i="49"/>
  <c r="L75" i="49"/>
  <c r="L76" i="49"/>
  <c r="L77" i="49"/>
  <c r="L78" i="49"/>
  <c r="L79" i="49"/>
  <c r="L80" i="49"/>
  <c r="L81" i="49"/>
  <c r="L82" i="49"/>
  <c r="L83" i="49"/>
  <c r="L84" i="49"/>
  <c r="L85" i="49"/>
  <c r="L86" i="49"/>
  <c r="L87" i="49"/>
  <c r="L88" i="49"/>
  <c r="L89" i="49"/>
  <c r="L90" i="49"/>
  <c r="L91" i="49"/>
  <c r="L92" i="49"/>
  <c r="L93" i="49"/>
  <c r="L94" i="49"/>
  <c r="L95" i="49"/>
  <c r="L96" i="49"/>
  <c r="L97" i="49"/>
  <c r="L98" i="49"/>
  <c r="L99" i="49"/>
  <c r="L100" i="49"/>
  <c r="L101" i="49"/>
  <c r="L102" i="49"/>
  <c r="L103" i="49"/>
  <c r="L104" i="49"/>
  <c r="L105" i="49"/>
  <c r="L106" i="49"/>
  <c r="L107" i="49"/>
  <c r="L108" i="49"/>
  <c r="L109" i="49"/>
  <c r="L110" i="49"/>
  <c r="L111" i="49"/>
  <c r="L112" i="49"/>
  <c r="L113" i="49"/>
  <c r="L114" i="49"/>
  <c r="L115" i="49"/>
  <c r="L116" i="49"/>
  <c r="L117" i="49"/>
  <c r="L118" i="49"/>
  <c r="L119" i="49"/>
  <c r="L120" i="49"/>
  <c r="L121" i="49"/>
  <c r="L122" i="49"/>
  <c r="L123" i="49"/>
  <c r="L124" i="49"/>
  <c r="L125" i="49"/>
  <c r="L126" i="49"/>
  <c r="L127" i="49"/>
  <c r="L128" i="49"/>
  <c r="L129" i="49"/>
  <c r="L130" i="49"/>
  <c r="L131" i="49"/>
  <c r="L132" i="49"/>
  <c r="L133" i="49"/>
  <c r="L134" i="49"/>
  <c r="L135" i="49"/>
  <c r="L136" i="49"/>
  <c r="L137" i="49"/>
  <c r="L138" i="49"/>
  <c r="L139" i="49"/>
  <c r="L140" i="49"/>
  <c r="L141" i="49"/>
  <c r="L142" i="49"/>
  <c r="L143" i="49"/>
  <c r="L144" i="49"/>
  <c r="L145" i="49"/>
  <c r="L146" i="49"/>
  <c r="L147" i="49"/>
  <c r="L148" i="49"/>
  <c r="L149" i="49"/>
  <c r="L150" i="49"/>
  <c r="L151" i="49"/>
  <c r="L152" i="49"/>
  <c r="L153" i="49"/>
  <c r="L154" i="49"/>
  <c r="L155" i="49"/>
  <c r="L156" i="49"/>
  <c r="L157" i="49"/>
  <c r="L158" i="49"/>
  <c r="L159" i="49"/>
  <c r="L160" i="49"/>
  <c r="L161" i="49"/>
  <c r="L162" i="49"/>
  <c r="L163" i="49"/>
  <c r="L164" i="49"/>
  <c r="L165" i="49"/>
  <c r="L166" i="49"/>
  <c r="L167" i="49"/>
  <c r="L168" i="49"/>
  <c r="L169" i="49"/>
  <c r="L170" i="49"/>
  <c r="L171" i="49"/>
  <c r="L172" i="49"/>
  <c r="L173" i="49"/>
  <c r="L174" i="49"/>
  <c r="L175" i="49"/>
  <c r="L176" i="49"/>
  <c r="L177" i="49"/>
  <c r="L178" i="49"/>
  <c r="L179" i="49"/>
  <c r="L180" i="49"/>
  <c r="L181" i="49"/>
  <c r="L182" i="49"/>
  <c r="L183" i="49"/>
  <c r="L184" i="49"/>
  <c r="L185" i="49"/>
  <c r="L186" i="49"/>
  <c r="L187" i="49"/>
  <c r="L188" i="49"/>
  <c r="L189" i="49"/>
  <c r="L190" i="49"/>
  <c r="L191" i="49"/>
  <c r="L192" i="49"/>
  <c r="L193" i="49"/>
  <c r="L194" i="49"/>
  <c r="L195" i="49"/>
  <c r="L196" i="49"/>
  <c r="L197" i="49"/>
  <c r="L198" i="49"/>
  <c r="L199" i="49"/>
  <c r="L200" i="49"/>
  <c r="L201" i="49"/>
  <c r="L202" i="49"/>
  <c r="L203" i="49"/>
  <c r="L204" i="49"/>
  <c r="L205" i="49"/>
  <c r="N8" i="50"/>
  <c r="K9" i="49"/>
  <c r="K10" i="49"/>
  <c r="K11" i="49"/>
  <c r="K12" i="49"/>
  <c r="K13" i="49"/>
  <c r="K14" i="49"/>
  <c r="K15" i="49"/>
  <c r="K16" i="49"/>
  <c r="K17" i="49"/>
  <c r="K18" i="49"/>
  <c r="K19" i="49"/>
  <c r="K20" i="49"/>
  <c r="K21" i="49"/>
  <c r="K22" i="49"/>
  <c r="K23" i="49"/>
  <c r="K24" i="49"/>
  <c r="K25" i="49"/>
  <c r="K26" i="49"/>
  <c r="K27" i="49"/>
  <c r="K28" i="49"/>
  <c r="K29" i="49"/>
  <c r="K30" i="49"/>
  <c r="K31" i="49"/>
  <c r="K32" i="49"/>
  <c r="K33" i="49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N12" i="50"/>
  <c r="O9" i="49"/>
  <c r="O10" i="49"/>
  <c r="O11" i="49"/>
  <c r="O12" i="49"/>
  <c r="O13" i="49"/>
  <c r="O14" i="49"/>
  <c r="O15" i="49"/>
  <c r="O16" i="49"/>
  <c r="O17" i="49"/>
  <c r="O18" i="49"/>
  <c r="O19" i="49"/>
  <c r="O20" i="49"/>
  <c r="O21" i="49"/>
  <c r="O22" i="49"/>
  <c r="O23" i="49"/>
  <c r="O24" i="49"/>
  <c r="O25" i="49"/>
  <c r="O26" i="49"/>
  <c r="O27" i="49"/>
  <c r="O28" i="49"/>
  <c r="O29" i="49"/>
  <c r="O30" i="49"/>
  <c r="O31" i="49"/>
  <c r="O32" i="49"/>
  <c r="O33" i="49"/>
  <c r="O34" i="49"/>
  <c r="O35" i="49"/>
  <c r="O36" i="49"/>
  <c r="O37" i="49"/>
  <c r="O38" i="49"/>
  <c r="O39" i="49"/>
  <c r="O40" i="49"/>
  <c r="O41" i="49"/>
  <c r="O42" i="49"/>
  <c r="O43" i="49"/>
  <c r="O44" i="49"/>
  <c r="O45" i="49"/>
  <c r="O46" i="49"/>
  <c r="O47" i="49"/>
  <c r="O48" i="49"/>
  <c r="O49" i="49"/>
  <c r="O50" i="49"/>
  <c r="O51" i="49"/>
  <c r="O52" i="49"/>
  <c r="O53" i="49"/>
  <c r="O54" i="49"/>
  <c r="O55" i="49"/>
  <c r="O56" i="49"/>
  <c r="O57" i="49"/>
  <c r="O58" i="49"/>
  <c r="O59" i="49"/>
  <c r="O60" i="49"/>
  <c r="O61" i="49"/>
  <c r="O62" i="49"/>
  <c r="O63" i="49"/>
  <c r="O64" i="49"/>
  <c r="O65" i="49"/>
  <c r="O66" i="49"/>
  <c r="O67" i="49"/>
  <c r="O68" i="49"/>
  <c r="O69" i="49"/>
  <c r="O70" i="49"/>
  <c r="O71" i="49"/>
  <c r="O72" i="49"/>
  <c r="O73" i="49"/>
  <c r="O74" i="49"/>
  <c r="O75" i="49"/>
  <c r="O76" i="49"/>
  <c r="O77" i="49"/>
  <c r="O78" i="49"/>
  <c r="O79" i="49"/>
  <c r="O80" i="49"/>
  <c r="O81" i="49"/>
  <c r="O82" i="49"/>
  <c r="O83" i="49"/>
  <c r="O84" i="49"/>
  <c r="O85" i="49"/>
  <c r="O86" i="49"/>
  <c r="O87" i="49"/>
  <c r="O88" i="49"/>
  <c r="O89" i="49"/>
  <c r="O90" i="49"/>
  <c r="O91" i="49"/>
  <c r="O92" i="49"/>
  <c r="BR92" i="49" s="1"/>
  <c r="O93" i="49"/>
  <c r="O94" i="49"/>
  <c r="O95" i="49"/>
  <c r="O96" i="49"/>
  <c r="O97" i="49"/>
  <c r="O98" i="49"/>
  <c r="O99" i="49"/>
  <c r="O100" i="49"/>
  <c r="O101" i="49"/>
  <c r="O102" i="49"/>
  <c r="O103" i="49"/>
  <c r="O104" i="49"/>
  <c r="O105" i="49"/>
  <c r="O106" i="49"/>
  <c r="O107" i="49"/>
  <c r="O108" i="49"/>
  <c r="O109" i="49"/>
  <c r="O110" i="49"/>
  <c r="O111" i="49"/>
  <c r="O112" i="49"/>
  <c r="O113" i="49"/>
  <c r="O114" i="49"/>
  <c r="O115" i="49"/>
  <c r="O116" i="49"/>
  <c r="O117" i="49"/>
  <c r="O118" i="49"/>
  <c r="O119" i="49"/>
  <c r="O120" i="49"/>
  <c r="O121" i="49"/>
  <c r="O122" i="49"/>
  <c r="O123" i="49"/>
  <c r="O124" i="49"/>
  <c r="O125" i="49"/>
  <c r="O126" i="49"/>
  <c r="O127" i="49"/>
  <c r="O128" i="49"/>
  <c r="O129" i="49"/>
  <c r="O130" i="49"/>
  <c r="O131" i="49"/>
  <c r="O132" i="49"/>
  <c r="O133" i="49"/>
  <c r="O134" i="49"/>
  <c r="O135" i="49"/>
  <c r="O136" i="49"/>
  <c r="O137" i="49"/>
  <c r="O138" i="49"/>
  <c r="O139" i="49"/>
  <c r="O140" i="49"/>
  <c r="O141" i="49"/>
  <c r="O142" i="49"/>
  <c r="O143" i="49"/>
  <c r="O144" i="49"/>
  <c r="O145" i="49"/>
  <c r="O146" i="49"/>
  <c r="O147" i="49"/>
  <c r="O148" i="49"/>
  <c r="O149" i="49"/>
  <c r="O150" i="49"/>
  <c r="O151" i="49"/>
  <c r="O152" i="49"/>
  <c r="O153" i="49"/>
  <c r="O154" i="49"/>
  <c r="O155" i="49"/>
  <c r="O156" i="49"/>
  <c r="O157" i="49"/>
  <c r="O158" i="49"/>
  <c r="O159" i="49"/>
  <c r="O160" i="49"/>
  <c r="O161" i="49"/>
  <c r="O162" i="49"/>
  <c r="O163" i="49"/>
  <c r="O164" i="49"/>
  <c r="O165" i="49"/>
  <c r="O166" i="49"/>
  <c r="O167" i="49"/>
  <c r="O168" i="49"/>
  <c r="O169" i="49"/>
  <c r="O170" i="49"/>
  <c r="O171" i="49"/>
  <c r="O172" i="49"/>
  <c r="O173" i="49"/>
  <c r="O174" i="49"/>
  <c r="O175" i="49"/>
  <c r="O176" i="49"/>
  <c r="O177" i="49"/>
  <c r="O178" i="49"/>
  <c r="O179" i="49"/>
  <c r="O180" i="49"/>
  <c r="O181" i="49"/>
  <c r="O182" i="49"/>
  <c r="O183" i="49"/>
  <c r="O184" i="49"/>
  <c r="O185" i="49"/>
  <c r="O186" i="49"/>
  <c r="O187" i="49"/>
  <c r="O188" i="49"/>
  <c r="O189" i="49"/>
  <c r="O190" i="49"/>
  <c r="O191" i="49"/>
  <c r="O192" i="49"/>
  <c r="O193" i="49"/>
  <c r="O194" i="49"/>
  <c r="O195" i="49"/>
  <c r="O196" i="49"/>
  <c r="O197" i="49"/>
  <c r="O198" i="49"/>
  <c r="O199" i="49"/>
  <c r="O200" i="49"/>
  <c r="O201" i="49"/>
  <c r="O202" i="49"/>
  <c r="O203" i="49"/>
  <c r="O204" i="49"/>
  <c r="O205" i="49"/>
  <c r="N24" i="50"/>
  <c r="AA9" i="49"/>
  <c r="AA10" i="49"/>
  <c r="AA11" i="49"/>
  <c r="AA12" i="49"/>
  <c r="AA13" i="49"/>
  <c r="AA14" i="49"/>
  <c r="AA15" i="49"/>
  <c r="AA16" i="49"/>
  <c r="AA17" i="49"/>
  <c r="AA18" i="49"/>
  <c r="AA19" i="49"/>
  <c r="AA20" i="49"/>
  <c r="AA21" i="49"/>
  <c r="AA22" i="49"/>
  <c r="AA23" i="49"/>
  <c r="AA24" i="49"/>
  <c r="AA25" i="49"/>
  <c r="AA26" i="49"/>
  <c r="AA27" i="49"/>
  <c r="AA28" i="49"/>
  <c r="AA29" i="49"/>
  <c r="AA30" i="49"/>
  <c r="AA31" i="49"/>
  <c r="AA32" i="49"/>
  <c r="AA33" i="49"/>
  <c r="AA34" i="49"/>
  <c r="AA35" i="49"/>
  <c r="AA36" i="49"/>
  <c r="AA37" i="49"/>
  <c r="AA38" i="49"/>
  <c r="AA39" i="49"/>
  <c r="AA40" i="49"/>
  <c r="AA41" i="49"/>
  <c r="AA42" i="49"/>
  <c r="AA43" i="49"/>
  <c r="AA44" i="49"/>
  <c r="AA45" i="49"/>
  <c r="AA46" i="49"/>
  <c r="AA47" i="49"/>
  <c r="AA48" i="49"/>
  <c r="AA49" i="49"/>
  <c r="AA50" i="49"/>
  <c r="AA51" i="49"/>
  <c r="AA52" i="49"/>
  <c r="AA53" i="49"/>
  <c r="AA54" i="49"/>
  <c r="AA55" i="49"/>
  <c r="AA56" i="49"/>
  <c r="AA57" i="49"/>
  <c r="AA58" i="49"/>
  <c r="AA59" i="49"/>
  <c r="AA60" i="49"/>
  <c r="AA61" i="49"/>
  <c r="AA62" i="49"/>
  <c r="AA63" i="49"/>
  <c r="AA64" i="49"/>
  <c r="AA65" i="49"/>
  <c r="AA66" i="49"/>
  <c r="AA67" i="49"/>
  <c r="AA68" i="49"/>
  <c r="AA69" i="49"/>
  <c r="AA70" i="49"/>
  <c r="AA71" i="49"/>
  <c r="AA72" i="49"/>
  <c r="AA73" i="49"/>
  <c r="AA74" i="49"/>
  <c r="AA75" i="49"/>
  <c r="AA76" i="49"/>
  <c r="AA77" i="49"/>
  <c r="AA78" i="49"/>
  <c r="AA79" i="49"/>
  <c r="AA80" i="49"/>
  <c r="AA81" i="49"/>
  <c r="AA82" i="49"/>
  <c r="AA83" i="49"/>
  <c r="AA84" i="49"/>
  <c r="AA85" i="49"/>
  <c r="AA86" i="49"/>
  <c r="AA87" i="49"/>
  <c r="AA88" i="49"/>
  <c r="AA89" i="49"/>
  <c r="AA90" i="49"/>
  <c r="AA91" i="49"/>
  <c r="AA92" i="49"/>
  <c r="AA93" i="49"/>
  <c r="AA94" i="49"/>
  <c r="AA95" i="49"/>
  <c r="AA96" i="49"/>
  <c r="AA97" i="49"/>
  <c r="AA98" i="49"/>
  <c r="AA99" i="49"/>
  <c r="AA100" i="49"/>
  <c r="AA101" i="49"/>
  <c r="AA102" i="49"/>
  <c r="AA103" i="49"/>
  <c r="AA104" i="49"/>
  <c r="AA105" i="49"/>
  <c r="AA106" i="49"/>
  <c r="AA107" i="49"/>
  <c r="AA108" i="49"/>
  <c r="AA109" i="49"/>
  <c r="AA110" i="49"/>
  <c r="AA111" i="49"/>
  <c r="AA112" i="49"/>
  <c r="AA113" i="49"/>
  <c r="AA114" i="49"/>
  <c r="AA115" i="49"/>
  <c r="AA116" i="49"/>
  <c r="AA117" i="49"/>
  <c r="AA118" i="49"/>
  <c r="AA119" i="49"/>
  <c r="AA120" i="49"/>
  <c r="AA121" i="49"/>
  <c r="AA122" i="49"/>
  <c r="AA123" i="49"/>
  <c r="AA124" i="49"/>
  <c r="AA125" i="49"/>
  <c r="AA126" i="49"/>
  <c r="AA127" i="49"/>
  <c r="AA128" i="49"/>
  <c r="AA129" i="49"/>
  <c r="AA130" i="49"/>
  <c r="AA131" i="49"/>
  <c r="AA132" i="49"/>
  <c r="AA133" i="49"/>
  <c r="AA134" i="49"/>
  <c r="AA135" i="49"/>
  <c r="AA136" i="49"/>
  <c r="AA137" i="49"/>
  <c r="AA138" i="49"/>
  <c r="AA139" i="49"/>
  <c r="AA140" i="49"/>
  <c r="AA141" i="49"/>
  <c r="AA142" i="49"/>
  <c r="AA143" i="49"/>
  <c r="AA144" i="49"/>
  <c r="AA145" i="49"/>
  <c r="AA146" i="49"/>
  <c r="AA147" i="49"/>
  <c r="AA148" i="49"/>
  <c r="AA149" i="49"/>
  <c r="AA150" i="49"/>
  <c r="AA151" i="49"/>
  <c r="AA152" i="49"/>
  <c r="AA153" i="49"/>
  <c r="AA154" i="49"/>
  <c r="AA155" i="49"/>
  <c r="AA156" i="49"/>
  <c r="AA157" i="49"/>
  <c r="AA158" i="49"/>
  <c r="AA159" i="49"/>
  <c r="AA160" i="49"/>
  <c r="AA161" i="49"/>
  <c r="AA162" i="49"/>
  <c r="AA163" i="49"/>
  <c r="AA164" i="49"/>
  <c r="AA165" i="49"/>
  <c r="AA166" i="49"/>
  <c r="AA167" i="49"/>
  <c r="AA168" i="49"/>
  <c r="AA169" i="49"/>
  <c r="AA170" i="49"/>
  <c r="AA171" i="49"/>
  <c r="AA172" i="49"/>
  <c r="AA173" i="49"/>
  <c r="AA174" i="49"/>
  <c r="AA175" i="49"/>
  <c r="AA176" i="49"/>
  <c r="AA177" i="49"/>
  <c r="AA178" i="49"/>
  <c r="AA179" i="49"/>
  <c r="AA180" i="49"/>
  <c r="AA181" i="49"/>
  <c r="AA182" i="49"/>
  <c r="AA183" i="49"/>
  <c r="AA184" i="49"/>
  <c r="AA185" i="49"/>
  <c r="AA186" i="49"/>
  <c r="AA187" i="49"/>
  <c r="AA188" i="49"/>
  <c r="AA189" i="49"/>
  <c r="AA190" i="49"/>
  <c r="AA191" i="49"/>
  <c r="AA192" i="49"/>
  <c r="AA193" i="49"/>
  <c r="AA194" i="49"/>
  <c r="AA195" i="49"/>
  <c r="AA196" i="49"/>
  <c r="AA197" i="49"/>
  <c r="AA198" i="49"/>
  <c r="AA199" i="49"/>
  <c r="AA200" i="49"/>
  <c r="AA201" i="49"/>
  <c r="AA202" i="49"/>
  <c r="AA203" i="49"/>
  <c r="AA204" i="49"/>
  <c r="AA205" i="49"/>
  <c r="U9" i="49"/>
  <c r="U10" i="49"/>
  <c r="U11" i="49"/>
  <c r="U12" i="49"/>
  <c r="U13" i="49"/>
  <c r="U14" i="49"/>
  <c r="U15" i="49"/>
  <c r="U16" i="49"/>
  <c r="U17" i="49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36" i="49"/>
  <c r="U37" i="49"/>
  <c r="U38" i="49"/>
  <c r="U39" i="49"/>
  <c r="U40" i="49"/>
  <c r="U41" i="49"/>
  <c r="U42" i="49"/>
  <c r="U43" i="49"/>
  <c r="U44" i="49"/>
  <c r="U45" i="49"/>
  <c r="U46" i="49"/>
  <c r="U47" i="49"/>
  <c r="U48" i="49"/>
  <c r="U49" i="49"/>
  <c r="U50" i="49"/>
  <c r="U51" i="49"/>
  <c r="U52" i="49"/>
  <c r="U53" i="49"/>
  <c r="U54" i="49"/>
  <c r="U55" i="49"/>
  <c r="U56" i="49"/>
  <c r="U57" i="49"/>
  <c r="U58" i="49"/>
  <c r="U59" i="49"/>
  <c r="U60" i="49"/>
  <c r="U61" i="49"/>
  <c r="U62" i="49"/>
  <c r="U63" i="49"/>
  <c r="U64" i="49"/>
  <c r="U65" i="49"/>
  <c r="U66" i="49"/>
  <c r="U67" i="49"/>
  <c r="U68" i="49"/>
  <c r="U69" i="49"/>
  <c r="U70" i="49"/>
  <c r="U71" i="49"/>
  <c r="U72" i="49"/>
  <c r="U73" i="49"/>
  <c r="U74" i="49"/>
  <c r="U75" i="49"/>
  <c r="U76" i="49"/>
  <c r="U77" i="49"/>
  <c r="U78" i="49"/>
  <c r="U79" i="49"/>
  <c r="U80" i="49"/>
  <c r="U81" i="49"/>
  <c r="U82" i="49"/>
  <c r="U83" i="49"/>
  <c r="U84" i="49"/>
  <c r="U85" i="49"/>
  <c r="U86" i="49"/>
  <c r="U87" i="49"/>
  <c r="U88" i="49"/>
  <c r="U89" i="49"/>
  <c r="U90" i="49"/>
  <c r="U91" i="49"/>
  <c r="U92" i="49"/>
  <c r="U93" i="49"/>
  <c r="U94" i="49"/>
  <c r="U95" i="49"/>
  <c r="U96" i="49"/>
  <c r="U97" i="49"/>
  <c r="U98" i="49"/>
  <c r="U99" i="49"/>
  <c r="U100" i="49"/>
  <c r="U101" i="49"/>
  <c r="U102" i="49"/>
  <c r="U103" i="49"/>
  <c r="U104" i="49"/>
  <c r="U105" i="49"/>
  <c r="U106" i="49"/>
  <c r="U107" i="49"/>
  <c r="U108" i="49"/>
  <c r="U109" i="49"/>
  <c r="U110" i="49"/>
  <c r="U111" i="49"/>
  <c r="U112" i="49"/>
  <c r="U113" i="49"/>
  <c r="U114" i="49"/>
  <c r="U115" i="49"/>
  <c r="U116" i="49"/>
  <c r="U117" i="49"/>
  <c r="U118" i="49"/>
  <c r="U119" i="49"/>
  <c r="U120" i="49"/>
  <c r="U121" i="49"/>
  <c r="U122" i="49"/>
  <c r="U123" i="49"/>
  <c r="U124" i="49"/>
  <c r="U125" i="49"/>
  <c r="U126" i="49"/>
  <c r="U127" i="49"/>
  <c r="U128" i="49"/>
  <c r="U129" i="49"/>
  <c r="U130" i="49"/>
  <c r="U131" i="49"/>
  <c r="U132" i="49"/>
  <c r="U133" i="49"/>
  <c r="U134" i="49"/>
  <c r="U135" i="49"/>
  <c r="U136" i="49"/>
  <c r="U137" i="49"/>
  <c r="U138" i="49"/>
  <c r="U139" i="49"/>
  <c r="U140" i="49"/>
  <c r="U141" i="49"/>
  <c r="U142" i="49"/>
  <c r="U143" i="49"/>
  <c r="U144" i="49"/>
  <c r="U145" i="49"/>
  <c r="U146" i="49"/>
  <c r="U147" i="49"/>
  <c r="U148" i="49"/>
  <c r="U149" i="49"/>
  <c r="U150" i="49"/>
  <c r="U151" i="49"/>
  <c r="U152" i="49"/>
  <c r="U153" i="49"/>
  <c r="U154" i="49"/>
  <c r="U155" i="49"/>
  <c r="U156" i="49"/>
  <c r="U157" i="49"/>
  <c r="U158" i="49"/>
  <c r="U159" i="49"/>
  <c r="U160" i="49"/>
  <c r="U161" i="49"/>
  <c r="U162" i="49"/>
  <c r="U163" i="49"/>
  <c r="U164" i="49"/>
  <c r="U165" i="49"/>
  <c r="U166" i="49"/>
  <c r="U167" i="49"/>
  <c r="U168" i="49"/>
  <c r="U169" i="49"/>
  <c r="U170" i="49"/>
  <c r="U171" i="49"/>
  <c r="U172" i="49"/>
  <c r="U173" i="49"/>
  <c r="U174" i="49"/>
  <c r="U175" i="49"/>
  <c r="U176" i="49"/>
  <c r="U177" i="49"/>
  <c r="U178" i="49"/>
  <c r="U179" i="49"/>
  <c r="U180" i="49"/>
  <c r="U181" i="49"/>
  <c r="U182" i="49"/>
  <c r="U183" i="49"/>
  <c r="U184" i="49"/>
  <c r="U185" i="49"/>
  <c r="U186" i="49"/>
  <c r="U187" i="49"/>
  <c r="U188" i="49"/>
  <c r="U189" i="49"/>
  <c r="U190" i="49"/>
  <c r="U191" i="49"/>
  <c r="U192" i="49"/>
  <c r="U193" i="49"/>
  <c r="U194" i="49"/>
  <c r="U195" i="49"/>
  <c r="U196" i="49"/>
  <c r="U197" i="49"/>
  <c r="U198" i="49"/>
  <c r="U199" i="49"/>
  <c r="U200" i="49"/>
  <c r="U201" i="49"/>
  <c r="U202" i="49"/>
  <c r="U203" i="49"/>
  <c r="U204" i="49"/>
  <c r="U205" i="49"/>
  <c r="N21" i="50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55" i="49"/>
  <c r="X56" i="49"/>
  <c r="X57" i="49"/>
  <c r="X58" i="49"/>
  <c r="X59" i="49"/>
  <c r="X60" i="49"/>
  <c r="X61" i="49"/>
  <c r="X62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75" i="49"/>
  <c r="X76" i="49"/>
  <c r="X77" i="49"/>
  <c r="X78" i="49"/>
  <c r="X79" i="49"/>
  <c r="X80" i="49"/>
  <c r="X81" i="49"/>
  <c r="X82" i="49"/>
  <c r="X83" i="49"/>
  <c r="X84" i="49"/>
  <c r="X85" i="49"/>
  <c r="X86" i="49"/>
  <c r="X87" i="49"/>
  <c r="X88" i="49"/>
  <c r="X89" i="49"/>
  <c r="X90" i="49"/>
  <c r="X91" i="49"/>
  <c r="X92" i="49"/>
  <c r="X93" i="49"/>
  <c r="X94" i="49"/>
  <c r="X95" i="49"/>
  <c r="X96" i="49"/>
  <c r="X97" i="49"/>
  <c r="X98" i="49"/>
  <c r="X99" i="49"/>
  <c r="X100" i="49"/>
  <c r="X101" i="49"/>
  <c r="X102" i="49"/>
  <c r="X103" i="49"/>
  <c r="X104" i="49"/>
  <c r="X105" i="49"/>
  <c r="X106" i="49"/>
  <c r="X107" i="49"/>
  <c r="X108" i="49"/>
  <c r="X109" i="49"/>
  <c r="X110" i="49"/>
  <c r="X111" i="49"/>
  <c r="X112" i="49"/>
  <c r="X113" i="49"/>
  <c r="X114" i="49"/>
  <c r="X115" i="49"/>
  <c r="X116" i="49"/>
  <c r="X117" i="49"/>
  <c r="X118" i="49"/>
  <c r="X119" i="49"/>
  <c r="X120" i="49"/>
  <c r="X121" i="49"/>
  <c r="X122" i="49"/>
  <c r="X123" i="49"/>
  <c r="X124" i="49"/>
  <c r="X125" i="49"/>
  <c r="X126" i="49"/>
  <c r="X127" i="49"/>
  <c r="X128" i="49"/>
  <c r="X129" i="49"/>
  <c r="X130" i="49"/>
  <c r="X131" i="49"/>
  <c r="X132" i="49"/>
  <c r="X133" i="49"/>
  <c r="X134" i="49"/>
  <c r="X135" i="49"/>
  <c r="X136" i="49"/>
  <c r="X137" i="49"/>
  <c r="X138" i="49"/>
  <c r="X139" i="49"/>
  <c r="X140" i="49"/>
  <c r="X141" i="49"/>
  <c r="X142" i="49"/>
  <c r="X143" i="49"/>
  <c r="X144" i="49"/>
  <c r="X145" i="49"/>
  <c r="X146" i="49"/>
  <c r="X147" i="49"/>
  <c r="X148" i="49"/>
  <c r="X149" i="49"/>
  <c r="X150" i="49"/>
  <c r="X151" i="49"/>
  <c r="X152" i="49"/>
  <c r="X153" i="49"/>
  <c r="X154" i="49"/>
  <c r="X155" i="49"/>
  <c r="X156" i="49"/>
  <c r="X157" i="49"/>
  <c r="X158" i="49"/>
  <c r="X159" i="49"/>
  <c r="X160" i="49"/>
  <c r="X161" i="49"/>
  <c r="X162" i="49"/>
  <c r="X163" i="49"/>
  <c r="X164" i="49"/>
  <c r="X165" i="49"/>
  <c r="X166" i="49"/>
  <c r="X167" i="49"/>
  <c r="X168" i="49"/>
  <c r="X169" i="49"/>
  <c r="X170" i="49"/>
  <c r="X171" i="49"/>
  <c r="X172" i="49"/>
  <c r="X173" i="49"/>
  <c r="X174" i="49"/>
  <c r="X175" i="49"/>
  <c r="X176" i="49"/>
  <c r="X177" i="49"/>
  <c r="X178" i="49"/>
  <c r="X179" i="49"/>
  <c r="X180" i="49"/>
  <c r="X181" i="49"/>
  <c r="X182" i="49"/>
  <c r="X183" i="49"/>
  <c r="X184" i="49"/>
  <c r="X185" i="49"/>
  <c r="X186" i="49"/>
  <c r="X187" i="49"/>
  <c r="X188" i="49"/>
  <c r="X189" i="49"/>
  <c r="X190" i="49"/>
  <c r="X191" i="49"/>
  <c r="X192" i="49"/>
  <c r="X193" i="49"/>
  <c r="X194" i="49"/>
  <c r="X195" i="49"/>
  <c r="X196" i="49"/>
  <c r="X197" i="49"/>
  <c r="X198" i="49"/>
  <c r="X199" i="49"/>
  <c r="X200" i="49"/>
  <c r="X201" i="49"/>
  <c r="X202" i="49"/>
  <c r="X203" i="49"/>
  <c r="X204" i="49"/>
  <c r="X205" i="49"/>
  <c r="AF7" i="49"/>
  <c r="AF9" i="49"/>
  <c r="AF10" i="49"/>
  <c r="AF11" i="49"/>
  <c r="AF12" i="49"/>
  <c r="AF13" i="49"/>
  <c r="AF14" i="49"/>
  <c r="AF15" i="49"/>
  <c r="AF16" i="49"/>
  <c r="AF17" i="49"/>
  <c r="AF18" i="49"/>
  <c r="AF19" i="49"/>
  <c r="AF20" i="49"/>
  <c r="AF21" i="49"/>
  <c r="AF22" i="49"/>
  <c r="AF23" i="49"/>
  <c r="AF24" i="49"/>
  <c r="AF25" i="49"/>
  <c r="AF26" i="49"/>
  <c r="AF27" i="49"/>
  <c r="AF28" i="49"/>
  <c r="AF29" i="49"/>
  <c r="AF30" i="49"/>
  <c r="AF31" i="49"/>
  <c r="AF32" i="49"/>
  <c r="AF33" i="49"/>
  <c r="AF34" i="49"/>
  <c r="AF35" i="49"/>
  <c r="AF36" i="49"/>
  <c r="AF37" i="49"/>
  <c r="AF38" i="49"/>
  <c r="AF39" i="49"/>
  <c r="AF40" i="49"/>
  <c r="AF41" i="49"/>
  <c r="AF42" i="49"/>
  <c r="AF43" i="49"/>
  <c r="AF44" i="49"/>
  <c r="AF45" i="49"/>
  <c r="AF46" i="49"/>
  <c r="AF47" i="49"/>
  <c r="AF48" i="49"/>
  <c r="AF49" i="49"/>
  <c r="AF50" i="49"/>
  <c r="AF51" i="49"/>
  <c r="AF52" i="49"/>
  <c r="AF53" i="49"/>
  <c r="AF54" i="49"/>
  <c r="AF55" i="49"/>
  <c r="AF56" i="49"/>
  <c r="AF57" i="49"/>
  <c r="AF58" i="49"/>
  <c r="AF59" i="49"/>
  <c r="AF60" i="49"/>
  <c r="AF61" i="49"/>
  <c r="AF62" i="49"/>
  <c r="AF63" i="49"/>
  <c r="AF64" i="49"/>
  <c r="AF65" i="49"/>
  <c r="AF66" i="49"/>
  <c r="AF67" i="49"/>
  <c r="AF68" i="49"/>
  <c r="AF69" i="49"/>
  <c r="AF70" i="49"/>
  <c r="AF71" i="49"/>
  <c r="AF72" i="49"/>
  <c r="AF73" i="49"/>
  <c r="AF74" i="49"/>
  <c r="AF75" i="49"/>
  <c r="AF76" i="49"/>
  <c r="AF77" i="49"/>
  <c r="AF78" i="49"/>
  <c r="AF79" i="49"/>
  <c r="AF80" i="49"/>
  <c r="AF81" i="49"/>
  <c r="AF82" i="49"/>
  <c r="AF83" i="49"/>
  <c r="AF84" i="49"/>
  <c r="AF85" i="49"/>
  <c r="AF86" i="49"/>
  <c r="AF87" i="49"/>
  <c r="AF88" i="49"/>
  <c r="AF89" i="49"/>
  <c r="AF90" i="49"/>
  <c r="AF91" i="49"/>
  <c r="AF92" i="49"/>
  <c r="AF93" i="49"/>
  <c r="AF94" i="49"/>
  <c r="AF95" i="49"/>
  <c r="AF96" i="49"/>
  <c r="AF97" i="49"/>
  <c r="AF98" i="49"/>
  <c r="AF99" i="49"/>
  <c r="AF100" i="49"/>
  <c r="AF101" i="49"/>
  <c r="AF102" i="49"/>
  <c r="AF103" i="49"/>
  <c r="AF104" i="49"/>
  <c r="AF105" i="49"/>
  <c r="AF106" i="49"/>
  <c r="AF107" i="49"/>
  <c r="AF108" i="49"/>
  <c r="AF109" i="49"/>
  <c r="AF110" i="49"/>
  <c r="AF111" i="49"/>
  <c r="AF112" i="49"/>
  <c r="AF113" i="49"/>
  <c r="AF114" i="49"/>
  <c r="AF115" i="49"/>
  <c r="AF116" i="49"/>
  <c r="AF117" i="49"/>
  <c r="AF118" i="49"/>
  <c r="AF119" i="49"/>
  <c r="AF120" i="49"/>
  <c r="AF121" i="49"/>
  <c r="AF122" i="49"/>
  <c r="AF123" i="49"/>
  <c r="AF124" i="49"/>
  <c r="AF125" i="49"/>
  <c r="AF126" i="49"/>
  <c r="AF127" i="49"/>
  <c r="AF128" i="49"/>
  <c r="AF129" i="49"/>
  <c r="AF130" i="49"/>
  <c r="AF131" i="49"/>
  <c r="AF132" i="49"/>
  <c r="AF133" i="49"/>
  <c r="AF134" i="49"/>
  <c r="AF135" i="49"/>
  <c r="AF136" i="49"/>
  <c r="AF137" i="49"/>
  <c r="AF138" i="49"/>
  <c r="AF139" i="49"/>
  <c r="AF140" i="49"/>
  <c r="AF141" i="49"/>
  <c r="AF142" i="49"/>
  <c r="AF143" i="49"/>
  <c r="AF144" i="49"/>
  <c r="AF145" i="49"/>
  <c r="AF146" i="49"/>
  <c r="AF147" i="49"/>
  <c r="AF148" i="49"/>
  <c r="AF149" i="49"/>
  <c r="AF150" i="49"/>
  <c r="AF151" i="49"/>
  <c r="AF152" i="49"/>
  <c r="AF153" i="49"/>
  <c r="AF154" i="49"/>
  <c r="AF155" i="49"/>
  <c r="AF156" i="49"/>
  <c r="AF157" i="49"/>
  <c r="AF158" i="49"/>
  <c r="AF159" i="49"/>
  <c r="AF160" i="49"/>
  <c r="AF161" i="49"/>
  <c r="AF162" i="49"/>
  <c r="AF163" i="49"/>
  <c r="AF164" i="49"/>
  <c r="AF165" i="49"/>
  <c r="AF166" i="49"/>
  <c r="AF167" i="49"/>
  <c r="AF168" i="49"/>
  <c r="AF169" i="49"/>
  <c r="AF170" i="49"/>
  <c r="AF171" i="49"/>
  <c r="AF172" i="49"/>
  <c r="AF173" i="49"/>
  <c r="AF174" i="49"/>
  <c r="AF175" i="49"/>
  <c r="AF176" i="49"/>
  <c r="AF177" i="49"/>
  <c r="AF178" i="49"/>
  <c r="AF179" i="49"/>
  <c r="AF180" i="49"/>
  <c r="AF181" i="49"/>
  <c r="AF182" i="49"/>
  <c r="AF183" i="49"/>
  <c r="AF184" i="49"/>
  <c r="AF185" i="49"/>
  <c r="AF186" i="49"/>
  <c r="AF187" i="49"/>
  <c r="AF188" i="49"/>
  <c r="AF189" i="49"/>
  <c r="AF190" i="49"/>
  <c r="AF191" i="49"/>
  <c r="AF192" i="49"/>
  <c r="AF193" i="49"/>
  <c r="AF194" i="49"/>
  <c r="AF195" i="49"/>
  <c r="AF196" i="49"/>
  <c r="AF197" i="49"/>
  <c r="AF198" i="49"/>
  <c r="AF199" i="49"/>
  <c r="AF200" i="49"/>
  <c r="AF201" i="49"/>
  <c r="AF202" i="49"/>
  <c r="AF203" i="49"/>
  <c r="AF204" i="49"/>
  <c r="AF205" i="49"/>
  <c r="V9" i="49"/>
  <c r="V10" i="49"/>
  <c r="V11" i="49"/>
  <c r="V12" i="49"/>
  <c r="V13" i="49"/>
  <c r="V14" i="49"/>
  <c r="V15" i="49"/>
  <c r="V16" i="49"/>
  <c r="V17" i="49"/>
  <c r="V18" i="49"/>
  <c r="V19" i="49"/>
  <c r="V20" i="49"/>
  <c r="V21" i="49"/>
  <c r="V22" i="49"/>
  <c r="V23" i="49"/>
  <c r="V24" i="49"/>
  <c r="V25" i="49"/>
  <c r="V26" i="49"/>
  <c r="V27" i="49"/>
  <c r="V28" i="49"/>
  <c r="V29" i="49"/>
  <c r="V30" i="49"/>
  <c r="V31" i="49"/>
  <c r="V32" i="49"/>
  <c r="V33" i="49"/>
  <c r="V34" i="49"/>
  <c r="V35" i="49"/>
  <c r="V36" i="49"/>
  <c r="V37" i="49"/>
  <c r="V38" i="49"/>
  <c r="V39" i="49"/>
  <c r="V40" i="49"/>
  <c r="V41" i="49"/>
  <c r="V42" i="49"/>
  <c r="V43" i="49"/>
  <c r="V44" i="49"/>
  <c r="V45" i="49"/>
  <c r="V46" i="49"/>
  <c r="V47" i="49"/>
  <c r="V48" i="49"/>
  <c r="V49" i="49"/>
  <c r="V50" i="49"/>
  <c r="V51" i="49"/>
  <c r="V52" i="49"/>
  <c r="V53" i="49"/>
  <c r="V54" i="49"/>
  <c r="V55" i="49"/>
  <c r="V56" i="49"/>
  <c r="V57" i="49"/>
  <c r="V58" i="49"/>
  <c r="V59" i="49"/>
  <c r="V60" i="49"/>
  <c r="V61" i="49"/>
  <c r="V62" i="49"/>
  <c r="V63" i="49"/>
  <c r="V64" i="49"/>
  <c r="V65" i="49"/>
  <c r="V66" i="49"/>
  <c r="V67" i="49"/>
  <c r="V68" i="49"/>
  <c r="V69" i="49"/>
  <c r="V70" i="49"/>
  <c r="V71" i="49"/>
  <c r="V72" i="49"/>
  <c r="V73" i="49"/>
  <c r="V74" i="49"/>
  <c r="V75" i="49"/>
  <c r="V76" i="49"/>
  <c r="V77" i="49"/>
  <c r="V78" i="49"/>
  <c r="V79" i="49"/>
  <c r="V80" i="49"/>
  <c r="V81" i="49"/>
  <c r="V82" i="49"/>
  <c r="V83" i="49"/>
  <c r="V84" i="49"/>
  <c r="V85" i="49"/>
  <c r="V86" i="49"/>
  <c r="V87" i="49"/>
  <c r="V88" i="49"/>
  <c r="V89" i="49"/>
  <c r="V90" i="49"/>
  <c r="V91" i="49"/>
  <c r="V92" i="49"/>
  <c r="V93" i="49"/>
  <c r="V94" i="49"/>
  <c r="V95" i="49"/>
  <c r="V96" i="49"/>
  <c r="V97" i="49"/>
  <c r="V98" i="49"/>
  <c r="V99" i="49"/>
  <c r="V100" i="49"/>
  <c r="V101" i="49"/>
  <c r="V102" i="49"/>
  <c r="V103" i="49"/>
  <c r="V104" i="49"/>
  <c r="V105" i="49"/>
  <c r="V106" i="49"/>
  <c r="V107" i="49"/>
  <c r="V108" i="49"/>
  <c r="V109" i="49"/>
  <c r="V110" i="49"/>
  <c r="V111" i="49"/>
  <c r="V112" i="49"/>
  <c r="V113" i="49"/>
  <c r="V114" i="49"/>
  <c r="V115" i="49"/>
  <c r="V116" i="49"/>
  <c r="V117" i="49"/>
  <c r="V118" i="49"/>
  <c r="V119" i="49"/>
  <c r="V120" i="49"/>
  <c r="V121" i="49"/>
  <c r="V122" i="49"/>
  <c r="V123" i="49"/>
  <c r="V124" i="49"/>
  <c r="V125" i="49"/>
  <c r="V126" i="49"/>
  <c r="V127" i="49"/>
  <c r="V128" i="49"/>
  <c r="V129" i="49"/>
  <c r="V130" i="49"/>
  <c r="V131" i="49"/>
  <c r="V132" i="49"/>
  <c r="V133" i="49"/>
  <c r="V134" i="49"/>
  <c r="V135" i="49"/>
  <c r="V136" i="49"/>
  <c r="V137" i="49"/>
  <c r="V138" i="49"/>
  <c r="V139" i="49"/>
  <c r="V140" i="49"/>
  <c r="V141" i="49"/>
  <c r="V142" i="49"/>
  <c r="V143" i="49"/>
  <c r="V144" i="49"/>
  <c r="V145" i="49"/>
  <c r="V146" i="49"/>
  <c r="V147" i="49"/>
  <c r="V148" i="49"/>
  <c r="V149" i="49"/>
  <c r="V150" i="49"/>
  <c r="V151" i="49"/>
  <c r="V152" i="49"/>
  <c r="V153" i="49"/>
  <c r="V154" i="49"/>
  <c r="V155" i="49"/>
  <c r="V156" i="49"/>
  <c r="V157" i="49"/>
  <c r="V158" i="49"/>
  <c r="V159" i="49"/>
  <c r="V160" i="49"/>
  <c r="V161" i="49"/>
  <c r="V162" i="49"/>
  <c r="V163" i="49"/>
  <c r="V164" i="49"/>
  <c r="V165" i="49"/>
  <c r="V166" i="49"/>
  <c r="V167" i="49"/>
  <c r="V168" i="49"/>
  <c r="V169" i="49"/>
  <c r="V170" i="49"/>
  <c r="V171" i="49"/>
  <c r="V172" i="49"/>
  <c r="V173" i="49"/>
  <c r="V174" i="49"/>
  <c r="V175" i="49"/>
  <c r="V176" i="49"/>
  <c r="V177" i="49"/>
  <c r="V178" i="49"/>
  <c r="V179" i="49"/>
  <c r="V180" i="49"/>
  <c r="V181" i="49"/>
  <c r="V182" i="49"/>
  <c r="V183" i="49"/>
  <c r="V184" i="49"/>
  <c r="V185" i="49"/>
  <c r="V186" i="49"/>
  <c r="V187" i="49"/>
  <c r="V188" i="49"/>
  <c r="V189" i="49"/>
  <c r="V190" i="49"/>
  <c r="V191" i="49"/>
  <c r="V192" i="49"/>
  <c r="V193" i="49"/>
  <c r="V194" i="49"/>
  <c r="V195" i="49"/>
  <c r="V196" i="49"/>
  <c r="V197" i="49"/>
  <c r="V198" i="49"/>
  <c r="V199" i="49"/>
  <c r="V200" i="49"/>
  <c r="V201" i="49"/>
  <c r="V202" i="49"/>
  <c r="V203" i="49"/>
  <c r="V204" i="49"/>
  <c r="V205" i="49"/>
  <c r="E28" i="50"/>
  <c r="F28" i="50"/>
  <c r="G28" i="50"/>
  <c r="H28" i="50"/>
  <c r="I28" i="50"/>
  <c r="D28" i="50"/>
  <c r="Q28" i="50" s="1"/>
  <c r="B27" i="79" s="1"/>
  <c r="J28" i="50"/>
  <c r="K28" i="50"/>
  <c r="L28" i="50"/>
  <c r="M28" i="50"/>
  <c r="N28" i="50"/>
  <c r="AE9" i="49"/>
  <c r="AE10" i="49"/>
  <c r="AE11" i="49"/>
  <c r="AE12" i="49"/>
  <c r="AE13" i="49"/>
  <c r="AE14" i="49"/>
  <c r="AE15" i="49"/>
  <c r="AE16" i="49"/>
  <c r="AE17" i="49"/>
  <c r="AE18" i="49"/>
  <c r="AE19" i="49"/>
  <c r="AE20" i="49"/>
  <c r="AE21" i="49"/>
  <c r="AE22" i="49"/>
  <c r="AE23" i="49"/>
  <c r="AE24" i="49"/>
  <c r="AE25" i="49"/>
  <c r="AE26" i="49"/>
  <c r="AE27" i="49"/>
  <c r="AE28" i="49"/>
  <c r="AE29" i="49"/>
  <c r="AE30" i="49"/>
  <c r="AE31" i="49"/>
  <c r="AE32" i="49"/>
  <c r="AE33" i="49"/>
  <c r="AE34" i="49"/>
  <c r="AE35" i="49"/>
  <c r="AE36" i="49"/>
  <c r="AE37" i="49"/>
  <c r="AE38" i="49"/>
  <c r="AE39" i="49"/>
  <c r="AE40" i="49"/>
  <c r="AE41" i="49"/>
  <c r="AE42" i="49"/>
  <c r="AE43" i="49"/>
  <c r="AE44" i="49"/>
  <c r="AE45" i="49"/>
  <c r="AE46" i="49"/>
  <c r="AE47" i="49"/>
  <c r="AE48" i="49"/>
  <c r="AE49" i="49"/>
  <c r="AE50" i="49"/>
  <c r="AE51" i="49"/>
  <c r="AE52" i="49"/>
  <c r="AE53" i="49"/>
  <c r="AE54" i="49"/>
  <c r="AE55" i="49"/>
  <c r="AE56" i="49"/>
  <c r="AE57" i="49"/>
  <c r="AE58" i="49"/>
  <c r="AE59" i="49"/>
  <c r="AE60" i="49"/>
  <c r="AE61" i="49"/>
  <c r="AE62" i="49"/>
  <c r="AE63" i="49"/>
  <c r="AE64" i="49"/>
  <c r="AE65" i="49"/>
  <c r="AE66" i="49"/>
  <c r="AE67" i="49"/>
  <c r="AE68" i="49"/>
  <c r="AE69" i="49"/>
  <c r="AE70" i="49"/>
  <c r="AE71" i="49"/>
  <c r="AE72" i="49"/>
  <c r="AE73" i="49"/>
  <c r="AE74" i="49"/>
  <c r="AE75" i="49"/>
  <c r="AE76" i="49"/>
  <c r="AE77" i="49"/>
  <c r="AE78" i="49"/>
  <c r="AE79" i="49"/>
  <c r="AE80" i="49"/>
  <c r="AE81" i="49"/>
  <c r="AE82" i="49"/>
  <c r="AE83" i="49"/>
  <c r="AE84" i="49"/>
  <c r="AE85" i="49"/>
  <c r="AE86" i="49"/>
  <c r="AE87" i="49"/>
  <c r="AE88" i="49"/>
  <c r="AE89" i="49"/>
  <c r="AE90" i="49"/>
  <c r="AE91" i="49"/>
  <c r="AE92" i="49"/>
  <c r="AE93" i="49"/>
  <c r="AE94" i="49"/>
  <c r="AE95" i="49"/>
  <c r="AE96" i="49"/>
  <c r="AE97" i="49"/>
  <c r="AE98" i="49"/>
  <c r="AE99" i="49"/>
  <c r="AE100" i="49"/>
  <c r="AE101" i="49"/>
  <c r="AE102" i="49"/>
  <c r="AE103" i="49"/>
  <c r="AE104" i="49"/>
  <c r="AE105" i="49"/>
  <c r="AE106" i="49"/>
  <c r="AE107" i="49"/>
  <c r="AE108" i="49"/>
  <c r="AE109" i="49"/>
  <c r="AE110" i="49"/>
  <c r="AE111" i="49"/>
  <c r="AE112" i="49"/>
  <c r="AE113" i="49"/>
  <c r="AE114" i="49"/>
  <c r="AE115" i="49"/>
  <c r="AE116" i="49"/>
  <c r="AE117" i="49"/>
  <c r="AE118" i="49"/>
  <c r="AE119" i="49"/>
  <c r="AE120" i="49"/>
  <c r="AE121" i="49"/>
  <c r="AE122" i="49"/>
  <c r="AE123" i="49"/>
  <c r="AE124" i="49"/>
  <c r="AE125" i="49"/>
  <c r="AE126" i="49"/>
  <c r="AE127" i="49"/>
  <c r="AE128" i="49"/>
  <c r="AE129" i="49"/>
  <c r="AE130" i="49"/>
  <c r="AE131" i="49"/>
  <c r="AE132" i="49"/>
  <c r="AE133" i="49"/>
  <c r="AE134" i="49"/>
  <c r="AE135" i="49"/>
  <c r="AE136" i="49"/>
  <c r="AE137" i="49"/>
  <c r="AE138" i="49"/>
  <c r="AE139" i="49"/>
  <c r="AE140" i="49"/>
  <c r="AE141" i="49"/>
  <c r="AE142" i="49"/>
  <c r="AE143" i="49"/>
  <c r="AE144" i="49"/>
  <c r="AE145" i="49"/>
  <c r="AE146" i="49"/>
  <c r="AE147" i="49"/>
  <c r="AE148" i="49"/>
  <c r="AE149" i="49"/>
  <c r="AE150" i="49"/>
  <c r="AE151" i="49"/>
  <c r="AE152" i="49"/>
  <c r="AE153" i="49"/>
  <c r="AE154" i="49"/>
  <c r="AE155" i="49"/>
  <c r="AE156" i="49"/>
  <c r="AE157" i="49"/>
  <c r="AE158" i="49"/>
  <c r="AE159" i="49"/>
  <c r="AE160" i="49"/>
  <c r="AE161" i="49"/>
  <c r="AE162" i="49"/>
  <c r="AE163" i="49"/>
  <c r="AE164" i="49"/>
  <c r="AE165" i="49"/>
  <c r="AE166" i="49"/>
  <c r="AE167" i="49"/>
  <c r="AE168" i="49"/>
  <c r="AE169" i="49"/>
  <c r="AE170" i="49"/>
  <c r="AE171" i="49"/>
  <c r="AE172" i="49"/>
  <c r="AE173" i="49"/>
  <c r="AE174" i="49"/>
  <c r="AE175" i="49"/>
  <c r="AE176" i="49"/>
  <c r="AE177" i="49"/>
  <c r="AE178" i="49"/>
  <c r="AE179" i="49"/>
  <c r="AE180" i="49"/>
  <c r="AE181" i="49"/>
  <c r="AE182" i="49"/>
  <c r="AE183" i="49"/>
  <c r="AE184" i="49"/>
  <c r="AE185" i="49"/>
  <c r="AE186" i="49"/>
  <c r="AE187" i="49"/>
  <c r="AE188" i="49"/>
  <c r="AE189" i="49"/>
  <c r="AE190" i="49"/>
  <c r="AE191" i="49"/>
  <c r="AE192" i="49"/>
  <c r="AE193" i="49"/>
  <c r="AE194" i="49"/>
  <c r="AE195" i="49"/>
  <c r="AE196" i="49"/>
  <c r="AE197" i="49"/>
  <c r="AE198" i="49"/>
  <c r="AE199" i="49"/>
  <c r="AE200" i="49"/>
  <c r="AE201" i="49"/>
  <c r="AE202" i="49"/>
  <c r="AE203" i="49"/>
  <c r="AE204" i="49"/>
  <c r="AE205" i="49"/>
  <c r="N25" i="50"/>
  <c r="AB9" i="49"/>
  <c r="AB10" i="49"/>
  <c r="AB11" i="49"/>
  <c r="AB12" i="49"/>
  <c r="AB13" i="49"/>
  <c r="AB14" i="49"/>
  <c r="AB15" i="49"/>
  <c r="AB16" i="49"/>
  <c r="AB17" i="49"/>
  <c r="AB18" i="49"/>
  <c r="AB19" i="49"/>
  <c r="AB20" i="49"/>
  <c r="AB21" i="49"/>
  <c r="AB22" i="49"/>
  <c r="AB23" i="49"/>
  <c r="AB24" i="49"/>
  <c r="AB25" i="49"/>
  <c r="AB26" i="49"/>
  <c r="AB27" i="49"/>
  <c r="AB28" i="49"/>
  <c r="AB29" i="49"/>
  <c r="AB30" i="49"/>
  <c r="AB31" i="49"/>
  <c r="AB32" i="49"/>
  <c r="AB33" i="49"/>
  <c r="AB34" i="49"/>
  <c r="AB35" i="49"/>
  <c r="AB36" i="49"/>
  <c r="AB37" i="49"/>
  <c r="AB38" i="49"/>
  <c r="AB39" i="49"/>
  <c r="AB40" i="49"/>
  <c r="AB41" i="49"/>
  <c r="AB42" i="49"/>
  <c r="AB43" i="49"/>
  <c r="AB44" i="49"/>
  <c r="AB45" i="49"/>
  <c r="AB46" i="49"/>
  <c r="AB47" i="49"/>
  <c r="AB48" i="49"/>
  <c r="AB49" i="49"/>
  <c r="AB50" i="49"/>
  <c r="AB51" i="49"/>
  <c r="AB52" i="49"/>
  <c r="AB53" i="49"/>
  <c r="AB54" i="49"/>
  <c r="AB55" i="49"/>
  <c r="AB56" i="49"/>
  <c r="AB57" i="49"/>
  <c r="AB58" i="49"/>
  <c r="AB59" i="49"/>
  <c r="AB60" i="49"/>
  <c r="AB61" i="49"/>
  <c r="AB62" i="49"/>
  <c r="AB63" i="49"/>
  <c r="AB64" i="49"/>
  <c r="AB65" i="49"/>
  <c r="AB66" i="49"/>
  <c r="AB67" i="49"/>
  <c r="AB68" i="49"/>
  <c r="AB69" i="49"/>
  <c r="AB70" i="49"/>
  <c r="AB71" i="49"/>
  <c r="AB72" i="49"/>
  <c r="AB73" i="49"/>
  <c r="AB74" i="49"/>
  <c r="AB75" i="49"/>
  <c r="AB76" i="49"/>
  <c r="AB77" i="49"/>
  <c r="AB78" i="49"/>
  <c r="AB79" i="49"/>
  <c r="AB80" i="49"/>
  <c r="AB81" i="49"/>
  <c r="AB82" i="49"/>
  <c r="AB83" i="49"/>
  <c r="AB84" i="49"/>
  <c r="AB85" i="49"/>
  <c r="AB86" i="49"/>
  <c r="AB87" i="49"/>
  <c r="AB88" i="49"/>
  <c r="AB89" i="49"/>
  <c r="AB90" i="49"/>
  <c r="AB91" i="49"/>
  <c r="AB92" i="49"/>
  <c r="AB93" i="49"/>
  <c r="AB94" i="49"/>
  <c r="AB95" i="49"/>
  <c r="AB96" i="49"/>
  <c r="AB97" i="49"/>
  <c r="AB98" i="49"/>
  <c r="AB99" i="49"/>
  <c r="AB100" i="49"/>
  <c r="AB101" i="49"/>
  <c r="AB102" i="49"/>
  <c r="AB103" i="49"/>
  <c r="AB104" i="49"/>
  <c r="AB105" i="49"/>
  <c r="AB106" i="49"/>
  <c r="AB107" i="49"/>
  <c r="AB108" i="49"/>
  <c r="AB109" i="49"/>
  <c r="AB110" i="49"/>
  <c r="AB111" i="49"/>
  <c r="AB112" i="49"/>
  <c r="AB113" i="49"/>
  <c r="AB114" i="49"/>
  <c r="AB115" i="49"/>
  <c r="AB116" i="49"/>
  <c r="AB117" i="49"/>
  <c r="AB118" i="49"/>
  <c r="AB119" i="49"/>
  <c r="AB120" i="49"/>
  <c r="AB121" i="49"/>
  <c r="AB122" i="49"/>
  <c r="AB123" i="49"/>
  <c r="AB124" i="49"/>
  <c r="AB125" i="49"/>
  <c r="AB126" i="49"/>
  <c r="AB127" i="49"/>
  <c r="AB128" i="49"/>
  <c r="AB129" i="49"/>
  <c r="AB130" i="49"/>
  <c r="AB131" i="49"/>
  <c r="AB132" i="49"/>
  <c r="AB133" i="49"/>
  <c r="AB134" i="49"/>
  <c r="AB135" i="49"/>
  <c r="AB136" i="49"/>
  <c r="AB137" i="49"/>
  <c r="AB138" i="49"/>
  <c r="AB139" i="49"/>
  <c r="AB140" i="49"/>
  <c r="AB141" i="49"/>
  <c r="AB142" i="49"/>
  <c r="AB143" i="49"/>
  <c r="AB144" i="49"/>
  <c r="AB145" i="49"/>
  <c r="AB146" i="49"/>
  <c r="AB147" i="49"/>
  <c r="AB148" i="49"/>
  <c r="AB149" i="49"/>
  <c r="AB150" i="49"/>
  <c r="AB151" i="49"/>
  <c r="AB152" i="49"/>
  <c r="AB153" i="49"/>
  <c r="AB154" i="49"/>
  <c r="AB155" i="49"/>
  <c r="AB156" i="49"/>
  <c r="AB157" i="49"/>
  <c r="AB158" i="49"/>
  <c r="AB159" i="49"/>
  <c r="AB160" i="49"/>
  <c r="AB161" i="49"/>
  <c r="AB162" i="49"/>
  <c r="AB163" i="49"/>
  <c r="AB164" i="49"/>
  <c r="AB165" i="49"/>
  <c r="AB166" i="49"/>
  <c r="AB167" i="49"/>
  <c r="AB168" i="49"/>
  <c r="AB169" i="49"/>
  <c r="AB170" i="49"/>
  <c r="AB171" i="49"/>
  <c r="AB172" i="49"/>
  <c r="AB173" i="49"/>
  <c r="AB174" i="49"/>
  <c r="AB175" i="49"/>
  <c r="AB176" i="49"/>
  <c r="AB177" i="49"/>
  <c r="AB178" i="49"/>
  <c r="AB179" i="49"/>
  <c r="AB180" i="49"/>
  <c r="AB181" i="49"/>
  <c r="AB182" i="49"/>
  <c r="AB183" i="49"/>
  <c r="AB184" i="49"/>
  <c r="AB185" i="49"/>
  <c r="AB186" i="49"/>
  <c r="AB187" i="49"/>
  <c r="AB188" i="49"/>
  <c r="AB189" i="49"/>
  <c r="AB190" i="49"/>
  <c r="AB191" i="49"/>
  <c r="AB192" i="49"/>
  <c r="AB193" i="49"/>
  <c r="AB194" i="49"/>
  <c r="AB195" i="49"/>
  <c r="AB196" i="49"/>
  <c r="AB197" i="49"/>
  <c r="AB198" i="49"/>
  <c r="AB199" i="49"/>
  <c r="AB200" i="49"/>
  <c r="AB201" i="49"/>
  <c r="AB202" i="49"/>
  <c r="AB203" i="49"/>
  <c r="AB204" i="49"/>
  <c r="AB205" i="49"/>
  <c r="N16" i="50"/>
  <c r="S9" i="49"/>
  <c r="S10" i="49"/>
  <c r="S11" i="49"/>
  <c r="S12" i="49"/>
  <c r="S13" i="49"/>
  <c r="S14" i="49"/>
  <c r="S15" i="49"/>
  <c r="S16" i="49"/>
  <c r="S17" i="49"/>
  <c r="S18" i="49"/>
  <c r="S19" i="49"/>
  <c r="S20" i="49"/>
  <c r="S21" i="49"/>
  <c r="S22" i="49"/>
  <c r="S23" i="49"/>
  <c r="S24" i="49"/>
  <c r="S25" i="49"/>
  <c r="S26" i="49"/>
  <c r="S27" i="49"/>
  <c r="S28" i="49"/>
  <c r="S29" i="49"/>
  <c r="S30" i="49"/>
  <c r="S31" i="49"/>
  <c r="S32" i="49"/>
  <c r="S33" i="49"/>
  <c r="S34" i="49"/>
  <c r="S35" i="49"/>
  <c r="S36" i="49"/>
  <c r="S37" i="49"/>
  <c r="S38" i="49"/>
  <c r="S39" i="49"/>
  <c r="S40" i="49"/>
  <c r="S41" i="49"/>
  <c r="S42" i="49"/>
  <c r="S43" i="49"/>
  <c r="S44" i="49"/>
  <c r="S45" i="49"/>
  <c r="S46" i="49"/>
  <c r="S47" i="49"/>
  <c r="S48" i="49"/>
  <c r="S49" i="49"/>
  <c r="S50" i="49"/>
  <c r="S51" i="49"/>
  <c r="S52" i="49"/>
  <c r="S53" i="49"/>
  <c r="S54" i="49"/>
  <c r="S55" i="49"/>
  <c r="S56" i="49"/>
  <c r="S57" i="49"/>
  <c r="S58" i="49"/>
  <c r="S59" i="49"/>
  <c r="S60" i="49"/>
  <c r="S61" i="49"/>
  <c r="S62" i="49"/>
  <c r="S63" i="49"/>
  <c r="S64" i="49"/>
  <c r="S65" i="49"/>
  <c r="S66" i="49"/>
  <c r="S67" i="49"/>
  <c r="S68" i="49"/>
  <c r="S69" i="49"/>
  <c r="S70" i="49"/>
  <c r="S71" i="49"/>
  <c r="S72" i="49"/>
  <c r="S73" i="49"/>
  <c r="S74" i="49"/>
  <c r="S75" i="49"/>
  <c r="S76" i="49"/>
  <c r="S77" i="49"/>
  <c r="S78" i="49"/>
  <c r="S79" i="49"/>
  <c r="S80" i="49"/>
  <c r="S81" i="49"/>
  <c r="S82" i="49"/>
  <c r="S83" i="49"/>
  <c r="S84" i="49"/>
  <c r="S85" i="49"/>
  <c r="S86" i="49"/>
  <c r="S87" i="49"/>
  <c r="S88" i="49"/>
  <c r="S89" i="49"/>
  <c r="S90" i="49"/>
  <c r="S91" i="49"/>
  <c r="S92" i="49"/>
  <c r="S93" i="49"/>
  <c r="S94" i="49"/>
  <c r="S95" i="49"/>
  <c r="S96" i="49"/>
  <c r="S97" i="49"/>
  <c r="S98" i="49"/>
  <c r="S99" i="49"/>
  <c r="S100" i="49"/>
  <c r="S101" i="49"/>
  <c r="S102" i="49"/>
  <c r="S103" i="49"/>
  <c r="S104" i="49"/>
  <c r="S105" i="49"/>
  <c r="S106" i="49"/>
  <c r="S107" i="49"/>
  <c r="S108" i="49"/>
  <c r="S109" i="49"/>
  <c r="S110" i="49"/>
  <c r="S111" i="49"/>
  <c r="S112" i="49"/>
  <c r="S113" i="49"/>
  <c r="S114" i="49"/>
  <c r="S115" i="49"/>
  <c r="S116" i="49"/>
  <c r="S117" i="49"/>
  <c r="S118" i="49"/>
  <c r="S119" i="49"/>
  <c r="S120" i="49"/>
  <c r="S121" i="49"/>
  <c r="S122" i="49"/>
  <c r="S123" i="49"/>
  <c r="S124" i="49"/>
  <c r="S125" i="49"/>
  <c r="S126" i="49"/>
  <c r="S127" i="49"/>
  <c r="S128" i="49"/>
  <c r="S129" i="49"/>
  <c r="S130" i="49"/>
  <c r="S131" i="49"/>
  <c r="S132" i="49"/>
  <c r="S133" i="49"/>
  <c r="S134" i="49"/>
  <c r="S135" i="49"/>
  <c r="S136" i="49"/>
  <c r="S137" i="49"/>
  <c r="S138" i="49"/>
  <c r="S139" i="49"/>
  <c r="S140" i="49"/>
  <c r="S141" i="49"/>
  <c r="S142" i="49"/>
  <c r="S143" i="49"/>
  <c r="S144" i="49"/>
  <c r="S145" i="49"/>
  <c r="S146" i="49"/>
  <c r="S147" i="49"/>
  <c r="S148" i="49"/>
  <c r="S149" i="49"/>
  <c r="S150" i="49"/>
  <c r="S151" i="49"/>
  <c r="S152" i="49"/>
  <c r="S153" i="49"/>
  <c r="S154" i="49"/>
  <c r="S155" i="49"/>
  <c r="S156" i="49"/>
  <c r="S157" i="49"/>
  <c r="S158" i="49"/>
  <c r="S159" i="49"/>
  <c r="S160" i="49"/>
  <c r="S161" i="49"/>
  <c r="S162" i="49"/>
  <c r="S163" i="49"/>
  <c r="S164" i="49"/>
  <c r="S165" i="49"/>
  <c r="S166" i="49"/>
  <c r="S167" i="49"/>
  <c r="S168" i="49"/>
  <c r="S169" i="49"/>
  <c r="S170" i="49"/>
  <c r="S171" i="49"/>
  <c r="S172" i="49"/>
  <c r="S173" i="49"/>
  <c r="S174" i="49"/>
  <c r="S175" i="49"/>
  <c r="S176" i="49"/>
  <c r="S177" i="49"/>
  <c r="S178" i="49"/>
  <c r="S179" i="49"/>
  <c r="S180" i="49"/>
  <c r="S181" i="49"/>
  <c r="S182" i="49"/>
  <c r="S183" i="49"/>
  <c r="S184" i="49"/>
  <c r="S185" i="49"/>
  <c r="S186" i="49"/>
  <c r="S187" i="49"/>
  <c r="S188" i="49"/>
  <c r="S189" i="49"/>
  <c r="S190" i="49"/>
  <c r="S191" i="49"/>
  <c r="S192" i="49"/>
  <c r="S193" i="49"/>
  <c r="S194" i="49"/>
  <c r="S195" i="49"/>
  <c r="S196" i="49"/>
  <c r="S197" i="49"/>
  <c r="S198" i="49"/>
  <c r="S199" i="49"/>
  <c r="S200" i="49"/>
  <c r="S201" i="49"/>
  <c r="S202" i="49"/>
  <c r="S203" i="49"/>
  <c r="S204" i="49"/>
  <c r="S205" i="49"/>
  <c r="N17" i="50"/>
  <c r="T9" i="49"/>
  <c r="T10" i="49"/>
  <c r="T11" i="49"/>
  <c r="T12" i="49"/>
  <c r="T13" i="49"/>
  <c r="T14" i="49"/>
  <c r="T15" i="49"/>
  <c r="T16" i="49"/>
  <c r="T17" i="49"/>
  <c r="T18" i="49"/>
  <c r="T19" i="49"/>
  <c r="T20" i="49"/>
  <c r="T21" i="49"/>
  <c r="T22" i="49"/>
  <c r="T23" i="49"/>
  <c r="T24" i="49"/>
  <c r="T25" i="49"/>
  <c r="T26" i="49"/>
  <c r="T27" i="49"/>
  <c r="T28" i="49"/>
  <c r="T29" i="49"/>
  <c r="T30" i="49"/>
  <c r="T31" i="49"/>
  <c r="T32" i="49"/>
  <c r="T33" i="49"/>
  <c r="T34" i="49"/>
  <c r="T35" i="49"/>
  <c r="T36" i="49"/>
  <c r="T37" i="49"/>
  <c r="T38" i="49"/>
  <c r="T39" i="49"/>
  <c r="T40" i="49"/>
  <c r="T41" i="49"/>
  <c r="T42" i="49"/>
  <c r="T43" i="49"/>
  <c r="T44" i="49"/>
  <c r="T45" i="49"/>
  <c r="T46" i="49"/>
  <c r="T47" i="49"/>
  <c r="T48" i="49"/>
  <c r="T49" i="49"/>
  <c r="T50" i="49"/>
  <c r="T51" i="49"/>
  <c r="T52" i="49"/>
  <c r="T53" i="49"/>
  <c r="T54" i="49"/>
  <c r="T55" i="49"/>
  <c r="T56" i="49"/>
  <c r="T57" i="49"/>
  <c r="T58" i="49"/>
  <c r="T59" i="49"/>
  <c r="T60" i="49"/>
  <c r="T61" i="49"/>
  <c r="T62" i="49"/>
  <c r="T63" i="49"/>
  <c r="T64" i="49"/>
  <c r="T65" i="49"/>
  <c r="T66" i="49"/>
  <c r="T67" i="49"/>
  <c r="T68" i="49"/>
  <c r="T69" i="49"/>
  <c r="T70" i="49"/>
  <c r="T71" i="49"/>
  <c r="T72" i="49"/>
  <c r="T73" i="49"/>
  <c r="T74" i="49"/>
  <c r="T75" i="49"/>
  <c r="T76" i="49"/>
  <c r="T77" i="49"/>
  <c r="T78" i="49"/>
  <c r="T79" i="49"/>
  <c r="T80" i="49"/>
  <c r="T81" i="49"/>
  <c r="T82" i="49"/>
  <c r="T83" i="49"/>
  <c r="T84" i="49"/>
  <c r="T85" i="49"/>
  <c r="T86" i="49"/>
  <c r="T87" i="49"/>
  <c r="T88" i="49"/>
  <c r="T89" i="49"/>
  <c r="T90" i="49"/>
  <c r="T91" i="49"/>
  <c r="T92" i="49"/>
  <c r="T93" i="49"/>
  <c r="T94" i="49"/>
  <c r="T95" i="49"/>
  <c r="T96" i="49"/>
  <c r="T97" i="49"/>
  <c r="T98" i="49"/>
  <c r="T99" i="49"/>
  <c r="T100" i="49"/>
  <c r="T101" i="49"/>
  <c r="T102" i="49"/>
  <c r="T103" i="49"/>
  <c r="T104" i="49"/>
  <c r="T105" i="49"/>
  <c r="T106" i="49"/>
  <c r="T107" i="49"/>
  <c r="T108" i="49"/>
  <c r="T109" i="49"/>
  <c r="T110" i="49"/>
  <c r="T111" i="49"/>
  <c r="T112" i="49"/>
  <c r="T113" i="49"/>
  <c r="T114" i="49"/>
  <c r="T115" i="49"/>
  <c r="T116" i="49"/>
  <c r="T117" i="49"/>
  <c r="T118" i="49"/>
  <c r="T119" i="49"/>
  <c r="T120" i="49"/>
  <c r="T121" i="49"/>
  <c r="T122" i="49"/>
  <c r="T123" i="49"/>
  <c r="T124" i="49"/>
  <c r="T125" i="49"/>
  <c r="T126" i="49"/>
  <c r="T127" i="49"/>
  <c r="T128" i="49"/>
  <c r="T129" i="49"/>
  <c r="T130" i="49"/>
  <c r="T131" i="49"/>
  <c r="T132" i="49"/>
  <c r="T133" i="49"/>
  <c r="T134" i="49"/>
  <c r="T135" i="49"/>
  <c r="T136" i="49"/>
  <c r="T137" i="49"/>
  <c r="T138" i="49"/>
  <c r="T139" i="49"/>
  <c r="T140" i="49"/>
  <c r="T141" i="49"/>
  <c r="T142" i="49"/>
  <c r="T143" i="49"/>
  <c r="T144" i="49"/>
  <c r="T145" i="49"/>
  <c r="T146" i="49"/>
  <c r="T147" i="49"/>
  <c r="T148" i="49"/>
  <c r="T149" i="49"/>
  <c r="T150" i="49"/>
  <c r="T151" i="49"/>
  <c r="T152" i="49"/>
  <c r="T153" i="49"/>
  <c r="T154" i="49"/>
  <c r="T155" i="49"/>
  <c r="T156" i="49"/>
  <c r="T157" i="49"/>
  <c r="T158" i="49"/>
  <c r="T159" i="49"/>
  <c r="T160" i="49"/>
  <c r="T161" i="49"/>
  <c r="T162" i="49"/>
  <c r="T163" i="49"/>
  <c r="T164" i="49"/>
  <c r="T165" i="49"/>
  <c r="T166" i="49"/>
  <c r="T167" i="49"/>
  <c r="T168" i="49"/>
  <c r="T169" i="49"/>
  <c r="T170" i="49"/>
  <c r="T171" i="49"/>
  <c r="T172" i="49"/>
  <c r="T173" i="49"/>
  <c r="T174" i="49"/>
  <c r="T175" i="49"/>
  <c r="T176" i="49"/>
  <c r="T177" i="49"/>
  <c r="T178" i="49"/>
  <c r="T179" i="49"/>
  <c r="T180" i="49"/>
  <c r="T181" i="49"/>
  <c r="T182" i="49"/>
  <c r="T183" i="49"/>
  <c r="T184" i="49"/>
  <c r="T185" i="49"/>
  <c r="T186" i="49"/>
  <c r="T187" i="49"/>
  <c r="T188" i="49"/>
  <c r="T189" i="49"/>
  <c r="T190" i="49"/>
  <c r="T191" i="49"/>
  <c r="T192" i="49"/>
  <c r="T193" i="49"/>
  <c r="T194" i="49"/>
  <c r="T195" i="49"/>
  <c r="T196" i="49"/>
  <c r="T197" i="49"/>
  <c r="T198" i="49"/>
  <c r="T199" i="49"/>
  <c r="T200" i="49"/>
  <c r="T201" i="49"/>
  <c r="T202" i="49"/>
  <c r="T203" i="49"/>
  <c r="T204" i="49"/>
  <c r="T205" i="49"/>
  <c r="N22" i="50"/>
  <c r="Y9" i="49"/>
  <c r="Y10" i="49"/>
  <c r="Y11" i="49"/>
  <c r="Y12" i="49"/>
  <c r="Y13" i="49"/>
  <c r="Y14" i="49"/>
  <c r="Y15" i="49"/>
  <c r="Y16" i="49"/>
  <c r="Y17" i="49"/>
  <c r="Y18" i="49"/>
  <c r="Y19" i="49"/>
  <c r="Y20" i="49"/>
  <c r="Y21" i="49"/>
  <c r="Y22" i="49"/>
  <c r="Y23" i="49"/>
  <c r="Y24" i="49"/>
  <c r="Y25" i="49"/>
  <c r="Y26" i="49"/>
  <c r="Y27" i="49"/>
  <c r="Y28" i="49"/>
  <c r="Y29" i="49"/>
  <c r="Y30" i="49"/>
  <c r="Y31" i="49"/>
  <c r="Y32" i="49"/>
  <c r="Y33" i="49"/>
  <c r="Y34" i="49"/>
  <c r="Y35" i="49"/>
  <c r="Y36" i="49"/>
  <c r="Y37" i="49"/>
  <c r="Y38" i="49"/>
  <c r="Y39" i="49"/>
  <c r="Y40" i="49"/>
  <c r="Y41" i="49"/>
  <c r="Y42" i="49"/>
  <c r="Y43" i="49"/>
  <c r="Y44" i="49"/>
  <c r="Y45" i="49"/>
  <c r="Y46" i="49"/>
  <c r="Y47" i="49"/>
  <c r="Y48" i="49"/>
  <c r="Y49" i="49"/>
  <c r="Y50" i="49"/>
  <c r="Y51" i="49"/>
  <c r="Y52" i="49"/>
  <c r="Y53" i="49"/>
  <c r="Y54" i="49"/>
  <c r="Y55" i="49"/>
  <c r="Y56" i="49"/>
  <c r="Y57" i="49"/>
  <c r="Y58" i="49"/>
  <c r="Y59" i="49"/>
  <c r="Y60" i="49"/>
  <c r="Y61" i="49"/>
  <c r="Y62" i="49"/>
  <c r="Y63" i="49"/>
  <c r="Y64" i="49"/>
  <c r="Y65" i="49"/>
  <c r="Y66" i="49"/>
  <c r="Y67" i="49"/>
  <c r="Y68" i="49"/>
  <c r="Y69" i="49"/>
  <c r="Y70" i="49"/>
  <c r="Y71" i="49"/>
  <c r="Y72" i="49"/>
  <c r="Y73" i="49"/>
  <c r="Y74" i="49"/>
  <c r="Y75" i="49"/>
  <c r="Y76" i="49"/>
  <c r="Y77" i="49"/>
  <c r="Y78" i="49"/>
  <c r="Y79" i="49"/>
  <c r="Y80" i="49"/>
  <c r="Y81" i="49"/>
  <c r="Y82" i="49"/>
  <c r="Y83" i="49"/>
  <c r="Y84" i="49"/>
  <c r="Y85" i="49"/>
  <c r="Y86" i="49"/>
  <c r="Y87" i="49"/>
  <c r="Y88" i="49"/>
  <c r="Y89" i="49"/>
  <c r="Y90" i="49"/>
  <c r="Y91" i="49"/>
  <c r="Y92" i="49"/>
  <c r="Y93" i="49"/>
  <c r="Y94" i="49"/>
  <c r="Y95" i="49"/>
  <c r="Y96" i="49"/>
  <c r="Y97" i="49"/>
  <c r="Y98" i="49"/>
  <c r="Y99" i="49"/>
  <c r="Y100" i="49"/>
  <c r="Y101" i="49"/>
  <c r="Y102" i="49"/>
  <c r="Y103" i="49"/>
  <c r="Y104" i="49"/>
  <c r="Y105" i="49"/>
  <c r="Y106" i="49"/>
  <c r="Y107" i="49"/>
  <c r="Y108" i="49"/>
  <c r="Y109" i="49"/>
  <c r="Y110" i="49"/>
  <c r="Y111" i="49"/>
  <c r="Y112" i="49"/>
  <c r="Y113" i="49"/>
  <c r="Y114" i="49"/>
  <c r="Y115" i="49"/>
  <c r="Y116" i="49"/>
  <c r="Y117" i="49"/>
  <c r="Y118" i="49"/>
  <c r="Y119" i="49"/>
  <c r="Y120" i="49"/>
  <c r="Y121" i="49"/>
  <c r="Y122" i="49"/>
  <c r="Y123" i="49"/>
  <c r="Y124" i="49"/>
  <c r="Y125" i="49"/>
  <c r="Y126" i="49"/>
  <c r="Y127" i="49"/>
  <c r="Y128" i="49"/>
  <c r="Y129" i="49"/>
  <c r="Y130" i="49"/>
  <c r="Y131" i="49"/>
  <c r="Y132" i="49"/>
  <c r="Y133" i="49"/>
  <c r="Y134" i="49"/>
  <c r="Y135" i="49"/>
  <c r="Y136" i="49"/>
  <c r="Y137" i="49"/>
  <c r="Y138" i="49"/>
  <c r="Y139" i="49"/>
  <c r="Y140" i="49"/>
  <c r="Y141" i="49"/>
  <c r="Y142" i="49"/>
  <c r="Y143" i="49"/>
  <c r="Y144" i="49"/>
  <c r="Y145" i="49"/>
  <c r="Y146" i="49"/>
  <c r="Y147" i="49"/>
  <c r="Y148" i="49"/>
  <c r="Y149" i="49"/>
  <c r="Y150" i="49"/>
  <c r="Y151" i="49"/>
  <c r="Y152" i="49"/>
  <c r="Y153" i="49"/>
  <c r="Y154" i="49"/>
  <c r="Y155" i="49"/>
  <c r="Y156" i="49"/>
  <c r="Y157" i="49"/>
  <c r="Y158" i="49"/>
  <c r="Y159" i="49"/>
  <c r="Y160" i="49"/>
  <c r="Y161" i="49"/>
  <c r="Y162" i="49"/>
  <c r="Y163" i="49"/>
  <c r="Y164" i="49"/>
  <c r="Y165" i="49"/>
  <c r="Y166" i="49"/>
  <c r="Y167" i="49"/>
  <c r="Y168" i="49"/>
  <c r="Y169" i="49"/>
  <c r="Y170" i="49"/>
  <c r="Y171" i="49"/>
  <c r="Y172" i="49"/>
  <c r="Y173" i="49"/>
  <c r="Y174" i="49"/>
  <c r="Y175" i="49"/>
  <c r="Y176" i="49"/>
  <c r="Y177" i="49"/>
  <c r="Y178" i="49"/>
  <c r="Y179" i="49"/>
  <c r="Y180" i="49"/>
  <c r="Y181" i="49"/>
  <c r="Y182" i="49"/>
  <c r="Y183" i="49"/>
  <c r="Y184" i="49"/>
  <c r="Y185" i="49"/>
  <c r="Y186" i="49"/>
  <c r="Y187" i="49"/>
  <c r="Y188" i="49"/>
  <c r="Y189" i="49"/>
  <c r="Y190" i="49"/>
  <c r="Y191" i="49"/>
  <c r="Y192" i="49"/>
  <c r="Y193" i="49"/>
  <c r="Y194" i="49"/>
  <c r="Y195" i="49"/>
  <c r="Y196" i="49"/>
  <c r="Y197" i="49"/>
  <c r="Y198" i="49"/>
  <c r="Y199" i="49"/>
  <c r="Y200" i="49"/>
  <c r="Y201" i="49"/>
  <c r="Y202" i="49"/>
  <c r="Y203" i="49"/>
  <c r="Y204" i="49"/>
  <c r="Y205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32" i="49"/>
  <c r="P33" i="49"/>
  <c r="P34" i="49"/>
  <c r="P35" i="49"/>
  <c r="P36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61" i="49"/>
  <c r="P62" i="49"/>
  <c r="P63" i="49"/>
  <c r="P64" i="49"/>
  <c r="P65" i="49"/>
  <c r="P66" i="49"/>
  <c r="P67" i="49"/>
  <c r="P68" i="49"/>
  <c r="P69" i="49"/>
  <c r="P70" i="49"/>
  <c r="P71" i="49"/>
  <c r="P72" i="49"/>
  <c r="P73" i="49"/>
  <c r="P74" i="49"/>
  <c r="P75" i="49"/>
  <c r="P76" i="49"/>
  <c r="P77" i="49"/>
  <c r="P78" i="49"/>
  <c r="P79" i="49"/>
  <c r="P80" i="49"/>
  <c r="P81" i="49"/>
  <c r="P82" i="49"/>
  <c r="P83" i="49"/>
  <c r="P84" i="49"/>
  <c r="P85" i="49"/>
  <c r="P86" i="49"/>
  <c r="P87" i="49"/>
  <c r="P88" i="49"/>
  <c r="P89" i="49"/>
  <c r="P90" i="49"/>
  <c r="P91" i="49"/>
  <c r="BR91" i="49" s="1"/>
  <c r="P92" i="49"/>
  <c r="P93" i="49"/>
  <c r="P94" i="49"/>
  <c r="P95" i="49"/>
  <c r="P96" i="49"/>
  <c r="P97" i="49"/>
  <c r="P98" i="49"/>
  <c r="P99" i="49"/>
  <c r="P100" i="49"/>
  <c r="P101" i="49"/>
  <c r="P102" i="49"/>
  <c r="P103" i="49"/>
  <c r="P104" i="49"/>
  <c r="P105" i="49"/>
  <c r="P106" i="49"/>
  <c r="P107" i="49"/>
  <c r="P108" i="49"/>
  <c r="P109" i="49"/>
  <c r="P110" i="49"/>
  <c r="P111" i="49"/>
  <c r="P112" i="49"/>
  <c r="P113" i="49"/>
  <c r="P114" i="49"/>
  <c r="P115" i="49"/>
  <c r="P116" i="49"/>
  <c r="P117" i="49"/>
  <c r="P118" i="49"/>
  <c r="P119" i="49"/>
  <c r="P120" i="49"/>
  <c r="P121" i="49"/>
  <c r="P122" i="49"/>
  <c r="P123" i="49"/>
  <c r="P124" i="49"/>
  <c r="P125" i="49"/>
  <c r="P126" i="49"/>
  <c r="P127" i="49"/>
  <c r="P128" i="49"/>
  <c r="P129" i="49"/>
  <c r="P130" i="49"/>
  <c r="P131" i="49"/>
  <c r="P132" i="49"/>
  <c r="P133" i="49"/>
  <c r="P134" i="49"/>
  <c r="P135" i="49"/>
  <c r="P136" i="49"/>
  <c r="P137" i="49"/>
  <c r="P138" i="49"/>
  <c r="P139" i="49"/>
  <c r="P140" i="49"/>
  <c r="P141" i="49"/>
  <c r="P142" i="49"/>
  <c r="P143" i="49"/>
  <c r="P144" i="49"/>
  <c r="P145" i="49"/>
  <c r="P146" i="49"/>
  <c r="P147" i="49"/>
  <c r="P148" i="49"/>
  <c r="P149" i="49"/>
  <c r="P150" i="49"/>
  <c r="P151" i="49"/>
  <c r="P152" i="49"/>
  <c r="P153" i="49"/>
  <c r="P154" i="49"/>
  <c r="P155" i="49"/>
  <c r="P156" i="49"/>
  <c r="P157" i="49"/>
  <c r="P158" i="49"/>
  <c r="P159" i="49"/>
  <c r="P160" i="49"/>
  <c r="P161" i="49"/>
  <c r="P162" i="49"/>
  <c r="P163" i="49"/>
  <c r="P164" i="49"/>
  <c r="P165" i="49"/>
  <c r="P166" i="49"/>
  <c r="P167" i="49"/>
  <c r="P168" i="49"/>
  <c r="P169" i="49"/>
  <c r="P170" i="49"/>
  <c r="P171" i="49"/>
  <c r="P172" i="49"/>
  <c r="P173" i="49"/>
  <c r="P174" i="49"/>
  <c r="P175" i="49"/>
  <c r="P176" i="49"/>
  <c r="P177" i="49"/>
  <c r="P178" i="49"/>
  <c r="P179" i="49"/>
  <c r="P180" i="49"/>
  <c r="P181" i="49"/>
  <c r="P182" i="49"/>
  <c r="P183" i="49"/>
  <c r="P184" i="49"/>
  <c r="P185" i="49"/>
  <c r="P186" i="49"/>
  <c r="P187" i="49"/>
  <c r="P188" i="49"/>
  <c r="P189" i="49"/>
  <c r="P190" i="49"/>
  <c r="P191" i="49"/>
  <c r="P192" i="49"/>
  <c r="P193" i="49"/>
  <c r="P194" i="49"/>
  <c r="P195" i="49"/>
  <c r="P196" i="49"/>
  <c r="P197" i="49"/>
  <c r="P198" i="49"/>
  <c r="P199" i="49"/>
  <c r="P200" i="49"/>
  <c r="P201" i="49"/>
  <c r="P202" i="49"/>
  <c r="P203" i="49"/>
  <c r="P204" i="49"/>
  <c r="P205" i="49"/>
  <c r="R9" i="49"/>
  <c r="R10" i="49"/>
  <c r="R11" i="49"/>
  <c r="R12" i="49"/>
  <c r="R13" i="49"/>
  <c r="R14" i="49"/>
  <c r="R15" i="49"/>
  <c r="R16" i="49"/>
  <c r="R17" i="49"/>
  <c r="R18" i="49"/>
  <c r="R19" i="49"/>
  <c r="R20" i="49"/>
  <c r="R21" i="49"/>
  <c r="R22" i="49"/>
  <c r="R23" i="49"/>
  <c r="R24" i="49"/>
  <c r="R25" i="49"/>
  <c r="R26" i="49"/>
  <c r="R27" i="49"/>
  <c r="R28" i="49"/>
  <c r="R29" i="49"/>
  <c r="R30" i="49"/>
  <c r="R31" i="49"/>
  <c r="R32" i="49"/>
  <c r="R33" i="49"/>
  <c r="R34" i="49"/>
  <c r="R35" i="49"/>
  <c r="R36" i="49"/>
  <c r="R37" i="49"/>
  <c r="R38" i="49"/>
  <c r="R39" i="49"/>
  <c r="R40" i="49"/>
  <c r="R41" i="49"/>
  <c r="R42" i="49"/>
  <c r="R43" i="49"/>
  <c r="R44" i="49"/>
  <c r="R45" i="49"/>
  <c r="R46" i="49"/>
  <c r="R47" i="49"/>
  <c r="R48" i="49"/>
  <c r="R49" i="49"/>
  <c r="R50" i="49"/>
  <c r="R51" i="49"/>
  <c r="R52" i="49"/>
  <c r="R53" i="49"/>
  <c r="R54" i="49"/>
  <c r="R55" i="49"/>
  <c r="R56" i="49"/>
  <c r="R57" i="49"/>
  <c r="R58" i="49"/>
  <c r="R59" i="49"/>
  <c r="R60" i="49"/>
  <c r="R61" i="49"/>
  <c r="R62" i="49"/>
  <c r="R63" i="49"/>
  <c r="R64" i="49"/>
  <c r="R65" i="49"/>
  <c r="R66" i="49"/>
  <c r="R67" i="49"/>
  <c r="R68" i="49"/>
  <c r="R69" i="49"/>
  <c r="R70" i="49"/>
  <c r="R71" i="49"/>
  <c r="R72" i="49"/>
  <c r="R73" i="49"/>
  <c r="R74" i="49"/>
  <c r="R75" i="49"/>
  <c r="R76" i="49"/>
  <c r="R77" i="49"/>
  <c r="R78" i="49"/>
  <c r="R79" i="49"/>
  <c r="R80" i="49"/>
  <c r="R81" i="49"/>
  <c r="R82" i="49"/>
  <c r="R83" i="49"/>
  <c r="R84" i="49"/>
  <c r="R85" i="49"/>
  <c r="R86" i="49"/>
  <c r="R87" i="49"/>
  <c r="R88" i="49"/>
  <c r="R89" i="49"/>
  <c r="R90" i="49"/>
  <c r="R91" i="49"/>
  <c r="R92" i="49"/>
  <c r="R93" i="49"/>
  <c r="R94" i="49"/>
  <c r="R95" i="49"/>
  <c r="R96" i="49"/>
  <c r="R97" i="49"/>
  <c r="R98" i="49"/>
  <c r="R99" i="49"/>
  <c r="R100" i="49"/>
  <c r="R101" i="49"/>
  <c r="R102" i="49"/>
  <c r="R103" i="49"/>
  <c r="R104" i="49"/>
  <c r="R105" i="49"/>
  <c r="R106" i="49"/>
  <c r="R107" i="49"/>
  <c r="R108" i="49"/>
  <c r="R109" i="49"/>
  <c r="R110" i="49"/>
  <c r="R111" i="49"/>
  <c r="R112" i="49"/>
  <c r="R113" i="49"/>
  <c r="R114" i="49"/>
  <c r="R115" i="49"/>
  <c r="R116" i="49"/>
  <c r="R117" i="49"/>
  <c r="R118" i="49"/>
  <c r="R119" i="49"/>
  <c r="R120" i="49"/>
  <c r="R121" i="49"/>
  <c r="R122" i="49"/>
  <c r="R123" i="49"/>
  <c r="R124" i="49"/>
  <c r="R125" i="49"/>
  <c r="R126" i="49"/>
  <c r="R127" i="49"/>
  <c r="R128" i="49"/>
  <c r="R129" i="49"/>
  <c r="R130" i="49"/>
  <c r="R131" i="49"/>
  <c r="R132" i="49"/>
  <c r="R133" i="49"/>
  <c r="R134" i="49"/>
  <c r="R135" i="49"/>
  <c r="R136" i="49"/>
  <c r="R137" i="49"/>
  <c r="R138" i="49"/>
  <c r="R139" i="49"/>
  <c r="R140" i="49"/>
  <c r="R141" i="49"/>
  <c r="R142" i="49"/>
  <c r="R143" i="49"/>
  <c r="R144" i="49"/>
  <c r="R145" i="49"/>
  <c r="R146" i="49"/>
  <c r="R147" i="49"/>
  <c r="R148" i="49"/>
  <c r="R149" i="49"/>
  <c r="R150" i="49"/>
  <c r="R151" i="49"/>
  <c r="R152" i="49"/>
  <c r="R153" i="49"/>
  <c r="R154" i="49"/>
  <c r="R155" i="49"/>
  <c r="R156" i="49"/>
  <c r="R157" i="49"/>
  <c r="R158" i="49"/>
  <c r="R159" i="49"/>
  <c r="R160" i="49"/>
  <c r="R161" i="49"/>
  <c r="R162" i="49"/>
  <c r="R163" i="49"/>
  <c r="R164" i="49"/>
  <c r="R165" i="49"/>
  <c r="R166" i="49"/>
  <c r="R167" i="49"/>
  <c r="R168" i="49"/>
  <c r="R169" i="49"/>
  <c r="R170" i="49"/>
  <c r="R171" i="49"/>
  <c r="R172" i="49"/>
  <c r="R173" i="49"/>
  <c r="R174" i="49"/>
  <c r="R175" i="49"/>
  <c r="R176" i="49"/>
  <c r="R177" i="49"/>
  <c r="R178" i="49"/>
  <c r="R179" i="49"/>
  <c r="R180" i="49"/>
  <c r="R181" i="49"/>
  <c r="R182" i="49"/>
  <c r="R183" i="49"/>
  <c r="R184" i="49"/>
  <c r="R185" i="49"/>
  <c r="R186" i="49"/>
  <c r="R187" i="49"/>
  <c r="R188" i="49"/>
  <c r="R189" i="49"/>
  <c r="R190" i="49"/>
  <c r="R191" i="49"/>
  <c r="R192" i="49"/>
  <c r="R193" i="49"/>
  <c r="R194" i="49"/>
  <c r="R195" i="49"/>
  <c r="R196" i="49"/>
  <c r="R197" i="49"/>
  <c r="R198" i="49"/>
  <c r="R199" i="49"/>
  <c r="R200" i="49"/>
  <c r="R201" i="49"/>
  <c r="R202" i="49"/>
  <c r="R203" i="49"/>
  <c r="R204" i="49"/>
  <c r="R205" i="49"/>
  <c r="N20" i="50"/>
  <c r="W9" i="49"/>
  <c r="W10" i="49"/>
  <c r="W11" i="49"/>
  <c r="W12" i="49"/>
  <c r="W13" i="49"/>
  <c r="W14" i="49"/>
  <c r="W15" i="49"/>
  <c r="W16" i="49"/>
  <c r="W17" i="49"/>
  <c r="W18" i="49"/>
  <c r="W19" i="49"/>
  <c r="W20" i="49"/>
  <c r="W21" i="49"/>
  <c r="W22" i="49"/>
  <c r="W23" i="49"/>
  <c r="W24" i="49"/>
  <c r="W25" i="49"/>
  <c r="W26" i="49"/>
  <c r="W27" i="49"/>
  <c r="W28" i="49"/>
  <c r="W29" i="49"/>
  <c r="W30" i="49"/>
  <c r="W31" i="49"/>
  <c r="W32" i="49"/>
  <c r="W33" i="49"/>
  <c r="W34" i="49"/>
  <c r="W35" i="49"/>
  <c r="W36" i="49"/>
  <c r="W37" i="49"/>
  <c r="W38" i="49"/>
  <c r="W39" i="49"/>
  <c r="W40" i="49"/>
  <c r="W41" i="49"/>
  <c r="W42" i="49"/>
  <c r="W43" i="49"/>
  <c r="W44" i="49"/>
  <c r="W45" i="49"/>
  <c r="W46" i="49"/>
  <c r="W47" i="49"/>
  <c r="W48" i="49"/>
  <c r="W49" i="49"/>
  <c r="W50" i="49"/>
  <c r="W51" i="49"/>
  <c r="W52" i="49"/>
  <c r="W53" i="49"/>
  <c r="W54" i="49"/>
  <c r="W55" i="49"/>
  <c r="W56" i="49"/>
  <c r="W57" i="49"/>
  <c r="W58" i="49"/>
  <c r="W59" i="49"/>
  <c r="W60" i="49"/>
  <c r="W61" i="49"/>
  <c r="W62" i="49"/>
  <c r="W63" i="49"/>
  <c r="W64" i="49"/>
  <c r="W65" i="49"/>
  <c r="W66" i="49"/>
  <c r="W67" i="49"/>
  <c r="W68" i="49"/>
  <c r="W69" i="49"/>
  <c r="W70" i="49"/>
  <c r="W71" i="49"/>
  <c r="W72" i="49"/>
  <c r="W73" i="49"/>
  <c r="W74" i="49"/>
  <c r="W75" i="49"/>
  <c r="W76" i="49"/>
  <c r="W77" i="49"/>
  <c r="W78" i="49"/>
  <c r="W79" i="49"/>
  <c r="W80" i="49"/>
  <c r="W81" i="49"/>
  <c r="W82" i="49"/>
  <c r="W83" i="49"/>
  <c r="W84" i="49"/>
  <c r="W85" i="49"/>
  <c r="W86" i="49"/>
  <c r="W87" i="49"/>
  <c r="W88" i="49"/>
  <c r="W89" i="49"/>
  <c r="W90" i="49"/>
  <c r="W91" i="49"/>
  <c r="W92" i="49"/>
  <c r="W93" i="49"/>
  <c r="W94" i="49"/>
  <c r="W95" i="49"/>
  <c r="W96" i="49"/>
  <c r="W97" i="49"/>
  <c r="W98" i="49"/>
  <c r="W99" i="49"/>
  <c r="W100" i="49"/>
  <c r="W101" i="49"/>
  <c r="W102" i="49"/>
  <c r="W103" i="49"/>
  <c r="W104" i="49"/>
  <c r="W105" i="49"/>
  <c r="W106" i="49"/>
  <c r="W107" i="49"/>
  <c r="W108" i="49"/>
  <c r="W109" i="49"/>
  <c r="W110" i="49"/>
  <c r="W111" i="49"/>
  <c r="W112" i="49"/>
  <c r="W113" i="49"/>
  <c r="W114" i="49"/>
  <c r="W115" i="49"/>
  <c r="W116" i="49"/>
  <c r="W117" i="49"/>
  <c r="W118" i="49"/>
  <c r="W119" i="49"/>
  <c r="W120" i="49"/>
  <c r="W121" i="49"/>
  <c r="W122" i="49"/>
  <c r="W123" i="49"/>
  <c r="W124" i="49"/>
  <c r="W125" i="49"/>
  <c r="W126" i="49"/>
  <c r="W127" i="49"/>
  <c r="W128" i="49"/>
  <c r="W129" i="49"/>
  <c r="W130" i="49"/>
  <c r="W131" i="49"/>
  <c r="W132" i="49"/>
  <c r="W133" i="49"/>
  <c r="W134" i="49"/>
  <c r="W135" i="49"/>
  <c r="W136" i="49"/>
  <c r="W137" i="49"/>
  <c r="W138" i="49"/>
  <c r="W139" i="49"/>
  <c r="W140" i="49"/>
  <c r="W141" i="49"/>
  <c r="W142" i="49"/>
  <c r="W143" i="49"/>
  <c r="W144" i="49"/>
  <c r="W145" i="49"/>
  <c r="W146" i="49"/>
  <c r="W147" i="49"/>
  <c r="W148" i="49"/>
  <c r="W149" i="49"/>
  <c r="W150" i="49"/>
  <c r="W151" i="49"/>
  <c r="W152" i="49"/>
  <c r="W153" i="49"/>
  <c r="W154" i="49"/>
  <c r="W155" i="49"/>
  <c r="W156" i="49"/>
  <c r="W157" i="49"/>
  <c r="W158" i="49"/>
  <c r="W159" i="49"/>
  <c r="W160" i="49"/>
  <c r="W161" i="49"/>
  <c r="W162" i="49"/>
  <c r="W163" i="49"/>
  <c r="W164" i="49"/>
  <c r="W165" i="49"/>
  <c r="W166" i="49"/>
  <c r="W167" i="49"/>
  <c r="W168" i="49"/>
  <c r="W169" i="49"/>
  <c r="W170" i="49"/>
  <c r="W171" i="49"/>
  <c r="W172" i="49"/>
  <c r="W173" i="49"/>
  <c r="W174" i="49"/>
  <c r="W175" i="49"/>
  <c r="W176" i="49"/>
  <c r="W177" i="49"/>
  <c r="W178" i="49"/>
  <c r="W179" i="49"/>
  <c r="W180" i="49"/>
  <c r="W181" i="49"/>
  <c r="W182" i="49"/>
  <c r="W183" i="49"/>
  <c r="W184" i="49"/>
  <c r="W185" i="49"/>
  <c r="W186" i="49"/>
  <c r="W187" i="49"/>
  <c r="W188" i="49"/>
  <c r="W189" i="49"/>
  <c r="W190" i="49"/>
  <c r="W191" i="49"/>
  <c r="W192" i="49"/>
  <c r="W193" i="49"/>
  <c r="W194" i="49"/>
  <c r="W195" i="49"/>
  <c r="W196" i="49"/>
  <c r="W197" i="49"/>
  <c r="W198" i="49"/>
  <c r="W199" i="49"/>
  <c r="W200" i="49"/>
  <c r="W201" i="49"/>
  <c r="W202" i="49"/>
  <c r="W203" i="49"/>
  <c r="W204" i="49"/>
  <c r="W205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Q90" i="49"/>
  <c r="Q91" i="49"/>
  <c r="Q92" i="49"/>
  <c r="Q93" i="49"/>
  <c r="Q94" i="49"/>
  <c r="Q95" i="49"/>
  <c r="Q96" i="49"/>
  <c r="Q97" i="49"/>
  <c r="Q98" i="49"/>
  <c r="Q99" i="49"/>
  <c r="Q100" i="49"/>
  <c r="Q101" i="49"/>
  <c r="Q102" i="49"/>
  <c r="Q103" i="49"/>
  <c r="Q104" i="49"/>
  <c r="Q105" i="49"/>
  <c r="Q106" i="49"/>
  <c r="Q107" i="49"/>
  <c r="Q108" i="49"/>
  <c r="Q109" i="49"/>
  <c r="Q110" i="49"/>
  <c r="Q111" i="49"/>
  <c r="Q112" i="49"/>
  <c r="Q113" i="49"/>
  <c r="Q114" i="49"/>
  <c r="Q115" i="49"/>
  <c r="Q116" i="49"/>
  <c r="Q117" i="49"/>
  <c r="Q118" i="49"/>
  <c r="Q119" i="49"/>
  <c r="Q120" i="49"/>
  <c r="Q121" i="49"/>
  <c r="Q122" i="49"/>
  <c r="Q123" i="49"/>
  <c r="Q124" i="49"/>
  <c r="Q125" i="49"/>
  <c r="Q126" i="49"/>
  <c r="Q127" i="49"/>
  <c r="Q128" i="49"/>
  <c r="Q129" i="49"/>
  <c r="Q130" i="49"/>
  <c r="Q131" i="49"/>
  <c r="Q132" i="49"/>
  <c r="Q133" i="49"/>
  <c r="Q134" i="49"/>
  <c r="Q135" i="49"/>
  <c r="Q136" i="49"/>
  <c r="Q137" i="49"/>
  <c r="Q138" i="49"/>
  <c r="Q139" i="49"/>
  <c r="Q140" i="49"/>
  <c r="Q141" i="49"/>
  <c r="Q142" i="49"/>
  <c r="Q143" i="49"/>
  <c r="Q144" i="49"/>
  <c r="Q145" i="49"/>
  <c r="Q146" i="49"/>
  <c r="Q147" i="49"/>
  <c r="Q148" i="49"/>
  <c r="Q149" i="49"/>
  <c r="Q150" i="49"/>
  <c r="Q151" i="49"/>
  <c r="Q152" i="49"/>
  <c r="Q153" i="49"/>
  <c r="Q154" i="49"/>
  <c r="Q155" i="49"/>
  <c r="Q156" i="49"/>
  <c r="Q157" i="49"/>
  <c r="Q158" i="49"/>
  <c r="Q159" i="49"/>
  <c r="Q160" i="49"/>
  <c r="Q161" i="49"/>
  <c r="Q162" i="49"/>
  <c r="Q163" i="49"/>
  <c r="Q164" i="49"/>
  <c r="Q165" i="49"/>
  <c r="Q166" i="49"/>
  <c r="Q167" i="49"/>
  <c r="Q168" i="49"/>
  <c r="Q169" i="49"/>
  <c r="Q170" i="49"/>
  <c r="Q171" i="49"/>
  <c r="Q172" i="49"/>
  <c r="Q173" i="49"/>
  <c r="Q174" i="49"/>
  <c r="Q175" i="49"/>
  <c r="Q176" i="49"/>
  <c r="Q177" i="49"/>
  <c r="Q178" i="49"/>
  <c r="Q179" i="49"/>
  <c r="Q180" i="49"/>
  <c r="Q181" i="49"/>
  <c r="Q182" i="49"/>
  <c r="Q183" i="49"/>
  <c r="Q184" i="49"/>
  <c r="Q185" i="49"/>
  <c r="Q186" i="49"/>
  <c r="Q187" i="49"/>
  <c r="Q188" i="49"/>
  <c r="Q189" i="49"/>
  <c r="Q190" i="49"/>
  <c r="Q191" i="49"/>
  <c r="Q192" i="49"/>
  <c r="Q193" i="49"/>
  <c r="Q194" i="49"/>
  <c r="Q195" i="49"/>
  <c r="Q196" i="49"/>
  <c r="Q197" i="49"/>
  <c r="Q198" i="49"/>
  <c r="Q199" i="49"/>
  <c r="Q200" i="49"/>
  <c r="Q201" i="49"/>
  <c r="Q202" i="49"/>
  <c r="Q203" i="49"/>
  <c r="Q204" i="49"/>
  <c r="Q205" i="49"/>
  <c r="Z7" i="49"/>
  <c r="Z9" i="49"/>
  <c r="Z10" i="49"/>
  <c r="Z11" i="49"/>
  <c r="Z12" i="49"/>
  <c r="Z13" i="49"/>
  <c r="Z14" i="49"/>
  <c r="Z15" i="49"/>
  <c r="Z16" i="49"/>
  <c r="Z17" i="49"/>
  <c r="Z18" i="49"/>
  <c r="Z19" i="49"/>
  <c r="Z20" i="49"/>
  <c r="Z21" i="49"/>
  <c r="Z22" i="49"/>
  <c r="Z23" i="49"/>
  <c r="Z24" i="49"/>
  <c r="Z25" i="49"/>
  <c r="Z26" i="49"/>
  <c r="Z27" i="49"/>
  <c r="Z28" i="49"/>
  <c r="Z29" i="49"/>
  <c r="Z30" i="49"/>
  <c r="Z31" i="49"/>
  <c r="Z32" i="49"/>
  <c r="Z33" i="49"/>
  <c r="Z34" i="49"/>
  <c r="Z35" i="49"/>
  <c r="Z36" i="49"/>
  <c r="Z37" i="49"/>
  <c r="Z38" i="49"/>
  <c r="Z39" i="49"/>
  <c r="Z40" i="49"/>
  <c r="Z41" i="49"/>
  <c r="Z42" i="49"/>
  <c r="Z43" i="49"/>
  <c r="Z44" i="49"/>
  <c r="Z45" i="49"/>
  <c r="Z46" i="49"/>
  <c r="Z47" i="49"/>
  <c r="Z48" i="49"/>
  <c r="Z49" i="49"/>
  <c r="Z50" i="49"/>
  <c r="Z51" i="49"/>
  <c r="Z52" i="49"/>
  <c r="Z53" i="49"/>
  <c r="Z54" i="49"/>
  <c r="Z55" i="49"/>
  <c r="Z56" i="49"/>
  <c r="Z57" i="49"/>
  <c r="Z58" i="49"/>
  <c r="Z59" i="49"/>
  <c r="Z60" i="49"/>
  <c r="Z61" i="49"/>
  <c r="Z62" i="49"/>
  <c r="Z63" i="49"/>
  <c r="Z64" i="49"/>
  <c r="Z65" i="49"/>
  <c r="Z66" i="49"/>
  <c r="Z67" i="49"/>
  <c r="Z68" i="49"/>
  <c r="Z69" i="49"/>
  <c r="Z70" i="49"/>
  <c r="Z71" i="49"/>
  <c r="Z72" i="49"/>
  <c r="Z73" i="49"/>
  <c r="Z74" i="49"/>
  <c r="Z75" i="49"/>
  <c r="Z76" i="49"/>
  <c r="Z77" i="49"/>
  <c r="Z78" i="49"/>
  <c r="Z79" i="49"/>
  <c r="Z80" i="49"/>
  <c r="Z81" i="49"/>
  <c r="Z82" i="49"/>
  <c r="Z83" i="49"/>
  <c r="Z84" i="49"/>
  <c r="Z85" i="49"/>
  <c r="Z86" i="49"/>
  <c r="Z87" i="49"/>
  <c r="Z88" i="49"/>
  <c r="Z89" i="49"/>
  <c r="Z90" i="49"/>
  <c r="Z91" i="49"/>
  <c r="Z92" i="49"/>
  <c r="Z93" i="49"/>
  <c r="Z94" i="49"/>
  <c r="Z95" i="49"/>
  <c r="Z96" i="49"/>
  <c r="Z97" i="49"/>
  <c r="Z98" i="49"/>
  <c r="Z99" i="49"/>
  <c r="Z100" i="49"/>
  <c r="Z101" i="49"/>
  <c r="Z102" i="49"/>
  <c r="Z103" i="49"/>
  <c r="Z104" i="49"/>
  <c r="Z105" i="49"/>
  <c r="Z106" i="49"/>
  <c r="Z107" i="49"/>
  <c r="Z108" i="49"/>
  <c r="Z109" i="49"/>
  <c r="Z110" i="49"/>
  <c r="Z111" i="49"/>
  <c r="Z112" i="49"/>
  <c r="Z113" i="49"/>
  <c r="Z114" i="49"/>
  <c r="Z115" i="49"/>
  <c r="Z116" i="49"/>
  <c r="Z117" i="49"/>
  <c r="Z118" i="49"/>
  <c r="Z119" i="49"/>
  <c r="Z120" i="49"/>
  <c r="Z121" i="49"/>
  <c r="Z122" i="49"/>
  <c r="Z123" i="49"/>
  <c r="Z124" i="49"/>
  <c r="Z125" i="49"/>
  <c r="Z126" i="49"/>
  <c r="Z127" i="49"/>
  <c r="Z128" i="49"/>
  <c r="Z129" i="49"/>
  <c r="Z130" i="49"/>
  <c r="Z131" i="49"/>
  <c r="Z132" i="49"/>
  <c r="Z133" i="49"/>
  <c r="Z134" i="49"/>
  <c r="Z135" i="49"/>
  <c r="Z136" i="49"/>
  <c r="Z137" i="49"/>
  <c r="Z138" i="49"/>
  <c r="Z139" i="49"/>
  <c r="Z140" i="49"/>
  <c r="Z141" i="49"/>
  <c r="Z142" i="49"/>
  <c r="Z143" i="49"/>
  <c r="Z144" i="49"/>
  <c r="Z145" i="49"/>
  <c r="Z146" i="49"/>
  <c r="Z147" i="49"/>
  <c r="Z148" i="49"/>
  <c r="Z149" i="49"/>
  <c r="Z150" i="49"/>
  <c r="Z151" i="49"/>
  <c r="Z152" i="49"/>
  <c r="Z153" i="49"/>
  <c r="Z154" i="49"/>
  <c r="Z155" i="49"/>
  <c r="Z156" i="49"/>
  <c r="Z157" i="49"/>
  <c r="Z158" i="49"/>
  <c r="Z159" i="49"/>
  <c r="Z160" i="49"/>
  <c r="Z161" i="49"/>
  <c r="Z162" i="49"/>
  <c r="Z163" i="49"/>
  <c r="Z164" i="49"/>
  <c r="Z165" i="49"/>
  <c r="Z166" i="49"/>
  <c r="Z167" i="49"/>
  <c r="Z168" i="49"/>
  <c r="Z169" i="49"/>
  <c r="Z170" i="49"/>
  <c r="Z171" i="49"/>
  <c r="Z172" i="49"/>
  <c r="Z173" i="49"/>
  <c r="Z174" i="49"/>
  <c r="Z175" i="49"/>
  <c r="Z176" i="49"/>
  <c r="Z177" i="49"/>
  <c r="Z178" i="49"/>
  <c r="Z179" i="49"/>
  <c r="Z180" i="49"/>
  <c r="Z181" i="49"/>
  <c r="Z182" i="49"/>
  <c r="Z183" i="49"/>
  <c r="Z184" i="49"/>
  <c r="Z185" i="49"/>
  <c r="Z186" i="49"/>
  <c r="Z187" i="49"/>
  <c r="Z188" i="49"/>
  <c r="Z189" i="49"/>
  <c r="Z190" i="49"/>
  <c r="Z191" i="49"/>
  <c r="Z192" i="49"/>
  <c r="Z193" i="49"/>
  <c r="Z194" i="49"/>
  <c r="Z195" i="49"/>
  <c r="Z196" i="49"/>
  <c r="Z197" i="49"/>
  <c r="Z198" i="49"/>
  <c r="Z199" i="49"/>
  <c r="Z200" i="49"/>
  <c r="Z201" i="49"/>
  <c r="Z202" i="49"/>
  <c r="Z203" i="49"/>
  <c r="Z204" i="49"/>
  <c r="Z205" i="49"/>
  <c r="AC9" i="49"/>
  <c r="AC10" i="49"/>
  <c r="AC11" i="49"/>
  <c r="AC12" i="49"/>
  <c r="AC13" i="49"/>
  <c r="AC14" i="49"/>
  <c r="AC15" i="49"/>
  <c r="AC16" i="49"/>
  <c r="AC17" i="49"/>
  <c r="AC18" i="49"/>
  <c r="AC19" i="49"/>
  <c r="AC20" i="49"/>
  <c r="AC21" i="49"/>
  <c r="AC22" i="49"/>
  <c r="AC23" i="49"/>
  <c r="AC24" i="49"/>
  <c r="AC25" i="49"/>
  <c r="AC26" i="49"/>
  <c r="AC27" i="49"/>
  <c r="AC28" i="49"/>
  <c r="AC29" i="49"/>
  <c r="AC30" i="49"/>
  <c r="AC31" i="49"/>
  <c r="AC32" i="49"/>
  <c r="AC33" i="49"/>
  <c r="AC34" i="49"/>
  <c r="AC35" i="49"/>
  <c r="AC36" i="49"/>
  <c r="AC37" i="49"/>
  <c r="AC38" i="49"/>
  <c r="AC39" i="49"/>
  <c r="AC40" i="49"/>
  <c r="AC41" i="49"/>
  <c r="AC42" i="49"/>
  <c r="AC43" i="49"/>
  <c r="AC44" i="49"/>
  <c r="AC45" i="49"/>
  <c r="AC46" i="49"/>
  <c r="AC47" i="49"/>
  <c r="AC48" i="49"/>
  <c r="AC49" i="49"/>
  <c r="AC50" i="49"/>
  <c r="AC51" i="49"/>
  <c r="AC52" i="49"/>
  <c r="AC53" i="49"/>
  <c r="AC54" i="49"/>
  <c r="AC55" i="49"/>
  <c r="AC56" i="49"/>
  <c r="AC57" i="49"/>
  <c r="AC58" i="49"/>
  <c r="AC59" i="49"/>
  <c r="AC60" i="49"/>
  <c r="AC61" i="49"/>
  <c r="AC62" i="49"/>
  <c r="AC63" i="49"/>
  <c r="AC64" i="49"/>
  <c r="AC65" i="49"/>
  <c r="AC66" i="49"/>
  <c r="AC67" i="49"/>
  <c r="AC68" i="49"/>
  <c r="AC69" i="49"/>
  <c r="AC70" i="49"/>
  <c r="AC71" i="49"/>
  <c r="AC72" i="49"/>
  <c r="AC73" i="49"/>
  <c r="AC74" i="49"/>
  <c r="AC75" i="49"/>
  <c r="AC76" i="49"/>
  <c r="AC77" i="49"/>
  <c r="AC78" i="49"/>
  <c r="AC79" i="49"/>
  <c r="AC80" i="49"/>
  <c r="AC81" i="49"/>
  <c r="AC82" i="49"/>
  <c r="AC83" i="49"/>
  <c r="AC84" i="49"/>
  <c r="AC85" i="49"/>
  <c r="AC86" i="49"/>
  <c r="AC87" i="49"/>
  <c r="AC88" i="49"/>
  <c r="AC89" i="49"/>
  <c r="AC90" i="49"/>
  <c r="AC91" i="49"/>
  <c r="AC92" i="49"/>
  <c r="AC93" i="49"/>
  <c r="AC94" i="49"/>
  <c r="AC95" i="49"/>
  <c r="AC96" i="49"/>
  <c r="AC97" i="49"/>
  <c r="AC98" i="49"/>
  <c r="AC99" i="49"/>
  <c r="AC100" i="49"/>
  <c r="AC101" i="49"/>
  <c r="AC102" i="49"/>
  <c r="AC103" i="49"/>
  <c r="AC104" i="49"/>
  <c r="AC105" i="49"/>
  <c r="AC106" i="49"/>
  <c r="AC107" i="49"/>
  <c r="AC108" i="49"/>
  <c r="AC109" i="49"/>
  <c r="AC110" i="49"/>
  <c r="AC111" i="49"/>
  <c r="AC112" i="49"/>
  <c r="AC113" i="49"/>
  <c r="AC114" i="49"/>
  <c r="AC115" i="49"/>
  <c r="AC116" i="49"/>
  <c r="AC117" i="49"/>
  <c r="AC118" i="49"/>
  <c r="AC119" i="49"/>
  <c r="AC120" i="49"/>
  <c r="AC121" i="49"/>
  <c r="AC122" i="49"/>
  <c r="AC123" i="49"/>
  <c r="AC124" i="49"/>
  <c r="AC125" i="49"/>
  <c r="AC126" i="49"/>
  <c r="AC127" i="49"/>
  <c r="AC128" i="49"/>
  <c r="AC129" i="49"/>
  <c r="AC130" i="49"/>
  <c r="AC131" i="49"/>
  <c r="AC132" i="49"/>
  <c r="AC133" i="49"/>
  <c r="AC134" i="49"/>
  <c r="AC135" i="49"/>
  <c r="AC136" i="49"/>
  <c r="AC137" i="49"/>
  <c r="AC138" i="49"/>
  <c r="AC139" i="49"/>
  <c r="AC140" i="49"/>
  <c r="AC141" i="49"/>
  <c r="AC142" i="49"/>
  <c r="AC143" i="49"/>
  <c r="AC144" i="49"/>
  <c r="AC145" i="49"/>
  <c r="AC146" i="49"/>
  <c r="AC147" i="49"/>
  <c r="AC148" i="49"/>
  <c r="AC149" i="49"/>
  <c r="AC150" i="49"/>
  <c r="AC151" i="49"/>
  <c r="AC152" i="49"/>
  <c r="AC153" i="49"/>
  <c r="AC154" i="49"/>
  <c r="AC155" i="49"/>
  <c r="AC156" i="49"/>
  <c r="AC157" i="49"/>
  <c r="AC158" i="49"/>
  <c r="AC159" i="49"/>
  <c r="AC160" i="49"/>
  <c r="AC161" i="49"/>
  <c r="AC162" i="49"/>
  <c r="AC163" i="49"/>
  <c r="AC164" i="49"/>
  <c r="AC165" i="49"/>
  <c r="AC166" i="49"/>
  <c r="AC167" i="49"/>
  <c r="AC168" i="49"/>
  <c r="AC169" i="49"/>
  <c r="AC170" i="49"/>
  <c r="AC171" i="49"/>
  <c r="AC172" i="49"/>
  <c r="AC173" i="49"/>
  <c r="AC174" i="49"/>
  <c r="AC175" i="49"/>
  <c r="AC176" i="49"/>
  <c r="AC177" i="49"/>
  <c r="AC178" i="49"/>
  <c r="AC179" i="49"/>
  <c r="AC180" i="49"/>
  <c r="AC181" i="49"/>
  <c r="AC182" i="49"/>
  <c r="AC183" i="49"/>
  <c r="AC184" i="49"/>
  <c r="AC185" i="49"/>
  <c r="AC186" i="49"/>
  <c r="AC187" i="49"/>
  <c r="AC188" i="49"/>
  <c r="AC189" i="49"/>
  <c r="AC190" i="49"/>
  <c r="AC191" i="49"/>
  <c r="AC192" i="49"/>
  <c r="AC193" i="49"/>
  <c r="AC194" i="49"/>
  <c r="AC195" i="49"/>
  <c r="AC196" i="49"/>
  <c r="AC197" i="49"/>
  <c r="AC198" i="49"/>
  <c r="AC199" i="49"/>
  <c r="AC200" i="49"/>
  <c r="AC201" i="49"/>
  <c r="AC202" i="49"/>
  <c r="AC203" i="49"/>
  <c r="AC204" i="49"/>
  <c r="AC205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D82" i="49"/>
  <c r="AD83" i="49"/>
  <c r="AD84" i="49"/>
  <c r="AD85" i="49"/>
  <c r="AD86" i="49"/>
  <c r="AD87" i="49"/>
  <c r="AD88" i="49"/>
  <c r="AD89" i="49"/>
  <c r="AD90" i="49"/>
  <c r="AD91" i="49"/>
  <c r="AD92" i="49"/>
  <c r="AD93" i="49"/>
  <c r="AD94" i="49"/>
  <c r="AD95" i="49"/>
  <c r="AD96" i="49"/>
  <c r="AD97" i="49"/>
  <c r="AD98" i="49"/>
  <c r="AD99" i="49"/>
  <c r="AD100" i="49"/>
  <c r="AD101" i="49"/>
  <c r="AD102" i="49"/>
  <c r="AD103" i="49"/>
  <c r="AD104" i="49"/>
  <c r="AD105" i="49"/>
  <c r="AD106" i="49"/>
  <c r="AD107" i="49"/>
  <c r="AD108" i="49"/>
  <c r="AD109" i="49"/>
  <c r="AD110" i="49"/>
  <c r="AD111" i="49"/>
  <c r="AD112" i="49"/>
  <c r="AD113" i="49"/>
  <c r="AD114" i="49"/>
  <c r="AD115" i="49"/>
  <c r="AD116" i="49"/>
  <c r="AD117" i="49"/>
  <c r="AD118" i="49"/>
  <c r="AD119" i="49"/>
  <c r="AD120" i="49"/>
  <c r="AD121" i="49"/>
  <c r="AD122" i="49"/>
  <c r="AD123" i="49"/>
  <c r="AD124" i="49"/>
  <c r="AD125" i="49"/>
  <c r="AD126" i="49"/>
  <c r="AD127" i="49"/>
  <c r="AD128" i="49"/>
  <c r="AD129" i="49"/>
  <c r="AD130" i="49"/>
  <c r="AD131" i="49"/>
  <c r="AD132" i="49"/>
  <c r="AD133" i="49"/>
  <c r="AD134" i="49"/>
  <c r="AD135" i="49"/>
  <c r="AD136" i="49"/>
  <c r="AD137" i="49"/>
  <c r="AD138" i="49"/>
  <c r="AD139" i="49"/>
  <c r="AD140" i="49"/>
  <c r="AD141" i="49"/>
  <c r="AD142" i="49"/>
  <c r="AD143" i="49"/>
  <c r="AD144" i="49"/>
  <c r="AD145" i="49"/>
  <c r="AD146" i="49"/>
  <c r="AD147" i="49"/>
  <c r="AD148" i="49"/>
  <c r="AD149" i="49"/>
  <c r="AD150" i="49"/>
  <c r="AD151" i="49"/>
  <c r="AD152" i="49"/>
  <c r="AD153" i="49"/>
  <c r="AD154" i="49"/>
  <c r="AD155" i="49"/>
  <c r="AD156" i="49"/>
  <c r="AD157" i="49"/>
  <c r="AD158" i="49"/>
  <c r="AD159" i="49"/>
  <c r="AD160" i="49"/>
  <c r="AD161" i="49"/>
  <c r="AD162" i="49"/>
  <c r="AD163" i="49"/>
  <c r="AD164" i="49"/>
  <c r="AD165" i="49"/>
  <c r="AD166" i="49"/>
  <c r="AD167" i="49"/>
  <c r="AD168" i="49"/>
  <c r="AD169" i="49"/>
  <c r="AD170" i="49"/>
  <c r="AD171" i="49"/>
  <c r="AD172" i="49"/>
  <c r="AD173" i="49"/>
  <c r="AD174" i="49"/>
  <c r="AD175" i="49"/>
  <c r="AD176" i="49"/>
  <c r="AD177" i="49"/>
  <c r="AD178" i="49"/>
  <c r="AD179" i="49"/>
  <c r="AD180" i="49"/>
  <c r="AD181" i="49"/>
  <c r="AD182" i="49"/>
  <c r="AD183" i="49"/>
  <c r="AD184" i="49"/>
  <c r="AD185" i="49"/>
  <c r="AD186" i="49"/>
  <c r="AD187" i="49"/>
  <c r="AD188" i="49"/>
  <c r="AD189" i="49"/>
  <c r="AD190" i="49"/>
  <c r="AD191" i="49"/>
  <c r="AD192" i="49"/>
  <c r="AD193" i="49"/>
  <c r="AD194" i="49"/>
  <c r="AD195" i="49"/>
  <c r="AD196" i="49"/>
  <c r="AD197" i="49"/>
  <c r="AD198" i="49"/>
  <c r="AD199" i="49"/>
  <c r="AD200" i="49"/>
  <c r="AD201" i="49"/>
  <c r="AD202" i="49"/>
  <c r="AD203" i="49"/>
  <c r="AD204" i="49"/>
  <c r="AD205" i="49"/>
  <c r="AS9" i="49"/>
  <c r="AS10" i="49"/>
  <c r="AS11" i="49"/>
  <c r="AS12" i="49"/>
  <c r="AS13" i="49"/>
  <c r="AS14" i="49"/>
  <c r="AS15" i="49"/>
  <c r="AS16" i="49"/>
  <c r="AS17" i="49"/>
  <c r="AS18" i="49"/>
  <c r="AS19" i="49"/>
  <c r="AS20" i="49"/>
  <c r="AS21" i="49"/>
  <c r="AS22" i="49"/>
  <c r="AS23" i="49"/>
  <c r="AS24" i="49"/>
  <c r="AS25" i="49"/>
  <c r="AS26" i="49"/>
  <c r="AS27" i="49"/>
  <c r="AS28" i="49"/>
  <c r="AS29" i="49"/>
  <c r="AS30" i="49"/>
  <c r="AS31" i="49"/>
  <c r="AS32" i="49"/>
  <c r="AS33" i="49"/>
  <c r="AS34" i="49"/>
  <c r="AS35" i="49"/>
  <c r="AS36" i="49"/>
  <c r="AS37" i="49"/>
  <c r="AS38" i="49"/>
  <c r="AS39" i="49"/>
  <c r="AS40" i="49"/>
  <c r="AS41" i="49"/>
  <c r="AS42" i="49"/>
  <c r="AS43" i="49"/>
  <c r="AS44" i="49"/>
  <c r="AS45" i="49"/>
  <c r="AS46" i="49"/>
  <c r="AS47" i="49"/>
  <c r="AS48" i="49"/>
  <c r="AS49" i="49"/>
  <c r="AS50" i="49"/>
  <c r="AS51" i="49"/>
  <c r="AS52" i="49"/>
  <c r="AS53" i="49"/>
  <c r="AS54" i="49"/>
  <c r="AS55" i="49"/>
  <c r="AS56" i="49"/>
  <c r="AS57" i="49"/>
  <c r="AS58" i="49"/>
  <c r="AS59" i="49"/>
  <c r="AS60" i="49"/>
  <c r="AS61" i="49"/>
  <c r="AS62" i="49"/>
  <c r="AS63" i="49"/>
  <c r="AS64" i="49"/>
  <c r="AS65" i="49"/>
  <c r="AS66" i="49"/>
  <c r="AS67" i="49"/>
  <c r="AS68" i="49"/>
  <c r="AS69" i="49"/>
  <c r="AS70" i="49"/>
  <c r="AS71" i="49"/>
  <c r="AS72" i="49"/>
  <c r="AS73" i="49"/>
  <c r="AS74" i="49"/>
  <c r="AS75" i="49"/>
  <c r="AS76" i="49"/>
  <c r="AS77" i="49"/>
  <c r="AS78" i="49"/>
  <c r="AS79" i="49"/>
  <c r="AS80" i="49"/>
  <c r="AS81" i="49"/>
  <c r="AS82" i="49"/>
  <c r="AS83" i="49"/>
  <c r="AS84" i="49"/>
  <c r="AS85" i="49"/>
  <c r="AS86" i="49"/>
  <c r="AS87" i="49"/>
  <c r="AS88" i="49"/>
  <c r="AS89" i="49"/>
  <c r="AS90" i="49"/>
  <c r="AS91" i="49"/>
  <c r="AS92" i="49"/>
  <c r="AS93" i="49"/>
  <c r="AS94" i="49"/>
  <c r="AS95" i="49"/>
  <c r="AS96" i="49"/>
  <c r="AS97" i="49"/>
  <c r="AS98" i="49"/>
  <c r="AS99" i="49"/>
  <c r="AS100" i="49"/>
  <c r="AS101" i="49"/>
  <c r="AS102" i="49"/>
  <c r="AS103" i="49"/>
  <c r="AS104" i="49"/>
  <c r="AS105" i="49"/>
  <c r="AS106" i="49"/>
  <c r="AS107" i="49"/>
  <c r="AS108" i="49"/>
  <c r="AS109" i="49"/>
  <c r="AS110" i="49"/>
  <c r="AS111" i="49"/>
  <c r="AS112" i="49"/>
  <c r="AS113" i="49"/>
  <c r="AS114" i="49"/>
  <c r="AS115" i="49"/>
  <c r="AS116" i="49"/>
  <c r="AS117" i="49"/>
  <c r="AS118" i="49"/>
  <c r="AS119" i="49"/>
  <c r="AS120" i="49"/>
  <c r="AS121" i="49"/>
  <c r="AS122" i="49"/>
  <c r="AS123" i="49"/>
  <c r="AS124" i="49"/>
  <c r="AS125" i="49"/>
  <c r="AS126" i="49"/>
  <c r="AS127" i="49"/>
  <c r="AS128" i="49"/>
  <c r="AS129" i="49"/>
  <c r="AS130" i="49"/>
  <c r="AS131" i="49"/>
  <c r="AS132" i="49"/>
  <c r="AS133" i="49"/>
  <c r="AS134" i="49"/>
  <c r="AS135" i="49"/>
  <c r="AS136" i="49"/>
  <c r="AS137" i="49"/>
  <c r="AS138" i="49"/>
  <c r="AS139" i="49"/>
  <c r="AS140" i="49"/>
  <c r="AS141" i="49"/>
  <c r="AS142" i="49"/>
  <c r="AS143" i="49"/>
  <c r="AS144" i="49"/>
  <c r="AS145" i="49"/>
  <c r="AS146" i="49"/>
  <c r="AS147" i="49"/>
  <c r="AS148" i="49"/>
  <c r="AS149" i="49"/>
  <c r="AS150" i="49"/>
  <c r="AS151" i="49"/>
  <c r="AS152" i="49"/>
  <c r="AS153" i="49"/>
  <c r="AS154" i="49"/>
  <c r="AS155" i="49"/>
  <c r="AS156" i="49"/>
  <c r="AS157" i="49"/>
  <c r="AS158" i="49"/>
  <c r="AS159" i="49"/>
  <c r="AS160" i="49"/>
  <c r="AS161" i="49"/>
  <c r="AS162" i="49"/>
  <c r="AS163" i="49"/>
  <c r="AS164" i="49"/>
  <c r="AS165" i="49"/>
  <c r="AS166" i="49"/>
  <c r="AS167" i="49"/>
  <c r="AS168" i="49"/>
  <c r="AS169" i="49"/>
  <c r="AS170" i="49"/>
  <c r="AS171" i="49"/>
  <c r="AS172" i="49"/>
  <c r="AS173" i="49"/>
  <c r="AS174" i="49"/>
  <c r="AS175" i="49"/>
  <c r="AS176" i="49"/>
  <c r="AS177" i="49"/>
  <c r="AS178" i="49"/>
  <c r="AS179" i="49"/>
  <c r="AS180" i="49"/>
  <c r="AS181" i="49"/>
  <c r="AS182" i="49"/>
  <c r="AS183" i="49"/>
  <c r="AS184" i="49"/>
  <c r="AS185" i="49"/>
  <c r="AS186" i="49"/>
  <c r="AS187" i="49"/>
  <c r="AS188" i="49"/>
  <c r="AS189" i="49"/>
  <c r="AS190" i="49"/>
  <c r="AS191" i="49"/>
  <c r="AS192" i="49"/>
  <c r="AS193" i="49"/>
  <c r="AS194" i="49"/>
  <c r="AS195" i="49"/>
  <c r="AS196" i="49"/>
  <c r="AS197" i="49"/>
  <c r="AS198" i="49"/>
  <c r="AS199" i="49"/>
  <c r="AS200" i="49"/>
  <c r="AS201" i="49"/>
  <c r="AS202" i="49"/>
  <c r="AS203" i="49"/>
  <c r="AS204" i="49"/>
  <c r="AS205" i="49"/>
  <c r="AU9" i="49"/>
  <c r="AU10" i="49"/>
  <c r="AU11" i="49"/>
  <c r="AU12" i="49"/>
  <c r="AU13" i="49"/>
  <c r="AU14" i="49"/>
  <c r="AU15" i="49"/>
  <c r="AU16" i="49"/>
  <c r="AU17" i="49"/>
  <c r="AU18" i="49"/>
  <c r="AU19" i="49"/>
  <c r="AU20" i="49"/>
  <c r="AU21" i="49"/>
  <c r="AU22" i="49"/>
  <c r="AU23" i="49"/>
  <c r="AU24" i="49"/>
  <c r="AU25" i="49"/>
  <c r="AU26" i="49"/>
  <c r="AU27" i="49"/>
  <c r="AU28" i="49"/>
  <c r="AU29" i="49"/>
  <c r="AU30" i="49"/>
  <c r="AU31" i="49"/>
  <c r="AU32" i="49"/>
  <c r="AU33" i="49"/>
  <c r="AU34" i="49"/>
  <c r="AU35" i="49"/>
  <c r="AU36" i="49"/>
  <c r="AU37" i="49"/>
  <c r="AU38" i="49"/>
  <c r="AU39" i="49"/>
  <c r="AU40" i="49"/>
  <c r="AU41" i="49"/>
  <c r="AU42" i="49"/>
  <c r="AU43" i="49"/>
  <c r="AU44" i="49"/>
  <c r="AU45" i="49"/>
  <c r="AU46" i="49"/>
  <c r="AU47" i="49"/>
  <c r="AU48" i="49"/>
  <c r="AU49" i="49"/>
  <c r="AU50" i="49"/>
  <c r="AU51" i="49"/>
  <c r="AU52" i="49"/>
  <c r="AU53" i="49"/>
  <c r="AU54" i="49"/>
  <c r="AU55" i="49"/>
  <c r="AU56" i="49"/>
  <c r="AU57" i="49"/>
  <c r="AU58" i="49"/>
  <c r="AU59" i="49"/>
  <c r="AU60" i="49"/>
  <c r="AU61" i="49"/>
  <c r="AU62" i="49"/>
  <c r="AU63" i="49"/>
  <c r="AU64" i="49"/>
  <c r="AU65" i="49"/>
  <c r="AU66" i="49"/>
  <c r="AU67" i="49"/>
  <c r="AU68" i="49"/>
  <c r="AU69" i="49"/>
  <c r="AU70" i="49"/>
  <c r="AU71" i="49"/>
  <c r="AU72" i="49"/>
  <c r="AU73" i="49"/>
  <c r="AU74" i="49"/>
  <c r="AU75" i="49"/>
  <c r="AU76" i="49"/>
  <c r="AU77" i="49"/>
  <c r="AU78" i="49"/>
  <c r="AU79" i="49"/>
  <c r="AU80" i="49"/>
  <c r="AU81" i="49"/>
  <c r="AU82" i="49"/>
  <c r="AU83" i="49"/>
  <c r="AU84" i="49"/>
  <c r="AU85" i="49"/>
  <c r="AU86" i="49"/>
  <c r="AU87" i="49"/>
  <c r="AU88" i="49"/>
  <c r="AU89" i="49"/>
  <c r="AU90" i="49"/>
  <c r="AU91" i="49"/>
  <c r="AU92" i="49"/>
  <c r="AU93" i="49"/>
  <c r="AU94" i="49"/>
  <c r="AU95" i="49"/>
  <c r="AU96" i="49"/>
  <c r="AU97" i="49"/>
  <c r="AU98" i="49"/>
  <c r="AU99" i="49"/>
  <c r="AU100" i="49"/>
  <c r="AU101" i="49"/>
  <c r="AU102" i="49"/>
  <c r="AU103" i="49"/>
  <c r="AU104" i="49"/>
  <c r="AU105" i="49"/>
  <c r="AU106" i="49"/>
  <c r="AU107" i="49"/>
  <c r="AU108" i="49"/>
  <c r="AU109" i="49"/>
  <c r="AU110" i="49"/>
  <c r="AU111" i="49"/>
  <c r="AU112" i="49"/>
  <c r="AU113" i="49"/>
  <c r="AU114" i="49"/>
  <c r="AU115" i="49"/>
  <c r="AU116" i="49"/>
  <c r="AU117" i="49"/>
  <c r="AU118" i="49"/>
  <c r="AU119" i="49"/>
  <c r="AU120" i="49"/>
  <c r="AU121" i="49"/>
  <c r="AU122" i="49"/>
  <c r="AU123" i="49"/>
  <c r="AU124" i="49"/>
  <c r="AU125" i="49"/>
  <c r="AU126" i="49"/>
  <c r="AU127" i="49"/>
  <c r="AU128" i="49"/>
  <c r="AU129" i="49"/>
  <c r="AU130" i="49"/>
  <c r="AU131" i="49"/>
  <c r="AU132" i="49"/>
  <c r="AU133" i="49"/>
  <c r="AU134" i="49"/>
  <c r="AU135" i="49"/>
  <c r="AU136" i="49"/>
  <c r="AU137" i="49"/>
  <c r="AU138" i="49"/>
  <c r="AU139" i="49"/>
  <c r="AU140" i="49"/>
  <c r="AU141" i="49"/>
  <c r="AU142" i="49"/>
  <c r="AU143" i="49"/>
  <c r="AU144" i="49"/>
  <c r="AU145" i="49"/>
  <c r="AU146" i="49"/>
  <c r="AU147" i="49"/>
  <c r="AU148" i="49"/>
  <c r="AU149" i="49"/>
  <c r="AU150" i="49"/>
  <c r="AU151" i="49"/>
  <c r="AU152" i="49"/>
  <c r="AU153" i="49"/>
  <c r="AU154" i="49"/>
  <c r="AU155" i="49"/>
  <c r="AU156" i="49"/>
  <c r="AU157" i="49"/>
  <c r="AU158" i="49"/>
  <c r="AU159" i="49"/>
  <c r="AU160" i="49"/>
  <c r="AU161" i="49"/>
  <c r="AU162" i="49"/>
  <c r="AU163" i="49"/>
  <c r="AU164" i="49"/>
  <c r="AU165" i="49"/>
  <c r="AU166" i="49"/>
  <c r="AU167" i="49"/>
  <c r="AU168" i="49"/>
  <c r="AU169" i="49"/>
  <c r="AU170" i="49"/>
  <c r="AU171" i="49"/>
  <c r="AU172" i="49"/>
  <c r="AU173" i="49"/>
  <c r="AU174" i="49"/>
  <c r="AU175" i="49"/>
  <c r="AU176" i="49"/>
  <c r="AU177" i="49"/>
  <c r="AU178" i="49"/>
  <c r="AU179" i="49"/>
  <c r="AU180" i="49"/>
  <c r="AU181" i="49"/>
  <c r="AU182" i="49"/>
  <c r="AU183" i="49"/>
  <c r="AU184" i="49"/>
  <c r="AU185" i="49"/>
  <c r="AU186" i="49"/>
  <c r="AU187" i="49"/>
  <c r="AU188" i="49"/>
  <c r="AU189" i="49"/>
  <c r="AU190" i="49"/>
  <c r="AU191" i="49"/>
  <c r="AU192" i="49"/>
  <c r="AU193" i="49"/>
  <c r="AU194" i="49"/>
  <c r="AU195" i="49"/>
  <c r="AU196" i="49"/>
  <c r="AU197" i="49"/>
  <c r="AU198" i="49"/>
  <c r="AU199" i="49"/>
  <c r="AU200" i="49"/>
  <c r="AU201" i="49"/>
  <c r="AU202" i="49"/>
  <c r="AU203" i="49"/>
  <c r="AU204" i="49"/>
  <c r="AU205" i="49"/>
  <c r="E10" i="50"/>
  <c r="F10" i="50"/>
  <c r="G10" i="50"/>
  <c r="H10" i="50"/>
  <c r="I10" i="50"/>
  <c r="D10" i="50"/>
  <c r="Q10" i="50" s="1"/>
  <c r="J10" i="50"/>
  <c r="K10" i="50"/>
  <c r="L10" i="50"/>
  <c r="M10" i="50"/>
  <c r="M9" i="49"/>
  <c r="M10" i="49"/>
  <c r="M11" i="49"/>
  <c r="M12" i="49"/>
  <c r="M13" i="49"/>
  <c r="M14" i="49"/>
  <c r="M15" i="49"/>
  <c r="M16" i="49"/>
  <c r="M17" i="49"/>
  <c r="M18" i="49"/>
  <c r="M19" i="49"/>
  <c r="M20" i="49"/>
  <c r="M21" i="49"/>
  <c r="M22" i="49"/>
  <c r="M23" i="49"/>
  <c r="M24" i="49"/>
  <c r="M25" i="49"/>
  <c r="M26" i="49"/>
  <c r="M27" i="49"/>
  <c r="M28" i="49"/>
  <c r="M29" i="49"/>
  <c r="M30" i="49"/>
  <c r="M31" i="49"/>
  <c r="M32" i="49"/>
  <c r="M33" i="49"/>
  <c r="M34" i="49"/>
  <c r="M35" i="49"/>
  <c r="M36" i="49"/>
  <c r="M37" i="49"/>
  <c r="M38" i="49"/>
  <c r="M39" i="49"/>
  <c r="M40" i="49"/>
  <c r="M41" i="49"/>
  <c r="M42" i="49"/>
  <c r="M43" i="49"/>
  <c r="M44" i="49"/>
  <c r="M45" i="49"/>
  <c r="M46" i="49"/>
  <c r="M47" i="49"/>
  <c r="M48" i="49"/>
  <c r="M49" i="49"/>
  <c r="M50" i="49"/>
  <c r="M51" i="49"/>
  <c r="M52" i="49"/>
  <c r="M53" i="49"/>
  <c r="M54" i="49"/>
  <c r="M55" i="49"/>
  <c r="M56" i="49"/>
  <c r="M57" i="49"/>
  <c r="M58" i="49"/>
  <c r="M59" i="49"/>
  <c r="M60" i="49"/>
  <c r="M61" i="49"/>
  <c r="M62" i="49"/>
  <c r="M63" i="49"/>
  <c r="M64" i="49"/>
  <c r="M65" i="49"/>
  <c r="M66" i="49"/>
  <c r="M67" i="49"/>
  <c r="M68" i="49"/>
  <c r="M69" i="49"/>
  <c r="M70" i="49"/>
  <c r="M71" i="49"/>
  <c r="M72" i="49"/>
  <c r="M73" i="49"/>
  <c r="M74" i="49"/>
  <c r="M75" i="49"/>
  <c r="M76" i="49"/>
  <c r="M77" i="49"/>
  <c r="M78" i="49"/>
  <c r="M79" i="49"/>
  <c r="M80" i="49"/>
  <c r="M81" i="49"/>
  <c r="M82" i="49"/>
  <c r="M83" i="49"/>
  <c r="M84" i="49"/>
  <c r="M85" i="49"/>
  <c r="M86" i="49"/>
  <c r="M87" i="49"/>
  <c r="M88" i="49"/>
  <c r="M89" i="49"/>
  <c r="M90" i="49"/>
  <c r="M91" i="49"/>
  <c r="M92" i="49"/>
  <c r="M93" i="49"/>
  <c r="M94" i="49"/>
  <c r="M95" i="49"/>
  <c r="M96" i="49"/>
  <c r="M97" i="49"/>
  <c r="M98" i="49"/>
  <c r="M99" i="49"/>
  <c r="M100" i="49"/>
  <c r="M101" i="49"/>
  <c r="M102" i="49"/>
  <c r="M103" i="49"/>
  <c r="M104" i="49"/>
  <c r="M105" i="49"/>
  <c r="M106" i="49"/>
  <c r="M107" i="49"/>
  <c r="M108" i="49"/>
  <c r="M109" i="49"/>
  <c r="M110" i="49"/>
  <c r="M111" i="49"/>
  <c r="M112" i="49"/>
  <c r="M113" i="49"/>
  <c r="M114" i="49"/>
  <c r="M115" i="49"/>
  <c r="M116" i="49"/>
  <c r="M117" i="49"/>
  <c r="M118" i="49"/>
  <c r="M119" i="49"/>
  <c r="M120" i="49"/>
  <c r="M121" i="49"/>
  <c r="M122" i="49"/>
  <c r="M123" i="49"/>
  <c r="M124" i="49"/>
  <c r="M125" i="49"/>
  <c r="M126" i="49"/>
  <c r="M127" i="49"/>
  <c r="M128" i="49"/>
  <c r="M129" i="49"/>
  <c r="M130" i="49"/>
  <c r="M131" i="49"/>
  <c r="M132" i="49"/>
  <c r="M133" i="49"/>
  <c r="M134" i="49"/>
  <c r="M135" i="49"/>
  <c r="M136" i="49"/>
  <c r="M137" i="49"/>
  <c r="M138" i="49"/>
  <c r="M139" i="49"/>
  <c r="M140" i="49"/>
  <c r="M141" i="49"/>
  <c r="M142" i="49"/>
  <c r="M143" i="49"/>
  <c r="M144" i="49"/>
  <c r="M145" i="49"/>
  <c r="M146" i="49"/>
  <c r="M147" i="49"/>
  <c r="M148" i="49"/>
  <c r="M149" i="49"/>
  <c r="M150" i="49"/>
  <c r="M151" i="49"/>
  <c r="M152" i="49"/>
  <c r="M153" i="49"/>
  <c r="M154" i="49"/>
  <c r="M155" i="49"/>
  <c r="M156" i="49"/>
  <c r="M157" i="49"/>
  <c r="M158" i="49"/>
  <c r="M159" i="49"/>
  <c r="M160" i="49"/>
  <c r="M161" i="49"/>
  <c r="M162" i="49"/>
  <c r="M163" i="49"/>
  <c r="M164" i="49"/>
  <c r="M165" i="49"/>
  <c r="M166" i="49"/>
  <c r="M167" i="49"/>
  <c r="M168" i="49"/>
  <c r="M169" i="49"/>
  <c r="M170" i="49"/>
  <c r="M171" i="49"/>
  <c r="M172" i="49"/>
  <c r="M173" i="49"/>
  <c r="M174" i="49"/>
  <c r="M175" i="49"/>
  <c r="M176" i="49"/>
  <c r="M177" i="49"/>
  <c r="M178" i="49"/>
  <c r="M179" i="49"/>
  <c r="M180" i="49"/>
  <c r="M181" i="49"/>
  <c r="M182" i="49"/>
  <c r="M183" i="49"/>
  <c r="M184" i="49"/>
  <c r="M185" i="49"/>
  <c r="M186" i="49"/>
  <c r="M187" i="49"/>
  <c r="M188" i="49"/>
  <c r="M189" i="49"/>
  <c r="M190" i="49"/>
  <c r="M191" i="49"/>
  <c r="M192" i="49"/>
  <c r="M193" i="49"/>
  <c r="M194" i="49"/>
  <c r="M195" i="49"/>
  <c r="M196" i="49"/>
  <c r="M197" i="49"/>
  <c r="M198" i="49"/>
  <c r="M199" i="49"/>
  <c r="M200" i="49"/>
  <c r="M201" i="49"/>
  <c r="M202" i="49"/>
  <c r="M203" i="49"/>
  <c r="M204" i="49"/>
  <c r="M205" i="49"/>
  <c r="E11" i="50"/>
  <c r="F11" i="50"/>
  <c r="G11" i="50"/>
  <c r="H11" i="50"/>
  <c r="I11" i="50"/>
  <c r="D11" i="50"/>
  <c r="Q11" i="50" s="1"/>
  <c r="J11" i="50"/>
  <c r="K11" i="50"/>
  <c r="L11" i="50"/>
  <c r="M11" i="50"/>
  <c r="N11" i="50"/>
  <c r="N9" i="49"/>
  <c r="N10" i="49"/>
  <c r="N11" i="49"/>
  <c r="N12" i="49"/>
  <c r="N13" i="49"/>
  <c r="N14" i="49"/>
  <c r="N15" i="49"/>
  <c r="N16" i="49"/>
  <c r="N17" i="49"/>
  <c r="N18" i="49"/>
  <c r="N19" i="49"/>
  <c r="N20" i="49"/>
  <c r="N21" i="49"/>
  <c r="N22" i="49"/>
  <c r="N23" i="49"/>
  <c r="N24" i="49"/>
  <c r="N25" i="49"/>
  <c r="N26" i="49"/>
  <c r="N27" i="49"/>
  <c r="N28" i="49"/>
  <c r="N29" i="49"/>
  <c r="N30" i="49"/>
  <c r="N31" i="49"/>
  <c r="N32" i="49"/>
  <c r="N33" i="49"/>
  <c r="N34" i="49"/>
  <c r="N35" i="49"/>
  <c r="N36" i="49"/>
  <c r="N37" i="49"/>
  <c r="N38" i="49"/>
  <c r="N39" i="49"/>
  <c r="N40" i="49"/>
  <c r="N41" i="49"/>
  <c r="N42" i="49"/>
  <c r="N43" i="49"/>
  <c r="N44" i="49"/>
  <c r="N45" i="49"/>
  <c r="N46" i="49"/>
  <c r="N47" i="49"/>
  <c r="N48" i="49"/>
  <c r="N49" i="49"/>
  <c r="N50" i="49"/>
  <c r="N51" i="49"/>
  <c r="N52" i="49"/>
  <c r="N53" i="49"/>
  <c r="N54" i="49"/>
  <c r="N55" i="49"/>
  <c r="N56" i="49"/>
  <c r="N57" i="49"/>
  <c r="N58" i="49"/>
  <c r="N59" i="49"/>
  <c r="N60" i="49"/>
  <c r="N61" i="49"/>
  <c r="N62" i="49"/>
  <c r="N63" i="49"/>
  <c r="N64" i="49"/>
  <c r="N65" i="49"/>
  <c r="N66" i="49"/>
  <c r="N67" i="49"/>
  <c r="N68" i="49"/>
  <c r="N69" i="49"/>
  <c r="N70" i="49"/>
  <c r="N71" i="49"/>
  <c r="N72" i="49"/>
  <c r="N73" i="49"/>
  <c r="N74" i="49"/>
  <c r="N75" i="49"/>
  <c r="N76" i="49"/>
  <c r="N77" i="49"/>
  <c r="N78" i="49"/>
  <c r="N79" i="49"/>
  <c r="N80" i="49"/>
  <c r="N81" i="49"/>
  <c r="N82" i="49"/>
  <c r="N83" i="49"/>
  <c r="N84" i="49"/>
  <c r="N85" i="49"/>
  <c r="N86" i="49"/>
  <c r="N87" i="49"/>
  <c r="N88" i="49"/>
  <c r="N89" i="49"/>
  <c r="N90" i="49"/>
  <c r="N91" i="49"/>
  <c r="N92" i="49"/>
  <c r="N93" i="49"/>
  <c r="N94" i="49"/>
  <c r="N95" i="49"/>
  <c r="N96" i="49"/>
  <c r="N97" i="49"/>
  <c r="N98" i="49"/>
  <c r="N99" i="49"/>
  <c r="N100" i="49"/>
  <c r="N101" i="49"/>
  <c r="N102" i="49"/>
  <c r="N103" i="49"/>
  <c r="N104" i="49"/>
  <c r="N105" i="49"/>
  <c r="N106" i="49"/>
  <c r="N107" i="49"/>
  <c r="N108" i="49"/>
  <c r="N109" i="49"/>
  <c r="N110" i="49"/>
  <c r="N111" i="49"/>
  <c r="N112" i="49"/>
  <c r="N113" i="49"/>
  <c r="N114" i="49"/>
  <c r="N115" i="49"/>
  <c r="N116" i="49"/>
  <c r="N117" i="49"/>
  <c r="N118" i="49"/>
  <c r="N119" i="49"/>
  <c r="N120" i="49"/>
  <c r="N121" i="49"/>
  <c r="N122" i="49"/>
  <c r="N123" i="49"/>
  <c r="N124" i="49"/>
  <c r="N125" i="49"/>
  <c r="N126" i="49"/>
  <c r="N127" i="49"/>
  <c r="N128" i="49"/>
  <c r="N129" i="49"/>
  <c r="N130" i="49"/>
  <c r="N131" i="49"/>
  <c r="N132" i="49"/>
  <c r="N133" i="49"/>
  <c r="N134" i="49"/>
  <c r="N135" i="49"/>
  <c r="N136" i="49"/>
  <c r="N137" i="49"/>
  <c r="N138" i="49"/>
  <c r="N139" i="49"/>
  <c r="N140" i="49"/>
  <c r="N141" i="49"/>
  <c r="N142" i="49"/>
  <c r="N143" i="49"/>
  <c r="N144" i="49"/>
  <c r="N145" i="49"/>
  <c r="N146" i="49"/>
  <c r="N147" i="49"/>
  <c r="N148" i="49"/>
  <c r="N149" i="49"/>
  <c r="N150" i="49"/>
  <c r="N151" i="49"/>
  <c r="N152" i="49"/>
  <c r="N153" i="49"/>
  <c r="N154" i="49"/>
  <c r="N155" i="49"/>
  <c r="N156" i="49"/>
  <c r="N157" i="49"/>
  <c r="N158" i="49"/>
  <c r="N159" i="49"/>
  <c r="N160" i="49"/>
  <c r="N161" i="49"/>
  <c r="N162" i="49"/>
  <c r="N163" i="49"/>
  <c r="N164" i="49"/>
  <c r="N165" i="49"/>
  <c r="N166" i="49"/>
  <c r="N167" i="49"/>
  <c r="N168" i="49"/>
  <c r="N169" i="49"/>
  <c r="N170" i="49"/>
  <c r="N171" i="49"/>
  <c r="N172" i="49"/>
  <c r="N173" i="49"/>
  <c r="N174" i="49"/>
  <c r="N175" i="49"/>
  <c r="N176" i="49"/>
  <c r="N177" i="49"/>
  <c r="N178" i="49"/>
  <c r="N179" i="49"/>
  <c r="N180" i="49"/>
  <c r="N181" i="49"/>
  <c r="N182" i="49"/>
  <c r="N183" i="49"/>
  <c r="N184" i="49"/>
  <c r="N185" i="49"/>
  <c r="N186" i="49"/>
  <c r="N187" i="49"/>
  <c r="N188" i="49"/>
  <c r="N189" i="49"/>
  <c r="N190" i="49"/>
  <c r="N191" i="49"/>
  <c r="N192" i="49"/>
  <c r="N193" i="49"/>
  <c r="N194" i="49"/>
  <c r="N195" i="49"/>
  <c r="N196" i="49"/>
  <c r="N197" i="49"/>
  <c r="N198" i="49"/>
  <c r="N199" i="49"/>
  <c r="N200" i="49"/>
  <c r="N201" i="49"/>
  <c r="N202" i="49"/>
  <c r="N203" i="49"/>
  <c r="N204" i="49"/>
  <c r="N205" i="49"/>
  <c r="AQ9" i="49"/>
  <c r="AQ10" i="49"/>
  <c r="AQ11" i="49"/>
  <c r="AQ12" i="49"/>
  <c r="AQ13" i="49"/>
  <c r="AQ14" i="49"/>
  <c r="AQ15" i="49"/>
  <c r="AQ16" i="49"/>
  <c r="AQ17" i="49"/>
  <c r="AQ18" i="49"/>
  <c r="AQ19" i="49"/>
  <c r="AQ20" i="49"/>
  <c r="AQ21" i="49"/>
  <c r="AQ22" i="49"/>
  <c r="AQ23" i="49"/>
  <c r="AQ24" i="49"/>
  <c r="AQ25" i="49"/>
  <c r="AQ26" i="49"/>
  <c r="AQ27" i="49"/>
  <c r="AQ28" i="49"/>
  <c r="AQ29" i="49"/>
  <c r="AQ30" i="49"/>
  <c r="AQ31" i="49"/>
  <c r="AQ32" i="49"/>
  <c r="AQ33" i="49"/>
  <c r="AQ34" i="49"/>
  <c r="AQ35" i="49"/>
  <c r="AQ36" i="49"/>
  <c r="AQ37" i="49"/>
  <c r="AQ38" i="49"/>
  <c r="AQ39" i="49"/>
  <c r="AQ40" i="49"/>
  <c r="AQ41" i="49"/>
  <c r="AQ42" i="49"/>
  <c r="AQ43" i="49"/>
  <c r="AQ44" i="49"/>
  <c r="AQ45" i="49"/>
  <c r="AQ46" i="49"/>
  <c r="AQ47" i="49"/>
  <c r="AQ48" i="49"/>
  <c r="AQ49" i="49"/>
  <c r="AQ50" i="49"/>
  <c r="AQ51" i="49"/>
  <c r="AQ52" i="49"/>
  <c r="AQ53" i="49"/>
  <c r="AQ54" i="49"/>
  <c r="AQ55" i="49"/>
  <c r="AQ56" i="49"/>
  <c r="AQ57" i="49"/>
  <c r="AQ58" i="49"/>
  <c r="AQ59" i="49"/>
  <c r="AQ60" i="49"/>
  <c r="AQ61" i="49"/>
  <c r="AQ62" i="49"/>
  <c r="AQ63" i="49"/>
  <c r="AQ64" i="49"/>
  <c r="AQ65" i="49"/>
  <c r="AQ66" i="49"/>
  <c r="AQ67" i="49"/>
  <c r="AQ68" i="49"/>
  <c r="AQ69" i="49"/>
  <c r="AQ70" i="49"/>
  <c r="AQ71" i="49"/>
  <c r="AQ72" i="49"/>
  <c r="AQ73" i="49"/>
  <c r="AQ74" i="49"/>
  <c r="AQ75" i="49"/>
  <c r="AQ76" i="49"/>
  <c r="AQ77" i="49"/>
  <c r="AQ78" i="49"/>
  <c r="AQ79" i="49"/>
  <c r="AQ80" i="49"/>
  <c r="AQ81" i="49"/>
  <c r="AQ82" i="49"/>
  <c r="AQ83" i="49"/>
  <c r="AQ84" i="49"/>
  <c r="AQ85" i="49"/>
  <c r="AQ86" i="49"/>
  <c r="AQ87" i="49"/>
  <c r="AQ88" i="49"/>
  <c r="AQ89" i="49"/>
  <c r="AQ90" i="49"/>
  <c r="AQ91" i="49"/>
  <c r="AQ92" i="49"/>
  <c r="AQ93" i="49"/>
  <c r="AQ94" i="49"/>
  <c r="AQ95" i="49"/>
  <c r="AQ96" i="49"/>
  <c r="AQ97" i="49"/>
  <c r="AQ98" i="49"/>
  <c r="AQ99" i="49"/>
  <c r="AQ100" i="49"/>
  <c r="AQ101" i="49"/>
  <c r="AQ102" i="49"/>
  <c r="AQ103" i="49"/>
  <c r="AQ104" i="49"/>
  <c r="AQ105" i="49"/>
  <c r="AQ106" i="49"/>
  <c r="AQ107" i="49"/>
  <c r="AQ108" i="49"/>
  <c r="AQ109" i="49"/>
  <c r="AQ110" i="49"/>
  <c r="AQ111" i="49"/>
  <c r="AQ112" i="49"/>
  <c r="AQ113" i="49"/>
  <c r="AQ114" i="49"/>
  <c r="AQ115" i="49"/>
  <c r="AQ116" i="49"/>
  <c r="AQ117" i="49"/>
  <c r="AQ118" i="49"/>
  <c r="AQ119" i="49"/>
  <c r="AQ120" i="49"/>
  <c r="AQ121" i="49"/>
  <c r="AQ122" i="49"/>
  <c r="AQ123" i="49"/>
  <c r="AQ124" i="49"/>
  <c r="AQ125" i="49"/>
  <c r="AQ126" i="49"/>
  <c r="AQ127" i="49"/>
  <c r="AQ128" i="49"/>
  <c r="AQ129" i="49"/>
  <c r="AQ130" i="49"/>
  <c r="AQ131" i="49"/>
  <c r="AQ132" i="49"/>
  <c r="AQ133" i="49"/>
  <c r="AQ134" i="49"/>
  <c r="AQ135" i="49"/>
  <c r="AQ136" i="49"/>
  <c r="AQ137" i="49"/>
  <c r="AQ138" i="49"/>
  <c r="AQ139" i="49"/>
  <c r="AQ140" i="49"/>
  <c r="AQ141" i="49"/>
  <c r="AQ142" i="49"/>
  <c r="AQ143" i="49"/>
  <c r="AQ144" i="49"/>
  <c r="AQ145" i="49"/>
  <c r="AQ146" i="49"/>
  <c r="AQ147" i="49"/>
  <c r="AQ148" i="49"/>
  <c r="AQ149" i="49"/>
  <c r="AQ150" i="49"/>
  <c r="AQ151" i="49"/>
  <c r="AQ152" i="49"/>
  <c r="AQ153" i="49"/>
  <c r="AQ154" i="49"/>
  <c r="AQ155" i="49"/>
  <c r="AQ156" i="49"/>
  <c r="AQ157" i="49"/>
  <c r="AQ158" i="49"/>
  <c r="AQ159" i="49"/>
  <c r="AQ160" i="49"/>
  <c r="AQ161" i="49"/>
  <c r="AQ162" i="49"/>
  <c r="AQ163" i="49"/>
  <c r="AQ164" i="49"/>
  <c r="AQ165" i="49"/>
  <c r="AQ166" i="49"/>
  <c r="AQ167" i="49"/>
  <c r="AQ168" i="49"/>
  <c r="AQ169" i="49"/>
  <c r="AQ170" i="49"/>
  <c r="AQ171" i="49"/>
  <c r="AQ172" i="49"/>
  <c r="AQ173" i="49"/>
  <c r="AQ174" i="49"/>
  <c r="AQ175" i="49"/>
  <c r="AQ176" i="49"/>
  <c r="AQ177" i="49"/>
  <c r="AQ178" i="49"/>
  <c r="AQ179" i="49"/>
  <c r="AQ180" i="49"/>
  <c r="AQ181" i="49"/>
  <c r="AQ182" i="49"/>
  <c r="AQ183" i="49"/>
  <c r="AQ184" i="49"/>
  <c r="AQ185" i="49"/>
  <c r="AQ186" i="49"/>
  <c r="AQ187" i="49"/>
  <c r="AQ188" i="49"/>
  <c r="AQ189" i="49"/>
  <c r="AQ190" i="49"/>
  <c r="AQ191" i="49"/>
  <c r="AQ192" i="49"/>
  <c r="AQ193" i="49"/>
  <c r="AQ194" i="49"/>
  <c r="AQ195" i="49"/>
  <c r="AQ196" i="49"/>
  <c r="AQ197" i="49"/>
  <c r="AQ198" i="49"/>
  <c r="AQ199" i="49"/>
  <c r="AQ200" i="49"/>
  <c r="AQ201" i="49"/>
  <c r="AQ202" i="49"/>
  <c r="AQ203" i="49"/>
  <c r="AQ204" i="49"/>
  <c r="AQ205" i="49"/>
  <c r="D22" i="69"/>
  <c r="A3" i="50"/>
  <c r="D4" i="50"/>
  <c r="E4" i="50" s="1"/>
  <c r="F4" i="50" s="1"/>
  <c r="G4" i="50" s="1"/>
  <c r="H4" i="50" s="1"/>
  <c r="I4" i="50" s="1"/>
  <c r="J4" i="50" s="1"/>
  <c r="K4" i="50" s="1"/>
  <c r="L4" i="50" s="1"/>
  <c r="M4" i="50" s="1"/>
  <c r="N4" i="50" s="1"/>
  <c r="O4" i="50" s="1"/>
  <c r="E192" i="49"/>
  <c r="F192" i="49"/>
  <c r="E193" i="49"/>
  <c r="F193" i="49"/>
  <c r="D30" i="69"/>
  <c r="AG9" i="49"/>
  <c r="AG10" i="49"/>
  <c r="AG11" i="49"/>
  <c r="AG12" i="49"/>
  <c r="AG13" i="49"/>
  <c r="AG14" i="49"/>
  <c r="AG15" i="49"/>
  <c r="AG16" i="49"/>
  <c r="AG17" i="49"/>
  <c r="AG18" i="49"/>
  <c r="AG19" i="49"/>
  <c r="AG20" i="49"/>
  <c r="AG21" i="49"/>
  <c r="AG22" i="49"/>
  <c r="AG23" i="49"/>
  <c r="AG24" i="49"/>
  <c r="AG25" i="49"/>
  <c r="AG26" i="49"/>
  <c r="AG27" i="49"/>
  <c r="AG28" i="49"/>
  <c r="AG29" i="49"/>
  <c r="AG30" i="49"/>
  <c r="AG31" i="49"/>
  <c r="AG32" i="49"/>
  <c r="AG33" i="49"/>
  <c r="AG34" i="49"/>
  <c r="AG35" i="49"/>
  <c r="AG36" i="49"/>
  <c r="AG37" i="49"/>
  <c r="AG38" i="49"/>
  <c r="AG39" i="49"/>
  <c r="AG40" i="49"/>
  <c r="AG41" i="49"/>
  <c r="AG42" i="49"/>
  <c r="AG43" i="49"/>
  <c r="AG44" i="49"/>
  <c r="AG45" i="49"/>
  <c r="AG46" i="49"/>
  <c r="AG47" i="49"/>
  <c r="AG48" i="49"/>
  <c r="AG49" i="49"/>
  <c r="AG50" i="49"/>
  <c r="AG51" i="49"/>
  <c r="AG52" i="49"/>
  <c r="AG53" i="49"/>
  <c r="AG54" i="49"/>
  <c r="AG55" i="49"/>
  <c r="AG56" i="49"/>
  <c r="AG57" i="49"/>
  <c r="AG58" i="49"/>
  <c r="AG59" i="49"/>
  <c r="AG60" i="49"/>
  <c r="AG61" i="49"/>
  <c r="AG62" i="49"/>
  <c r="AG63" i="49"/>
  <c r="AG64" i="49"/>
  <c r="AG65" i="49"/>
  <c r="AG66" i="49"/>
  <c r="AG67" i="49"/>
  <c r="AG68" i="49"/>
  <c r="AG69" i="49"/>
  <c r="AG70" i="49"/>
  <c r="AG71" i="49"/>
  <c r="AG72" i="49"/>
  <c r="AG73" i="49"/>
  <c r="AG74" i="49"/>
  <c r="AG75" i="49"/>
  <c r="AG76" i="49"/>
  <c r="AG77" i="49"/>
  <c r="AG78" i="49"/>
  <c r="AG79" i="49"/>
  <c r="AG80" i="49"/>
  <c r="AG81" i="49"/>
  <c r="AG82" i="49"/>
  <c r="AG83" i="49"/>
  <c r="AG84" i="49"/>
  <c r="AG85" i="49"/>
  <c r="AG86" i="49"/>
  <c r="AG87" i="49"/>
  <c r="AG88" i="49"/>
  <c r="AG89" i="49"/>
  <c r="AG90" i="49"/>
  <c r="AG91" i="49"/>
  <c r="AG92" i="49"/>
  <c r="AG93" i="49"/>
  <c r="AG94" i="49"/>
  <c r="AG95" i="49"/>
  <c r="AG96" i="49"/>
  <c r="AG97" i="49"/>
  <c r="AG98" i="49"/>
  <c r="AG99" i="49"/>
  <c r="AG100" i="49"/>
  <c r="AG101" i="49"/>
  <c r="AG102" i="49"/>
  <c r="AG103" i="49"/>
  <c r="AG104" i="49"/>
  <c r="AG105" i="49"/>
  <c r="AG106" i="49"/>
  <c r="AG107" i="49"/>
  <c r="AG108" i="49"/>
  <c r="AG109" i="49"/>
  <c r="AG110" i="49"/>
  <c r="AG111" i="49"/>
  <c r="AG112" i="49"/>
  <c r="AG113" i="49"/>
  <c r="AG114" i="49"/>
  <c r="AG115" i="49"/>
  <c r="AG116" i="49"/>
  <c r="AG117" i="49"/>
  <c r="AG118" i="49"/>
  <c r="AG119" i="49"/>
  <c r="AG120" i="49"/>
  <c r="AG121" i="49"/>
  <c r="AG122" i="49"/>
  <c r="AG123" i="49"/>
  <c r="AG124" i="49"/>
  <c r="AG125" i="49"/>
  <c r="AG126" i="49"/>
  <c r="AG127" i="49"/>
  <c r="AG128" i="49"/>
  <c r="AG129" i="49"/>
  <c r="AG130" i="49"/>
  <c r="AG131" i="49"/>
  <c r="AG132" i="49"/>
  <c r="AG133" i="49"/>
  <c r="AG134" i="49"/>
  <c r="AG135" i="49"/>
  <c r="AG136" i="49"/>
  <c r="AG137" i="49"/>
  <c r="AG138" i="49"/>
  <c r="AG139" i="49"/>
  <c r="AG140" i="49"/>
  <c r="AG141" i="49"/>
  <c r="AG142" i="49"/>
  <c r="AG143" i="49"/>
  <c r="AG144" i="49"/>
  <c r="AG145" i="49"/>
  <c r="AG146" i="49"/>
  <c r="AG147" i="49"/>
  <c r="AG148" i="49"/>
  <c r="AG149" i="49"/>
  <c r="AG150" i="49"/>
  <c r="AG151" i="49"/>
  <c r="AG152" i="49"/>
  <c r="AG153" i="49"/>
  <c r="AG154" i="49"/>
  <c r="AG155" i="49"/>
  <c r="AG156" i="49"/>
  <c r="AG157" i="49"/>
  <c r="AG158" i="49"/>
  <c r="AG159" i="49"/>
  <c r="AG160" i="49"/>
  <c r="AG161" i="49"/>
  <c r="AG162" i="49"/>
  <c r="AG163" i="49"/>
  <c r="AG164" i="49"/>
  <c r="AG165" i="49"/>
  <c r="AG166" i="49"/>
  <c r="AG167" i="49"/>
  <c r="AG168" i="49"/>
  <c r="AG169" i="49"/>
  <c r="AG170" i="49"/>
  <c r="AG171" i="49"/>
  <c r="AG172" i="49"/>
  <c r="AG173" i="49"/>
  <c r="AG174" i="49"/>
  <c r="AG175" i="49"/>
  <c r="AG176" i="49"/>
  <c r="AG177" i="49"/>
  <c r="AG178" i="49"/>
  <c r="AG179" i="49"/>
  <c r="AG180" i="49"/>
  <c r="AG181" i="49"/>
  <c r="AG182" i="49"/>
  <c r="AG183" i="49"/>
  <c r="AG184" i="49"/>
  <c r="AG185" i="49"/>
  <c r="AG186" i="49"/>
  <c r="AG187" i="49"/>
  <c r="AG188" i="49"/>
  <c r="AG189" i="49"/>
  <c r="AG190" i="49"/>
  <c r="AG191" i="49"/>
  <c r="AG192" i="49"/>
  <c r="AG193" i="49"/>
  <c r="AG194" i="49"/>
  <c r="AG195" i="49"/>
  <c r="AG196" i="49"/>
  <c r="AG197" i="49"/>
  <c r="AG198" i="49"/>
  <c r="AG199" i="49"/>
  <c r="AG200" i="49"/>
  <c r="AG201" i="49"/>
  <c r="AG202" i="49"/>
  <c r="AG203" i="49"/>
  <c r="AG204" i="49"/>
  <c r="AG205" i="49"/>
  <c r="BQ9" i="49"/>
  <c r="BQ10" i="49"/>
  <c r="BQ11" i="49"/>
  <c r="BQ12" i="49"/>
  <c r="BQ13" i="49"/>
  <c r="BQ14" i="49"/>
  <c r="BQ15" i="49"/>
  <c r="BQ16" i="49"/>
  <c r="BQ17" i="49"/>
  <c r="BQ18" i="49"/>
  <c r="BQ19" i="49"/>
  <c r="BQ20" i="49"/>
  <c r="BQ21" i="49"/>
  <c r="BQ22" i="49"/>
  <c r="BQ23" i="49"/>
  <c r="BQ24" i="49"/>
  <c r="BQ25" i="49"/>
  <c r="BQ26" i="49"/>
  <c r="BQ27" i="49"/>
  <c r="BQ28" i="49"/>
  <c r="BQ29" i="49"/>
  <c r="BQ30" i="49"/>
  <c r="BQ31" i="49"/>
  <c r="BQ32" i="49"/>
  <c r="BQ33" i="49"/>
  <c r="BQ34" i="49"/>
  <c r="BQ35" i="49"/>
  <c r="BQ36" i="49"/>
  <c r="BQ37" i="49"/>
  <c r="BQ38" i="49"/>
  <c r="BQ39" i="49"/>
  <c r="BQ40" i="49"/>
  <c r="BQ41" i="49"/>
  <c r="BQ42" i="49"/>
  <c r="BQ43" i="49"/>
  <c r="BQ44" i="49"/>
  <c r="BQ45" i="49"/>
  <c r="BQ46" i="49"/>
  <c r="BQ47" i="49"/>
  <c r="BQ48" i="49"/>
  <c r="BQ49" i="49"/>
  <c r="BQ50" i="49"/>
  <c r="BQ51" i="49"/>
  <c r="BQ52" i="49"/>
  <c r="BQ53" i="49"/>
  <c r="BQ54" i="49"/>
  <c r="BQ55" i="49"/>
  <c r="BQ56" i="49"/>
  <c r="BQ57" i="49"/>
  <c r="BQ58" i="49"/>
  <c r="BQ59" i="49"/>
  <c r="BQ60" i="49"/>
  <c r="BQ61" i="49"/>
  <c r="BQ62" i="49"/>
  <c r="BQ63" i="49"/>
  <c r="BQ64" i="49"/>
  <c r="BQ65" i="49"/>
  <c r="BQ66" i="49"/>
  <c r="BQ67" i="49"/>
  <c r="BQ68" i="49"/>
  <c r="BQ69" i="49"/>
  <c r="BQ70" i="49"/>
  <c r="BQ71" i="49"/>
  <c r="BQ72" i="49"/>
  <c r="BQ73" i="49"/>
  <c r="BQ74" i="49"/>
  <c r="BQ75" i="49"/>
  <c r="BQ76" i="49"/>
  <c r="BQ77" i="49"/>
  <c r="BQ78" i="49"/>
  <c r="BQ79" i="49"/>
  <c r="BQ80" i="49"/>
  <c r="BQ81" i="49"/>
  <c r="BQ82" i="49"/>
  <c r="BQ83" i="49"/>
  <c r="BQ84" i="49"/>
  <c r="BQ85" i="49"/>
  <c r="BQ86" i="49"/>
  <c r="BQ87" i="49"/>
  <c r="BQ88" i="49"/>
  <c r="BQ89" i="49"/>
  <c r="BQ90" i="49"/>
  <c r="BQ91" i="49"/>
  <c r="BQ92" i="49"/>
  <c r="BQ93" i="49"/>
  <c r="BQ94" i="49"/>
  <c r="BQ95" i="49"/>
  <c r="BQ96" i="49"/>
  <c r="BQ97" i="49"/>
  <c r="BQ98" i="49"/>
  <c r="BQ99" i="49"/>
  <c r="BQ100" i="49"/>
  <c r="BQ101" i="49"/>
  <c r="BQ102" i="49"/>
  <c r="BQ103" i="49"/>
  <c r="BQ104" i="49"/>
  <c r="BQ105" i="49"/>
  <c r="BQ106" i="49"/>
  <c r="BQ107" i="49"/>
  <c r="BQ108" i="49"/>
  <c r="BQ109" i="49"/>
  <c r="BQ110" i="49"/>
  <c r="BQ111" i="49"/>
  <c r="BQ112" i="49"/>
  <c r="BQ113" i="49"/>
  <c r="BQ114" i="49"/>
  <c r="BQ115" i="49"/>
  <c r="BQ116" i="49"/>
  <c r="BQ117" i="49"/>
  <c r="BQ118" i="49"/>
  <c r="BQ119" i="49"/>
  <c r="BQ120" i="49"/>
  <c r="BQ121" i="49"/>
  <c r="BQ122" i="49"/>
  <c r="BQ123" i="49"/>
  <c r="BQ124" i="49"/>
  <c r="BQ125" i="49"/>
  <c r="BQ126" i="49"/>
  <c r="BQ127" i="49"/>
  <c r="BQ128" i="49"/>
  <c r="BQ129" i="49"/>
  <c r="BQ130" i="49"/>
  <c r="BQ131" i="49"/>
  <c r="BQ132" i="49"/>
  <c r="BQ133" i="49"/>
  <c r="BQ134" i="49"/>
  <c r="BQ135" i="49"/>
  <c r="BQ136" i="49"/>
  <c r="BQ137" i="49"/>
  <c r="BQ138" i="49"/>
  <c r="BQ139" i="49"/>
  <c r="BQ140" i="49"/>
  <c r="BQ141" i="49"/>
  <c r="BQ142" i="49"/>
  <c r="BQ143" i="49"/>
  <c r="BQ144" i="49"/>
  <c r="BQ145" i="49"/>
  <c r="BQ146" i="49"/>
  <c r="BQ147" i="49"/>
  <c r="BQ148" i="49"/>
  <c r="BQ149" i="49"/>
  <c r="BQ150" i="49"/>
  <c r="BQ151" i="49"/>
  <c r="BQ152" i="49"/>
  <c r="BQ153" i="49"/>
  <c r="BQ154" i="49"/>
  <c r="BQ155" i="49"/>
  <c r="BQ156" i="49"/>
  <c r="BQ157" i="49"/>
  <c r="BQ158" i="49"/>
  <c r="BQ159" i="49"/>
  <c r="BQ160" i="49"/>
  <c r="BQ161" i="49"/>
  <c r="BQ162" i="49"/>
  <c r="BQ163" i="49"/>
  <c r="BQ164" i="49"/>
  <c r="BQ165" i="49"/>
  <c r="BQ166" i="49"/>
  <c r="BQ167" i="49"/>
  <c r="BQ168" i="49"/>
  <c r="BQ169" i="49"/>
  <c r="BQ170" i="49"/>
  <c r="BQ171" i="49"/>
  <c r="BQ172" i="49"/>
  <c r="BQ173" i="49"/>
  <c r="BQ174" i="49"/>
  <c r="BQ175" i="49"/>
  <c r="BQ176" i="49"/>
  <c r="BQ177" i="49"/>
  <c r="BQ178" i="49"/>
  <c r="BQ179" i="49"/>
  <c r="BQ180" i="49"/>
  <c r="BQ181" i="49"/>
  <c r="BQ182" i="49"/>
  <c r="BQ183" i="49"/>
  <c r="BQ184" i="49"/>
  <c r="BQ185" i="49"/>
  <c r="BQ186" i="49"/>
  <c r="BQ187" i="49"/>
  <c r="BQ188" i="49"/>
  <c r="BQ189" i="49"/>
  <c r="BQ190" i="49"/>
  <c r="BQ191" i="49"/>
  <c r="BQ192" i="49"/>
  <c r="BQ193" i="49"/>
  <c r="BQ194" i="49"/>
  <c r="BQ195" i="49"/>
  <c r="BQ196" i="49"/>
  <c r="BQ197" i="49"/>
  <c r="BQ198" i="49"/>
  <c r="BQ199" i="49"/>
  <c r="BQ200" i="49"/>
  <c r="BQ201" i="49"/>
  <c r="BQ202" i="49"/>
  <c r="BQ203" i="49"/>
  <c r="BQ204" i="49"/>
  <c r="BQ205" i="49"/>
  <c r="E185" i="49"/>
  <c r="F185" i="49"/>
  <c r="E162" i="49"/>
  <c r="F162" i="49"/>
  <c r="E160" i="49"/>
  <c r="G160" i="49" s="1"/>
  <c r="F160" i="49"/>
  <c r="E175" i="49"/>
  <c r="F175" i="49"/>
  <c r="E174" i="49"/>
  <c r="F174" i="49"/>
  <c r="E173" i="49"/>
  <c r="G173" i="49" s="1"/>
  <c r="F173" i="49"/>
  <c r="E172" i="49"/>
  <c r="F172" i="49"/>
  <c r="E171" i="49"/>
  <c r="G171" i="49" s="1"/>
  <c r="F171" i="49"/>
  <c r="E170" i="49"/>
  <c r="F170" i="49"/>
  <c r="E183" i="49"/>
  <c r="F183" i="49"/>
  <c r="E182" i="49"/>
  <c r="F182" i="49"/>
  <c r="E158" i="49"/>
  <c r="F158" i="49"/>
  <c r="E154" i="49"/>
  <c r="F154" i="49"/>
  <c r="G154" i="49"/>
  <c r="E148" i="49"/>
  <c r="F148" i="49"/>
  <c r="E149" i="49"/>
  <c r="G149" i="49" s="1"/>
  <c r="F149" i="49"/>
  <c r="E147" i="49"/>
  <c r="F147" i="49"/>
  <c r="E146" i="49"/>
  <c r="F146" i="49"/>
  <c r="G146" i="49" s="1"/>
  <c r="E145" i="49"/>
  <c r="F145" i="49"/>
  <c r="E144" i="49"/>
  <c r="G144" i="49" s="1"/>
  <c r="F144" i="49"/>
  <c r="E143" i="49"/>
  <c r="F143" i="49"/>
  <c r="E142" i="49"/>
  <c r="F142" i="49"/>
  <c r="E141" i="49"/>
  <c r="F141" i="49"/>
  <c r="E140" i="49"/>
  <c r="G140" i="49" s="1"/>
  <c r="F140" i="49"/>
  <c r="E139" i="49"/>
  <c r="F139" i="49"/>
  <c r="E138" i="49"/>
  <c r="F138" i="49"/>
  <c r="E137" i="49"/>
  <c r="F137" i="49"/>
  <c r="E136" i="49"/>
  <c r="G136" i="49" s="1"/>
  <c r="F136" i="49"/>
  <c r="E135" i="49"/>
  <c r="F135" i="49"/>
  <c r="E134" i="49"/>
  <c r="F134" i="49"/>
  <c r="E133" i="49"/>
  <c r="F133" i="49"/>
  <c r="E132" i="49"/>
  <c r="F132" i="49"/>
  <c r="E131" i="49"/>
  <c r="F131" i="49"/>
  <c r="E130" i="49"/>
  <c r="F130" i="49"/>
  <c r="E129" i="49"/>
  <c r="F129" i="49"/>
  <c r="E92" i="49"/>
  <c r="F92" i="49"/>
  <c r="E164" i="49"/>
  <c r="F164" i="49"/>
  <c r="E128" i="49"/>
  <c r="F128" i="49"/>
  <c r="E118" i="49"/>
  <c r="F118" i="49"/>
  <c r="E178" i="49"/>
  <c r="F178" i="49"/>
  <c r="E111" i="49"/>
  <c r="F111" i="49"/>
  <c r="E110" i="49"/>
  <c r="F110" i="49"/>
  <c r="E109" i="49"/>
  <c r="F109" i="49"/>
  <c r="E108" i="49"/>
  <c r="F108" i="49"/>
  <c r="E107" i="49"/>
  <c r="F107" i="49"/>
  <c r="E106" i="49"/>
  <c r="F106" i="49"/>
  <c r="E105" i="49"/>
  <c r="F105" i="49"/>
  <c r="E104" i="49"/>
  <c r="F104" i="49"/>
  <c r="E103" i="49"/>
  <c r="F103" i="49"/>
  <c r="G103" i="49" s="1"/>
  <c r="E102" i="49"/>
  <c r="G102" i="49" s="1"/>
  <c r="F102" i="49"/>
  <c r="E101" i="49"/>
  <c r="F101" i="49"/>
  <c r="E100" i="49"/>
  <c r="F100" i="49"/>
  <c r="E99" i="49"/>
  <c r="F99" i="49"/>
  <c r="E97" i="49"/>
  <c r="F97" i="49"/>
  <c r="E90" i="49"/>
  <c r="F90" i="49"/>
  <c r="E88" i="49"/>
  <c r="F88" i="49"/>
  <c r="E87" i="49"/>
  <c r="F87" i="49"/>
  <c r="E86" i="49"/>
  <c r="F86" i="49"/>
  <c r="E84" i="49"/>
  <c r="F84" i="49"/>
  <c r="E83" i="49"/>
  <c r="G83" i="49" s="1"/>
  <c r="F83" i="49"/>
  <c r="E82" i="49"/>
  <c r="F82" i="49"/>
  <c r="E81" i="49"/>
  <c r="F81" i="49"/>
  <c r="E80" i="49"/>
  <c r="F80" i="49"/>
  <c r="E74" i="49"/>
  <c r="F74" i="49"/>
  <c r="E72" i="49"/>
  <c r="F72" i="49"/>
  <c r="E71" i="49"/>
  <c r="F71" i="49"/>
  <c r="E70" i="49"/>
  <c r="F70" i="49"/>
  <c r="E69" i="49"/>
  <c r="F69" i="49"/>
  <c r="E68" i="49"/>
  <c r="F68" i="49"/>
  <c r="E62" i="49"/>
  <c r="G62" i="49" s="1"/>
  <c r="F62" i="49"/>
  <c r="E67" i="49"/>
  <c r="F67" i="49"/>
  <c r="E66" i="49"/>
  <c r="F66" i="49"/>
  <c r="E65" i="49"/>
  <c r="F65" i="49"/>
  <c r="G65" i="49" s="1"/>
  <c r="E64" i="49"/>
  <c r="G64" i="49" s="1"/>
  <c r="F64" i="49"/>
  <c r="E63" i="49"/>
  <c r="F63" i="49"/>
  <c r="E61" i="49"/>
  <c r="F61" i="49"/>
  <c r="E60" i="49"/>
  <c r="F60" i="49"/>
  <c r="G60" i="49" s="1"/>
  <c r="E59" i="49"/>
  <c r="G59" i="49" s="1"/>
  <c r="F59" i="49"/>
  <c r="E58" i="49"/>
  <c r="F58" i="49"/>
  <c r="E57" i="49"/>
  <c r="G57" i="49" s="1"/>
  <c r="F57" i="49"/>
  <c r="E56" i="49"/>
  <c r="F56" i="49"/>
  <c r="E55" i="49"/>
  <c r="F55" i="49"/>
  <c r="E53" i="49"/>
  <c r="G53" i="49" s="1"/>
  <c r="F53" i="49"/>
  <c r="E45" i="49"/>
  <c r="F45" i="49"/>
  <c r="E44" i="49"/>
  <c r="F44" i="49"/>
  <c r="E49" i="49"/>
  <c r="G49" i="49" s="1"/>
  <c r="F49" i="49"/>
  <c r="E48" i="49"/>
  <c r="F48" i="49"/>
  <c r="E47" i="49"/>
  <c r="G47" i="49" s="1"/>
  <c r="F47" i="49"/>
  <c r="E46" i="49"/>
  <c r="F46" i="49"/>
  <c r="G46" i="49" s="1"/>
  <c r="E43" i="49"/>
  <c r="G43" i="49" s="1"/>
  <c r="F43" i="49"/>
  <c r="E42" i="49"/>
  <c r="F42" i="49"/>
  <c r="E41" i="49"/>
  <c r="F41" i="49"/>
  <c r="E40" i="49"/>
  <c r="F40" i="49"/>
  <c r="E36" i="49"/>
  <c r="G36" i="49" s="1"/>
  <c r="F36" i="49"/>
  <c r="E35" i="49"/>
  <c r="G35" i="49" s="1"/>
  <c r="F35" i="49"/>
  <c r="E34" i="49"/>
  <c r="F34" i="49"/>
  <c r="E33" i="49"/>
  <c r="F33" i="49"/>
  <c r="G33" i="49" s="1"/>
  <c r="E32" i="49"/>
  <c r="G32" i="49" s="1"/>
  <c r="F32" i="49"/>
  <c r="E31" i="49"/>
  <c r="G31" i="49" s="1"/>
  <c r="F31" i="49"/>
  <c r="E30" i="49"/>
  <c r="F30" i="49"/>
  <c r="E27" i="49"/>
  <c r="F27" i="49"/>
  <c r="E25" i="49"/>
  <c r="G25" i="49" s="1"/>
  <c r="F25" i="49"/>
  <c r="E24" i="49"/>
  <c r="G24" i="49" s="1"/>
  <c r="F24" i="49"/>
  <c r="E23" i="49"/>
  <c r="F23" i="49"/>
  <c r="E22" i="49"/>
  <c r="F22" i="49"/>
  <c r="E21" i="49"/>
  <c r="G21" i="49" s="1"/>
  <c r="F21" i="49"/>
  <c r="E19" i="49"/>
  <c r="F19" i="49"/>
  <c r="E18" i="49"/>
  <c r="G18" i="49" s="1"/>
  <c r="F18" i="49"/>
  <c r="E17" i="49"/>
  <c r="F17" i="49"/>
  <c r="E16" i="49"/>
  <c r="F16" i="49"/>
  <c r="E15" i="49"/>
  <c r="F15" i="49"/>
  <c r="E12" i="49"/>
  <c r="F12" i="49"/>
  <c r="E11" i="49"/>
  <c r="F11" i="49"/>
  <c r="G11" i="49" s="1"/>
  <c r="E10" i="49"/>
  <c r="F10" i="49"/>
  <c r="M7" i="50"/>
  <c r="L7" i="50"/>
  <c r="L32" i="50" s="1"/>
  <c r="BP123" i="49"/>
  <c r="BP131" i="49"/>
  <c r="BP133" i="49"/>
  <c r="BO123" i="49"/>
  <c r="BO131" i="49"/>
  <c r="BO133" i="49"/>
  <c r="BN181" i="49"/>
  <c r="BN180" i="49"/>
  <c r="BN176" i="49"/>
  <c r="BN118" i="49"/>
  <c r="BN120" i="49"/>
  <c r="BM181" i="49"/>
  <c r="BM180" i="49"/>
  <c r="BM176" i="49"/>
  <c r="BM118" i="49"/>
  <c r="BM120" i="49"/>
  <c r="BL181" i="49"/>
  <c r="BL180" i="49"/>
  <c r="BL176" i="49"/>
  <c r="BL118" i="49"/>
  <c r="BL120" i="49"/>
  <c r="BK181" i="49"/>
  <c r="BK180" i="49"/>
  <c r="BK176" i="49"/>
  <c r="BK118" i="49"/>
  <c r="BK120" i="49"/>
  <c r="BJ181" i="49"/>
  <c r="BJ180" i="49"/>
  <c r="BJ176" i="49"/>
  <c r="BJ118" i="49"/>
  <c r="BJ120" i="49"/>
  <c r="BI181" i="49"/>
  <c r="BI180" i="49"/>
  <c r="BI176" i="49"/>
  <c r="BI118" i="49"/>
  <c r="BI120" i="49"/>
  <c r="BH181" i="49"/>
  <c r="BH180" i="49"/>
  <c r="BH176" i="49"/>
  <c r="BH118" i="49"/>
  <c r="BH120" i="49"/>
  <c r="BG181" i="49"/>
  <c r="BG180" i="49"/>
  <c r="BG176" i="49"/>
  <c r="BG118" i="49"/>
  <c r="BG120" i="49"/>
  <c r="BF181" i="49"/>
  <c r="BF180" i="49"/>
  <c r="BF176" i="49"/>
  <c r="BF118" i="49"/>
  <c r="BF120" i="49"/>
  <c r="BE181" i="49"/>
  <c r="BE180" i="49"/>
  <c r="BE176" i="49"/>
  <c r="BE118" i="49"/>
  <c r="BE120" i="49"/>
  <c r="BD181" i="49"/>
  <c r="BD180" i="49"/>
  <c r="BD176" i="49"/>
  <c r="BD118" i="49"/>
  <c r="BD120" i="49"/>
  <c r="BC181" i="49"/>
  <c r="BC180" i="49"/>
  <c r="BC176" i="49"/>
  <c r="BC118" i="49"/>
  <c r="BC120" i="49"/>
  <c r="BA181" i="49"/>
  <c r="BA180" i="49"/>
  <c r="BA176" i="49"/>
  <c r="BA118" i="49"/>
  <c r="BA120" i="49"/>
  <c r="AZ181" i="49"/>
  <c r="AZ180" i="49"/>
  <c r="AZ176" i="49"/>
  <c r="AZ118" i="49"/>
  <c r="AZ120" i="49"/>
  <c r="AY181" i="49"/>
  <c r="AY180" i="49"/>
  <c r="AY176" i="49"/>
  <c r="AY118" i="49"/>
  <c r="AY120" i="49"/>
  <c r="AX181" i="49"/>
  <c r="AX180" i="49"/>
  <c r="AX176" i="49"/>
  <c r="AX118" i="49"/>
  <c r="AX120" i="49"/>
  <c r="AW181" i="49"/>
  <c r="AW180" i="49"/>
  <c r="AW176" i="49"/>
  <c r="AW118" i="49"/>
  <c r="AW120" i="49"/>
  <c r="AV181" i="49"/>
  <c r="AV180" i="49"/>
  <c r="AV176" i="49"/>
  <c r="AV118" i="49"/>
  <c r="AV120" i="49"/>
  <c r="AT181" i="49"/>
  <c r="AT180" i="49"/>
  <c r="AT176" i="49"/>
  <c r="AT118" i="49"/>
  <c r="AT120" i="49"/>
  <c r="AR181" i="49"/>
  <c r="AR180" i="49"/>
  <c r="AR176" i="49"/>
  <c r="AR118" i="49"/>
  <c r="AR120" i="49"/>
  <c r="E176" i="49"/>
  <c r="F176" i="49"/>
  <c r="AP181" i="49"/>
  <c r="AP180" i="49"/>
  <c r="AP176" i="49"/>
  <c r="AP118" i="49"/>
  <c r="AP120" i="49"/>
  <c r="AO181" i="49"/>
  <c r="AO180" i="49"/>
  <c r="AO176" i="49"/>
  <c r="AO118" i="49"/>
  <c r="AO120" i="49"/>
  <c r="AN181" i="49"/>
  <c r="AN180" i="49"/>
  <c r="AN176" i="49"/>
  <c r="AN118" i="49"/>
  <c r="AN120" i="49"/>
  <c r="AM181" i="49"/>
  <c r="AM180" i="49"/>
  <c r="AM176" i="49"/>
  <c r="AM118" i="49"/>
  <c r="AM120" i="49"/>
  <c r="AL181" i="49"/>
  <c r="AL180" i="49"/>
  <c r="AL176" i="49"/>
  <c r="AL118" i="49"/>
  <c r="AL120" i="49"/>
  <c r="AK181" i="49"/>
  <c r="AK180" i="49"/>
  <c r="AK176" i="49"/>
  <c r="AK118" i="49"/>
  <c r="AK120" i="49"/>
  <c r="AJ181" i="49"/>
  <c r="AJ180" i="49"/>
  <c r="AJ176" i="49"/>
  <c r="AJ118" i="49"/>
  <c r="AJ120" i="49"/>
  <c r="AI181" i="49"/>
  <c r="AI180" i="49"/>
  <c r="AI176" i="49"/>
  <c r="AI118" i="49"/>
  <c r="AI120" i="49"/>
  <c r="E181" i="49"/>
  <c r="F181" i="49"/>
  <c r="E180" i="49"/>
  <c r="F180" i="49"/>
  <c r="E120" i="49"/>
  <c r="F120" i="49"/>
  <c r="BP122" i="49"/>
  <c r="BP130" i="49"/>
  <c r="BP132" i="49"/>
  <c r="BO122" i="49"/>
  <c r="BO130" i="49"/>
  <c r="BO132" i="49"/>
  <c r="BN98" i="49"/>
  <c r="BN101" i="49"/>
  <c r="BN100" i="49"/>
  <c r="BM98" i="49"/>
  <c r="BM101" i="49"/>
  <c r="BM100" i="49"/>
  <c r="BL98" i="49"/>
  <c r="BL101" i="49"/>
  <c r="BL100" i="49"/>
  <c r="BK98" i="49"/>
  <c r="BK101" i="49"/>
  <c r="BK100" i="49"/>
  <c r="BJ98" i="49"/>
  <c r="BJ101" i="49"/>
  <c r="BJ100" i="49"/>
  <c r="BI98" i="49"/>
  <c r="BI101" i="49"/>
  <c r="BI100" i="49"/>
  <c r="BH98" i="49"/>
  <c r="BH101" i="49"/>
  <c r="BH100" i="49"/>
  <c r="BG98" i="49"/>
  <c r="BG101" i="49"/>
  <c r="BG100" i="49"/>
  <c r="BF98" i="49"/>
  <c r="BF101" i="49"/>
  <c r="BF100" i="49"/>
  <c r="BE98" i="49"/>
  <c r="BE101" i="49"/>
  <c r="BE100" i="49"/>
  <c r="BD98" i="49"/>
  <c r="BD101" i="49"/>
  <c r="BD100" i="49"/>
  <c r="BC98" i="49"/>
  <c r="BC101" i="49"/>
  <c r="BC100" i="49"/>
  <c r="BA98" i="49"/>
  <c r="BA101" i="49"/>
  <c r="BA100" i="49"/>
  <c r="AZ98" i="49"/>
  <c r="AZ101" i="49"/>
  <c r="AZ100" i="49"/>
  <c r="AY98" i="49"/>
  <c r="AY101" i="49"/>
  <c r="AY100" i="49"/>
  <c r="AX98" i="49"/>
  <c r="AX101" i="49"/>
  <c r="AX100" i="49"/>
  <c r="AW98" i="49"/>
  <c r="AW101" i="49"/>
  <c r="AW100" i="49"/>
  <c r="AV98" i="49"/>
  <c r="AV101" i="49"/>
  <c r="AV100" i="49"/>
  <c r="AT98" i="49"/>
  <c r="AT101" i="49"/>
  <c r="AT100" i="49"/>
  <c r="AR98" i="49"/>
  <c r="AR101" i="49"/>
  <c r="AR100" i="49"/>
  <c r="AP98" i="49"/>
  <c r="AP101" i="49"/>
  <c r="AP100" i="49"/>
  <c r="AO98" i="49"/>
  <c r="AO101" i="49"/>
  <c r="AO100" i="49"/>
  <c r="F98" i="49"/>
  <c r="AN98" i="49"/>
  <c r="AN101" i="49"/>
  <c r="AN100" i="49"/>
  <c r="E98" i="49"/>
  <c r="AM98" i="49"/>
  <c r="AM101" i="49"/>
  <c r="AM100" i="49"/>
  <c r="AL98" i="49"/>
  <c r="AL101" i="49"/>
  <c r="AL100" i="49"/>
  <c r="AK98" i="49"/>
  <c r="AK101" i="49"/>
  <c r="AK100" i="49"/>
  <c r="AJ98" i="49"/>
  <c r="AJ101" i="49"/>
  <c r="AJ100" i="49"/>
  <c r="AI98" i="49"/>
  <c r="AI101" i="49"/>
  <c r="AI100" i="49"/>
  <c r="BP128" i="49"/>
  <c r="BP129" i="49"/>
  <c r="BO128" i="49"/>
  <c r="BO129" i="49"/>
  <c r="BN151" i="49"/>
  <c r="BN99" i="49"/>
  <c r="BN97" i="49"/>
  <c r="BM151" i="49"/>
  <c r="BM99" i="49"/>
  <c r="BM97" i="49"/>
  <c r="BL151" i="49"/>
  <c r="BL99" i="49"/>
  <c r="BL97" i="49"/>
  <c r="BK151" i="49"/>
  <c r="BK99" i="49"/>
  <c r="BK97" i="49"/>
  <c r="BJ151" i="49"/>
  <c r="BJ99" i="49"/>
  <c r="BJ97" i="49"/>
  <c r="BI151" i="49"/>
  <c r="BI99" i="49"/>
  <c r="BI97" i="49"/>
  <c r="BH151" i="49"/>
  <c r="BH99" i="49"/>
  <c r="BH97" i="49"/>
  <c r="BG151" i="49"/>
  <c r="BG99" i="49"/>
  <c r="BG97" i="49"/>
  <c r="BF151" i="49"/>
  <c r="BF99" i="49"/>
  <c r="BF97" i="49"/>
  <c r="BE151" i="49"/>
  <c r="BE99" i="49"/>
  <c r="BE97" i="49"/>
  <c r="BD151" i="49"/>
  <c r="BD99" i="49"/>
  <c r="BD97" i="49"/>
  <c r="BC151" i="49"/>
  <c r="BC99" i="49"/>
  <c r="BC97" i="49"/>
  <c r="BA151" i="49"/>
  <c r="BA99" i="49"/>
  <c r="BA97" i="49"/>
  <c r="AZ151" i="49"/>
  <c r="AZ99" i="49"/>
  <c r="AZ97" i="49"/>
  <c r="AY151" i="49"/>
  <c r="AY99" i="49"/>
  <c r="AY97" i="49"/>
  <c r="AX151" i="49"/>
  <c r="AX99" i="49"/>
  <c r="AX97" i="49"/>
  <c r="AW151" i="49"/>
  <c r="AW99" i="49"/>
  <c r="AW97" i="49"/>
  <c r="AV151" i="49"/>
  <c r="AV99" i="49"/>
  <c r="AV97" i="49"/>
  <c r="AT151" i="49"/>
  <c r="AT99" i="49"/>
  <c r="AT97" i="49"/>
  <c r="AR151" i="49"/>
  <c r="AR99" i="49"/>
  <c r="AR97" i="49"/>
  <c r="AP151" i="49"/>
  <c r="AP99" i="49"/>
  <c r="AP97" i="49"/>
  <c r="AO151" i="49"/>
  <c r="AO99" i="49"/>
  <c r="AO97" i="49"/>
  <c r="AN151" i="49"/>
  <c r="AN99" i="49"/>
  <c r="AN97" i="49"/>
  <c r="AM151" i="49"/>
  <c r="AM99" i="49"/>
  <c r="AM97" i="49"/>
  <c r="F151" i="49"/>
  <c r="AL151" i="49"/>
  <c r="AL99" i="49"/>
  <c r="AL97" i="49"/>
  <c r="E151" i="49"/>
  <c r="G151" i="49" s="1"/>
  <c r="AK151" i="49"/>
  <c r="AK99" i="49"/>
  <c r="AK97" i="49"/>
  <c r="AJ151" i="49"/>
  <c r="AJ99" i="49"/>
  <c r="AJ97" i="49"/>
  <c r="AI151" i="49"/>
  <c r="AI99" i="49"/>
  <c r="AI97" i="49"/>
  <c r="BP121" i="49"/>
  <c r="BO121" i="49"/>
  <c r="BN96" i="49"/>
  <c r="BM96" i="49"/>
  <c r="BL96" i="49"/>
  <c r="BK96" i="49"/>
  <c r="BJ96" i="49"/>
  <c r="BI96" i="49"/>
  <c r="BH96" i="49"/>
  <c r="BG96" i="49"/>
  <c r="BF96" i="49"/>
  <c r="BE96" i="49"/>
  <c r="BD96" i="49"/>
  <c r="BC96" i="49"/>
  <c r="BA96" i="49"/>
  <c r="AZ96" i="49"/>
  <c r="AY96" i="49"/>
  <c r="AX96" i="49"/>
  <c r="AW96" i="49"/>
  <c r="AV96" i="49"/>
  <c r="AT96" i="49"/>
  <c r="AR96" i="49"/>
  <c r="AP96" i="49"/>
  <c r="AO96" i="49"/>
  <c r="AN96" i="49"/>
  <c r="AM96" i="49"/>
  <c r="AL96" i="49"/>
  <c r="AK96" i="49"/>
  <c r="AJ96" i="49"/>
  <c r="AI96" i="49"/>
  <c r="E96" i="49"/>
  <c r="F96" i="49"/>
  <c r="BP118" i="49"/>
  <c r="BP127" i="49"/>
  <c r="BO118" i="49"/>
  <c r="BO127" i="49"/>
  <c r="BN89" i="49"/>
  <c r="BN119" i="49"/>
  <c r="BN95" i="49"/>
  <c r="BM89" i="49"/>
  <c r="BM119" i="49"/>
  <c r="BM95" i="49"/>
  <c r="BL89" i="49"/>
  <c r="BL119" i="49"/>
  <c r="BL95" i="49"/>
  <c r="BK89" i="49"/>
  <c r="BK119" i="49"/>
  <c r="BK95" i="49"/>
  <c r="BJ89" i="49"/>
  <c r="BJ119" i="49"/>
  <c r="BJ95" i="49"/>
  <c r="BI89" i="49"/>
  <c r="BI119" i="49"/>
  <c r="BI95" i="49"/>
  <c r="BH89" i="49"/>
  <c r="BH119" i="49"/>
  <c r="BH95" i="49"/>
  <c r="BG89" i="49"/>
  <c r="BG119" i="49"/>
  <c r="BG95" i="49"/>
  <c r="BF89" i="49"/>
  <c r="BF119" i="49"/>
  <c r="BF95" i="49"/>
  <c r="BE89" i="49"/>
  <c r="BE119" i="49"/>
  <c r="BE95" i="49"/>
  <c r="BD89" i="49"/>
  <c r="BD119" i="49"/>
  <c r="BD95" i="49"/>
  <c r="BC89" i="49"/>
  <c r="BC119" i="49"/>
  <c r="BC95" i="49"/>
  <c r="BA89" i="49"/>
  <c r="BA119" i="49"/>
  <c r="BA95" i="49"/>
  <c r="AZ89" i="49"/>
  <c r="AZ119" i="49"/>
  <c r="AZ95" i="49"/>
  <c r="AY89" i="49"/>
  <c r="AY119" i="49"/>
  <c r="AY95" i="49"/>
  <c r="AX89" i="49"/>
  <c r="AX119" i="49"/>
  <c r="AX95" i="49"/>
  <c r="AW89" i="49"/>
  <c r="AW119" i="49"/>
  <c r="AW95" i="49"/>
  <c r="AV89" i="49"/>
  <c r="AV119" i="49"/>
  <c r="AV95" i="49"/>
  <c r="AT89" i="49"/>
  <c r="AT119" i="49"/>
  <c r="AT95" i="49"/>
  <c r="AR89" i="49"/>
  <c r="AR119" i="49"/>
  <c r="AR95" i="49"/>
  <c r="AP89" i="49"/>
  <c r="AP119" i="49"/>
  <c r="AP95" i="49"/>
  <c r="AO89" i="49"/>
  <c r="AO119" i="49"/>
  <c r="AO95" i="49"/>
  <c r="AN89" i="49"/>
  <c r="AN119" i="49"/>
  <c r="AN95" i="49"/>
  <c r="AM89" i="49"/>
  <c r="AM119" i="49"/>
  <c r="BR119" i="49" s="1"/>
  <c r="AM95" i="49"/>
  <c r="F89" i="49"/>
  <c r="AL89" i="49"/>
  <c r="F119" i="49"/>
  <c r="AL119" i="49"/>
  <c r="AL95" i="49"/>
  <c r="E89" i="49"/>
  <c r="AK89" i="49"/>
  <c r="E119" i="49"/>
  <c r="AK119" i="49"/>
  <c r="AK95" i="49"/>
  <c r="AJ89" i="49"/>
  <c r="AJ119" i="49"/>
  <c r="AJ95" i="49"/>
  <c r="AI89" i="49"/>
  <c r="AI119" i="49"/>
  <c r="AI95" i="49"/>
  <c r="E95" i="49"/>
  <c r="F95" i="49"/>
  <c r="BP117" i="49"/>
  <c r="BP126" i="49"/>
  <c r="BO117" i="49"/>
  <c r="BO126" i="49"/>
  <c r="BN179" i="49"/>
  <c r="BN117" i="49"/>
  <c r="BM179" i="49"/>
  <c r="BM117" i="49"/>
  <c r="BL179" i="49"/>
  <c r="BL117" i="49"/>
  <c r="BK179" i="49"/>
  <c r="BK117" i="49"/>
  <c r="E179" i="49"/>
  <c r="G179" i="49" s="1"/>
  <c r="F179" i="49"/>
  <c r="BJ179" i="49"/>
  <c r="BJ117" i="49"/>
  <c r="BI179" i="49"/>
  <c r="BI117" i="49"/>
  <c r="BH179" i="49"/>
  <c r="BH117" i="49"/>
  <c r="BG179" i="49"/>
  <c r="BG117" i="49"/>
  <c r="BF179" i="49"/>
  <c r="BF117" i="49"/>
  <c r="BE179" i="49"/>
  <c r="BE117" i="49"/>
  <c r="BD179" i="49"/>
  <c r="BD117" i="49"/>
  <c r="BC179" i="49"/>
  <c r="BC117" i="49"/>
  <c r="BA179" i="49"/>
  <c r="BA117" i="49"/>
  <c r="AZ179" i="49"/>
  <c r="AZ117" i="49"/>
  <c r="AY179" i="49"/>
  <c r="AY117" i="49"/>
  <c r="AX179" i="49"/>
  <c r="AX117" i="49"/>
  <c r="AW179" i="49"/>
  <c r="AW117" i="49"/>
  <c r="AV179" i="49"/>
  <c r="AV117" i="49"/>
  <c r="AT179" i="49"/>
  <c r="AT117" i="49"/>
  <c r="AR179" i="49"/>
  <c r="AR117" i="49"/>
  <c r="AP179" i="49"/>
  <c r="AP117" i="49"/>
  <c r="AO179" i="49"/>
  <c r="AO117" i="49"/>
  <c r="AN179" i="49"/>
  <c r="AN117" i="49"/>
  <c r="AM179" i="49"/>
  <c r="AM117" i="49"/>
  <c r="AL179" i="49"/>
  <c r="F117" i="49"/>
  <c r="AL117" i="49"/>
  <c r="AK179" i="49"/>
  <c r="E117" i="49"/>
  <c r="AK117" i="49"/>
  <c r="AJ179" i="49"/>
  <c r="AJ117" i="49"/>
  <c r="AI179" i="49"/>
  <c r="AI117" i="49"/>
  <c r="BP165" i="49"/>
  <c r="BP125" i="49"/>
  <c r="BO165" i="49"/>
  <c r="BO125" i="49"/>
  <c r="BN178" i="49"/>
  <c r="BN115" i="49"/>
  <c r="BM178" i="49"/>
  <c r="BM115" i="49"/>
  <c r="BL178" i="49"/>
  <c r="BL115" i="49"/>
  <c r="BK178" i="49"/>
  <c r="BK115" i="49"/>
  <c r="BJ178" i="49"/>
  <c r="BJ115" i="49"/>
  <c r="BI178" i="49"/>
  <c r="BI115" i="49"/>
  <c r="BH178" i="49"/>
  <c r="BH115" i="49"/>
  <c r="BG178" i="49"/>
  <c r="BG115" i="49"/>
  <c r="BF178" i="49"/>
  <c r="BF115" i="49"/>
  <c r="BE178" i="49"/>
  <c r="BE115" i="49"/>
  <c r="BD178" i="49"/>
  <c r="BD115" i="49"/>
  <c r="BC178" i="49"/>
  <c r="BC115" i="49"/>
  <c r="BA178" i="49"/>
  <c r="BA115" i="49"/>
  <c r="AZ178" i="49"/>
  <c r="AZ115" i="49"/>
  <c r="AY178" i="49"/>
  <c r="AY115" i="49"/>
  <c r="AX178" i="49"/>
  <c r="AX115" i="49"/>
  <c r="AW178" i="49"/>
  <c r="AW115" i="49"/>
  <c r="AV178" i="49"/>
  <c r="AV115" i="49"/>
  <c r="AT178" i="49"/>
  <c r="AT115" i="49"/>
  <c r="AR178" i="49"/>
  <c r="AR115" i="49"/>
  <c r="AP178" i="49"/>
  <c r="AP115" i="49"/>
  <c r="AO178" i="49"/>
  <c r="AO115" i="49"/>
  <c r="AN178" i="49"/>
  <c r="AN115" i="49"/>
  <c r="AM178" i="49"/>
  <c r="AM115" i="49"/>
  <c r="AL178" i="49"/>
  <c r="AL115" i="49"/>
  <c r="AK178" i="49"/>
  <c r="AK115" i="49"/>
  <c r="AJ178" i="49"/>
  <c r="AJ115" i="49"/>
  <c r="AI178" i="49"/>
  <c r="AI115" i="49"/>
  <c r="E115" i="49"/>
  <c r="G115" i="49" s="1"/>
  <c r="F115" i="49"/>
  <c r="BP164" i="49"/>
  <c r="BP124" i="49"/>
  <c r="BO164" i="49"/>
  <c r="BO124" i="49"/>
  <c r="BN177" i="49"/>
  <c r="BN114" i="49"/>
  <c r="BM177" i="49"/>
  <c r="BM114" i="49"/>
  <c r="BL177" i="49"/>
  <c r="BL114" i="49"/>
  <c r="BK177" i="49"/>
  <c r="BK114" i="49"/>
  <c r="BJ177" i="49"/>
  <c r="BJ114" i="49"/>
  <c r="BI177" i="49"/>
  <c r="BI114" i="49"/>
  <c r="BH177" i="49"/>
  <c r="BH114" i="49"/>
  <c r="BG177" i="49"/>
  <c r="BG114" i="49"/>
  <c r="BF177" i="49"/>
  <c r="BF114" i="49"/>
  <c r="BE177" i="49"/>
  <c r="BE114" i="49"/>
  <c r="BD177" i="49"/>
  <c r="BD114" i="49"/>
  <c r="BC177" i="49"/>
  <c r="BC114" i="49"/>
  <c r="BA177" i="49"/>
  <c r="BA114" i="49"/>
  <c r="AZ177" i="49"/>
  <c r="AZ114" i="49"/>
  <c r="AY177" i="49"/>
  <c r="AY114" i="49"/>
  <c r="AX177" i="49"/>
  <c r="AX114" i="49"/>
  <c r="AW177" i="49"/>
  <c r="AW114" i="49"/>
  <c r="AV177" i="49"/>
  <c r="AV114" i="49"/>
  <c r="AT177" i="49"/>
  <c r="AT114" i="49"/>
  <c r="AR177" i="49"/>
  <c r="AR114" i="49"/>
  <c r="AP177" i="49"/>
  <c r="AP114" i="49"/>
  <c r="AO177" i="49"/>
  <c r="AO114" i="49"/>
  <c r="F177" i="49"/>
  <c r="AN177" i="49"/>
  <c r="AN114" i="49"/>
  <c r="E177" i="49"/>
  <c r="AM177" i="49"/>
  <c r="AM114" i="49"/>
  <c r="AL177" i="49"/>
  <c r="F114" i="49"/>
  <c r="AL114" i="49"/>
  <c r="AK177" i="49"/>
  <c r="E114" i="49"/>
  <c r="AK114" i="49"/>
  <c r="AJ177" i="49"/>
  <c r="AJ114" i="49"/>
  <c r="AI177" i="49"/>
  <c r="AI114" i="49"/>
  <c r="BP120" i="49"/>
  <c r="BP181" i="49"/>
  <c r="BO120" i="49"/>
  <c r="BO181" i="49"/>
  <c r="BN113" i="49"/>
  <c r="BN116" i="49"/>
  <c r="BM113" i="49"/>
  <c r="BM116" i="49"/>
  <c r="BL113" i="49"/>
  <c r="BL116" i="49"/>
  <c r="BK113" i="49"/>
  <c r="BK116" i="49"/>
  <c r="BJ113" i="49"/>
  <c r="BJ116" i="49"/>
  <c r="BI113" i="49"/>
  <c r="BI116" i="49"/>
  <c r="BH113" i="49"/>
  <c r="BH116" i="49"/>
  <c r="BG113" i="49"/>
  <c r="BG116" i="49"/>
  <c r="BF113" i="49"/>
  <c r="BF116" i="49"/>
  <c r="BE113" i="49"/>
  <c r="BE116" i="49"/>
  <c r="BD113" i="49"/>
  <c r="BD116" i="49"/>
  <c r="BC113" i="49"/>
  <c r="BC116" i="49"/>
  <c r="BA113" i="49"/>
  <c r="BA116" i="49"/>
  <c r="AZ113" i="49"/>
  <c r="AZ116" i="49"/>
  <c r="AY113" i="49"/>
  <c r="AY116" i="49"/>
  <c r="AX113" i="49"/>
  <c r="AX116" i="49"/>
  <c r="AW113" i="49"/>
  <c r="AW116" i="49"/>
  <c r="AV113" i="49"/>
  <c r="AV116" i="49"/>
  <c r="AT113" i="49"/>
  <c r="AT116" i="49"/>
  <c r="AR113" i="49"/>
  <c r="AR116" i="49"/>
  <c r="AP113" i="49"/>
  <c r="AP116" i="49"/>
  <c r="AO113" i="49"/>
  <c r="AO116" i="49"/>
  <c r="AN113" i="49"/>
  <c r="AN116" i="49"/>
  <c r="AM113" i="49"/>
  <c r="AM116" i="49"/>
  <c r="AL113" i="49"/>
  <c r="F116" i="49"/>
  <c r="AL116" i="49"/>
  <c r="AK113" i="49"/>
  <c r="E116" i="49"/>
  <c r="AK116" i="49"/>
  <c r="AJ113" i="49"/>
  <c r="AJ116" i="49"/>
  <c r="AI113" i="49"/>
  <c r="AI116" i="49"/>
  <c r="E113" i="49"/>
  <c r="G113" i="49" s="1"/>
  <c r="F113" i="49"/>
  <c r="BP115" i="49"/>
  <c r="BP180" i="49"/>
  <c r="BO115" i="49"/>
  <c r="BO180" i="49"/>
  <c r="BN112" i="49"/>
  <c r="BM112" i="49"/>
  <c r="BL112" i="49"/>
  <c r="BK112" i="49"/>
  <c r="BJ112" i="49"/>
  <c r="BI112" i="49"/>
  <c r="BH112" i="49"/>
  <c r="BG112" i="49"/>
  <c r="BF112" i="49"/>
  <c r="BE112" i="49"/>
  <c r="BD112" i="49"/>
  <c r="BC112" i="49"/>
  <c r="BA112" i="49"/>
  <c r="AZ112" i="49"/>
  <c r="AY112" i="49"/>
  <c r="AX112" i="49"/>
  <c r="AW112" i="49"/>
  <c r="AV112" i="49"/>
  <c r="AT112" i="49"/>
  <c r="AR112" i="49"/>
  <c r="AP112" i="49"/>
  <c r="AO112" i="49"/>
  <c r="AN112" i="49"/>
  <c r="AM112" i="49"/>
  <c r="F112" i="49"/>
  <c r="AL112" i="49"/>
  <c r="E112" i="49"/>
  <c r="G112" i="49" s="1"/>
  <c r="AK112" i="49"/>
  <c r="AJ112" i="49"/>
  <c r="AI112" i="49"/>
  <c r="BP114" i="49"/>
  <c r="BP179" i="49"/>
  <c r="BO114" i="49"/>
  <c r="BO179" i="49"/>
  <c r="BP38" i="49"/>
  <c r="BP178" i="49"/>
  <c r="BO38" i="49"/>
  <c r="BO178" i="49"/>
  <c r="BN111" i="49"/>
  <c r="BM111" i="49"/>
  <c r="BL111" i="49"/>
  <c r="BK111" i="49"/>
  <c r="BJ111" i="49"/>
  <c r="BI111" i="49"/>
  <c r="BH111" i="49"/>
  <c r="BG111" i="49"/>
  <c r="BF111" i="49"/>
  <c r="BE111" i="49"/>
  <c r="BD111" i="49"/>
  <c r="BC111" i="49"/>
  <c r="BA111" i="49"/>
  <c r="AZ111" i="49"/>
  <c r="AY111" i="49"/>
  <c r="AX111" i="49"/>
  <c r="AW111" i="49"/>
  <c r="AV111" i="49"/>
  <c r="AT111" i="49"/>
  <c r="AR111" i="49"/>
  <c r="AP111" i="49"/>
  <c r="AO111" i="49"/>
  <c r="AN111" i="49"/>
  <c r="AM111" i="49"/>
  <c r="AL111" i="49"/>
  <c r="AK111" i="49"/>
  <c r="AJ111" i="49"/>
  <c r="AI111" i="49"/>
  <c r="BP113" i="49"/>
  <c r="BP177" i="49"/>
  <c r="BP119" i="49"/>
  <c r="BO113" i="49"/>
  <c r="BO177" i="49"/>
  <c r="BO119" i="49"/>
  <c r="BN110" i="49"/>
  <c r="BM110" i="49"/>
  <c r="BL110" i="49"/>
  <c r="BK110" i="49"/>
  <c r="BJ110" i="49"/>
  <c r="BI110" i="49"/>
  <c r="BH110" i="49"/>
  <c r="BG110" i="49"/>
  <c r="BF110" i="49"/>
  <c r="BE110" i="49"/>
  <c r="BD110" i="49"/>
  <c r="BC110" i="49"/>
  <c r="BA110" i="49"/>
  <c r="AZ110" i="49"/>
  <c r="AY110" i="49"/>
  <c r="AX110" i="49"/>
  <c r="AW110" i="49"/>
  <c r="AV110" i="49"/>
  <c r="AT110" i="49"/>
  <c r="AR110" i="49"/>
  <c r="AP110" i="49"/>
  <c r="AO110" i="49"/>
  <c r="AN110" i="49"/>
  <c r="AM110" i="49"/>
  <c r="AL110" i="49"/>
  <c r="AK110" i="49"/>
  <c r="AJ110" i="49"/>
  <c r="AI110" i="49"/>
  <c r="BP176" i="49"/>
  <c r="BO176" i="49"/>
  <c r="BN103" i="49"/>
  <c r="BN106" i="49"/>
  <c r="BN105" i="49"/>
  <c r="BM103" i="49"/>
  <c r="BM106" i="49"/>
  <c r="BM105" i="49"/>
  <c r="BL103" i="49"/>
  <c r="BL106" i="49"/>
  <c r="BL105" i="49"/>
  <c r="BK103" i="49"/>
  <c r="BK106" i="49"/>
  <c r="BK105" i="49"/>
  <c r="BJ103" i="49"/>
  <c r="BJ106" i="49"/>
  <c r="BJ105" i="49"/>
  <c r="BI103" i="49"/>
  <c r="BI106" i="49"/>
  <c r="BI105" i="49"/>
  <c r="BH103" i="49"/>
  <c r="BH106" i="49"/>
  <c r="BH105" i="49"/>
  <c r="BG103" i="49"/>
  <c r="BG106" i="49"/>
  <c r="BG105" i="49"/>
  <c r="BF103" i="49"/>
  <c r="BF106" i="49"/>
  <c r="BF105" i="49"/>
  <c r="BE103" i="49"/>
  <c r="BE106" i="49"/>
  <c r="BE105" i="49"/>
  <c r="BD103" i="49"/>
  <c r="BD106" i="49"/>
  <c r="BD105" i="49"/>
  <c r="BC103" i="49"/>
  <c r="BC106" i="49"/>
  <c r="BC105" i="49"/>
  <c r="BA103" i="49"/>
  <c r="BA106" i="49"/>
  <c r="BA105" i="49"/>
  <c r="AZ103" i="49"/>
  <c r="AZ106" i="49"/>
  <c r="AZ105" i="49"/>
  <c r="AY103" i="49"/>
  <c r="AY106" i="49"/>
  <c r="AY105" i="49"/>
  <c r="AX103" i="49"/>
  <c r="AX106" i="49"/>
  <c r="AX105" i="49"/>
  <c r="AW103" i="49"/>
  <c r="AW106" i="49"/>
  <c r="AW105" i="49"/>
  <c r="AV103" i="49"/>
  <c r="AV106" i="49"/>
  <c r="AV105" i="49"/>
  <c r="AT103" i="49"/>
  <c r="AT106" i="49"/>
  <c r="AT105" i="49"/>
  <c r="AR103" i="49"/>
  <c r="AR106" i="49"/>
  <c r="AR105" i="49"/>
  <c r="AP103" i="49"/>
  <c r="AP106" i="49"/>
  <c r="AP105" i="49"/>
  <c r="AO103" i="49"/>
  <c r="AO106" i="49"/>
  <c r="AO105" i="49"/>
  <c r="AN103" i="49"/>
  <c r="AN106" i="49"/>
  <c r="AN105" i="49"/>
  <c r="AM103" i="49"/>
  <c r="AM106" i="49"/>
  <c r="AM105" i="49"/>
  <c r="AL103" i="49"/>
  <c r="AL106" i="49"/>
  <c r="AL105" i="49"/>
  <c r="AK103" i="49"/>
  <c r="AK106" i="49"/>
  <c r="AK105" i="49"/>
  <c r="AJ103" i="49"/>
  <c r="AJ106" i="49"/>
  <c r="AJ105" i="49"/>
  <c r="AI103" i="49"/>
  <c r="AI106" i="49"/>
  <c r="AI105" i="49"/>
  <c r="BP151" i="49"/>
  <c r="BO151" i="49"/>
  <c r="BN102" i="49"/>
  <c r="BN104" i="49"/>
  <c r="BM102" i="49"/>
  <c r="BM104" i="49"/>
  <c r="BL102" i="49"/>
  <c r="BL104" i="49"/>
  <c r="BK102" i="49"/>
  <c r="BK104" i="49"/>
  <c r="BJ102" i="49"/>
  <c r="BJ104" i="49"/>
  <c r="BI102" i="49"/>
  <c r="BI104" i="49"/>
  <c r="BH102" i="49"/>
  <c r="BH104" i="49"/>
  <c r="BG102" i="49"/>
  <c r="BG104" i="49"/>
  <c r="BF102" i="49"/>
  <c r="BF104" i="49"/>
  <c r="BE102" i="49"/>
  <c r="BE104" i="49"/>
  <c r="BD102" i="49"/>
  <c r="BD104" i="49"/>
  <c r="BC102" i="49"/>
  <c r="BC104" i="49"/>
  <c r="BA102" i="49"/>
  <c r="BA104" i="49"/>
  <c r="AZ102" i="49"/>
  <c r="AZ104" i="49"/>
  <c r="AY102" i="49"/>
  <c r="AY104" i="49"/>
  <c r="AX102" i="49"/>
  <c r="AX104" i="49"/>
  <c r="AW102" i="49"/>
  <c r="AW104" i="49"/>
  <c r="AV102" i="49"/>
  <c r="AV104" i="49"/>
  <c r="AT102" i="49"/>
  <c r="AT104" i="49"/>
  <c r="AR102" i="49"/>
  <c r="AR104" i="49"/>
  <c r="AP102" i="49"/>
  <c r="AP104" i="49"/>
  <c r="AO102" i="49"/>
  <c r="AO104" i="49"/>
  <c r="AN102" i="49"/>
  <c r="AN104" i="49"/>
  <c r="AM102" i="49"/>
  <c r="AM104" i="49"/>
  <c r="AL102" i="49"/>
  <c r="AL104" i="49"/>
  <c r="AK102" i="49"/>
  <c r="AK104" i="49"/>
  <c r="AJ102" i="49"/>
  <c r="AJ104" i="49"/>
  <c r="AI102" i="49"/>
  <c r="AI104" i="49"/>
  <c r="BP116" i="49"/>
  <c r="BO116" i="49"/>
  <c r="BN109" i="49"/>
  <c r="BM109" i="49"/>
  <c r="BL109" i="49"/>
  <c r="BK109" i="49"/>
  <c r="BJ109" i="49"/>
  <c r="BI109" i="49"/>
  <c r="BH109" i="49"/>
  <c r="BG109" i="49"/>
  <c r="BF109" i="49"/>
  <c r="BE109" i="49"/>
  <c r="BD109" i="49"/>
  <c r="BC109" i="49"/>
  <c r="BA109" i="49"/>
  <c r="AZ109" i="49"/>
  <c r="AY109" i="49"/>
  <c r="AX109" i="49"/>
  <c r="AW109" i="49"/>
  <c r="AV109" i="49"/>
  <c r="AT109" i="49"/>
  <c r="AR109" i="49"/>
  <c r="AP109" i="49"/>
  <c r="AO109" i="49"/>
  <c r="AN109" i="49"/>
  <c r="AM109" i="49"/>
  <c r="AL109" i="49"/>
  <c r="AK109" i="49"/>
  <c r="AJ109" i="49"/>
  <c r="AI109" i="49"/>
  <c r="BP112" i="49"/>
  <c r="BO112" i="49"/>
  <c r="BN108" i="49"/>
  <c r="BM108" i="49"/>
  <c r="BL108" i="49"/>
  <c r="BK108" i="49"/>
  <c r="BJ108" i="49"/>
  <c r="BI108" i="49"/>
  <c r="BH108" i="49"/>
  <c r="BG108" i="49"/>
  <c r="BF108" i="49"/>
  <c r="BE108" i="49"/>
  <c r="BD108" i="49"/>
  <c r="BC108" i="49"/>
  <c r="BA108" i="49"/>
  <c r="AZ108" i="49"/>
  <c r="AY108" i="49"/>
  <c r="AX108" i="49"/>
  <c r="AW108" i="49"/>
  <c r="AV108" i="49"/>
  <c r="AT108" i="49"/>
  <c r="AR108" i="49"/>
  <c r="AP108" i="49"/>
  <c r="AO108" i="49"/>
  <c r="AN108" i="49"/>
  <c r="AM108" i="49"/>
  <c r="AL108" i="49"/>
  <c r="AK108" i="49"/>
  <c r="AJ108" i="49"/>
  <c r="AI108" i="49"/>
  <c r="BN107" i="49"/>
  <c r="BM107" i="49"/>
  <c r="BL107" i="49"/>
  <c r="BK107" i="49"/>
  <c r="BJ107" i="49"/>
  <c r="BI107" i="49"/>
  <c r="BH107" i="49"/>
  <c r="BG107" i="49"/>
  <c r="BF107" i="49"/>
  <c r="BE107" i="49"/>
  <c r="BD107" i="49"/>
  <c r="BC107" i="49"/>
  <c r="BA107" i="49"/>
  <c r="AZ107" i="49"/>
  <c r="AY107" i="49"/>
  <c r="AX107" i="49"/>
  <c r="AW107" i="49"/>
  <c r="AV107" i="49"/>
  <c r="AT107" i="49"/>
  <c r="AR107" i="49"/>
  <c r="AP107" i="49"/>
  <c r="AO107" i="49"/>
  <c r="AN107" i="49"/>
  <c r="AM107" i="49"/>
  <c r="AL107" i="49"/>
  <c r="AK107" i="49"/>
  <c r="AJ107" i="49"/>
  <c r="AI107" i="49"/>
  <c r="BP111" i="49"/>
  <c r="BO111" i="49"/>
  <c r="BP110" i="49"/>
  <c r="BO110" i="49"/>
  <c r="BP109" i="49"/>
  <c r="BO109" i="49"/>
  <c r="BP108" i="49"/>
  <c r="BO108" i="49"/>
  <c r="BP107" i="49"/>
  <c r="BO107" i="49"/>
  <c r="BN94" i="49"/>
  <c r="BM94" i="49"/>
  <c r="BL94" i="49"/>
  <c r="BK94" i="49"/>
  <c r="BJ94" i="49"/>
  <c r="BI94" i="49"/>
  <c r="BH94" i="49"/>
  <c r="BG94" i="49"/>
  <c r="BF94" i="49"/>
  <c r="BE94" i="49"/>
  <c r="BD94" i="49"/>
  <c r="BC94" i="49"/>
  <c r="BA94" i="49"/>
  <c r="AZ94" i="49"/>
  <c r="AY94" i="49"/>
  <c r="AX94" i="49"/>
  <c r="AW94" i="49"/>
  <c r="AV94" i="49"/>
  <c r="AT94" i="49"/>
  <c r="AR94" i="49"/>
  <c r="AP94" i="49"/>
  <c r="AO94" i="49"/>
  <c r="AN94" i="49"/>
  <c r="AM94" i="49"/>
  <c r="AL94" i="49"/>
  <c r="AK94" i="49"/>
  <c r="AJ94" i="49"/>
  <c r="AI94" i="49"/>
  <c r="E94" i="49"/>
  <c r="G94" i="49" s="1"/>
  <c r="F94" i="49"/>
  <c r="BP106" i="49"/>
  <c r="BO106" i="49"/>
  <c r="BN93" i="49"/>
  <c r="BM93" i="49"/>
  <c r="BL93" i="49"/>
  <c r="BK93" i="49"/>
  <c r="BJ93" i="49"/>
  <c r="BI93" i="49"/>
  <c r="BH93" i="49"/>
  <c r="BG93" i="49"/>
  <c r="BF93" i="49"/>
  <c r="BE93" i="49"/>
  <c r="BD93" i="49"/>
  <c r="BC93" i="49"/>
  <c r="BA93" i="49"/>
  <c r="AZ93" i="49"/>
  <c r="AY93" i="49"/>
  <c r="AX93" i="49"/>
  <c r="AW93" i="49"/>
  <c r="AV93" i="49"/>
  <c r="AT93" i="49"/>
  <c r="AR93" i="49"/>
  <c r="AP93" i="49"/>
  <c r="AO93" i="49"/>
  <c r="AN93" i="49"/>
  <c r="AM93" i="49"/>
  <c r="AL93" i="49"/>
  <c r="AK93" i="49"/>
  <c r="AJ93" i="49"/>
  <c r="AI93" i="49"/>
  <c r="E93" i="49"/>
  <c r="G93" i="49" s="1"/>
  <c r="F93" i="49"/>
  <c r="BP105" i="49"/>
  <c r="BO105" i="49"/>
  <c r="BN165" i="49"/>
  <c r="BM165" i="49"/>
  <c r="BL165" i="49"/>
  <c r="BK165" i="49"/>
  <c r="BJ165" i="49"/>
  <c r="BI165" i="49"/>
  <c r="BH165" i="49"/>
  <c r="BG165" i="49"/>
  <c r="BF165" i="49"/>
  <c r="BE165" i="49"/>
  <c r="BD165" i="49"/>
  <c r="BC165" i="49"/>
  <c r="BA165" i="49"/>
  <c r="AZ165" i="49"/>
  <c r="AY165" i="49"/>
  <c r="AX165" i="49"/>
  <c r="AW165" i="49"/>
  <c r="AV165" i="49"/>
  <c r="AT165" i="49"/>
  <c r="AR165" i="49"/>
  <c r="AP165" i="49"/>
  <c r="AO165" i="49"/>
  <c r="AN165" i="49"/>
  <c r="AM165" i="49"/>
  <c r="F165" i="49"/>
  <c r="AL165" i="49"/>
  <c r="E165" i="49"/>
  <c r="G165" i="49" s="1"/>
  <c r="AK165" i="49"/>
  <c r="AJ165" i="49"/>
  <c r="AI165" i="49"/>
  <c r="BP104" i="49"/>
  <c r="BO104" i="49"/>
  <c r="BN164" i="49"/>
  <c r="BM164" i="49"/>
  <c r="BL164" i="49"/>
  <c r="BK164" i="49"/>
  <c r="BJ164" i="49"/>
  <c r="BI164" i="49"/>
  <c r="BH164" i="49"/>
  <c r="BG164" i="49"/>
  <c r="BF164" i="49"/>
  <c r="BE164" i="49"/>
  <c r="BD164" i="49"/>
  <c r="BC164" i="49"/>
  <c r="BA164" i="49"/>
  <c r="AZ164" i="49"/>
  <c r="AY164" i="49"/>
  <c r="AX164" i="49"/>
  <c r="AW164" i="49"/>
  <c r="AV164" i="49"/>
  <c r="AT164" i="49"/>
  <c r="AR164" i="49"/>
  <c r="AP164" i="49"/>
  <c r="AO164" i="49"/>
  <c r="AN164" i="49"/>
  <c r="AM164" i="49"/>
  <c r="AL164" i="49"/>
  <c r="AK164" i="49"/>
  <c r="AJ164" i="49"/>
  <c r="AI164" i="49"/>
  <c r="BP103" i="49"/>
  <c r="BO103" i="49"/>
  <c r="BN92" i="49"/>
  <c r="BM92" i="49"/>
  <c r="BL92" i="49"/>
  <c r="BK92" i="49"/>
  <c r="BJ92" i="49"/>
  <c r="BI92" i="49"/>
  <c r="BH92" i="49"/>
  <c r="BG92" i="49"/>
  <c r="BF92" i="49"/>
  <c r="BE92" i="49"/>
  <c r="BD92" i="49"/>
  <c r="BC92" i="49"/>
  <c r="BA92" i="49"/>
  <c r="AZ92" i="49"/>
  <c r="AY92" i="49"/>
  <c r="AX92" i="49"/>
  <c r="AW92" i="49"/>
  <c r="AV92" i="49"/>
  <c r="AT92" i="49"/>
  <c r="AR92" i="49"/>
  <c r="AP92" i="49"/>
  <c r="AO92" i="49"/>
  <c r="AN92" i="49"/>
  <c r="AM92" i="49"/>
  <c r="AL92" i="49"/>
  <c r="AK92" i="49"/>
  <c r="AJ92" i="49"/>
  <c r="AI92" i="49"/>
  <c r="BP102" i="49"/>
  <c r="BO102" i="49"/>
  <c r="BN91" i="49"/>
  <c r="BM91" i="49"/>
  <c r="BL91" i="49"/>
  <c r="BK91" i="49"/>
  <c r="BJ91" i="49"/>
  <c r="BI91" i="49"/>
  <c r="BH91" i="49"/>
  <c r="BG91" i="49"/>
  <c r="BF91" i="49"/>
  <c r="BE91" i="49"/>
  <c r="BD91" i="49"/>
  <c r="BC91" i="49"/>
  <c r="BA91" i="49"/>
  <c r="AZ91" i="49"/>
  <c r="AY91" i="49"/>
  <c r="AX91" i="49"/>
  <c r="AW91" i="49"/>
  <c r="AV91" i="49"/>
  <c r="AT91" i="49"/>
  <c r="AR91" i="49"/>
  <c r="AP91" i="49"/>
  <c r="AO91" i="49"/>
  <c r="AN91" i="49"/>
  <c r="AM91" i="49"/>
  <c r="F91" i="49"/>
  <c r="AL91" i="49"/>
  <c r="E91" i="49"/>
  <c r="AK91" i="49"/>
  <c r="AJ91" i="49"/>
  <c r="AI91" i="49"/>
  <c r="BP101" i="49"/>
  <c r="BO101" i="49"/>
  <c r="BN90" i="49"/>
  <c r="BM90" i="49"/>
  <c r="BL90" i="49"/>
  <c r="BK90" i="49"/>
  <c r="BJ90" i="49"/>
  <c r="BI90" i="49"/>
  <c r="BH90" i="49"/>
  <c r="BG90" i="49"/>
  <c r="BF90" i="49"/>
  <c r="BE90" i="49"/>
  <c r="BD90" i="49"/>
  <c r="BC90" i="49"/>
  <c r="BA90" i="49"/>
  <c r="AZ90" i="49"/>
  <c r="AY90" i="49"/>
  <c r="AX90" i="49"/>
  <c r="AW90" i="49"/>
  <c r="AV90" i="49"/>
  <c r="AT90" i="49"/>
  <c r="AR90" i="49"/>
  <c r="AP90" i="49"/>
  <c r="AO90" i="49"/>
  <c r="AN90" i="49"/>
  <c r="AM90" i="49"/>
  <c r="AL90" i="49"/>
  <c r="AK90" i="49"/>
  <c r="AJ90" i="49"/>
  <c r="AI90" i="49"/>
  <c r="BP100" i="49"/>
  <c r="BO100" i="49"/>
  <c r="BN85" i="49"/>
  <c r="BM85" i="49"/>
  <c r="BL85" i="49"/>
  <c r="BK85" i="49"/>
  <c r="BJ85" i="49"/>
  <c r="BI85" i="49"/>
  <c r="BH85" i="49"/>
  <c r="BG85" i="49"/>
  <c r="BF85" i="49"/>
  <c r="BE85" i="49"/>
  <c r="BD85" i="49"/>
  <c r="BC85" i="49"/>
  <c r="BA85" i="49"/>
  <c r="AZ85" i="49"/>
  <c r="AY85" i="49"/>
  <c r="AX85" i="49"/>
  <c r="AW85" i="49"/>
  <c r="AV85" i="49"/>
  <c r="AT85" i="49"/>
  <c r="AR85" i="49"/>
  <c r="AP85" i="49"/>
  <c r="AO85" i="49"/>
  <c r="AN85" i="49"/>
  <c r="AM85" i="49"/>
  <c r="F85" i="49"/>
  <c r="AL85" i="49"/>
  <c r="E85" i="49"/>
  <c r="AK85" i="49"/>
  <c r="AJ85" i="49"/>
  <c r="AI85" i="49"/>
  <c r="BP99" i="49"/>
  <c r="BO99" i="49"/>
  <c r="BN88" i="49"/>
  <c r="BM88" i="49"/>
  <c r="BL88" i="49"/>
  <c r="BK88" i="49"/>
  <c r="BJ88" i="49"/>
  <c r="BI88" i="49"/>
  <c r="BH88" i="49"/>
  <c r="BG88" i="49"/>
  <c r="BF88" i="49"/>
  <c r="BE88" i="49"/>
  <c r="BD88" i="49"/>
  <c r="BC88" i="49"/>
  <c r="BA88" i="49"/>
  <c r="AZ88" i="49"/>
  <c r="AY88" i="49"/>
  <c r="AX88" i="49"/>
  <c r="AW88" i="49"/>
  <c r="AV88" i="49"/>
  <c r="AT88" i="49"/>
  <c r="AR88" i="49"/>
  <c r="AP88" i="49"/>
  <c r="AO88" i="49"/>
  <c r="AN88" i="49"/>
  <c r="AM88" i="49"/>
  <c r="AL88" i="49"/>
  <c r="AK88" i="49"/>
  <c r="AJ88" i="49"/>
  <c r="AI88" i="49"/>
  <c r="BP98" i="49"/>
  <c r="BO98" i="49"/>
  <c r="BN87" i="49"/>
  <c r="BM87" i="49"/>
  <c r="BL87" i="49"/>
  <c r="BK87" i="49"/>
  <c r="BJ87" i="49"/>
  <c r="BI87" i="49"/>
  <c r="BH87" i="49"/>
  <c r="BG87" i="49"/>
  <c r="BF87" i="49"/>
  <c r="BE87" i="49"/>
  <c r="BD87" i="49"/>
  <c r="BC87" i="49"/>
  <c r="BA87" i="49"/>
  <c r="AZ87" i="49"/>
  <c r="AY87" i="49"/>
  <c r="AX87" i="49"/>
  <c r="AW87" i="49"/>
  <c r="AV87" i="49"/>
  <c r="AT87" i="49"/>
  <c r="AR87" i="49"/>
  <c r="AP87" i="49"/>
  <c r="AO87" i="49"/>
  <c r="AN87" i="49"/>
  <c r="AM87" i="49"/>
  <c r="AL87" i="49"/>
  <c r="AK87" i="49"/>
  <c r="AJ87" i="49"/>
  <c r="AI87" i="49"/>
  <c r="BP97" i="49"/>
  <c r="BO97" i="49"/>
  <c r="BN86" i="49"/>
  <c r="BM86" i="49"/>
  <c r="BL86" i="49"/>
  <c r="BK86" i="49"/>
  <c r="BJ86" i="49"/>
  <c r="BI86" i="49"/>
  <c r="BH86" i="49"/>
  <c r="BG86" i="49"/>
  <c r="BF86" i="49"/>
  <c r="BE86" i="49"/>
  <c r="BD86" i="49"/>
  <c r="BC86" i="49"/>
  <c r="BA86" i="49"/>
  <c r="AZ86" i="49"/>
  <c r="AY86" i="49"/>
  <c r="AX86" i="49"/>
  <c r="AW86" i="49"/>
  <c r="AV86" i="49"/>
  <c r="AT86" i="49"/>
  <c r="AR86" i="49"/>
  <c r="AP86" i="49"/>
  <c r="AO86" i="49"/>
  <c r="AN86" i="49"/>
  <c r="AM86" i="49"/>
  <c r="AL86" i="49"/>
  <c r="AK86" i="49"/>
  <c r="AJ86" i="49"/>
  <c r="AI86" i="49"/>
  <c r="BP96" i="49"/>
  <c r="BO96" i="49"/>
  <c r="BN84" i="49"/>
  <c r="BM84" i="49"/>
  <c r="BL84" i="49"/>
  <c r="BK84" i="49"/>
  <c r="BJ84" i="49"/>
  <c r="BI84" i="49"/>
  <c r="BH84" i="49"/>
  <c r="BG84" i="49"/>
  <c r="BF84" i="49"/>
  <c r="BE84" i="49"/>
  <c r="BD84" i="49"/>
  <c r="BC84" i="49"/>
  <c r="BA84" i="49"/>
  <c r="AZ84" i="49"/>
  <c r="AY84" i="49"/>
  <c r="AX84" i="49"/>
  <c r="AW84" i="49"/>
  <c r="AV84" i="49"/>
  <c r="AT84" i="49"/>
  <c r="AR84" i="49"/>
  <c r="AP84" i="49"/>
  <c r="AO84" i="49"/>
  <c r="AN84" i="49"/>
  <c r="AM84" i="49"/>
  <c r="AL84" i="49"/>
  <c r="AK84" i="49"/>
  <c r="AJ84" i="49"/>
  <c r="AI84" i="49"/>
  <c r="BP89" i="49"/>
  <c r="BP95" i="49"/>
  <c r="BO89" i="49"/>
  <c r="BO95" i="49"/>
  <c r="BN83" i="49"/>
  <c r="BM83" i="49"/>
  <c r="BL83" i="49"/>
  <c r="BK83" i="49"/>
  <c r="BJ83" i="49"/>
  <c r="BI83" i="49"/>
  <c r="BH83" i="49"/>
  <c r="BG83" i="49"/>
  <c r="BF83" i="49"/>
  <c r="BE83" i="49"/>
  <c r="BD83" i="49"/>
  <c r="BC83" i="49"/>
  <c r="BA83" i="49"/>
  <c r="AZ83" i="49"/>
  <c r="AY83" i="49"/>
  <c r="AX83" i="49"/>
  <c r="AW83" i="49"/>
  <c r="AV83" i="49"/>
  <c r="AT83" i="49"/>
  <c r="AR83" i="49"/>
  <c r="AP83" i="49"/>
  <c r="AO83" i="49"/>
  <c r="AN83" i="49"/>
  <c r="AM83" i="49"/>
  <c r="AL83" i="49"/>
  <c r="AK83" i="49"/>
  <c r="AJ83" i="49"/>
  <c r="AI83" i="49"/>
  <c r="BP94" i="49"/>
  <c r="BO94" i="49"/>
  <c r="BN82" i="49"/>
  <c r="BM82" i="49"/>
  <c r="BL82" i="49"/>
  <c r="BK82" i="49"/>
  <c r="BJ82" i="49"/>
  <c r="BI82" i="49"/>
  <c r="BH82" i="49"/>
  <c r="BG82" i="49"/>
  <c r="BF82" i="49"/>
  <c r="BE82" i="49"/>
  <c r="BD82" i="49"/>
  <c r="BC82" i="49"/>
  <c r="BA82" i="49"/>
  <c r="AZ82" i="49"/>
  <c r="AY82" i="49"/>
  <c r="AX82" i="49"/>
  <c r="AW82" i="49"/>
  <c r="AV82" i="49"/>
  <c r="AT82" i="49"/>
  <c r="AR82" i="49"/>
  <c r="AP82" i="49"/>
  <c r="AO82" i="49"/>
  <c r="AN82" i="49"/>
  <c r="AM82" i="49"/>
  <c r="AL82" i="49"/>
  <c r="AK82" i="49"/>
  <c r="AJ82" i="49"/>
  <c r="AI82" i="49"/>
  <c r="BP93" i="49"/>
  <c r="BO93" i="49"/>
  <c r="BN78" i="49"/>
  <c r="BM78" i="49"/>
  <c r="BL78" i="49"/>
  <c r="BK78" i="49"/>
  <c r="BJ78" i="49"/>
  <c r="BI78" i="49"/>
  <c r="BH78" i="49"/>
  <c r="BG78" i="49"/>
  <c r="BF78" i="49"/>
  <c r="BE78" i="49"/>
  <c r="BD78" i="49"/>
  <c r="BC78" i="49"/>
  <c r="BA78" i="49"/>
  <c r="AZ78" i="49"/>
  <c r="AY78" i="49"/>
  <c r="AX78" i="49"/>
  <c r="AW78" i="49"/>
  <c r="AV78" i="49"/>
  <c r="AT78" i="49"/>
  <c r="AR78" i="49"/>
  <c r="AP78" i="49"/>
  <c r="AO78" i="49"/>
  <c r="AN78" i="49"/>
  <c r="AM78" i="49"/>
  <c r="AL78" i="49"/>
  <c r="AK78" i="49"/>
  <c r="AJ78" i="49"/>
  <c r="AI78" i="49"/>
  <c r="BN81" i="49"/>
  <c r="BM81" i="49"/>
  <c r="BL81" i="49"/>
  <c r="BK81" i="49"/>
  <c r="BJ81" i="49"/>
  <c r="BI81" i="49"/>
  <c r="BH81" i="49"/>
  <c r="BG81" i="49"/>
  <c r="BF81" i="49"/>
  <c r="BE81" i="49"/>
  <c r="BD81" i="49"/>
  <c r="BC81" i="49"/>
  <c r="BA81" i="49"/>
  <c r="AZ81" i="49"/>
  <c r="AY81" i="49"/>
  <c r="AX81" i="49"/>
  <c r="AW81" i="49"/>
  <c r="AV81" i="49"/>
  <c r="AT81" i="49"/>
  <c r="AR81" i="49"/>
  <c r="AP81" i="49"/>
  <c r="AO81" i="49"/>
  <c r="AN81" i="49"/>
  <c r="AM81" i="49"/>
  <c r="AL81" i="49"/>
  <c r="AK81" i="49"/>
  <c r="AJ81" i="49"/>
  <c r="AI81" i="49"/>
  <c r="BN80" i="49"/>
  <c r="BM80" i="49"/>
  <c r="BL80" i="49"/>
  <c r="BK80" i="49"/>
  <c r="BJ80" i="49"/>
  <c r="BI80" i="49"/>
  <c r="BH80" i="49"/>
  <c r="BG80" i="49"/>
  <c r="BF80" i="49"/>
  <c r="BE80" i="49"/>
  <c r="BD80" i="49"/>
  <c r="BC80" i="49"/>
  <c r="BA80" i="49"/>
  <c r="AZ80" i="49"/>
  <c r="AY80" i="49"/>
  <c r="AX80" i="49"/>
  <c r="AW80" i="49"/>
  <c r="AV80" i="49"/>
  <c r="AT80" i="49"/>
  <c r="AR80" i="49"/>
  <c r="AP80" i="49"/>
  <c r="AO80" i="49"/>
  <c r="AN80" i="49"/>
  <c r="AM80" i="49"/>
  <c r="AL80" i="49"/>
  <c r="AK80" i="49"/>
  <c r="AJ80" i="49"/>
  <c r="AI80" i="49"/>
  <c r="BP92" i="49"/>
  <c r="BO92" i="49"/>
  <c r="BN79" i="49"/>
  <c r="BM79" i="49"/>
  <c r="BL79" i="49"/>
  <c r="BK79" i="49"/>
  <c r="BJ79" i="49"/>
  <c r="BI79" i="49"/>
  <c r="BH79" i="49"/>
  <c r="BG79" i="49"/>
  <c r="BF79" i="49"/>
  <c r="BE79" i="49"/>
  <c r="BD79" i="49"/>
  <c r="BC79" i="49"/>
  <c r="BA79" i="49"/>
  <c r="AZ79" i="49"/>
  <c r="AY79" i="49"/>
  <c r="AX79" i="49"/>
  <c r="AW79" i="49"/>
  <c r="AV79" i="49"/>
  <c r="AT79" i="49"/>
  <c r="AR79" i="49"/>
  <c r="AP79" i="49"/>
  <c r="AO79" i="49"/>
  <c r="AN79" i="49"/>
  <c r="AM79" i="49"/>
  <c r="AL79" i="49"/>
  <c r="AK79" i="49"/>
  <c r="AJ79" i="49"/>
  <c r="AI79" i="49"/>
  <c r="E79" i="49"/>
  <c r="F79" i="49"/>
  <c r="BP91" i="49"/>
  <c r="BO91" i="49"/>
  <c r="BN77" i="49"/>
  <c r="BM77" i="49"/>
  <c r="BL77" i="49"/>
  <c r="BK77" i="49"/>
  <c r="BJ77" i="49"/>
  <c r="BI77" i="49"/>
  <c r="BH77" i="49"/>
  <c r="BG77" i="49"/>
  <c r="BF77" i="49"/>
  <c r="BE77" i="49"/>
  <c r="BD77" i="49"/>
  <c r="BC77" i="49"/>
  <c r="BA77" i="49"/>
  <c r="AZ77" i="49"/>
  <c r="AY77" i="49"/>
  <c r="AX77" i="49"/>
  <c r="AW77" i="49"/>
  <c r="AV77" i="49"/>
  <c r="AT77" i="49"/>
  <c r="AR77" i="49"/>
  <c r="AP77" i="49"/>
  <c r="AO77" i="49"/>
  <c r="AN77" i="49"/>
  <c r="AM77" i="49"/>
  <c r="AL77" i="49"/>
  <c r="AK77" i="49"/>
  <c r="AJ77" i="49"/>
  <c r="AI77" i="49"/>
  <c r="BP90" i="49"/>
  <c r="BO90" i="49"/>
  <c r="BN76" i="49"/>
  <c r="BM76" i="49"/>
  <c r="BL76" i="49"/>
  <c r="BK76" i="49"/>
  <c r="BJ76" i="49"/>
  <c r="BI76" i="49"/>
  <c r="BH76" i="49"/>
  <c r="BG76" i="49"/>
  <c r="BF76" i="49"/>
  <c r="BE76" i="49"/>
  <c r="BD76" i="49"/>
  <c r="BC76" i="49"/>
  <c r="BA76" i="49"/>
  <c r="AZ76" i="49"/>
  <c r="AY76" i="49"/>
  <c r="AX76" i="49"/>
  <c r="AW76" i="49"/>
  <c r="AV76" i="49"/>
  <c r="AT76" i="49"/>
  <c r="AR76" i="49"/>
  <c r="AP76" i="49"/>
  <c r="AO76" i="49"/>
  <c r="AN76" i="49"/>
  <c r="AM76" i="49"/>
  <c r="AL76" i="49"/>
  <c r="AK76" i="49"/>
  <c r="AJ76" i="49"/>
  <c r="AI76" i="49"/>
  <c r="BP85" i="49"/>
  <c r="BO85" i="49"/>
  <c r="BN75" i="49"/>
  <c r="BM75" i="49"/>
  <c r="BL75" i="49"/>
  <c r="BK75" i="49"/>
  <c r="BJ75" i="49"/>
  <c r="BI75" i="49"/>
  <c r="BH75" i="49"/>
  <c r="BG75" i="49"/>
  <c r="BF75" i="49"/>
  <c r="BE75" i="49"/>
  <c r="BD75" i="49"/>
  <c r="BC75" i="49"/>
  <c r="BA75" i="49"/>
  <c r="AZ75" i="49"/>
  <c r="AY75" i="49"/>
  <c r="AX75" i="49"/>
  <c r="AW75" i="49"/>
  <c r="AV75" i="49"/>
  <c r="AT75" i="49"/>
  <c r="AR75" i="49"/>
  <c r="E75" i="49"/>
  <c r="F75" i="49"/>
  <c r="AP75" i="49"/>
  <c r="AO75" i="49"/>
  <c r="AN75" i="49"/>
  <c r="AM75" i="49"/>
  <c r="AL75" i="49"/>
  <c r="AK75" i="49"/>
  <c r="AJ75" i="49"/>
  <c r="AI75" i="49"/>
  <c r="BP88" i="49"/>
  <c r="BO88" i="49"/>
  <c r="BN74" i="49"/>
  <c r="BM74" i="49"/>
  <c r="BL74" i="49"/>
  <c r="BK74" i="49"/>
  <c r="BJ74" i="49"/>
  <c r="BI74" i="49"/>
  <c r="BH74" i="49"/>
  <c r="BG74" i="49"/>
  <c r="BF74" i="49"/>
  <c r="BE74" i="49"/>
  <c r="BD74" i="49"/>
  <c r="BC74" i="49"/>
  <c r="BA74" i="49"/>
  <c r="AZ74" i="49"/>
  <c r="AY74" i="49"/>
  <c r="AX74" i="49"/>
  <c r="AW74" i="49"/>
  <c r="AV74" i="49"/>
  <c r="AT74" i="49"/>
  <c r="AR74" i="49"/>
  <c r="AP74" i="49"/>
  <c r="AO74" i="49"/>
  <c r="AN74" i="49"/>
  <c r="AM74" i="49"/>
  <c r="AL74" i="49"/>
  <c r="AK74" i="49"/>
  <c r="AJ74" i="49"/>
  <c r="AI74" i="49"/>
  <c r="BP87" i="49"/>
  <c r="BO87" i="49"/>
  <c r="BN73" i="49"/>
  <c r="BM73" i="49"/>
  <c r="BL73" i="49"/>
  <c r="BK73" i="49"/>
  <c r="BJ73" i="49"/>
  <c r="BI73" i="49"/>
  <c r="BH73" i="49"/>
  <c r="BG73" i="49"/>
  <c r="BF73" i="49"/>
  <c r="BE73" i="49"/>
  <c r="BD73" i="49"/>
  <c r="BC73" i="49"/>
  <c r="BA73" i="49"/>
  <c r="AZ73" i="49"/>
  <c r="AY73" i="49"/>
  <c r="AX73" i="49"/>
  <c r="AW73" i="49"/>
  <c r="AV73" i="49"/>
  <c r="AT73" i="49"/>
  <c r="AR73" i="49"/>
  <c r="AP73" i="49"/>
  <c r="AO73" i="49"/>
  <c r="AN73" i="49"/>
  <c r="AM73" i="49"/>
  <c r="AL73" i="49"/>
  <c r="AK73" i="49"/>
  <c r="AJ73" i="49"/>
  <c r="AI73" i="49"/>
  <c r="E73" i="49"/>
  <c r="F73" i="49"/>
  <c r="BP86" i="49"/>
  <c r="BO86" i="49"/>
  <c r="BN72" i="49"/>
  <c r="BM72" i="49"/>
  <c r="BL72" i="49"/>
  <c r="BK72" i="49"/>
  <c r="BJ72" i="49"/>
  <c r="BI72" i="49"/>
  <c r="BH72" i="49"/>
  <c r="BG72" i="49"/>
  <c r="BF72" i="49"/>
  <c r="BE72" i="49"/>
  <c r="BD72" i="49"/>
  <c r="BC72" i="49"/>
  <c r="BA72" i="49"/>
  <c r="AZ72" i="49"/>
  <c r="AY72" i="49"/>
  <c r="AX72" i="49"/>
  <c r="AW72" i="49"/>
  <c r="AV72" i="49"/>
  <c r="AT72" i="49"/>
  <c r="AR72" i="49"/>
  <c r="AP72" i="49"/>
  <c r="AO72" i="49"/>
  <c r="AN72" i="49"/>
  <c r="AM72" i="49"/>
  <c r="AL72" i="49"/>
  <c r="AK72" i="49"/>
  <c r="AJ72" i="49"/>
  <c r="AI72" i="49"/>
  <c r="BP84" i="49"/>
  <c r="BO84" i="49"/>
  <c r="BN71" i="49"/>
  <c r="BM71" i="49"/>
  <c r="BL71" i="49"/>
  <c r="BK71" i="49"/>
  <c r="BJ71" i="49"/>
  <c r="BI71" i="49"/>
  <c r="BH71" i="49"/>
  <c r="BG71" i="49"/>
  <c r="BF71" i="49"/>
  <c r="BE71" i="49"/>
  <c r="BD71" i="49"/>
  <c r="BC71" i="49"/>
  <c r="BA71" i="49"/>
  <c r="AZ71" i="49"/>
  <c r="AY71" i="49"/>
  <c r="AX71" i="49"/>
  <c r="AW71" i="49"/>
  <c r="AV71" i="49"/>
  <c r="AT71" i="49"/>
  <c r="AR71" i="49"/>
  <c r="AP71" i="49"/>
  <c r="AO71" i="49"/>
  <c r="AN71" i="49"/>
  <c r="AM71" i="49"/>
  <c r="AL71" i="49"/>
  <c r="AK71" i="49"/>
  <c r="AJ71" i="49"/>
  <c r="AI71" i="49"/>
  <c r="BP83" i="49"/>
  <c r="BO83" i="49"/>
  <c r="BN70" i="49"/>
  <c r="BM70" i="49"/>
  <c r="BL70" i="49"/>
  <c r="BK70" i="49"/>
  <c r="BJ70" i="49"/>
  <c r="BI70" i="49"/>
  <c r="BH70" i="49"/>
  <c r="BG70" i="49"/>
  <c r="BF70" i="49"/>
  <c r="BE70" i="49"/>
  <c r="BD70" i="49"/>
  <c r="BC70" i="49"/>
  <c r="BA70" i="49"/>
  <c r="AZ70" i="49"/>
  <c r="AY70" i="49"/>
  <c r="AX70" i="49"/>
  <c r="AW70" i="49"/>
  <c r="AV70" i="49"/>
  <c r="AT70" i="49"/>
  <c r="AR70" i="49"/>
  <c r="AP70" i="49"/>
  <c r="AO70" i="49"/>
  <c r="AN70" i="49"/>
  <c r="AM70" i="49"/>
  <c r="AL70" i="49"/>
  <c r="AK70" i="49"/>
  <c r="AJ70" i="49"/>
  <c r="AI70" i="49"/>
  <c r="BP82" i="49"/>
  <c r="BO82" i="49"/>
  <c r="BN69" i="49"/>
  <c r="BM69" i="49"/>
  <c r="BL69" i="49"/>
  <c r="BK69" i="49"/>
  <c r="BJ69" i="49"/>
  <c r="BI69" i="49"/>
  <c r="BH69" i="49"/>
  <c r="BG69" i="49"/>
  <c r="BF69" i="49"/>
  <c r="BE69" i="49"/>
  <c r="BD69" i="49"/>
  <c r="BC69" i="49"/>
  <c r="BA69" i="49"/>
  <c r="AZ69" i="49"/>
  <c r="AY69" i="49"/>
  <c r="AX69" i="49"/>
  <c r="AW69" i="49"/>
  <c r="AV69" i="49"/>
  <c r="AT69" i="49"/>
  <c r="AR69" i="49"/>
  <c r="AP69" i="49"/>
  <c r="AO69" i="49"/>
  <c r="AN69" i="49"/>
  <c r="AM69" i="49"/>
  <c r="AL69" i="49"/>
  <c r="AK69" i="49"/>
  <c r="AJ69" i="49"/>
  <c r="AI69" i="49"/>
  <c r="BP78" i="49"/>
  <c r="BO78" i="49"/>
  <c r="BN68" i="49"/>
  <c r="BM68" i="49"/>
  <c r="BL68" i="49"/>
  <c r="BK68" i="49"/>
  <c r="BJ68" i="49"/>
  <c r="BI68" i="49"/>
  <c r="BH68" i="49"/>
  <c r="BG68" i="49"/>
  <c r="BF68" i="49"/>
  <c r="BE68" i="49"/>
  <c r="BD68" i="49"/>
  <c r="BC68" i="49"/>
  <c r="BA68" i="49"/>
  <c r="AZ68" i="49"/>
  <c r="AY68" i="49"/>
  <c r="AX68" i="49"/>
  <c r="AW68" i="49"/>
  <c r="AV68" i="49"/>
  <c r="AT68" i="49"/>
  <c r="AR68" i="49"/>
  <c r="AP68" i="49"/>
  <c r="AO68" i="49"/>
  <c r="AN68" i="49"/>
  <c r="AM68" i="49"/>
  <c r="AL68" i="49"/>
  <c r="AK68" i="49"/>
  <c r="AJ68" i="49"/>
  <c r="AI68" i="49"/>
  <c r="BP81" i="49"/>
  <c r="BO81" i="49"/>
  <c r="BN62" i="49"/>
  <c r="BM62" i="49"/>
  <c r="BL62" i="49"/>
  <c r="BK62" i="49"/>
  <c r="BJ62" i="49"/>
  <c r="BI62" i="49"/>
  <c r="BH62" i="49"/>
  <c r="BG62" i="49"/>
  <c r="BF62" i="49"/>
  <c r="BE62" i="49"/>
  <c r="BD62" i="49"/>
  <c r="BC62" i="49"/>
  <c r="BA62" i="49"/>
  <c r="AZ62" i="49"/>
  <c r="AY62" i="49"/>
  <c r="AX62" i="49"/>
  <c r="AW62" i="49"/>
  <c r="AV62" i="49"/>
  <c r="AT62" i="49"/>
  <c r="AR62" i="49"/>
  <c r="AP62" i="49"/>
  <c r="AO62" i="49"/>
  <c r="AN62" i="49"/>
  <c r="AM62" i="49"/>
  <c r="AL62" i="49"/>
  <c r="AK62" i="49"/>
  <c r="AJ62" i="49"/>
  <c r="AI62" i="49"/>
  <c r="BP80" i="49"/>
  <c r="BO80" i="49"/>
  <c r="BN67" i="49"/>
  <c r="BM67" i="49"/>
  <c r="BL67" i="49"/>
  <c r="BK67" i="49"/>
  <c r="BJ67" i="49"/>
  <c r="BI67" i="49"/>
  <c r="BH67" i="49"/>
  <c r="BG67" i="49"/>
  <c r="BF67" i="49"/>
  <c r="BE67" i="49"/>
  <c r="BD67" i="49"/>
  <c r="BC67" i="49"/>
  <c r="BA67" i="49"/>
  <c r="AZ67" i="49"/>
  <c r="AY67" i="49"/>
  <c r="AX67" i="49"/>
  <c r="AW67" i="49"/>
  <c r="AV67" i="49"/>
  <c r="AT67" i="49"/>
  <c r="AR67" i="49"/>
  <c r="AP67" i="49"/>
  <c r="AO67" i="49"/>
  <c r="AN67" i="49"/>
  <c r="AM67" i="49"/>
  <c r="AL67" i="49"/>
  <c r="AK67" i="49"/>
  <c r="AJ67" i="49"/>
  <c r="AI67" i="49"/>
  <c r="BP79" i="49"/>
  <c r="BO79" i="49"/>
  <c r="BN66" i="49"/>
  <c r="BM66" i="49"/>
  <c r="BL66" i="49"/>
  <c r="BK66" i="49"/>
  <c r="BJ66" i="49"/>
  <c r="BI66" i="49"/>
  <c r="BH66" i="49"/>
  <c r="BG66" i="49"/>
  <c r="BF66" i="49"/>
  <c r="BE66" i="49"/>
  <c r="BD66" i="49"/>
  <c r="BC66" i="49"/>
  <c r="BA66" i="49"/>
  <c r="AZ66" i="49"/>
  <c r="AY66" i="49"/>
  <c r="AX66" i="49"/>
  <c r="AW66" i="49"/>
  <c r="AV66" i="49"/>
  <c r="AT66" i="49"/>
  <c r="AR66" i="49"/>
  <c r="AP66" i="49"/>
  <c r="AO66" i="49"/>
  <c r="AN66" i="49"/>
  <c r="AM66" i="49"/>
  <c r="AL66" i="49"/>
  <c r="AK66" i="49"/>
  <c r="AJ66" i="49"/>
  <c r="AI66" i="49"/>
  <c r="BP77" i="49"/>
  <c r="BO77" i="49"/>
  <c r="BN65" i="49"/>
  <c r="BM65" i="49"/>
  <c r="BL65" i="49"/>
  <c r="BK65" i="49"/>
  <c r="BJ65" i="49"/>
  <c r="BI65" i="49"/>
  <c r="BH65" i="49"/>
  <c r="BG65" i="49"/>
  <c r="BF65" i="49"/>
  <c r="BE65" i="49"/>
  <c r="BD65" i="49"/>
  <c r="BC65" i="49"/>
  <c r="BA65" i="49"/>
  <c r="AZ65" i="49"/>
  <c r="AY65" i="49"/>
  <c r="AX65" i="49"/>
  <c r="AW65" i="49"/>
  <c r="AV65" i="49"/>
  <c r="AT65" i="49"/>
  <c r="AR65" i="49"/>
  <c r="AP65" i="49"/>
  <c r="AO65" i="49"/>
  <c r="AN65" i="49"/>
  <c r="AM65" i="49"/>
  <c r="AL65" i="49"/>
  <c r="AK65" i="49"/>
  <c r="AJ65" i="49"/>
  <c r="AI65" i="49"/>
  <c r="BP76" i="49"/>
  <c r="BO76" i="49"/>
  <c r="BN64" i="49"/>
  <c r="BM64" i="49"/>
  <c r="BL64" i="49"/>
  <c r="BK64" i="49"/>
  <c r="BJ64" i="49"/>
  <c r="BI64" i="49"/>
  <c r="BH64" i="49"/>
  <c r="BG64" i="49"/>
  <c r="BF64" i="49"/>
  <c r="BE64" i="49"/>
  <c r="BD64" i="49"/>
  <c r="BC64" i="49"/>
  <c r="BA64" i="49"/>
  <c r="AZ64" i="49"/>
  <c r="AY64" i="49"/>
  <c r="AX64" i="49"/>
  <c r="AW64" i="49"/>
  <c r="AV64" i="49"/>
  <c r="AT64" i="49"/>
  <c r="AR64" i="49"/>
  <c r="AP64" i="49"/>
  <c r="AO64" i="49"/>
  <c r="AN64" i="49"/>
  <c r="AM64" i="49"/>
  <c r="AL64" i="49"/>
  <c r="AK64" i="49"/>
  <c r="AJ64" i="49"/>
  <c r="AI64" i="49"/>
  <c r="BP75" i="49"/>
  <c r="BO75" i="49"/>
  <c r="BN63" i="49"/>
  <c r="BM63" i="49"/>
  <c r="BL63" i="49"/>
  <c r="BK63" i="49"/>
  <c r="BJ63" i="49"/>
  <c r="BI63" i="49"/>
  <c r="BH63" i="49"/>
  <c r="BG63" i="49"/>
  <c r="BF63" i="49"/>
  <c r="BE63" i="49"/>
  <c r="BD63" i="49"/>
  <c r="BC63" i="49"/>
  <c r="BA63" i="49"/>
  <c r="AZ63" i="49"/>
  <c r="AY63" i="49"/>
  <c r="AX63" i="49"/>
  <c r="AW63" i="49"/>
  <c r="AV63" i="49"/>
  <c r="AT63" i="49"/>
  <c r="AR63" i="49"/>
  <c r="AP63" i="49"/>
  <c r="AO63" i="49"/>
  <c r="AN63" i="49"/>
  <c r="AM63" i="49"/>
  <c r="AL63" i="49"/>
  <c r="AK63" i="49"/>
  <c r="AJ63" i="49"/>
  <c r="AI63" i="49"/>
  <c r="BP74" i="49"/>
  <c r="BO74" i="49"/>
  <c r="BN61" i="49"/>
  <c r="BM61" i="49"/>
  <c r="BL61" i="49"/>
  <c r="BK61" i="49"/>
  <c r="BJ61" i="49"/>
  <c r="BI61" i="49"/>
  <c r="BH61" i="49"/>
  <c r="BG61" i="49"/>
  <c r="BF61" i="49"/>
  <c r="BE61" i="49"/>
  <c r="BD61" i="49"/>
  <c r="BC61" i="49"/>
  <c r="BA61" i="49"/>
  <c r="AZ61" i="49"/>
  <c r="AY61" i="49"/>
  <c r="AX61" i="49"/>
  <c r="AW61" i="49"/>
  <c r="AV61" i="49"/>
  <c r="AT61" i="49"/>
  <c r="AR61" i="49"/>
  <c r="AP61" i="49"/>
  <c r="AO61" i="49"/>
  <c r="AN61" i="49"/>
  <c r="AM61" i="49"/>
  <c r="AL61" i="49"/>
  <c r="AK61" i="49"/>
  <c r="AJ61" i="49"/>
  <c r="AI61" i="49"/>
  <c r="BP73" i="49"/>
  <c r="BO73" i="49"/>
  <c r="BN60" i="49"/>
  <c r="BM60" i="49"/>
  <c r="BL60" i="49"/>
  <c r="BK60" i="49"/>
  <c r="BJ60" i="49"/>
  <c r="BI60" i="49"/>
  <c r="BH60" i="49"/>
  <c r="BG60" i="49"/>
  <c r="BF60" i="49"/>
  <c r="BE60" i="49"/>
  <c r="BD60" i="49"/>
  <c r="BC60" i="49"/>
  <c r="BA60" i="49"/>
  <c r="AZ60" i="49"/>
  <c r="AY60" i="49"/>
  <c r="AX60" i="49"/>
  <c r="AW60" i="49"/>
  <c r="AV60" i="49"/>
  <c r="AT60" i="49"/>
  <c r="AR60" i="49"/>
  <c r="AP60" i="49"/>
  <c r="AO60" i="49"/>
  <c r="AN60" i="49"/>
  <c r="AM60" i="49"/>
  <c r="AL60" i="49"/>
  <c r="AK60" i="49"/>
  <c r="AJ60" i="49"/>
  <c r="AI60" i="49"/>
  <c r="BP72" i="49"/>
  <c r="BO72" i="49"/>
  <c r="BN59" i="49"/>
  <c r="BM59" i="49"/>
  <c r="BL59" i="49"/>
  <c r="BK59" i="49"/>
  <c r="BJ59" i="49"/>
  <c r="BI59" i="49"/>
  <c r="BH59" i="49"/>
  <c r="BG59" i="49"/>
  <c r="BF59" i="49"/>
  <c r="BE59" i="49"/>
  <c r="BD59" i="49"/>
  <c r="BC59" i="49"/>
  <c r="BA59" i="49"/>
  <c r="AZ59" i="49"/>
  <c r="AY59" i="49"/>
  <c r="AX59" i="49"/>
  <c r="AW59" i="49"/>
  <c r="AV59" i="49"/>
  <c r="AT59" i="49"/>
  <c r="AR59" i="49"/>
  <c r="AP59" i="49"/>
  <c r="AO59" i="49"/>
  <c r="AN59" i="49"/>
  <c r="AM59" i="49"/>
  <c r="AL59" i="49"/>
  <c r="AK59" i="49"/>
  <c r="AJ59" i="49"/>
  <c r="AI59" i="49"/>
  <c r="BP71" i="49"/>
  <c r="BO71" i="49"/>
  <c r="BN58" i="49"/>
  <c r="BM58" i="49"/>
  <c r="BL58" i="49"/>
  <c r="BK58" i="49"/>
  <c r="BJ58" i="49"/>
  <c r="BI58" i="49"/>
  <c r="BH58" i="49"/>
  <c r="BG58" i="49"/>
  <c r="BF58" i="49"/>
  <c r="BE58" i="49"/>
  <c r="BD58" i="49"/>
  <c r="BC58" i="49"/>
  <c r="BA58" i="49"/>
  <c r="AZ58" i="49"/>
  <c r="AY58" i="49"/>
  <c r="AX58" i="49"/>
  <c r="AW58" i="49"/>
  <c r="AV58" i="49"/>
  <c r="AT58" i="49"/>
  <c r="AR58" i="49"/>
  <c r="AP58" i="49"/>
  <c r="AO58" i="49"/>
  <c r="AN58" i="49"/>
  <c r="AM58" i="49"/>
  <c r="AL58" i="49"/>
  <c r="AK58" i="49"/>
  <c r="AJ58" i="49"/>
  <c r="AI58" i="49"/>
  <c r="BP70" i="49"/>
  <c r="BO70" i="49"/>
  <c r="BN57" i="49"/>
  <c r="BM57" i="49"/>
  <c r="BL57" i="49"/>
  <c r="BK57" i="49"/>
  <c r="BJ57" i="49"/>
  <c r="BI57" i="49"/>
  <c r="BH57" i="49"/>
  <c r="BG57" i="49"/>
  <c r="BF57" i="49"/>
  <c r="BE57" i="49"/>
  <c r="BD57" i="49"/>
  <c r="BC57" i="49"/>
  <c r="BA57" i="49"/>
  <c r="AZ57" i="49"/>
  <c r="AY57" i="49"/>
  <c r="AX57" i="49"/>
  <c r="AW57" i="49"/>
  <c r="AV57" i="49"/>
  <c r="AT57" i="49"/>
  <c r="AR57" i="49"/>
  <c r="AP57" i="49"/>
  <c r="AO57" i="49"/>
  <c r="AN57" i="49"/>
  <c r="AM57" i="49"/>
  <c r="AL57" i="49"/>
  <c r="AK57" i="49"/>
  <c r="AJ57" i="49"/>
  <c r="AI57" i="49"/>
  <c r="BP69" i="49"/>
  <c r="BO69" i="49"/>
  <c r="BN56" i="49"/>
  <c r="BM56" i="49"/>
  <c r="BL56" i="49"/>
  <c r="BK56" i="49"/>
  <c r="BJ56" i="49"/>
  <c r="BI56" i="49"/>
  <c r="BH56" i="49"/>
  <c r="BG56" i="49"/>
  <c r="BF56" i="49"/>
  <c r="BE56" i="49"/>
  <c r="BD56" i="49"/>
  <c r="BC56" i="49"/>
  <c r="BA56" i="49"/>
  <c r="AZ56" i="49"/>
  <c r="AY56" i="49"/>
  <c r="AX56" i="49"/>
  <c r="AW56" i="49"/>
  <c r="AV56" i="49"/>
  <c r="AT56" i="49"/>
  <c r="AR56" i="49"/>
  <c r="AP56" i="49"/>
  <c r="AO56" i="49"/>
  <c r="AN56" i="49"/>
  <c r="AM56" i="49"/>
  <c r="AL56" i="49"/>
  <c r="AK56" i="49"/>
  <c r="AJ56" i="49"/>
  <c r="AI56" i="49"/>
  <c r="BP68" i="49"/>
  <c r="BO68" i="49"/>
  <c r="BN55" i="49"/>
  <c r="BM55" i="49"/>
  <c r="BL55" i="49"/>
  <c r="BK55" i="49"/>
  <c r="BJ55" i="49"/>
  <c r="BI55" i="49"/>
  <c r="BH55" i="49"/>
  <c r="BG55" i="49"/>
  <c r="BF55" i="49"/>
  <c r="BE55" i="49"/>
  <c r="BD55" i="49"/>
  <c r="BC55" i="49"/>
  <c r="BA55" i="49"/>
  <c r="AZ55" i="49"/>
  <c r="AY55" i="49"/>
  <c r="AX55" i="49"/>
  <c r="AW55" i="49"/>
  <c r="AV55" i="49"/>
  <c r="AT55" i="49"/>
  <c r="AR55" i="49"/>
  <c r="AP55" i="49"/>
  <c r="AO55" i="49"/>
  <c r="AN55" i="49"/>
  <c r="AM55" i="49"/>
  <c r="AL55" i="49"/>
  <c r="AK55" i="49"/>
  <c r="AJ55" i="49"/>
  <c r="AI55" i="49"/>
  <c r="BP62" i="49"/>
  <c r="BO62" i="49"/>
  <c r="BN54" i="49"/>
  <c r="BM54" i="49"/>
  <c r="BL54" i="49"/>
  <c r="BK54" i="49"/>
  <c r="BJ54" i="49"/>
  <c r="BI54" i="49"/>
  <c r="BH54" i="49"/>
  <c r="BG54" i="49"/>
  <c r="BF54" i="49"/>
  <c r="BE54" i="49"/>
  <c r="BD54" i="49"/>
  <c r="BC54" i="49"/>
  <c r="BA54" i="49"/>
  <c r="AZ54" i="49"/>
  <c r="AY54" i="49"/>
  <c r="AX54" i="49"/>
  <c r="AW54" i="49"/>
  <c r="AV54" i="49"/>
  <c r="AT54" i="49"/>
  <c r="AR54" i="49"/>
  <c r="AP54" i="49"/>
  <c r="AO54" i="49"/>
  <c r="AN54" i="49"/>
  <c r="AM54" i="49"/>
  <c r="AL54" i="49"/>
  <c r="AK54" i="49"/>
  <c r="AJ54" i="49"/>
  <c r="AI54" i="49"/>
  <c r="E54" i="49"/>
  <c r="F54" i="49"/>
  <c r="BP67" i="49"/>
  <c r="BO67" i="49"/>
  <c r="BN53" i="49"/>
  <c r="BM53" i="49"/>
  <c r="BL53" i="49"/>
  <c r="BK53" i="49"/>
  <c r="BJ53" i="49"/>
  <c r="BI53" i="49"/>
  <c r="BH53" i="49"/>
  <c r="BG53" i="49"/>
  <c r="BF53" i="49"/>
  <c r="BE53" i="49"/>
  <c r="BD53" i="49"/>
  <c r="BC53" i="49"/>
  <c r="BA53" i="49"/>
  <c r="AZ53" i="49"/>
  <c r="AY53" i="49"/>
  <c r="AX53" i="49"/>
  <c r="AW53" i="49"/>
  <c r="AV53" i="49"/>
  <c r="AT53" i="49"/>
  <c r="AR53" i="49"/>
  <c r="AP53" i="49"/>
  <c r="AO53" i="49"/>
  <c r="AN53" i="49"/>
  <c r="AM53" i="49"/>
  <c r="AL53" i="49"/>
  <c r="AK53" i="49"/>
  <c r="AJ53" i="49"/>
  <c r="AI53" i="49"/>
  <c r="BP66" i="49"/>
  <c r="BO66" i="49"/>
  <c r="BN52" i="49"/>
  <c r="BM52" i="49"/>
  <c r="BL52" i="49"/>
  <c r="BK52" i="49"/>
  <c r="BJ52" i="49"/>
  <c r="BI52" i="49"/>
  <c r="BH52" i="49"/>
  <c r="BG52" i="49"/>
  <c r="BF52" i="49"/>
  <c r="BE52" i="49"/>
  <c r="BD52" i="49"/>
  <c r="BC52" i="49"/>
  <c r="BA52" i="49"/>
  <c r="AZ52" i="49"/>
  <c r="AY52" i="49"/>
  <c r="AX52" i="49"/>
  <c r="AW52" i="49"/>
  <c r="AV52" i="49"/>
  <c r="AT52" i="49"/>
  <c r="AR52" i="49"/>
  <c r="AP52" i="49"/>
  <c r="AO52" i="49"/>
  <c r="AN52" i="49"/>
  <c r="AM52" i="49"/>
  <c r="AL52" i="49"/>
  <c r="AK52" i="49"/>
  <c r="AJ52" i="49"/>
  <c r="AI52" i="49"/>
  <c r="E52" i="49"/>
  <c r="F52" i="49"/>
  <c r="BP65" i="49"/>
  <c r="BO65" i="49"/>
  <c r="BN51" i="49"/>
  <c r="BM51" i="49"/>
  <c r="BL51" i="49"/>
  <c r="BK51" i="49"/>
  <c r="BJ51" i="49"/>
  <c r="BI51" i="49"/>
  <c r="BH51" i="49"/>
  <c r="BG51" i="49"/>
  <c r="BF51" i="49"/>
  <c r="BE51" i="49"/>
  <c r="BD51" i="49"/>
  <c r="BC51" i="49"/>
  <c r="BA51" i="49"/>
  <c r="AZ51" i="49"/>
  <c r="AY51" i="49"/>
  <c r="AX51" i="49"/>
  <c r="AW51" i="49"/>
  <c r="AV51" i="49"/>
  <c r="AT51" i="49"/>
  <c r="AR51" i="49"/>
  <c r="AP51" i="49"/>
  <c r="AO51" i="49"/>
  <c r="AN51" i="49"/>
  <c r="AM51" i="49"/>
  <c r="F51" i="49"/>
  <c r="AL51" i="49"/>
  <c r="E51" i="49"/>
  <c r="AK51" i="49"/>
  <c r="AJ51" i="49"/>
  <c r="AI51" i="49"/>
  <c r="BP64" i="49"/>
  <c r="BO64" i="49"/>
  <c r="BN50" i="49"/>
  <c r="BM50" i="49"/>
  <c r="BL50" i="49"/>
  <c r="BK50" i="49"/>
  <c r="BJ50" i="49"/>
  <c r="BI50" i="49"/>
  <c r="BH50" i="49"/>
  <c r="BG50" i="49"/>
  <c r="BF50" i="49"/>
  <c r="BE50" i="49"/>
  <c r="BD50" i="49"/>
  <c r="BC50" i="49"/>
  <c r="BA50" i="49"/>
  <c r="AZ50" i="49"/>
  <c r="AY50" i="49"/>
  <c r="AX50" i="49"/>
  <c r="AW50" i="49"/>
  <c r="AV50" i="49"/>
  <c r="AT50" i="49"/>
  <c r="AR50" i="49"/>
  <c r="AP50" i="49"/>
  <c r="AO50" i="49"/>
  <c r="AN50" i="49"/>
  <c r="AM50" i="49"/>
  <c r="AL50" i="49"/>
  <c r="AK50" i="49"/>
  <c r="AJ50" i="49"/>
  <c r="AI50" i="49"/>
  <c r="E50" i="49"/>
  <c r="F50" i="49"/>
  <c r="BP63" i="49"/>
  <c r="BO63" i="49"/>
  <c r="BN45" i="49"/>
  <c r="BM45" i="49"/>
  <c r="BL45" i="49"/>
  <c r="BK45" i="49"/>
  <c r="BJ45" i="49"/>
  <c r="BI45" i="49"/>
  <c r="BH45" i="49"/>
  <c r="BG45" i="49"/>
  <c r="BF45" i="49"/>
  <c r="BE45" i="49"/>
  <c r="BD45" i="49"/>
  <c r="BC45" i="49"/>
  <c r="BA45" i="49"/>
  <c r="AZ45" i="49"/>
  <c r="AY45" i="49"/>
  <c r="AX45" i="49"/>
  <c r="AW45" i="49"/>
  <c r="AV45" i="49"/>
  <c r="AT45" i="49"/>
  <c r="AR45" i="49"/>
  <c r="AP45" i="49"/>
  <c r="AO45" i="49"/>
  <c r="AN45" i="49"/>
  <c r="AM45" i="49"/>
  <c r="AL45" i="49"/>
  <c r="AK45" i="49"/>
  <c r="AJ45" i="49"/>
  <c r="AI45" i="49"/>
  <c r="BP61" i="49"/>
  <c r="BO61" i="49"/>
  <c r="BN37" i="49"/>
  <c r="BN49" i="49"/>
  <c r="BM37" i="49"/>
  <c r="BM49" i="49"/>
  <c r="BL37" i="49"/>
  <c r="BL49" i="49"/>
  <c r="BK37" i="49"/>
  <c r="BK49" i="49"/>
  <c r="BJ37" i="49"/>
  <c r="BJ49" i="49"/>
  <c r="BI37" i="49"/>
  <c r="BI49" i="49"/>
  <c r="BH37" i="49"/>
  <c r="BH49" i="49"/>
  <c r="BG37" i="49"/>
  <c r="BG49" i="49"/>
  <c r="BF37" i="49"/>
  <c r="BF49" i="49"/>
  <c r="BE37" i="49"/>
  <c r="BE49" i="49"/>
  <c r="BD37" i="49"/>
  <c r="BD49" i="49"/>
  <c r="BC37" i="49"/>
  <c r="BC49" i="49"/>
  <c r="BA37" i="49"/>
  <c r="BA49" i="49"/>
  <c r="AZ37" i="49"/>
  <c r="AZ49" i="49"/>
  <c r="AY37" i="49"/>
  <c r="AY49" i="49"/>
  <c r="AX37" i="49"/>
  <c r="AX49" i="49"/>
  <c r="AW37" i="49"/>
  <c r="AW49" i="49"/>
  <c r="AV37" i="49"/>
  <c r="AV49" i="49"/>
  <c r="AT37" i="49"/>
  <c r="AT49" i="49"/>
  <c r="AR37" i="49"/>
  <c r="AR49" i="49"/>
  <c r="AP37" i="49"/>
  <c r="AP49" i="49"/>
  <c r="AO37" i="49"/>
  <c r="AO49" i="49"/>
  <c r="AN37" i="49"/>
  <c r="AN49" i="49"/>
  <c r="AM37" i="49"/>
  <c r="AM49" i="49"/>
  <c r="F37" i="49"/>
  <c r="AL37" i="49"/>
  <c r="AL49" i="49"/>
  <c r="E37" i="49"/>
  <c r="AK37" i="49"/>
  <c r="AK49" i="49"/>
  <c r="AJ37" i="49"/>
  <c r="AJ49" i="49"/>
  <c r="AI37" i="49"/>
  <c r="AI49" i="49"/>
  <c r="BP60" i="49"/>
  <c r="BO60" i="49"/>
  <c r="BN44" i="49"/>
  <c r="BN48" i="49"/>
  <c r="BM44" i="49"/>
  <c r="BM48" i="49"/>
  <c r="BL44" i="49"/>
  <c r="BL48" i="49"/>
  <c r="BK44" i="49"/>
  <c r="BK48" i="49"/>
  <c r="BJ44" i="49"/>
  <c r="BJ48" i="49"/>
  <c r="BI44" i="49"/>
  <c r="BI48" i="49"/>
  <c r="BH44" i="49"/>
  <c r="BH48" i="49"/>
  <c r="BG44" i="49"/>
  <c r="BG48" i="49"/>
  <c r="BF44" i="49"/>
  <c r="BF48" i="49"/>
  <c r="BE44" i="49"/>
  <c r="BE48" i="49"/>
  <c r="BD44" i="49"/>
  <c r="BD48" i="49"/>
  <c r="BC44" i="49"/>
  <c r="BC48" i="49"/>
  <c r="BA44" i="49"/>
  <c r="BA48" i="49"/>
  <c r="AZ44" i="49"/>
  <c r="AZ48" i="49"/>
  <c r="AY44" i="49"/>
  <c r="AY48" i="49"/>
  <c r="AX44" i="49"/>
  <c r="AX48" i="49"/>
  <c r="AW44" i="49"/>
  <c r="AW48" i="49"/>
  <c r="AV44" i="49"/>
  <c r="AV48" i="49"/>
  <c r="AT44" i="49"/>
  <c r="AT48" i="49"/>
  <c r="AR44" i="49"/>
  <c r="AR48" i="49"/>
  <c r="AP44" i="49"/>
  <c r="AP48" i="49"/>
  <c r="AO44" i="49"/>
  <c r="AO48" i="49"/>
  <c r="AN44" i="49"/>
  <c r="AN48" i="49"/>
  <c r="AM44" i="49"/>
  <c r="AM48" i="49"/>
  <c r="AL44" i="49"/>
  <c r="AL48" i="49"/>
  <c r="AK44" i="49"/>
  <c r="AK48" i="49"/>
  <c r="AJ44" i="49"/>
  <c r="AJ48" i="49"/>
  <c r="AI44" i="49"/>
  <c r="AI48" i="49"/>
  <c r="BP59" i="49"/>
  <c r="BO59" i="49"/>
  <c r="BN47" i="49"/>
  <c r="BM47" i="49"/>
  <c r="BL47" i="49"/>
  <c r="BK47" i="49"/>
  <c r="BJ47" i="49"/>
  <c r="BI47" i="49"/>
  <c r="BH47" i="49"/>
  <c r="BG47" i="49"/>
  <c r="BF47" i="49"/>
  <c r="BE47" i="49"/>
  <c r="BD47" i="49"/>
  <c r="BC47" i="49"/>
  <c r="BA47" i="49"/>
  <c r="AZ47" i="49"/>
  <c r="AY47" i="49"/>
  <c r="AX47" i="49"/>
  <c r="AW47" i="49"/>
  <c r="AV47" i="49"/>
  <c r="AT47" i="49"/>
  <c r="AR47" i="49"/>
  <c r="AP47" i="49"/>
  <c r="AO47" i="49"/>
  <c r="AN47" i="49"/>
  <c r="AM47" i="49"/>
  <c r="AL47" i="49"/>
  <c r="AK47" i="49"/>
  <c r="AJ47" i="49"/>
  <c r="AI47" i="49"/>
  <c r="BP58" i="49"/>
  <c r="BO58" i="49"/>
  <c r="BN46" i="49"/>
  <c r="BM46" i="49"/>
  <c r="BL46" i="49"/>
  <c r="BK46" i="49"/>
  <c r="BJ46" i="49"/>
  <c r="BI46" i="49"/>
  <c r="BH46" i="49"/>
  <c r="BG46" i="49"/>
  <c r="BF46" i="49"/>
  <c r="BE46" i="49"/>
  <c r="BD46" i="49"/>
  <c r="BC46" i="49"/>
  <c r="BA46" i="49"/>
  <c r="AZ46" i="49"/>
  <c r="AY46" i="49"/>
  <c r="AX46" i="49"/>
  <c r="AW46" i="49"/>
  <c r="AV46" i="49"/>
  <c r="AT46" i="49"/>
  <c r="AR46" i="49"/>
  <c r="AP46" i="49"/>
  <c r="AO46" i="49"/>
  <c r="AN46" i="49"/>
  <c r="AM46" i="49"/>
  <c r="AL46" i="49"/>
  <c r="AK46" i="49"/>
  <c r="AJ46" i="49"/>
  <c r="AI46" i="49"/>
  <c r="BP57" i="49"/>
  <c r="BO57" i="49"/>
  <c r="BP56" i="49"/>
  <c r="BO56" i="49"/>
  <c r="BP55" i="49"/>
  <c r="BO55" i="49"/>
  <c r="BN43" i="49"/>
  <c r="BM43" i="49"/>
  <c r="BL43" i="49"/>
  <c r="BK43" i="49"/>
  <c r="BJ43" i="49"/>
  <c r="BI43" i="49"/>
  <c r="BH43" i="49"/>
  <c r="BG43" i="49"/>
  <c r="BF43" i="49"/>
  <c r="BE43" i="49"/>
  <c r="BD43" i="49"/>
  <c r="BC43" i="49"/>
  <c r="BA43" i="49"/>
  <c r="AZ43" i="49"/>
  <c r="AY43" i="49"/>
  <c r="AX43" i="49"/>
  <c r="AW43" i="49"/>
  <c r="AV43" i="49"/>
  <c r="AT43" i="49"/>
  <c r="AR43" i="49"/>
  <c r="AP43" i="49"/>
  <c r="AO43" i="49"/>
  <c r="AN43" i="49"/>
  <c r="AM43" i="49"/>
  <c r="AL43" i="49"/>
  <c r="AK43" i="49"/>
  <c r="AJ43" i="49"/>
  <c r="AI43" i="49"/>
  <c r="BP54" i="49"/>
  <c r="BO54" i="49"/>
  <c r="BN42" i="49"/>
  <c r="BM42" i="49"/>
  <c r="BL42" i="49"/>
  <c r="BK42" i="49"/>
  <c r="BJ42" i="49"/>
  <c r="BI42" i="49"/>
  <c r="BH42" i="49"/>
  <c r="BG42" i="49"/>
  <c r="BF42" i="49"/>
  <c r="BE42" i="49"/>
  <c r="BD42" i="49"/>
  <c r="BC42" i="49"/>
  <c r="BA42" i="49"/>
  <c r="AZ42" i="49"/>
  <c r="AY42" i="49"/>
  <c r="AX42" i="49"/>
  <c r="AW42" i="49"/>
  <c r="AV42" i="49"/>
  <c r="AT42" i="49"/>
  <c r="AR42" i="49"/>
  <c r="AP42" i="49"/>
  <c r="AO42" i="49"/>
  <c r="AN42" i="49"/>
  <c r="AM42" i="49"/>
  <c r="AL42" i="49"/>
  <c r="AK42" i="49"/>
  <c r="AJ42" i="49"/>
  <c r="AI42" i="49"/>
  <c r="BP53" i="49"/>
  <c r="BO53" i="49"/>
  <c r="BN41" i="49"/>
  <c r="BM41" i="49"/>
  <c r="BL41" i="49"/>
  <c r="BK41" i="49"/>
  <c r="BJ41" i="49"/>
  <c r="BI41" i="49"/>
  <c r="BH41" i="49"/>
  <c r="BG41" i="49"/>
  <c r="BF41" i="49"/>
  <c r="BE41" i="49"/>
  <c r="BD41" i="49"/>
  <c r="BC41" i="49"/>
  <c r="BA41" i="49"/>
  <c r="AZ41" i="49"/>
  <c r="AY41" i="49"/>
  <c r="AX41" i="49"/>
  <c r="AW41" i="49"/>
  <c r="AV41" i="49"/>
  <c r="AT41" i="49"/>
  <c r="AR41" i="49"/>
  <c r="AP41" i="49"/>
  <c r="AO41" i="49"/>
  <c r="AN41" i="49"/>
  <c r="AM41" i="49"/>
  <c r="AL41" i="49"/>
  <c r="AK41" i="49"/>
  <c r="AJ41" i="49"/>
  <c r="AI41" i="49"/>
  <c r="BP52" i="49"/>
  <c r="BO52" i="49"/>
  <c r="BN40" i="49"/>
  <c r="BM40" i="49"/>
  <c r="BL40" i="49"/>
  <c r="BK40" i="49"/>
  <c r="BJ40" i="49"/>
  <c r="BI40" i="49"/>
  <c r="BH40" i="49"/>
  <c r="BG40" i="49"/>
  <c r="BF40" i="49"/>
  <c r="BE40" i="49"/>
  <c r="BD40" i="49"/>
  <c r="BC40" i="49"/>
  <c r="BA40" i="49"/>
  <c r="AZ40" i="49"/>
  <c r="AY40" i="49"/>
  <c r="AX40" i="49"/>
  <c r="AW40" i="49"/>
  <c r="AV40" i="49"/>
  <c r="AT40" i="49"/>
  <c r="AR40" i="49"/>
  <c r="AP40" i="49"/>
  <c r="AO40" i="49"/>
  <c r="AN40" i="49"/>
  <c r="AM40" i="49"/>
  <c r="AL40" i="49"/>
  <c r="AK40" i="49"/>
  <c r="AJ40" i="49"/>
  <c r="AI40" i="49"/>
  <c r="BP51" i="49"/>
  <c r="BO51" i="49"/>
  <c r="BN39" i="49"/>
  <c r="BM39" i="49"/>
  <c r="BL39" i="49"/>
  <c r="BK39" i="49"/>
  <c r="BJ39" i="49"/>
  <c r="BI39" i="49"/>
  <c r="BH39" i="49"/>
  <c r="BG39" i="49"/>
  <c r="BF39" i="49"/>
  <c r="BE39" i="49"/>
  <c r="BD39" i="49"/>
  <c r="BC39" i="49"/>
  <c r="BA39" i="49"/>
  <c r="AZ39" i="49"/>
  <c r="AY39" i="49"/>
  <c r="AX39" i="49"/>
  <c r="AW39" i="49"/>
  <c r="AV39" i="49"/>
  <c r="AT39" i="49"/>
  <c r="AR39" i="49"/>
  <c r="AP39" i="49"/>
  <c r="AO39" i="49"/>
  <c r="AN39" i="49"/>
  <c r="AM39" i="49"/>
  <c r="AL39" i="49"/>
  <c r="AK39" i="49"/>
  <c r="AJ39" i="49"/>
  <c r="AI39" i="49"/>
  <c r="E39" i="49"/>
  <c r="F39" i="49"/>
  <c r="BP50" i="49"/>
  <c r="BO50" i="49"/>
  <c r="BN38" i="49"/>
  <c r="BM38" i="49"/>
  <c r="BL38" i="49"/>
  <c r="BK38" i="49"/>
  <c r="BJ38" i="49"/>
  <c r="BI38" i="49"/>
  <c r="BH38" i="49"/>
  <c r="BG38" i="49"/>
  <c r="BF38" i="49"/>
  <c r="BE38" i="49"/>
  <c r="BD38" i="49"/>
  <c r="BC38" i="49"/>
  <c r="BA38" i="49"/>
  <c r="AZ38" i="49"/>
  <c r="AY38" i="49"/>
  <c r="AX38" i="49"/>
  <c r="AW38" i="49"/>
  <c r="AV38" i="49"/>
  <c r="AT38" i="49"/>
  <c r="AR38" i="49"/>
  <c r="AP38" i="49"/>
  <c r="AO38" i="49"/>
  <c r="AN38" i="49"/>
  <c r="AM38" i="49"/>
  <c r="AL38" i="49"/>
  <c r="AK38" i="49"/>
  <c r="AJ38" i="49"/>
  <c r="AI38" i="49"/>
  <c r="E38" i="49"/>
  <c r="F38" i="49"/>
  <c r="BP45" i="49"/>
  <c r="BO45" i="49"/>
  <c r="BN36" i="49"/>
  <c r="BM36" i="49"/>
  <c r="BL36" i="49"/>
  <c r="BK36" i="49"/>
  <c r="BJ36" i="49"/>
  <c r="BI36" i="49"/>
  <c r="BH36" i="49"/>
  <c r="BG36" i="49"/>
  <c r="BF36" i="49"/>
  <c r="BE36" i="49"/>
  <c r="BD36" i="49"/>
  <c r="BC36" i="49"/>
  <c r="BA36" i="49"/>
  <c r="AZ36" i="49"/>
  <c r="AY36" i="49"/>
  <c r="AX36" i="49"/>
  <c r="AW36" i="49"/>
  <c r="AV36" i="49"/>
  <c r="AT36" i="49"/>
  <c r="AR36" i="49"/>
  <c r="AP36" i="49"/>
  <c r="AO36" i="49"/>
  <c r="AN36" i="49"/>
  <c r="AM36" i="49"/>
  <c r="AL36" i="49"/>
  <c r="AK36" i="49"/>
  <c r="AJ36" i="49"/>
  <c r="AI36" i="49"/>
  <c r="BP37" i="49"/>
  <c r="BP49" i="49"/>
  <c r="BO37" i="49"/>
  <c r="BO49" i="49"/>
  <c r="BN35" i="49"/>
  <c r="BM35" i="49"/>
  <c r="BL35" i="49"/>
  <c r="BK35" i="49"/>
  <c r="BJ35" i="49"/>
  <c r="BI35" i="49"/>
  <c r="BH35" i="49"/>
  <c r="BG35" i="49"/>
  <c r="BF35" i="49"/>
  <c r="BE35" i="49"/>
  <c r="BD35" i="49"/>
  <c r="BC35" i="49"/>
  <c r="BA35" i="49"/>
  <c r="AZ35" i="49"/>
  <c r="AY35" i="49"/>
  <c r="AX35" i="49"/>
  <c r="AW35" i="49"/>
  <c r="AV35" i="49"/>
  <c r="AT35" i="49"/>
  <c r="AR35" i="49"/>
  <c r="AP35" i="49"/>
  <c r="AO35" i="49"/>
  <c r="AN35" i="49"/>
  <c r="AM35" i="49"/>
  <c r="AL35" i="49"/>
  <c r="AK35" i="49"/>
  <c r="AJ35" i="49"/>
  <c r="AI35" i="49"/>
  <c r="BP44" i="49"/>
  <c r="BP48" i="49"/>
  <c r="BO44" i="49"/>
  <c r="BO48" i="49"/>
  <c r="BN34" i="49"/>
  <c r="BM34" i="49"/>
  <c r="BL34" i="49"/>
  <c r="BK34" i="49"/>
  <c r="BJ34" i="49"/>
  <c r="BI34" i="49"/>
  <c r="BH34" i="49"/>
  <c r="BG34" i="49"/>
  <c r="BF34" i="49"/>
  <c r="BE34" i="49"/>
  <c r="BD34" i="49"/>
  <c r="BC34" i="49"/>
  <c r="BA34" i="49"/>
  <c r="AZ34" i="49"/>
  <c r="AY34" i="49"/>
  <c r="AX34" i="49"/>
  <c r="AW34" i="49"/>
  <c r="AV34" i="49"/>
  <c r="AT34" i="49"/>
  <c r="AR34" i="49"/>
  <c r="AP34" i="49"/>
  <c r="AO34" i="49"/>
  <c r="AN34" i="49"/>
  <c r="AM34" i="49"/>
  <c r="AL34" i="49"/>
  <c r="AK34" i="49"/>
  <c r="AJ34" i="49"/>
  <c r="AI34" i="49"/>
  <c r="BP47" i="49"/>
  <c r="BO47" i="49"/>
  <c r="BN33" i="49"/>
  <c r="BM33" i="49"/>
  <c r="BL33" i="49"/>
  <c r="BK33" i="49"/>
  <c r="BJ33" i="49"/>
  <c r="BI33" i="49"/>
  <c r="BH33" i="49"/>
  <c r="BG33" i="49"/>
  <c r="BF33" i="49"/>
  <c r="BE33" i="49"/>
  <c r="BD33" i="49"/>
  <c r="BC33" i="49"/>
  <c r="BA33" i="49"/>
  <c r="AZ33" i="49"/>
  <c r="AY33" i="49"/>
  <c r="AX33" i="49"/>
  <c r="AW33" i="49"/>
  <c r="AV33" i="49"/>
  <c r="AT33" i="49"/>
  <c r="AR33" i="49"/>
  <c r="AP33" i="49"/>
  <c r="AO33" i="49"/>
  <c r="AN33" i="49"/>
  <c r="AM33" i="49"/>
  <c r="AL33" i="49"/>
  <c r="AK33" i="49"/>
  <c r="AJ33" i="49"/>
  <c r="AI33" i="49"/>
  <c r="BP46" i="49"/>
  <c r="BO46" i="49"/>
  <c r="BN32" i="49"/>
  <c r="BM32" i="49"/>
  <c r="BL32" i="49"/>
  <c r="BK32" i="49"/>
  <c r="BJ32" i="49"/>
  <c r="BI32" i="49"/>
  <c r="BH32" i="49"/>
  <c r="BG32" i="49"/>
  <c r="BF32" i="49"/>
  <c r="BE32" i="49"/>
  <c r="BD32" i="49"/>
  <c r="BC32" i="49"/>
  <c r="BA32" i="49"/>
  <c r="AZ32" i="49"/>
  <c r="AY32" i="49"/>
  <c r="AX32" i="49"/>
  <c r="AW32" i="49"/>
  <c r="AV32" i="49"/>
  <c r="AT32" i="49"/>
  <c r="AR32" i="49"/>
  <c r="AP32" i="49"/>
  <c r="AO32" i="49"/>
  <c r="AN32" i="49"/>
  <c r="AM32" i="49"/>
  <c r="AL32" i="49"/>
  <c r="AK32" i="49"/>
  <c r="AJ32" i="49"/>
  <c r="AI32" i="49"/>
  <c r="BN31" i="49"/>
  <c r="BM31" i="49"/>
  <c r="BL31" i="49"/>
  <c r="BK31" i="49"/>
  <c r="BJ31" i="49"/>
  <c r="BI31" i="49"/>
  <c r="BH31" i="49"/>
  <c r="BG31" i="49"/>
  <c r="BF31" i="49"/>
  <c r="BE31" i="49"/>
  <c r="BD31" i="49"/>
  <c r="BC31" i="49"/>
  <c r="BA31" i="49"/>
  <c r="AZ31" i="49"/>
  <c r="AY31" i="49"/>
  <c r="AX31" i="49"/>
  <c r="AW31" i="49"/>
  <c r="AV31" i="49"/>
  <c r="AT31" i="49"/>
  <c r="AR31" i="49"/>
  <c r="AP31" i="49"/>
  <c r="AO31" i="49"/>
  <c r="AN31" i="49"/>
  <c r="AM31" i="49"/>
  <c r="AL31" i="49"/>
  <c r="AK31" i="49"/>
  <c r="AJ31" i="49"/>
  <c r="AI31" i="49"/>
  <c r="BN30" i="49"/>
  <c r="BM30" i="49"/>
  <c r="BL30" i="49"/>
  <c r="BK30" i="49"/>
  <c r="BJ30" i="49"/>
  <c r="BI30" i="49"/>
  <c r="BH30" i="49"/>
  <c r="BG30" i="49"/>
  <c r="BF30" i="49"/>
  <c r="BE30" i="49"/>
  <c r="BD30" i="49"/>
  <c r="BC30" i="49"/>
  <c r="BA30" i="49"/>
  <c r="AZ30" i="49"/>
  <c r="AY30" i="49"/>
  <c r="AX30" i="49"/>
  <c r="AW30" i="49"/>
  <c r="AV30" i="49"/>
  <c r="AT30" i="49"/>
  <c r="AR30" i="49"/>
  <c r="AP30" i="49"/>
  <c r="AO30" i="49"/>
  <c r="AN30" i="49"/>
  <c r="AM30" i="49"/>
  <c r="AL30" i="49"/>
  <c r="AK30" i="49"/>
  <c r="AJ30" i="49"/>
  <c r="AI30" i="49"/>
  <c r="BP43" i="49"/>
  <c r="BO43" i="49"/>
  <c r="BN29" i="49"/>
  <c r="BM29" i="49"/>
  <c r="BL29" i="49"/>
  <c r="BK29" i="49"/>
  <c r="BJ29" i="49"/>
  <c r="BI29" i="49"/>
  <c r="BH29" i="49"/>
  <c r="BG29" i="49"/>
  <c r="BF29" i="49"/>
  <c r="BE29" i="49"/>
  <c r="BD29" i="49"/>
  <c r="BC29" i="49"/>
  <c r="BA29" i="49"/>
  <c r="AZ29" i="49"/>
  <c r="AY29" i="49"/>
  <c r="AX29" i="49"/>
  <c r="AW29" i="49"/>
  <c r="AV29" i="49"/>
  <c r="AT29" i="49"/>
  <c r="AR29" i="49"/>
  <c r="AP29" i="49"/>
  <c r="AO29" i="49"/>
  <c r="AN29" i="49"/>
  <c r="AM29" i="49"/>
  <c r="AL29" i="49"/>
  <c r="AK29" i="49"/>
  <c r="AJ29" i="49"/>
  <c r="AI29" i="49"/>
  <c r="E29" i="49"/>
  <c r="F29" i="49"/>
  <c r="BP42" i="49"/>
  <c r="BO42" i="49"/>
  <c r="BN28" i="49"/>
  <c r="BM28" i="49"/>
  <c r="BL28" i="49"/>
  <c r="BK28" i="49"/>
  <c r="BJ28" i="49"/>
  <c r="BI28" i="49"/>
  <c r="BH28" i="49"/>
  <c r="BG28" i="49"/>
  <c r="BF28" i="49"/>
  <c r="BE28" i="49"/>
  <c r="BD28" i="49"/>
  <c r="BC28" i="49"/>
  <c r="BA28" i="49"/>
  <c r="AZ28" i="49"/>
  <c r="AY28" i="49"/>
  <c r="AX28" i="49"/>
  <c r="AW28" i="49"/>
  <c r="AV28" i="49"/>
  <c r="AT28" i="49"/>
  <c r="AR28" i="49"/>
  <c r="AP28" i="49"/>
  <c r="AO28" i="49"/>
  <c r="F28" i="49"/>
  <c r="AN28" i="49"/>
  <c r="E28" i="49"/>
  <c r="AM28" i="49"/>
  <c r="AL28" i="49"/>
  <c r="AK28" i="49"/>
  <c r="AJ28" i="49"/>
  <c r="AI28" i="49"/>
  <c r="BP41" i="49"/>
  <c r="BO41" i="49"/>
  <c r="BN27" i="49"/>
  <c r="BM27" i="49"/>
  <c r="BL27" i="49"/>
  <c r="BK27" i="49"/>
  <c r="BJ27" i="49"/>
  <c r="BI27" i="49"/>
  <c r="BH27" i="49"/>
  <c r="BG27" i="49"/>
  <c r="BF27" i="49"/>
  <c r="BE27" i="49"/>
  <c r="BD27" i="49"/>
  <c r="BC27" i="49"/>
  <c r="BA27" i="49"/>
  <c r="AZ27" i="49"/>
  <c r="AY27" i="49"/>
  <c r="AX27" i="49"/>
  <c r="AW27" i="49"/>
  <c r="AV27" i="49"/>
  <c r="AT27" i="49"/>
  <c r="AR27" i="49"/>
  <c r="AP27" i="49"/>
  <c r="AO27" i="49"/>
  <c r="AN27" i="49"/>
  <c r="AM27" i="49"/>
  <c r="AL27" i="49"/>
  <c r="AK27" i="49"/>
  <c r="AJ27" i="49"/>
  <c r="AI27" i="49"/>
  <c r="BP40" i="49"/>
  <c r="BO40" i="49"/>
  <c r="BN26" i="49"/>
  <c r="BM26" i="49"/>
  <c r="BL26" i="49"/>
  <c r="BK26" i="49"/>
  <c r="BJ26" i="49"/>
  <c r="BI26" i="49"/>
  <c r="BH26" i="49"/>
  <c r="BG26" i="49"/>
  <c r="BF26" i="49"/>
  <c r="BE26" i="49"/>
  <c r="BD26" i="49"/>
  <c r="BC26" i="49"/>
  <c r="BA26" i="49"/>
  <c r="AZ26" i="49"/>
  <c r="AY26" i="49"/>
  <c r="AX26" i="49"/>
  <c r="AW26" i="49"/>
  <c r="AV26" i="49"/>
  <c r="AT26" i="49"/>
  <c r="AR26" i="49"/>
  <c r="AP26" i="49"/>
  <c r="AO26" i="49"/>
  <c r="AN26" i="49"/>
  <c r="AM26" i="49"/>
  <c r="AL26" i="49"/>
  <c r="AK26" i="49"/>
  <c r="AJ26" i="49"/>
  <c r="AI26" i="49"/>
  <c r="E26" i="49"/>
  <c r="F26" i="49"/>
  <c r="BP39" i="49"/>
  <c r="BO39" i="49"/>
  <c r="BN25" i="49"/>
  <c r="BM25" i="49"/>
  <c r="BL25" i="49"/>
  <c r="BK25" i="49"/>
  <c r="BJ25" i="49"/>
  <c r="BI25" i="49"/>
  <c r="BH25" i="49"/>
  <c r="BG25" i="49"/>
  <c r="BF25" i="49"/>
  <c r="BE25" i="49"/>
  <c r="BD25" i="49"/>
  <c r="BC25" i="49"/>
  <c r="BA25" i="49"/>
  <c r="AZ25" i="49"/>
  <c r="AY25" i="49"/>
  <c r="AX25" i="49"/>
  <c r="AW25" i="49"/>
  <c r="AV25" i="49"/>
  <c r="AT25" i="49"/>
  <c r="AR25" i="49"/>
  <c r="AP25" i="49"/>
  <c r="AO25" i="49"/>
  <c r="AN25" i="49"/>
  <c r="AM25" i="49"/>
  <c r="AL25" i="49"/>
  <c r="AK25" i="49"/>
  <c r="AJ25" i="49"/>
  <c r="AI25" i="49"/>
  <c r="BN24" i="49"/>
  <c r="BM24" i="49"/>
  <c r="BL24" i="49"/>
  <c r="BK24" i="49"/>
  <c r="BJ24" i="49"/>
  <c r="BI24" i="49"/>
  <c r="BH24" i="49"/>
  <c r="BG24" i="49"/>
  <c r="BF24" i="49"/>
  <c r="BE24" i="49"/>
  <c r="BD24" i="49"/>
  <c r="BC24" i="49"/>
  <c r="BA24" i="49"/>
  <c r="AZ24" i="49"/>
  <c r="AY24" i="49"/>
  <c r="AX24" i="49"/>
  <c r="AW24" i="49"/>
  <c r="AV24" i="49"/>
  <c r="AT24" i="49"/>
  <c r="AR24" i="49"/>
  <c r="AP24" i="49"/>
  <c r="AO24" i="49"/>
  <c r="AN24" i="49"/>
  <c r="AM24" i="49"/>
  <c r="AL24" i="49"/>
  <c r="AK24" i="49"/>
  <c r="AJ24" i="49"/>
  <c r="AI24" i="49"/>
  <c r="BP36" i="49"/>
  <c r="BO36" i="49"/>
  <c r="BN23" i="49"/>
  <c r="BM23" i="49"/>
  <c r="BL23" i="49"/>
  <c r="BK23" i="49"/>
  <c r="BJ23" i="49"/>
  <c r="BI23" i="49"/>
  <c r="BH23" i="49"/>
  <c r="BG23" i="49"/>
  <c r="BF23" i="49"/>
  <c r="BE23" i="49"/>
  <c r="BD23" i="49"/>
  <c r="BC23" i="49"/>
  <c r="BA23" i="49"/>
  <c r="AZ23" i="49"/>
  <c r="AY23" i="49"/>
  <c r="AX23" i="49"/>
  <c r="AW23" i="49"/>
  <c r="AV23" i="49"/>
  <c r="AT23" i="49"/>
  <c r="BR23" i="49" s="1"/>
  <c r="AR23" i="49"/>
  <c r="AP23" i="49"/>
  <c r="AO23" i="49"/>
  <c r="AN23" i="49"/>
  <c r="AM23" i="49"/>
  <c r="AL23" i="49"/>
  <c r="AK23" i="49"/>
  <c r="AJ23" i="49"/>
  <c r="AI23" i="49"/>
  <c r="BP35" i="49"/>
  <c r="BO35" i="49"/>
  <c r="BN22" i="49"/>
  <c r="BM22" i="49"/>
  <c r="BL22" i="49"/>
  <c r="BK22" i="49"/>
  <c r="BJ22" i="49"/>
  <c r="BI22" i="49"/>
  <c r="BH22" i="49"/>
  <c r="BG22" i="49"/>
  <c r="BF22" i="49"/>
  <c r="BE22" i="49"/>
  <c r="BD22" i="49"/>
  <c r="BC22" i="49"/>
  <c r="BA22" i="49"/>
  <c r="AZ22" i="49"/>
  <c r="AY22" i="49"/>
  <c r="AX22" i="49"/>
  <c r="AW22" i="49"/>
  <c r="AV22" i="49"/>
  <c r="AT22" i="49"/>
  <c r="AR22" i="49"/>
  <c r="AP22" i="49"/>
  <c r="AO22" i="49"/>
  <c r="AN22" i="49"/>
  <c r="AM22" i="49"/>
  <c r="AL22" i="49"/>
  <c r="AK22" i="49"/>
  <c r="AJ22" i="49"/>
  <c r="AI22" i="49"/>
  <c r="BP34" i="49"/>
  <c r="BO34" i="49"/>
  <c r="BN21" i="49"/>
  <c r="BM21" i="49"/>
  <c r="BL21" i="49"/>
  <c r="BK21" i="49"/>
  <c r="BJ21" i="49"/>
  <c r="BI21" i="49"/>
  <c r="BH21" i="49"/>
  <c r="BG21" i="49"/>
  <c r="BF21" i="49"/>
  <c r="BE21" i="49"/>
  <c r="BD21" i="49"/>
  <c r="BC21" i="49"/>
  <c r="BA21" i="49"/>
  <c r="AZ21" i="49"/>
  <c r="AY21" i="49"/>
  <c r="AX21" i="49"/>
  <c r="AW21" i="49"/>
  <c r="AV21" i="49"/>
  <c r="AT21" i="49"/>
  <c r="AR21" i="49"/>
  <c r="AP21" i="49"/>
  <c r="AO21" i="49"/>
  <c r="AN21" i="49"/>
  <c r="AM21" i="49"/>
  <c r="AL21" i="49"/>
  <c r="AK21" i="49"/>
  <c r="AJ21" i="49"/>
  <c r="AI21" i="49"/>
  <c r="BP33" i="49"/>
  <c r="BO33" i="49"/>
  <c r="BN20" i="49"/>
  <c r="BM20" i="49"/>
  <c r="BL20" i="49"/>
  <c r="BK20" i="49"/>
  <c r="BJ20" i="49"/>
  <c r="BI20" i="49"/>
  <c r="BH20" i="49"/>
  <c r="BG20" i="49"/>
  <c r="BF20" i="49"/>
  <c r="BE20" i="49"/>
  <c r="BD20" i="49"/>
  <c r="BC20" i="49"/>
  <c r="BA20" i="49"/>
  <c r="AZ20" i="49"/>
  <c r="AY20" i="49"/>
  <c r="AX20" i="49"/>
  <c r="AW20" i="49"/>
  <c r="AV20" i="49"/>
  <c r="AT20" i="49"/>
  <c r="AR20" i="49"/>
  <c r="AP20" i="49"/>
  <c r="AO20" i="49"/>
  <c r="AN20" i="49"/>
  <c r="AM20" i="49"/>
  <c r="AL20" i="49"/>
  <c r="AK20" i="49"/>
  <c r="AJ20" i="49"/>
  <c r="AI20" i="49"/>
  <c r="E20" i="49"/>
  <c r="F20" i="49"/>
  <c r="BP32" i="49"/>
  <c r="BO32" i="49"/>
  <c r="BN19" i="49"/>
  <c r="BM19" i="49"/>
  <c r="BL19" i="49"/>
  <c r="BK19" i="49"/>
  <c r="BJ19" i="49"/>
  <c r="BI19" i="49"/>
  <c r="BH19" i="49"/>
  <c r="BG19" i="49"/>
  <c r="BF19" i="49"/>
  <c r="BE19" i="49"/>
  <c r="BD19" i="49"/>
  <c r="BC19" i="49"/>
  <c r="BA19" i="49"/>
  <c r="AZ19" i="49"/>
  <c r="AY19" i="49"/>
  <c r="AX19" i="49"/>
  <c r="AW19" i="49"/>
  <c r="AV19" i="49"/>
  <c r="AT19" i="49"/>
  <c r="AR19" i="49"/>
  <c r="AP19" i="49"/>
  <c r="AO19" i="49"/>
  <c r="AN19" i="49"/>
  <c r="AM19" i="49"/>
  <c r="AL19" i="49"/>
  <c r="AK19" i="49"/>
  <c r="AJ19" i="49"/>
  <c r="AI19" i="49"/>
  <c r="BP31" i="49"/>
  <c r="BO31" i="49"/>
  <c r="BN18" i="49"/>
  <c r="BM18" i="49"/>
  <c r="BL18" i="49"/>
  <c r="BK18" i="49"/>
  <c r="BJ18" i="49"/>
  <c r="BI18" i="49"/>
  <c r="BH18" i="49"/>
  <c r="BG18" i="49"/>
  <c r="BF18" i="49"/>
  <c r="BE18" i="49"/>
  <c r="BD18" i="49"/>
  <c r="BC18" i="49"/>
  <c r="BA18" i="49"/>
  <c r="AZ18" i="49"/>
  <c r="AY18" i="49"/>
  <c r="AX18" i="49"/>
  <c r="AW18" i="49"/>
  <c r="AV18" i="49"/>
  <c r="AT18" i="49"/>
  <c r="AR18" i="49"/>
  <c r="AP18" i="49"/>
  <c r="AO18" i="49"/>
  <c r="AN18" i="49"/>
  <c r="AM18" i="49"/>
  <c r="AL18" i="49"/>
  <c r="AK18" i="49"/>
  <c r="AJ18" i="49"/>
  <c r="AI18" i="49"/>
  <c r="BP30" i="49"/>
  <c r="BO30" i="49"/>
  <c r="BN17" i="49"/>
  <c r="BM17" i="49"/>
  <c r="BL17" i="49"/>
  <c r="BK17" i="49"/>
  <c r="BJ17" i="49"/>
  <c r="BI17" i="49"/>
  <c r="BH17" i="49"/>
  <c r="BG17" i="49"/>
  <c r="BF17" i="49"/>
  <c r="BE17" i="49"/>
  <c r="BD17" i="49"/>
  <c r="BC17" i="49"/>
  <c r="BA17" i="49"/>
  <c r="AZ17" i="49"/>
  <c r="AY17" i="49"/>
  <c r="AX17" i="49"/>
  <c r="AW17" i="49"/>
  <c r="AV17" i="49"/>
  <c r="AT17" i="49"/>
  <c r="AR17" i="49"/>
  <c r="AP17" i="49"/>
  <c r="AO17" i="49"/>
  <c r="AN17" i="49"/>
  <c r="AM17" i="49"/>
  <c r="AL17" i="49"/>
  <c r="AK17" i="49"/>
  <c r="AJ17" i="49"/>
  <c r="AI17" i="49"/>
  <c r="BP29" i="49"/>
  <c r="BO29" i="49"/>
  <c r="BN16" i="49"/>
  <c r="BM16" i="49"/>
  <c r="BL16" i="49"/>
  <c r="BK16" i="49"/>
  <c r="BJ16" i="49"/>
  <c r="BI16" i="49"/>
  <c r="BH16" i="49"/>
  <c r="BG16" i="49"/>
  <c r="BF16" i="49"/>
  <c r="BE16" i="49"/>
  <c r="BD16" i="49"/>
  <c r="BC16" i="49"/>
  <c r="BA16" i="49"/>
  <c r="AZ16" i="49"/>
  <c r="AY16" i="49"/>
  <c r="AX16" i="49"/>
  <c r="AW16" i="49"/>
  <c r="AV16" i="49"/>
  <c r="AT16" i="49"/>
  <c r="AR16" i="49"/>
  <c r="AP16" i="49"/>
  <c r="AO16" i="49"/>
  <c r="AN16" i="49"/>
  <c r="AM16" i="49"/>
  <c r="AL16" i="49"/>
  <c r="AK16" i="49"/>
  <c r="AJ16" i="49"/>
  <c r="AI16" i="49"/>
  <c r="BP28" i="49"/>
  <c r="BO28" i="49"/>
  <c r="BN15" i="49"/>
  <c r="BM15" i="49"/>
  <c r="BL15" i="49"/>
  <c r="BK15" i="49"/>
  <c r="BJ15" i="49"/>
  <c r="BI15" i="49"/>
  <c r="BH15" i="49"/>
  <c r="BG15" i="49"/>
  <c r="BF15" i="49"/>
  <c r="BE15" i="49"/>
  <c r="BD15" i="49"/>
  <c r="BC15" i="49"/>
  <c r="BA15" i="49"/>
  <c r="AZ15" i="49"/>
  <c r="AY15" i="49"/>
  <c r="AX15" i="49"/>
  <c r="AW15" i="49"/>
  <c r="AV15" i="49"/>
  <c r="AT15" i="49"/>
  <c r="AR15" i="49"/>
  <c r="AP15" i="49"/>
  <c r="AO15" i="49"/>
  <c r="AN15" i="49"/>
  <c r="AM15" i="49"/>
  <c r="AL15" i="49"/>
  <c r="AK15" i="49"/>
  <c r="AJ15" i="49"/>
  <c r="AI15" i="49"/>
  <c r="BP27" i="49"/>
  <c r="BO27" i="49"/>
  <c r="BN14" i="49"/>
  <c r="BM14" i="49"/>
  <c r="BL14" i="49"/>
  <c r="BK14" i="49"/>
  <c r="BJ14" i="49"/>
  <c r="BI14" i="49"/>
  <c r="BH14" i="49"/>
  <c r="BG14" i="49"/>
  <c r="BF14" i="49"/>
  <c r="BE14" i="49"/>
  <c r="BD14" i="49"/>
  <c r="BC14" i="49"/>
  <c r="BA14" i="49"/>
  <c r="AZ14" i="49"/>
  <c r="AY14" i="49"/>
  <c r="AX14" i="49"/>
  <c r="AW14" i="49"/>
  <c r="AV14" i="49"/>
  <c r="AT14" i="49"/>
  <c r="AR14" i="49"/>
  <c r="AP14" i="49"/>
  <c r="AO14" i="49"/>
  <c r="AN14" i="49"/>
  <c r="AM14" i="49"/>
  <c r="AL14" i="49"/>
  <c r="AK14" i="49"/>
  <c r="AJ14" i="49"/>
  <c r="AI14" i="49"/>
  <c r="BP26" i="49"/>
  <c r="BO26" i="49"/>
  <c r="BN13" i="49"/>
  <c r="BM13" i="49"/>
  <c r="BL13" i="49"/>
  <c r="BK13" i="49"/>
  <c r="BJ13" i="49"/>
  <c r="BI13" i="49"/>
  <c r="BH13" i="49"/>
  <c r="BG13" i="49"/>
  <c r="BF13" i="49"/>
  <c r="BE13" i="49"/>
  <c r="BD13" i="49"/>
  <c r="BC13" i="49"/>
  <c r="BA13" i="49"/>
  <c r="AZ13" i="49"/>
  <c r="AY13" i="49"/>
  <c r="AX13" i="49"/>
  <c r="AW13" i="49"/>
  <c r="AV13" i="49"/>
  <c r="AT13" i="49"/>
  <c r="AR13" i="49"/>
  <c r="AP13" i="49"/>
  <c r="AO13" i="49"/>
  <c r="AN13" i="49"/>
  <c r="AM13" i="49"/>
  <c r="AL13" i="49"/>
  <c r="AK13" i="49"/>
  <c r="AJ13" i="49"/>
  <c r="AI13" i="49"/>
  <c r="BP25" i="49"/>
  <c r="BO25" i="49"/>
  <c r="BN12" i="49"/>
  <c r="BM12" i="49"/>
  <c r="BL12" i="49"/>
  <c r="BK12" i="49"/>
  <c r="BJ12" i="49"/>
  <c r="BI12" i="49"/>
  <c r="BH12" i="49"/>
  <c r="BG12" i="49"/>
  <c r="BF12" i="49"/>
  <c r="BE12" i="49"/>
  <c r="BD12" i="49"/>
  <c r="BC12" i="49"/>
  <c r="BA12" i="49"/>
  <c r="AZ12" i="49"/>
  <c r="AY12" i="49"/>
  <c r="AX12" i="49"/>
  <c r="AW12" i="49"/>
  <c r="AV12" i="49"/>
  <c r="AT12" i="49"/>
  <c r="AR12" i="49"/>
  <c r="AP12" i="49"/>
  <c r="AO12" i="49"/>
  <c r="AN12" i="49"/>
  <c r="AM12" i="49"/>
  <c r="AL12" i="49"/>
  <c r="AK12" i="49"/>
  <c r="AJ12" i="49"/>
  <c r="AI12" i="49"/>
  <c r="BP24" i="49"/>
  <c r="BO24" i="49"/>
  <c r="BN11" i="49"/>
  <c r="BM11" i="49"/>
  <c r="BL11" i="49"/>
  <c r="BK11" i="49"/>
  <c r="BJ11" i="49"/>
  <c r="BI11" i="49"/>
  <c r="BH11" i="49"/>
  <c r="BG11" i="49"/>
  <c r="BF11" i="49"/>
  <c r="BE11" i="49"/>
  <c r="BD11" i="49"/>
  <c r="BC11" i="49"/>
  <c r="BA11" i="49"/>
  <c r="AZ11" i="49"/>
  <c r="AY11" i="49"/>
  <c r="AX11" i="49"/>
  <c r="AW11" i="49"/>
  <c r="AV11" i="49"/>
  <c r="AT11" i="49"/>
  <c r="AR11" i="49"/>
  <c r="AP11" i="49"/>
  <c r="AO11" i="49"/>
  <c r="AN11" i="49"/>
  <c r="AM11" i="49"/>
  <c r="AL11" i="49"/>
  <c r="AK11" i="49"/>
  <c r="AJ11" i="49"/>
  <c r="AI11" i="49"/>
  <c r="BP23" i="49"/>
  <c r="BO23" i="49"/>
  <c r="BN10" i="49"/>
  <c r="BM10" i="49"/>
  <c r="BL10" i="49"/>
  <c r="BK10" i="49"/>
  <c r="BJ10" i="49"/>
  <c r="BI10" i="49"/>
  <c r="BH10" i="49"/>
  <c r="BG10" i="49"/>
  <c r="BF10" i="49"/>
  <c r="BE10" i="49"/>
  <c r="BD10" i="49"/>
  <c r="BC10" i="49"/>
  <c r="BA10" i="49"/>
  <c r="AZ10" i="49"/>
  <c r="AY10" i="49"/>
  <c r="AX10" i="49"/>
  <c r="AW10" i="49"/>
  <c r="AV10" i="49"/>
  <c r="AT10" i="49"/>
  <c r="AR10" i="49"/>
  <c r="AP10" i="49"/>
  <c r="AO10" i="49"/>
  <c r="AN10" i="49"/>
  <c r="AM10" i="49"/>
  <c r="AL10" i="49"/>
  <c r="AK10" i="49"/>
  <c r="AJ10" i="49"/>
  <c r="AI10" i="49"/>
  <c r="BP22" i="49"/>
  <c r="BO22" i="49"/>
  <c r="BN9" i="49"/>
  <c r="BM9" i="49"/>
  <c r="BL9" i="49"/>
  <c r="BK9" i="49"/>
  <c r="BJ9" i="49"/>
  <c r="BI9" i="49"/>
  <c r="BH9" i="49"/>
  <c r="BH208" i="49" s="1"/>
  <c r="BG9" i="49"/>
  <c r="BF9" i="49"/>
  <c r="BF208" i="49" s="1"/>
  <c r="BE9" i="49"/>
  <c r="BD9" i="49"/>
  <c r="BC9" i="49"/>
  <c r="BA9" i="49"/>
  <c r="AZ9" i="49"/>
  <c r="AY9" i="49"/>
  <c r="AX9" i="49"/>
  <c r="AW9" i="49"/>
  <c r="AV9" i="49"/>
  <c r="AT9" i="49"/>
  <c r="AR9" i="49"/>
  <c r="AP9" i="49"/>
  <c r="AO9" i="49"/>
  <c r="AN9" i="49"/>
  <c r="AM9" i="49"/>
  <c r="AL9" i="49"/>
  <c r="AK9" i="49"/>
  <c r="AJ9" i="49"/>
  <c r="AI9" i="49"/>
  <c r="E9" i="49"/>
  <c r="E208" i="49" s="1"/>
  <c r="E210" i="49" s="1"/>
  <c r="F9" i="49"/>
  <c r="BP21" i="49"/>
  <c r="BO21" i="49"/>
  <c r="BP20" i="49"/>
  <c r="BO20" i="49"/>
  <c r="BP19" i="49"/>
  <c r="BO19" i="49"/>
  <c r="BP18" i="49"/>
  <c r="BO18" i="49"/>
  <c r="BP17" i="49"/>
  <c r="BO17" i="49"/>
  <c r="BP16" i="49"/>
  <c r="BO16" i="49"/>
  <c r="BP15" i="49"/>
  <c r="BO15" i="49"/>
  <c r="BP14" i="49"/>
  <c r="BO14" i="49"/>
  <c r="BP13" i="49"/>
  <c r="BO13" i="49"/>
  <c r="BP12" i="49"/>
  <c r="BO12" i="49"/>
  <c r="BP11" i="49"/>
  <c r="BO11" i="49"/>
  <c r="BP10" i="49"/>
  <c r="BO10" i="49"/>
  <c r="BP9" i="49"/>
  <c r="BO9" i="49"/>
  <c r="AN7" i="49"/>
  <c r="AX7" i="49"/>
  <c r="BN167" i="49"/>
  <c r="BN182" i="49"/>
  <c r="BM167" i="49"/>
  <c r="BM182" i="49"/>
  <c r="BL167" i="49"/>
  <c r="BL182" i="49"/>
  <c r="BK167" i="49"/>
  <c r="BK182" i="49"/>
  <c r="BJ167" i="49"/>
  <c r="BJ182" i="49"/>
  <c r="BI167" i="49"/>
  <c r="BI182" i="49"/>
  <c r="BH167" i="49"/>
  <c r="BH182" i="49"/>
  <c r="BG167" i="49"/>
  <c r="BG182" i="49"/>
  <c r="BF167" i="49"/>
  <c r="BF182" i="49"/>
  <c r="BE167" i="49"/>
  <c r="BE182" i="49"/>
  <c r="BD167" i="49"/>
  <c r="BD182" i="49"/>
  <c r="BC167" i="49"/>
  <c r="BC182" i="49"/>
  <c r="BA167" i="49"/>
  <c r="BA182" i="49"/>
  <c r="AZ167" i="49"/>
  <c r="AZ182" i="49"/>
  <c r="AY167" i="49"/>
  <c r="AY182" i="49"/>
  <c r="AX167" i="49"/>
  <c r="AX182" i="49"/>
  <c r="AW167" i="49"/>
  <c r="AW182" i="49"/>
  <c r="AV167" i="49"/>
  <c r="AV182" i="49"/>
  <c r="AT167" i="49"/>
  <c r="AT182" i="49"/>
  <c r="AR167" i="49"/>
  <c r="AR182" i="49"/>
  <c r="AP167" i="49"/>
  <c r="AP182" i="49"/>
  <c r="AO167" i="49"/>
  <c r="AO182" i="49"/>
  <c r="AN167" i="49"/>
  <c r="AN182" i="49"/>
  <c r="AM167" i="49"/>
  <c r="AM182" i="49"/>
  <c r="F167" i="49"/>
  <c r="AL167" i="49"/>
  <c r="AL182" i="49"/>
  <c r="E167" i="49"/>
  <c r="AK167" i="49"/>
  <c r="AK182" i="49"/>
  <c r="AJ167" i="49"/>
  <c r="AJ182" i="49"/>
  <c r="AI167" i="49"/>
  <c r="AI182" i="49"/>
  <c r="BN166" i="49"/>
  <c r="BM166" i="49"/>
  <c r="BL166" i="49"/>
  <c r="BK166" i="49"/>
  <c r="BJ166" i="49"/>
  <c r="BI166" i="49"/>
  <c r="BH166" i="49"/>
  <c r="BG166" i="49"/>
  <c r="BF166" i="49"/>
  <c r="BE166" i="49"/>
  <c r="BD166" i="49"/>
  <c r="BC166" i="49"/>
  <c r="BA166" i="49"/>
  <c r="AZ166" i="49"/>
  <c r="AY166" i="49"/>
  <c r="AX166" i="49"/>
  <c r="AW166" i="49"/>
  <c r="AV166" i="49"/>
  <c r="AT166" i="49"/>
  <c r="AR166" i="49"/>
  <c r="AP166" i="49"/>
  <c r="AO166" i="49"/>
  <c r="AN166" i="49"/>
  <c r="AM166" i="49"/>
  <c r="AL166" i="49"/>
  <c r="AK166" i="49"/>
  <c r="AJ166" i="49"/>
  <c r="AI166" i="49"/>
  <c r="E166" i="49"/>
  <c r="G166" i="49" s="1"/>
  <c r="F166" i="49"/>
  <c r="BN162" i="49"/>
  <c r="BM162" i="49"/>
  <c r="BL162" i="49"/>
  <c r="BK162" i="49"/>
  <c r="BJ162" i="49"/>
  <c r="BI162" i="49"/>
  <c r="BH162" i="49"/>
  <c r="BG162" i="49"/>
  <c r="BF162" i="49"/>
  <c r="BE162" i="49"/>
  <c r="BD162" i="49"/>
  <c r="BC162" i="49"/>
  <c r="BA162" i="49"/>
  <c r="AZ162" i="49"/>
  <c r="AY162" i="49"/>
  <c r="AX162" i="49"/>
  <c r="AW162" i="49"/>
  <c r="AV162" i="49"/>
  <c r="AT162" i="49"/>
  <c r="AR162" i="49"/>
  <c r="AP162" i="49"/>
  <c r="AO162" i="49"/>
  <c r="AN162" i="49"/>
  <c r="AM162" i="49"/>
  <c r="AL162" i="49"/>
  <c r="AK162" i="49"/>
  <c r="AJ162" i="49"/>
  <c r="AI162" i="49"/>
  <c r="BN161" i="49"/>
  <c r="BN183" i="49"/>
  <c r="BM161" i="49"/>
  <c r="BM183" i="49"/>
  <c r="BL161" i="49"/>
  <c r="BL183" i="49"/>
  <c r="BK161" i="49"/>
  <c r="BK183" i="49"/>
  <c r="BJ161" i="49"/>
  <c r="BJ183" i="49"/>
  <c r="BI161" i="49"/>
  <c r="BI183" i="49"/>
  <c r="BH161" i="49"/>
  <c r="BH183" i="49"/>
  <c r="BG161" i="49"/>
  <c r="BG183" i="49"/>
  <c r="BF161" i="49"/>
  <c r="BF183" i="49"/>
  <c r="BE161" i="49"/>
  <c r="BE183" i="49"/>
  <c r="BD161" i="49"/>
  <c r="BD183" i="49"/>
  <c r="BC161" i="49"/>
  <c r="BC183" i="49"/>
  <c r="BA161" i="49"/>
  <c r="BA183" i="49"/>
  <c r="AZ161" i="49"/>
  <c r="AZ183" i="49"/>
  <c r="AY161" i="49"/>
  <c r="AY183" i="49"/>
  <c r="AX161" i="49"/>
  <c r="AX183" i="49"/>
  <c r="AW161" i="49"/>
  <c r="AW183" i="49"/>
  <c r="AV161" i="49"/>
  <c r="AV183" i="49"/>
  <c r="AT161" i="49"/>
  <c r="AT183" i="49"/>
  <c r="AR161" i="49"/>
  <c r="AR183" i="49"/>
  <c r="AP161" i="49"/>
  <c r="AP183" i="49"/>
  <c r="E161" i="49"/>
  <c r="G161" i="49" s="1"/>
  <c r="F161" i="49"/>
  <c r="AO161" i="49"/>
  <c r="AO183" i="49"/>
  <c r="AN161" i="49"/>
  <c r="AN183" i="49"/>
  <c r="AM161" i="49"/>
  <c r="AM183" i="49"/>
  <c r="AL161" i="49"/>
  <c r="AL183" i="49"/>
  <c r="AK161" i="49"/>
  <c r="AK183" i="49"/>
  <c r="AJ161" i="49"/>
  <c r="AJ183" i="49"/>
  <c r="AI161" i="49"/>
  <c r="AI183" i="49"/>
  <c r="BN160" i="49"/>
  <c r="BM160" i="49"/>
  <c r="BL160" i="49"/>
  <c r="BK160" i="49"/>
  <c r="BJ160" i="49"/>
  <c r="BI160" i="49"/>
  <c r="BH160" i="49"/>
  <c r="BG160" i="49"/>
  <c r="BF160" i="49"/>
  <c r="BE160" i="49"/>
  <c r="BD160" i="49"/>
  <c r="BC160" i="49"/>
  <c r="BA160" i="49"/>
  <c r="AZ160" i="49"/>
  <c r="AY160" i="49"/>
  <c r="AX160" i="49"/>
  <c r="AW160" i="49"/>
  <c r="AV160" i="49"/>
  <c r="AT160" i="49"/>
  <c r="AR160" i="49"/>
  <c r="AP160" i="49"/>
  <c r="AO160" i="49"/>
  <c r="AN160" i="49"/>
  <c r="AM160" i="49"/>
  <c r="AL160" i="49"/>
  <c r="AK160" i="49"/>
  <c r="AJ160" i="49"/>
  <c r="AI160" i="49"/>
  <c r="BN159" i="49"/>
  <c r="BN175" i="49"/>
  <c r="BM159" i="49"/>
  <c r="BM175" i="49"/>
  <c r="BL159" i="49"/>
  <c r="BL175" i="49"/>
  <c r="E159" i="49"/>
  <c r="F159" i="49"/>
  <c r="BK159" i="49"/>
  <c r="BK175" i="49"/>
  <c r="BJ159" i="49"/>
  <c r="BJ175" i="49"/>
  <c r="BI159" i="49"/>
  <c r="BI175" i="49"/>
  <c r="BH159" i="49"/>
  <c r="BH175" i="49"/>
  <c r="BG159" i="49"/>
  <c r="BG175" i="49"/>
  <c r="BF159" i="49"/>
  <c r="BF175" i="49"/>
  <c r="BE159" i="49"/>
  <c r="BE175" i="49"/>
  <c r="BD159" i="49"/>
  <c r="BD175" i="49"/>
  <c r="BC159" i="49"/>
  <c r="BC175" i="49"/>
  <c r="BA159" i="49"/>
  <c r="BA175" i="49"/>
  <c r="AZ159" i="49"/>
  <c r="AZ175" i="49"/>
  <c r="AY159" i="49"/>
  <c r="AY175" i="49"/>
  <c r="AX159" i="49"/>
  <c r="AX175" i="49"/>
  <c r="AW159" i="49"/>
  <c r="AW175" i="49"/>
  <c r="AV159" i="49"/>
  <c r="AV175" i="49"/>
  <c r="AT159" i="49"/>
  <c r="AT175" i="49"/>
  <c r="AR159" i="49"/>
  <c r="AR175" i="49"/>
  <c r="AP159" i="49"/>
  <c r="AP175" i="49"/>
  <c r="AO159" i="49"/>
  <c r="AO175" i="49"/>
  <c r="AN159" i="49"/>
  <c r="AN175" i="49"/>
  <c r="AM159" i="49"/>
  <c r="AM175" i="49"/>
  <c r="AL159" i="49"/>
  <c r="AL175" i="49"/>
  <c r="AK159" i="49"/>
  <c r="AK175" i="49"/>
  <c r="AJ159" i="49"/>
  <c r="AJ175" i="49"/>
  <c r="AI159" i="49"/>
  <c r="AI175" i="49"/>
  <c r="BN174" i="49"/>
  <c r="BM174" i="49"/>
  <c r="BL174" i="49"/>
  <c r="BK174" i="49"/>
  <c r="BJ174" i="49"/>
  <c r="BI174" i="49"/>
  <c r="BH174" i="49"/>
  <c r="BG174" i="49"/>
  <c r="BF174" i="49"/>
  <c r="BE174" i="49"/>
  <c r="BD174" i="49"/>
  <c r="BC174" i="49"/>
  <c r="BA174" i="49"/>
  <c r="AZ174" i="49"/>
  <c r="AY174" i="49"/>
  <c r="AX174" i="49"/>
  <c r="AW174" i="49"/>
  <c r="AV174" i="49"/>
  <c r="AT174" i="49"/>
  <c r="AR174" i="49"/>
  <c r="AP174" i="49"/>
  <c r="AO174" i="49"/>
  <c r="AN174" i="49"/>
  <c r="AM174" i="49"/>
  <c r="AL174" i="49"/>
  <c r="AK174" i="49"/>
  <c r="AJ174" i="49"/>
  <c r="AI174" i="49"/>
  <c r="BN173" i="49"/>
  <c r="BM173" i="49"/>
  <c r="BL173" i="49"/>
  <c r="BK173" i="49"/>
  <c r="BJ173" i="49"/>
  <c r="BI173" i="49"/>
  <c r="BH173" i="49"/>
  <c r="BG173" i="49"/>
  <c r="BF173" i="49"/>
  <c r="BE173" i="49"/>
  <c r="BD173" i="49"/>
  <c r="BC173" i="49"/>
  <c r="BA173" i="49"/>
  <c r="AZ173" i="49"/>
  <c r="AY173" i="49"/>
  <c r="AX173" i="49"/>
  <c r="AW173" i="49"/>
  <c r="AV173" i="49"/>
  <c r="AT173" i="49"/>
  <c r="AR173" i="49"/>
  <c r="AP173" i="49"/>
  <c r="AO173" i="49"/>
  <c r="AN173" i="49"/>
  <c r="AM173" i="49"/>
  <c r="AL173" i="49"/>
  <c r="AK173" i="49"/>
  <c r="AJ173" i="49"/>
  <c r="AI173" i="49"/>
  <c r="BN172" i="49"/>
  <c r="BM172" i="49"/>
  <c r="BL172" i="49"/>
  <c r="BK172" i="49"/>
  <c r="BJ172" i="49"/>
  <c r="BI172" i="49"/>
  <c r="BH172" i="49"/>
  <c r="BG172" i="49"/>
  <c r="BF172" i="49"/>
  <c r="BE172" i="49"/>
  <c r="BD172" i="49"/>
  <c r="BC172" i="49"/>
  <c r="BA172" i="49"/>
  <c r="AZ172" i="49"/>
  <c r="AY172" i="49"/>
  <c r="AX172" i="49"/>
  <c r="AW172" i="49"/>
  <c r="AV172" i="49"/>
  <c r="AT172" i="49"/>
  <c r="AR172" i="49"/>
  <c r="AP172" i="49"/>
  <c r="AO172" i="49"/>
  <c r="AN172" i="49"/>
  <c r="AM172" i="49"/>
  <c r="AL172" i="49"/>
  <c r="AK172" i="49"/>
  <c r="AJ172" i="49"/>
  <c r="AI172" i="49"/>
  <c r="BN171" i="49"/>
  <c r="BM171" i="49"/>
  <c r="BL171" i="49"/>
  <c r="BK171" i="49"/>
  <c r="BJ171" i="49"/>
  <c r="BI171" i="49"/>
  <c r="BH171" i="49"/>
  <c r="BG171" i="49"/>
  <c r="BF171" i="49"/>
  <c r="BE171" i="49"/>
  <c r="BD171" i="49"/>
  <c r="BC171" i="49"/>
  <c r="BA171" i="49"/>
  <c r="AZ171" i="49"/>
  <c r="AY171" i="49"/>
  <c r="AX171" i="49"/>
  <c r="AW171" i="49"/>
  <c r="AV171" i="49"/>
  <c r="AT171" i="49"/>
  <c r="AR171" i="49"/>
  <c r="AP171" i="49"/>
  <c r="AO171" i="49"/>
  <c r="AN171" i="49"/>
  <c r="AM171" i="49"/>
  <c r="AL171" i="49"/>
  <c r="AK171" i="49"/>
  <c r="AJ171" i="49"/>
  <c r="AI171" i="49"/>
  <c r="BN170" i="49"/>
  <c r="BM170" i="49"/>
  <c r="BL170" i="49"/>
  <c r="BK170" i="49"/>
  <c r="BJ170" i="49"/>
  <c r="BI170" i="49"/>
  <c r="BH170" i="49"/>
  <c r="BG170" i="49"/>
  <c r="BF170" i="49"/>
  <c r="BE170" i="49"/>
  <c r="BD170" i="49"/>
  <c r="BC170" i="49"/>
  <c r="BA170" i="49"/>
  <c r="AZ170" i="49"/>
  <c r="AY170" i="49"/>
  <c r="AX170" i="49"/>
  <c r="AW170" i="49"/>
  <c r="AV170" i="49"/>
  <c r="AT170" i="49"/>
  <c r="AR170" i="49"/>
  <c r="AP170" i="49"/>
  <c r="AO170" i="49"/>
  <c r="AN170" i="49"/>
  <c r="AM170" i="49"/>
  <c r="AL170" i="49"/>
  <c r="AK170" i="49"/>
  <c r="AJ170" i="49"/>
  <c r="AI170" i="49"/>
  <c r="BN169" i="49"/>
  <c r="BM169" i="49"/>
  <c r="BL169" i="49"/>
  <c r="BK169" i="49"/>
  <c r="BJ169" i="49"/>
  <c r="BI169" i="49"/>
  <c r="BH169" i="49"/>
  <c r="BG169" i="49"/>
  <c r="BF169" i="49"/>
  <c r="BE169" i="49"/>
  <c r="BD169" i="49"/>
  <c r="BC169" i="49"/>
  <c r="BA169" i="49"/>
  <c r="AZ169" i="49"/>
  <c r="AY169" i="49"/>
  <c r="AX169" i="49"/>
  <c r="AW169" i="49"/>
  <c r="AV169" i="49"/>
  <c r="AT169" i="49"/>
  <c r="AR169" i="49"/>
  <c r="AP169" i="49"/>
  <c r="AO169" i="49"/>
  <c r="AN169" i="49"/>
  <c r="AM169" i="49"/>
  <c r="AL169" i="49"/>
  <c r="AK169" i="49"/>
  <c r="AJ169" i="49"/>
  <c r="AI169" i="49"/>
  <c r="E169" i="49"/>
  <c r="F169" i="49"/>
  <c r="BN168" i="49"/>
  <c r="BM168" i="49"/>
  <c r="BL168" i="49"/>
  <c r="BK168" i="49"/>
  <c r="BJ168" i="49"/>
  <c r="BI168" i="49"/>
  <c r="BH168" i="49"/>
  <c r="BG168" i="49"/>
  <c r="BF168" i="49"/>
  <c r="BE168" i="49"/>
  <c r="BD168" i="49"/>
  <c r="BC168" i="49"/>
  <c r="BA168" i="49"/>
  <c r="AZ168" i="49"/>
  <c r="AY168" i="49"/>
  <c r="AX168" i="49"/>
  <c r="AW168" i="49"/>
  <c r="AV168" i="49"/>
  <c r="AT168" i="49"/>
  <c r="AR168" i="49"/>
  <c r="AP168" i="49"/>
  <c r="AO168" i="49"/>
  <c r="AN168" i="49"/>
  <c r="AM168" i="49"/>
  <c r="F168" i="49"/>
  <c r="AL168" i="49"/>
  <c r="E168" i="49"/>
  <c r="AK168" i="49"/>
  <c r="AJ168" i="49"/>
  <c r="AI168" i="49"/>
  <c r="BN158" i="49"/>
  <c r="BM158" i="49"/>
  <c r="BL158" i="49"/>
  <c r="BK158" i="49"/>
  <c r="BJ158" i="49"/>
  <c r="BI158" i="49"/>
  <c r="BH158" i="49"/>
  <c r="BG158" i="49"/>
  <c r="BF158" i="49"/>
  <c r="BE158" i="49"/>
  <c r="BD158" i="49"/>
  <c r="BC158" i="49"/>
  <c r="BA158" i="49"/>
  <c r="AZ158" i="49"/>
  <c r="AY158" i="49"/>
  <c r="AX158" i="49"/>
  <c r="AW158" i="49"/>
  <c r="AV158" i="49"/>
  <c r="AT158" i="49"/>
  <c r="AR158" i="49"/>
  <c r="AP158" i="49"/>
  <c r="AO158" i="49"/>
  <c r="AN158" i="49"/>
  <c r="AM158" i="49"/>
  <c r="AL158" i="49"/>
  <c r="AK158" i="49"/>
  <c r="AJ158" i="49"/>
  <c r="AI158" i="49"/>
  <c r="BN157" i="49"/>
  <c r="BM157" i="49"/>
  <c r="BL157" i="49"/>
  <c r="BK157" i="49"/>
  <c r="BJ157" i="49"/>
  <c r="BI157" i="49"/>
  <c r="BH157" i="49"/>
  <c r="BG157" i="49"/>
  <c r="BF157" i="49"/>
  <c r="BE157" i="49"/>
  <c r="BD157" i="49"/>
  <c r="BC157" i="49"/>
  <c r="BA157" i="49"/>
  <c r="AZ157" i="49"/>
  <c r="AY157" i="49"/>
  <c r="AX157" i="49"/>
  <c r="AW157" i="49"/>
  <c r="AV157" i="49"/>
  <c r="AT157" i="49"/>
  <c r="AR157" i="49"/>
  <c r="AP157" i="49"/>
  <c r="AO157" i="49"/>
  <c r="AN157" i="49"/>
  <c r="AM157" i="49"/>
  <c r="F157" i="49"/>
  <c r="AL157" i="49"/>
  <c r="E157" i="49"/>
  <c r="AK157" i="49"/>
  <c r="AJ157" i="49"/>
  <c r="AI157" i="49"/>
  <c r="BN156" i="49"/>
  <c r="BM156" i="49"/>
  <c r="BL156" i="49"/>
  <c r="BK156" i="49"/>
  <c r="BJ156" i="49"/>
  <c r="BI156" i="49"/>
  <c r="BH156" i="49"/>
  <c r="BG156" i="49"/>
  <c r="BF156" i="49"/>
  <c r="BE156" i="49"/>
  <c r="BD156" i="49"/>
  <c r="BC156" i="49"/>
  <c r="BA156" i="49"/>
  <c r="AZ156" i="49"/>
  <c r="AY156" i="49"/>
  <c r="AX156" i="49"/>
  <c r="AW156" i="49"/>
  <c r="AV156" i="49"/>
  <c r="AT156" i="49"/>
  <c r="AR156" i="49"/>
  <c r="AP156" i="49"/>
  <c r="AO156" i="49"/>
  <c r="AN156" i="49"/>
  <c r="AM156" i="49"/>
  <c r="AL156" i="49"/>
  <c r="AK156" i="49"/>
  <c r="AJ156" i="49"/>
  <c r="AI156" i="49"/>
  <c r="E156" i="49"/>
  <c r="F156" i="49"/>
  <c r="BN155" i="49"/>
  <c r="BN163" i="49"/>
  <c r="BM155" i="49"/>
  <c r="BM163" i="49"/>
  <c r="BL155" i="49"/>
  <c r="BL163" i="49"/>
  <c r="BK155" i="49"/>
  <c r="BK163" i="49"/>
  <c r="BJ155" i="49"/>
  <c r="BJ163" i="49"/>
  <c r="BI155" i="49"/>
  <c r="BI163" i="49"/>
  <c r="BH155" i="49"/>
  <c r="BH163" i="49"/>
  <c r="BG155" i="49"/>
  <c r="BG163" i="49"/>
  <c r="BF155" i="49"/>
  <c r="BF163" i="49"/>
  <c r="BE155" i="49"/>
  <c r="BE163" i="49"/>
  <c r="BD155" i="49"/>
  <c r="BD163" i="49"/>
  <c r="BC155" i="49"/>
  <c r="BC163" i="49"/>
  <c r="BA155" i="49"/>
  <c r="BA163" i="49"/>
  <c r="AZ155" i="49"/>
  <c r="AZ163" i="49"/>
  <c r="AY155" i="49"/>
  <c r="AY163" i="49"/>
  <c r="AX155" i="49"/>
  <c r="AX163" i="49"/>
  <c r="AW155" i="49"/>
  <c r="AW163" i="49"/>
  <c r="AV155" i="49"/>
  <c r="AV163" i="49"/>
  <c r="AT155" i="49"/>
  <c r="AT163" i="49"/>
  <c r="AR155" i="49"/>
  <c r="AR163" i="49"/>
  <c r="AP155" i="49"/>
  <c r="AP163" i="49"/>
  <c r="AO155" i="49"/>
  <c r="AO163" i="49"/>
  <c r="AN155" i="49"/>
  <c r="AN163" i="49"/>
  <c r="AM155" i="49"/>
  <c r="AM163" i="49"/>
  <c r="AL155" i="49"/>
  <c r="AL163" i="49"/>
  <c r="AK155" i="49"/>
  <c r="AK163" i="49"/>
  <c r="AJ155" i="49"/>
  <c r="AJ163" i="49"/>
  <c r="AI155" i="49"/>
  <c r="AI163" i="49"/>
  <c r="E155" i="49"/>
  <c r="F155" i="49"/>
  <c r="E163" i="49"/>
  <c r="G163" i="49" s="1"/>
  <c r="F163" i="49"/>
  <c r="BN154" i="49"/>
  <c r="BM154" i="49"/>
  <c r="BL154" i="49"/>
  <c r="BK154" i="49"/>
  <c r="BJ154" i="49"/>
  <c r="BI154" i="49"/>
  <c r="BH154" i="49"/>
  <c r="BG154" i="49"/>
  <c r="BF154" i="49"/>
  <c r="BE154" i="49"/>
  <c r="BD154" i="49"/>
  <c r="BC154" i="49"/>
  <c r="BA154" i="49"/>
  <c r="AZ154" i="49"/>
  <c r="AY154" i="49"/>
  <c r="AX154" i="49"/>
  <c r="AW154" i="49"/>
  <c r="AV154" i="49"/>
  <c r="AT154" i="49"/>
  <c r="AR154" i="49"/>
  <c r="AP154" i="49"/>
  <c r="AO154" i="49"/>
  <c r="AN154" i="49"/>
  <c r="AM154" i="49"/>
  <c r="AL154" i="49"/>
  <c r="AK154" i="49"/>
  <c r="AJ154" i="49"/>
  <c r="AI154" i="49"/>
  <c r="BN153" i="49"/>
  <c r="BM153" i="49"/>
  <c r="BL153" i="49"/>
  <c r="BK153" i="49"/>
  <c r="BJ153" i="49"/>
  <c r="BI153" i="49"/>
  <c r="BH153" i="49"/>
  <c r="BG153" i="49"/>
  <c r="BF153" i="49"/>
  <c r="BE153" i="49"/>
  <c r="BD153" i="49"/>
  <c r="BC153" i="49"/>
  <c r="BA153" i="49"/>
  <c r="AZ153" i="49"/>
  <c r="AY153" i="49"/>
  <c r="AX153" i="49"/>
  <c r="AW153" i="49"/>
  <c r="AV153" i="49"/>
  <c r="AT153" i="49"/>
  <c r="AR153" i="49"/>
  <c r="AP153" i="49"/>
  <c r="AO153" i="49"/>
  <c r="F153" i="49"/>
  <c r="AN153" i="49"/>
  <c r="E153" i="49"/>
  <c r="AM153" i="49"/>
  <c r="AL153" i="49"/>
  <c r="AK153" i="49"/>
  <c r="AJ153" i="49"/>
  <c r="AI153" i="49"/>
  <c r="BN152" i="49"/>
  <c r="BM152" i="49"/>
  <c r="BL152" i="49"/>
  <c r="BK152" i="49"/>
  <c r="BJ152" i="49"/>
  <c r="BI152" i="49"/>
  <c r="BH152" i="49"/>
  <c r="BG152" i="49"/>
  <c r="BF152" i="49"/>
  <c r="BE152" i="49"/>
  <c r="BD152" i="49"/>
  <c r="BC152" i="49"/>
  <c r="BA152" i="49"/>
  <c r="AZ152" i="49"/>
  <c r="AY152" i="49"/>
  <c r="AX152" i="49"/>
  <c r="AW152" i="49"/>
  <c r="AV152" i="49"/>
  <c r="AT152" i="49"/>
  <c r="AR152" i="49"/>
  <c r="AP152" i="49"/>
  <c r="AO152" i="49"/>
  <c r="AN152" i="49"/>
  <c r="AM152" i="49"/>
  <c r="F152" i="49"/>
  <c r="AL152" i="49"/>
  <c r="E152" i="49"/>
  <c r="AK152" i="49"/>
  <c r="AJ152" i="49"/>
  <c r="AI152" i="49"/>
  <c r="BN150" i="49"/>
  <c r="BM150" i="49"/>
  <c r="BL150" i="49"/>
  <c r="BK150" i="49"/>
  <c r="BJ150" i="49"/>
  <c r="BI150" i="49"/>
  <c r="BH150" i="49"/>
  <c r="BG150" i="49"/>
  <c r="BF150" i="49"/>
  <c r="BE150" i="49"/>
  <c r="BD150" i="49"/>
  <c r="BC150" i="49"/>
  <c r="BA150" i="49"/>
  <c r="AZ150" i="49"/>
  <c r="AY150" i="49"/>
  <c r="AX150" i="49"/>
  <c r="AW150" i="49"/>
  <c r="AV150" i="49"/>
  <c r="AT150" i="49"/>
  <c r="AR150" i="49"/>
  <c r="AP150" i="49"/>
  <c r="AO150" i="49"/>
  <c r="AN150" i="49"/>
  <c r="AM150" i="49"/>
  <c r="AL150" i="49"/>
  <c r="AK150" i="49"/>
  <c r="AJ150" i="49"/>
  <c r="AI150" i="49"/>
  <c r="E150" i="49"/>
  <c r="G150" i="49" s="1"/>
  <c r="F150" i="49"/>
  <c r="BN149" i="49"/>
  <c r="BM149" i="49"/>
  <c r="BL149" i="49"/>
  <c r="BK149" i="49"/>
  <c r="BJ149" i="49"/>
  <c r="BI149" i="49"/>
  <c r="BH149" i="49"/>
  <c r="BG149" i="49"/>
  <c r="BF149" i="49"/>
  <c r="BE149" i="49"/>
  <c r="BD149" i="49"/>
  <c r="BC149" i="49"/>
  <c r="BA149" i="49"/>
  <c r="AZ149" i="49"/>
  <c r="AY149" i="49"/>
  <c r="AX149" i="49"/>
  <c r="AW149" i="49"/>
  <c r="AV149" i="49"/>
  <c r="AT149" i="49"/>
  <c r="AR149" i="49"/>
  <c r="AP149" i="49"/>
  <c r="AO149" i="49"/>
  <c r="AN149" i="49"/>
  <c r="AM149" i="49"/>
  <c r="AL149" i="49"/>
  <c r="AK149" i="49"/>
  <c r="AJ149" i="49"/>
  <c r="AI149" i="49"/>
  <c r="BN148" i="49"/>
  <c r="BM148" i="49"/>
  <c r="BL148" i="49"/>
  <c r="BK148" i="49"/>
  <c r="BJ148" i="49"/>
  <c r="BI148" i="49"/>
  <c r="BH148" i="49"/>
  <c r="BG148" i="49"/>
  <c r="BF148" i="49"/>
  <c r="BE148" i="49"/>
  <c r="BD148" i="49"/>
  <c r="BC148" i="49"/>
  <c r="BA148" i="49"/>
  <c r="AZ148" i="49"/>
  <c r="AY148" i="49"/>
  <c r="AX148" i="49"/>
  <c r="AW148" i="49"/>
  <c r="AV148" i="49"/>
  <c r="AT148" i="49"/>
  <c r="AR148" i="49"/>
  <c r="AP148" i="49"/>
  <c r="AO148" i="49"/>
  <c r="AN148" i="49"/>
  <c r="AM148" i="49"/>
  <c r="AL148" i="49"/>
  <c r="AK148" i="49"/>
  <c r="AJ148" i="49"/>
  <c r="AI148" i="49"/>
  <c r="BN147" i="49"/>
  <c r="BM147" i="49"/>
  <c r="BL147" i="49"/>
  <c r="BK147" i="49"/>
  <c r="BJ147" i="49"/>
  <c r="BI147" i="49"/>
  <c r="BH147" i="49"/>
  <c r="BG147" i="49"/>
  <c r="BF147" i="49"/>
  <c r="BE147" i="49"/>
  <c r="BD147" i="49"/>
  <c r="BC147" i="49"/>
  <c r="BA147" i="49"/>
  <c r="AZ147" i="49"/>
  <c r="AY147" i="49"/>
  <c r="AX147" i="49"/>
  <c r="AW147" i="49"/>
  <c r="AV147" i="49"/>
  <c r="AT147" i="49"/>
  <c r="AR147" i="49"/>
  <c r="AP147" i="49"/>
  <c r="AO147" i="49"/>
  <c r="AN147" i="49"/>
  <c r="AM147" i="49"/>
  <c r="AL147" i="49"/>
  <c r="AK147" i="49"/>
  <c r="AJ147" i="49"/>
  <c r="AI147" i="49"/>
  <c r="BN146" i="49"/>
  <c r="BM146" i="49"/>
  <c r="BL146" i="49"/>
  <c r="BK146" i="49"/>
  <c r="BJ146" i="49"/>
  <c r="BI146" i="49"/>
  <c r="BH146" i="49"/>
  <c r="BG146" i="49"/>
  <c r="BF146" i="49"/>
  <c r="BE146" i="49"/>
  <c r="BD146" i="49"/>
  <c r="BC146" i="49"/>
  <c r="BA146" i="49"/>
  <c r="AZ146" i="49"/>
  <c r="AY146" i="49"/>
  <c r="AX146" i="49"/>
  <c r="AW146" i="49"/>
  <c r="AV146" i="49"/>
  <c r="AT146" i="49"/>
  <c r="AR146" i="49"/>
  <c r="AP146" i="49"/>
  <c r="AO146" i="49"/>
  <c r="AN146" i="49"/>
  <c r="AM146" i="49"/>
  <c r="AL146" i="49"/>
  <c r="AK146" i="49"/>
  <c r="AJ146" i="49"/>
  <c r="AI146" i="49"/>
  <c r="BN145" i="49"/>
  <c r="BM145" i="49"/>
  <c r="BL145" i="49"/>
  <c r="BK145" i="49"/>
  <c r="BJ145" i="49"/>
  <c r="BI145" i="49"/>
  <c r="BH145" i="49"/>
  <c r="BG145" i="49"/>
  <c r="BF145" i="49"/>
  <c r="BE145" i="49"/>
  <c r="BD145" i="49"/>
  <c r="BC145" i="49"/>
  <c r="BA145" i="49"/>
  <c r="AZ145" i="49"/>
  <c r="AY145" i="49"/>
  <c r="AX145" i="49"/>
  <c r="AW145" i="49"/>
  <c r="AV145" i="49"/>
  <c r="AT145" i="49"/>
  <c r="AR145" i="49"/>
  <c r="AP145" i="49"/>
  <c r="AO145" i="49"/>
  <c r="AN145" i="49"/>
  <c r="AM145" i="49"/>
  <c r="AL145" i="49"/>
  <c r="AK145" i="49"/>
  <c r="AJ145" i="49"/>
  <c r="AI145" i="49"/>
  <c r="BN144" i="49"/>
  <c r="BM144" i="49"/>
  <c r="BL144" i="49"/>
  <c r="BK144" i="49"/>
  <c r="BJ144" i="49"/>
  <c r="BI144" i="49"/>
  <c r="BH144" i="49"/>
  <c r="BG144" i="49"/>
  <c r="BF144" i="49"/>
  <c r="BE144" i="49"/>
  <c r="BD144" i="49"/>
  <c r="BC144" i="49"/>
  <c r="BA144" i="49"/>
  <c r="AZ144" i="49"/>
  <c r="AY144" i="49"/>
  <c r="AX144" i="49"/>
  <c r="AW144" i="49"/>
  <c r="AV144" i="49"/>
  <c r="AT144" i="49"/>
  <c r="AR144" i="49"/>
  <c r="AP144" i="49"/>
  <c r="AO144" i="49"/>
  <c r="AN144" i="49"/>
  <c r="AM144" i="49"/>
  <c r="AL144" i="49"/>
  <c r="AK144" i="49"/>
  <c r="AJ144" i="49"/>
  <c r="AI144" i="49"/>
  <c r="BN143" i="49"/>
  <c r="BM143" i="49"/>
  <c r="BL143" i="49"/>
  <c r="BK143" i="49"/>
  <c r="BJ143" i="49"/>
  <c r="BI143" i="49"/>
  <c r="BH143" i="49"/>
  <c r="BG143" i="49"/>
  <c r="BF143" i="49"/>
  <c r="BE143" i="49"/>
  <c r="BD143" i="49"/>
  <c r="BC143" i="49"/>
  <c r="BA143" i="49"/>
  <c r="AZ143" i="49"/>
  <c r="AY143" i="49"/>
  <c r="AX143" i="49"/>
  <c r="AW143" i="49"/>
  <c r="AV143" i="49"/>
  <c r="AT143" i="49"/>
  <c r="AR143" i="49"/>
  <c r="AP143" i="49"/>
  <c r="AO143" i="49"/>
  <c r="AN143" i="49"/>
  <c r="AM143" i="49"/>
  <c r="AL143" i="49"/>
  <c r="AK143" i="49"/>
  <c r="AJ143" i="49"/>
  <c r="AI143" i="49"/>
  <c r="BN142" i="49"/>
  <c r="BM142" i="49"/>
  <c r="BL142" i="49"/>
  <c r="BK142" i="49"/>
  <c r="BJ142" i="49"/>
  <c r="BI142" i="49"/>
  <c r="BH142" i="49"/>
  <c r="BG142" i="49"/>
  <c r="BF142" i="49"/>
  <c r="BE142" i="49"/>
  <c r="BD142" i="49"/>
  <c r="BC142" i="49"/>
  <c r="BA142" i="49"/>
  <c r="AZ142" i="49"/>
  <c r="AY142" i="49"/>
  <c r="AX142" i="49"/>
  <c r="AW142" i="49"/>
  <c r="AV142" i="49"/>
  <c r="AT142" i="49"/>
  <c r="AR142" i="49"/>
  <c r="AP142" i="49"/>
  <c r="AO142" i="49"/>
  <c r="AN142" i="49"/>
  <c r="AM142" i="49"/>
  <c r="AL142" i="49"/>
  <c r="AK142" i="49"/>
  <c r="AJ142" i="49"/>
  <c r="AI142" i="49"/>
  <c r="BN141" i="49"/>
  <c r="BM141" i="49"/>
  <c r="BL141" i="49"/>
  <c r="BK141" i="49"/>
  <c r="BJ141" i="49"/>
  <c r="BI141" i="49"/>
  <c r="BH141" i="49"/>
  <c r="BG141" i="49"/>
  <c r="BF141" i="49"/>
  <c r="BE141" i="49"/>
  <c r="BD141" i="49"/>
  <c r="BC141" i="49"/>
  <c r="BA141" i="49"/>
  <c r="AZ141" i="49"/>
  <c r="AY141" i="49"/>
  <c r="AX141" i="49"/>
  <c r="AW141" i="49"/>
  <c r="AV141" i="49"/>
  <c r="AT141" i="49"/>
  <c r="AR141" i="49"/>
  <c r="AP141" i="49"/>
  <c r="AO141" i="49"/>
  <c r="AN141" i="49"/>
  <c r="AM141" i="49"/>
  <c r="AL141" i="49"/>
  <c r="AK141" i="49"/>
  <c r="AJ141" i="49"/>
  <c r="AI141" i="49"/>
  <c r="BN140" i="49"/>
  <c r="BM140" i="49"/>
  <c r="BL140" i="49"/>
  <c r="BK140" i="49"/>
  <c r="BJ140" i="49"/>
  <c r="BI140" i="49"/>
  <c r="BH140" i="49"/>
  <c r="BG140" i="49"/>
  <c r="BF140" i="49"/>
  <c r="BE140" i="49"/>
  <c r="BD140" i="49"/>
  <c r="BC140" i="49"/>
  <c r="BA140" i="49"/>
  <c r="AZ140" i="49"/>
  <c r="AY140" i="49"/>
  <c r="AX140" i="49"/>
  <c r="AW140" i="49"/>
  <c r="AV140" i="49"/>
  <c r="AT140" i="49"/>
  <c r="AR140" i="49"/>
  <c r="AP140" i="49"/>
  <c r="AO140" i="49"/>
  <c r="AN140" i="49"/>
  <c r="AM140" i="49"/>
  <c r="AL140" i="49"/>
  <c r="AK140" i="49"/>
  <c r="AJ140" i="49"/>
  <c r="AI140" i="49"/>
  <c r="BN139" i="49"/>
  <c r="BM139" i="49"/>
  <c r="BL139" i="49"/>
  <c r="BK139" i="49"/>
  <c r="BJ139" i="49"/>
  <c r="BI139" i="49"/>
  <c r="BH139" i="49"/>
  <c r="BG139" i="49"/>
  <c r="BF139" i="49"/>
  <c r="BE139" i="49"/>
  <c r="BD139" i="49"/>
  <c r="BC139" i="49"/>
  <c r="BA139" i="49"/>
  <c r="AZ139" i="49"/>
  <c r="AY139" i="49"/>
  <c r="AX139" i="49"/>
  <c r="AW139" i="49"/>
  <c r="AV139" i="49"/>
  <c r="AT139" i="49"/>
  <c r="AR139" i="49"/>
  <c r="AP139" i="49"/>
  <c r="AO139" i="49"/>
  <c r="AN139" i="49"/>
  <c r="AM139" i="49"/>
  <c r="AL139" i="49"/>
  <c r="AK139" i="49"/>
  <c r="AJ139" i="49"/>
  <c r="AI139" i="49"/>
  <c r="BN138" i="49"/>
  <c r="BM138" i="49"/>
  <c r="BL138" i="49"/>
  <c r="BK138" i="49"/>
  <c r="BJ138" i="49"/>
  <c r="BI138" i="49"/>
  <c r="BH138" i="49"/>
  <c r="BG138" i="49"/>
  <c r="BF138" i="49"/>
  <c r="BE138" i="49"/>
  <c r="BD138" i="49"/>
  <c r="BC138" i="49"/>
  <c r="BA138" i="49"/>
  <c r="AZ138" i="49"/>
  <c r="AY138" i="49"/>
  <c r="AX138" i="49"/>
  <c r="AW138" i="49"/>
  <c r="AV138" i="49"/>
  <c r="AT138" i="49"/>
  <c r="AR138" i="49"/>
  <c r="AP138" i="49"/>
  <c r="AO138" i="49"/>
  <c r="AN138" i="49"/>
  <c r="AM138" i="49"/>
  <c r="AL138" i="49"/>
  <c r="AK138" i="49"/>
  <c r="AJ138" i="49"/>
  <c r="AI138" i="49"/>
  <c r="BN137" i="49"/>
  <c r="BM137" i="49"/>
  <c r="BL137" i="49"/>
  <c r="BK137" i="49"/>
  <c r="BJ137" i="49"/>
  <c r="BI137" i="49"/>
  <c r="BH137" i="49"/>
  <c r="BG137" i="49"/>
  <c r="BF137" i="49"/>
  <c r="BE137" i="49"/>
  <c r="BD137" i="49"/>
  <c r="BC137" i="49"/>
  <c r="BA137" i="49"/>
  <c r="AZ137" i="49"/>
  <c r="AY137" i="49"/>
  <c r="AX137" i="49"/>
  <c r="AW137" i="49"/>
  <c r="AV137" i="49"/>
  <c r="AT137" i="49"/>
  <c r="AR137" i="49"/>
  <c r="AP137" i="49"/>
  <c r="AO137" i="49"/>
  <c r="AN137" i="49"/>
  <c r="AM137" i="49"/>
  <c r="AL137" i="49"/>
  <c r="AK137" i="49"/>
  <c r="AJ137" i="49"/>
  <c r="AI137" i="49"/>
  <c r="BN136" i="49"/>
  <c r="BM136" i="49"/>
  <c r="BL136" i="49"/>
  <c r="BK136" i="49"/>
  <c r="BJ136" i="49"/>
  <c r="BI136" i="49"/>
  <c r="BH136" i="49"/>
  <c r="BG136" i="49"/>
  <c r="BF136" i="49"/>
  <c r="BE136" i="49"/>
  <c r="BD136" i="49"/>
  <c r="BC136" i="49"/>
  <c r="BA136" i="49"/>
  <c r="AZ136" i="49"/>
  <c r="AY136" i="49"/>
  <c r="AX136" i="49"/>
  <c r="AW136" i="49"/>
  <c r="AV136" i="49"/>
  <c r="AT136" i="49"/>
  <c r="AR136" i="49"/>
  <c r="AP136" i="49"/>
  <c r="AO136" i="49"/>
  <c r="AN136" i="49"/>
  <c r="AM136" i="49"/>
  <c r="AL136" i="49"/>
  <c r="AK136" i="49"/>
  <c r="AJ136" i="49"/>
  <c r="AI136" i="49"/>
  <c r="BN135" i="49"/>
  <c r="BM135" i="49"/>
  <c r="BL135" i="49"/>
  <c r="BK135" i="49"/>
  <c r="BJ135" i="49"/>
  <c r="BI135" i="49"/>
  <c r="BH135" i="49"/>
  <c r="BG135" i="49"/>
  <c r="BF135" i="49"/>
  <c r="BE135" i="49"/>
  <c r="BD135" i="49"/>
  <c r="BC135" i="49"/>
  <c r="BA135" i="49"/>
  <c r="AZ135" i="49"/>
  <c r="AY135" i="49"/>
  <c r="AX135" i="49"/>
  <c r="AW135" i="49"/>
  <c r="AV135" i="49"/>
  <c r="AT135" i="49"/>
  <c r="AR135" i="49"/>
  <c r="AP135" i="49"/>
  <c r="AO135" i="49"/>
  <c r="AN135" i="49"/>
  <c r="AM135" i="49"/>
  <c r="AL135" i="49"/>
  <c r="AK135" i="49"/>
  <c r="AJ135" i="49"/>
  <c r="AI135" i="49"/>
  <c r="BN134" i="49"/>
  <c r="BM134" i="49"/>
  <c r="BL134" i="49"/>
  <c r="BK134" i="49"/>
  <c r="BJ134" i="49"/>
  <c r="BI134" i="49"/>
  <c r="BH134" i="49"/>
  <c r="BG134" i="49"/>
  <c r="BF134" i="49"/>
  <c r="BE134" i="49"/>
  <c r="BD134" i="49"/>
  <c r="BC134" i="49"/>
  <c r="BA134" i="49"/>
  <c r="AZ134" i="49"/>
  <c r="AY134" i="49"/>
  <c r="AX134" i="49"/>
  <c r="AW134" i="49"/>
  <c r="AV134" i="49"/>
  <c r="AT134" i="49"/>
  <c r="AR134" i="49"/>
  <c r="AP134" i="49"/>
  <c r="AO134" i="49"/>
  <c r="AN134" i="49"/>
  <c r="AM134" i="49"/>
  <c r="AL134" i="49"/>
  <c r="AK134" i="49"/>
  <c r="AJ134" i="49"/>
  <c r="AI134" i="49"/>
  <c r="BN133" i="49"/>
  <c r="BM133" i="49"/>
  <c r="BL133" i="49"/>
  <c r="BK133" i="49"/>
  <c r="BJ133" i="49"/>
  <c r="BI133" i="49"/>
  <c r="BH133" i="49"/>
  <c r="BG133" i="49"/>
  <c r="BF133" i="49"/>
  <c r="BE133" i="49"/>
  <c r="BD133" i="49"/>
  <c r="BC133" i="49"/>
  <c r="BA133" i="49"/>
  <c r="AZ133" i="49"/>
  <c r="AY133" i="49"/>
  <c r="AX133" i="49"/>
  <c r="AW133" i="49"/>
  <c r="AV133" i="49"/>
  <c r="AT133" i="49"/>
  <c r="AR133" i="49"/>
  <c r="AP133" i="49"/>
  <c r="AO133" i="49"/>
  <c r="AN133" i="49"/>
  <c r="AM133" i="49"/>
  <c r="AL133" i="49"/>
  <c r="AK133" i="49"/>
  <c r="AJ133" i="49"/>
  <c r="AI133" i="49"/>
  <c r="BN132" i="49"/>
  <c r="BM132" i="49"/>
  <c r="BL132" i="49"/>
  <c r="BK132" i="49"/>
  <c r="BJ132" i="49"/>
  <c r="BI132" i="49"/>
  <c r="BH132" i="49"/>
  <c r="BG132" i="49"/>
  <c r="BF132" i="49"/>
  <c r="BE132" i="49"/>
  <c r="BD132" i="49"/>
  <c r="BC132" i="49"/>
  <c r="BA132" i="49"/>
  <c r="AZ132" i="49"/>
  <c r="AY132" i="49"/>
  <c r="AX132" i="49"/>
  <c r="AW132" i="49"/>
  <c r="AV132" i="49"/>
  <c r="AT132" i="49"/>
  <c r="AR132" i="49"/>
  <c r="AP132" i="49"/>
  <c r="AO132" i="49"/>
  <c r="AN132" i="49"/>
  <c r="AM132" i="49"/>
  <c r="AL132" i="49"/>
  <c r="AK132" i="49"/>
  <c r="AJ132" i="49"/>
  <c r="AI132" i="49"/>
  <c r="BN131" i="49"/>
  <c r="BM131" i="49"/>
  <c r="BL131" i="49"/>
  <c r="BK131" i="49"/>
  <c r="BJ131" i="49"/>
  <c r="BI131" i="49"/>
  <c r="BH131" i="49"/>
  <c r="BG131" i="49"/>
  <c r="BF131" i="49"/>
  <c r="BE131" i="49"/>
  <c r="BD131" i="49"/>
  <c r="BC131" i="49"/>
  <c r="BA131" i="49"/>
  <c r="AZ131" i="49"/>
  <c r="AY131" i="49"/>
  <c r="AX131" i="49"/>
  <c r="AW131" i="49"/>
  <c r="AV131" i="49"/>
  <c r="AT131" i="49"/>
  <c r="AR131" i="49"/>
  <c r="AP131" i="49"/>
  <c r="AO131" i="49"/>
  <c r="AN131" i="49"/>
  <c r="AM131" i="49"/>
  <c r="AL131" i="49"/>
  <c r="AK131" i="49"/>
  <c r="AJ131" i="49"/>
  <c r="AI131" i="49"/>
  <c r="BN130" i="49"/>
  <c r="BM130" i="49"/>
  <c r="BL130" i="49"/>
  <c r="BK130" i="49"/>
  <c r="BJ130" i="49"/>
  <c r="BI130" i="49"/>
  <c r="BH130" i="49"/>
  <c r="BG130" i="49"/>
  <c r="BF130" i="49"/>
  <c r="BE130" i="49"/>
  <c r="BD130" i="49"/>
  <c r="BC130" i="49"/>
  <c r="BA130" i="49"/>
  <c r="AZ130" i="49"/>
  <c r="AY130" i="49"/>
  <c r="AX130" i="49"/>
  <c r="AW130" i="49"/>
  <c r="AV130" i="49"/>
  <c r="AT130" i="49"/>
  <c r="AR130" i="49"/>
  <c r="AP130" i="49"/>
  <c r="AO130" i="49"/>
  <c r="AN130" i="49"/>
  <c r="AM130" i="49"/>
  <c r="AL130" i="49"/>
  <c r="AK130" i="49"/>
  <c r="AJ130" i="49"/>
  <c r="AI130" i="49"/>
  <c r="BN129" i="49"/>
  <c r="BM129" i="49"/>
  <c r="BL129" i="49"/>
  <c r="BK129" i="49"/>
  <c r="BJ129" i="49"/>
  <c r="BI129" i="49"/>
  <c r="BH129" i="49"/>
  <c r="BG129" i="49"/>
  <c r="BF129" i="49"/>
  <c r="BE129" i="49"/>
  <c r="BD129" i="49"/>
  <c r="BC129" i="49"/>
  <c r="BA129" i="49"/>
  <c r="AZ129" i="49"/>
  <c r="AY129" i="49"/>
  <c r="AX129" i="49"/>
  <c r="AW129" i="49"/>
  <c r="AV129" i="49"/>
  <c r="AT129" i="49"/>
  <c r="AR129" i="49"/>
  <c r="AP129" i="49"/>
  <c r="AO129" i="49"/>
  <c r="AN129" i="49"/>
  <c r="AM129" i="49"/>
  <c r="AL129" i="49"/>
  <c r="AK129" i="49"/>
  <c r="AJ129" i="49"/>
  <c r="AI129" i="49"/>
  <c r="BN127" i="49"/>
  <c r="BM127" i="49"/>
  <c r="BL127" i="49"/>
  <c r="BK127" i="49"/>
  <c r="BJ127" i="49"/>
  <c r="BI127" i="49"/>
  <c r="BH127" i="49"/>
  <c r="BG127" i="49"/>
  <c r="BF127" i="49"/>
  <c r="BE127" i="49"/>
  <c r="BD127" i="49"/>
  <c r="BC127" i="49"/>
  <c r="BA127" i="49"/>
  <c r="AZ127" i="49"/>
  <c r="AY127" i="49"/>
  <c r="AX127" i="49"/>
  <c r="AW127" i="49"/>
  <c r="AV127" i="49"/>
  <c r="AT127" i="49"/>
  <c r="AR127" i="49"/>
  <c r="AP127" i="49"/>
  <c r="AO127" i="49"/>
  <c r="AN127" i="49"/>
  <c r="AM127" i="49"/>
  <c r="F127" i="49"/>
  <c r="AL127" i="49"/>
  <c r="E127" i="49"/>
  <c r="AK127" i="49"/>
  <c r="AJ127" i="49"/>
  <c r="AI127" i="49"/>
  <c r="BN126" i="49"/>
  <c r="BM126" i="49"/>
  <c r="BL126" i="49"/>
  <c r="BK126" i="49"/>
  <c r="BJ126" i="49"/>
  <c r="BI126" i="49"/>
  <c r="BH126" i="49"/>
  <c r="BG126" i="49"/>
  <c r="BF126" i="49"/>
  <c r="BE126" i="49"/>
  <c r="BD126" i="49"/>
  <c r="BC126" i="49"/>
  <c r="BA126" i="49"/>
  <c r="AZ126" i="49"/>
  <c r="AY126" i="49"/>
  <c r="AX126" i="49"/>
  <c r="AW126" i="49"/>
  <c r="AV126" i="49"/>
  <c r="AT126" i="49"/>
  <c r="AR126" i="49"/>
  <c r="AP126" i="49"/>
  <c r="AO126" i="49"/>
  <c r="AN126" i="49"/>
  <c r="AM126" i="49"/>
  <c r="AL126" i="49"/>
  <c r="AK126" i="49"/>
  <c r="AJ126" i="49"/>
  <c r="AI126" i="49"/>
  <c r="E126" i="49"/>
  <c r="F126" i="49"/>
  <c r="BN125" i="49"/>
  <c r="BM125" i="49"/>
  <c r="BL125" i="49"/>
  <c r="BK125" i="49"/>
  <c r="BJ125" i="49"/>
  <c r="BI125" i="49"/>
  <c r="BH125" i="49"/>
  <c r="BG125" i="49"/>
  <c r="BF125" i="49"/>
  <c r="BE125" i="49"/>
  <c r="BD125" i="49"/>
  <c r="BC125" i="49"/>
  <c r="BA125" i="49"/>
  <c r="AZ125" i="49"/>
  <c r="AY125" i="49"/>
  <c r="AX125" i="49"/>
  <c r="AW125" i="49"/>
  <c r="AV125" i="49"/>
  <c r="AT125" i="49"/>
  <c r="AR125" i="49"/>
  <c r="AP125" i="49"/>
  <c r="AO125" i="49"/>
  <c r="AN125" i="49"/>
  <c r="AM125" i="49"/>
  <c r="AL125" i="49"/>
  <c r="AK125" i="49"/>
  <c r="AJ125" i="49"/>
  <c r="AI125" i="49"/>
  <c r="E125" i="49"/>
  <c r="F125" i="49"/>
  <c r="BN124" i="49"/>
  <c r="BM124" i="49"/>
  <c r="BL124" i="49"/>
  <c r="BK124" i="49"/>
  <c r="BJ124" i="49"/>
  <c r="BI124" i="49"/>
  <c r="BH124" i="49"/>
  <c r="BG124" i="49"/>
  <c r="BF124" i="49"/>
  <c r="BE124" i="49"/>
  <c r="BD124" i="49"/>
  <c r="BC124" i="49"/>
  <c r="BA124" i="49"/>
  <c r="AZ124" i="49"/>
  <c r="AY124" i="49"/>
  <c r="AX124" i="49"/>
  <c r="AW124" i="49"/>
  <c r="AV124" i="49"/>
  <c r="AT124" i="49"/>
  <c r="AR124" i="49"/>
  <c r="AP124" i="49"/>
  <c r="AO124" i="49"/>
  <c r="AN124" i="49"/>
  <c r="AM124" i="49"/>
  <c r="AL124" i="49"/>
  <c r="AK124" i="49"/>
  <c r="AJ124" i="49"/>
  <c r="AI124" i="49"/>
  <c r="E124" i="49"/>
  <c r="F124" i="49"/>
  <c r="BN123" i="49"/>
  <c r="BM123" i="49"/>
  <c r="BL123" i="49"/>
  <c r="BK123" i="49"/>
  <c r="BJ123" i="49"/>
  <c r="BI123" i="49"/>
  <c r="BH123" i="49"/>
  <c r="BG123" i="49"/>
  <c r="BF123" i="49"/>
  <c r="BE123" i="49"/>
  <c r="BD123" i="49"/>
  <c r="BC123" i="49"/>
  <c r="BA123" i="49"/>
  <c r="AZ123" i="49"/>
  <c r="AY123" i="49"/>
  <c r="AX123" i="49"/>
  <c r="AW123" i="49"/>
  <c r="AV123" i="49"/>
  <c r="AT123" i="49"/>
  <c r="AR123" i="49"/>
  <c r="AP123" i="49"/>
  <c r="AO123" i="49"/>
  <c r="AN123" i="49"/>
  <c r="AM123" i="49"/>
  <c r="F123" i="49"/>
  <c r="AL123" i="49"/>
  <c r="E123" i="49"/>
  <c r="AK123" i="49"/>
  <c r="AJ123" i="49"/>
  <c r="AI123" i="49"/>
  <c r="BN122" i="49"/>
  <c r="BM122" i="49"/>
  <c r="BL122" i="49"/>
  <c r="BK122" i="49"/>
  <c r="BJ122" i="49"/>
  <c r="BI122" i="49"/>
  <c r="BH122" i="49"/>
  <c r="BG122" i="49"/>
  <c r="BF122" i="49"/>
  <c r="BE122" i="49"/>
  <c r="BD122" i="49"/>
  <c r="BC122" i="49"/>
  <c r="BA122" i="49"/>
  <c r="AZ122" i="49"/>
  <c r="AY122" i="49"/>
  <c r="AX122" i="49"/>
  <c r="AW122" i="49"/>
  <c r="AV122" i="49"/>
  <c r="AT122" i="49"/>
  <c r="AR122" i="49"/>
  <c r="AP122" i="49"/>
  <c r="AO122" i="49"/>
  <c r="AN122" i="49"/>
  <c r="AM122" i="49"/>
  <c r="F122" i="49"/>
  <c r="AL122" i="49"/>
  <c r="E122" i="49"/>
  <c r="AK122" i="49"/>
  <c r="AJ122" i="49"/>
  <c r="AI122" i="49"/>
  <c r="BN128" i="49"/>
  <c r="BM128" i="49"/>
  <c r="BL128" i="49"/>
  <c r="BK128" i="49"/>
  <c r="BJ128" i="49"/>
  <c r="BI128" i="49"/>
  <c r="BH128" i="49"/>
  <c r="BG128" i="49"/>
  <c r="BF128" i="49"/>
  <c r="BE128" i="49"/>
  <c r="BD128" i="49"/>
  <c r="BC128" i="49"/>
  <c r="BA128" i="49"/>
  <c r="AZ128" i="49"/>
  <c r="AY128" i="49"/>
  <c r="AX128" i="49"/>
  <c r="AW128" i="49"/>
  <c r="AV128" i="49"/>
  <c r="AT128" i="49"/>
  <c r="AR128" i="49"/>
  <c r="AP128" i="49"/>
  <c r="AO128" i="49"/>
  <c r="AN128" i="49"/>
  <c r="AM128" i="49"/>
  <c r="AL128" i="49"/>
  <c r="AK128" i="49"/>
  <c r="AJ128" i="49"/>
  <c r="AI128" i="49"/>
  <c r="BN121" i="49"/>
  <c r="BM121" i="49"/>
  <c r="BL121" i="49"/>
  <c r="BK121" i="49"/>
  <c r="BJ121" i="49"/>
  <c r="BI121" i="49"/>
  <c r="BH121" i="49"/>
  <c r="BG121" i="49"/>
  <c r="BF121" i="49"/>
  <c r="BE121" i="49"/>
  <c r="BD121" i="49"/>
  <c r="BC121" i="49"/>
  <c r="BA121" i="49"/>
  <c r="AZ121" i="49"/>
  <c r="AY121" i="49"/>
  <c r="AX121" i="49"/>
  <c r="AW121" i="49"/>
  <c r="AV121" i="49"/>
  <c r="AT121" i="49"/>
  <c r="AR121" i="49"/>
  <c r="AP121" i="49"/>
  <c r="AO121" i="49"/>
  <c r="AN121" i="49"/>
  <c r="AM121" i="49"/>
  <c r="F121" i="49"/>
  <c r="AL121" i="49"/>
  <c r="E121" i="49"/>
  <c r="G121" i="49" s="1"/>
  <c r="AK121" i="49"/>
  <c r="AJ121" i="49"/>
  <c r="AI121" i="49"/>
  <c r="BI7" i="49"/>
  <c r="AM7" i="49"/>
  <c r="AK7" i="49"/>
  <c r="E186" i="49"/>
  <c r="F186" i="49"/>
  <c r="F42" i="69"/>
  <c r="A8" i="69"/>
  <c r="AW184" i="49"/>
  <c r="AW185" i="49"/>
  <c r="AW186" i="49"/>
  <c r="AW187" i="49"/>
  <c r="AW188" i="49"/>
  <c r="AW189" i="49"/>
  <c r="AW190" i="49"/>
  <c r="AW191" i="49"/>
  <c r="AW192" i="49"/>
  <c r="AW193" i="49"/>
  <c r="AW194" i="49"/>
  <c r="AW195" i="49"/>
  <c r="AW196" i="49"/>
  <c r="AW197" i="49"/>
  <c r="AW198" i="49"/>
  <c r="AW199" i="49"/>
  <c r="AW200" i="49"/>
  <c r="AW201" i="49"/>
  <c r="AW202" i="49"/>
  <c r="AW203" i="49"/>
  <c r="AW204" i="49"/>
  <c r="AW205" i="49"/>
  <c r="A10" i="33"/>
  <c r="A9" i="33"/>
  <c r="AT184" i="49"/>
  <c r="AT185" i="49"/>
  <c r="AT186" i="49"/>
  <c r="AT187" i="49"/>
  <c r="AT188" i="49"/>
  <c r="AT189" i="49"/>
  <c r="AT190" i="49"/>
  <c r="AT191" i="49"/>
  <c r="AT192" i="49"/>
  <c r="AT193" i="49"/>
  <c r="AT194" i="49"/>
  <c r="AT195" i="49"/>
  <c r="AT196" i="49"/>
  <c r="AT197" i="49"/>
  <c r="AT198" i="49"/>
  <c r="AT199" i="49"/>
  <c r="AT200" i="49"/>
  <c r="AT201" i="49"/>
  <c r="AT202" i="49"/>
  <c r="AT203" i="49"/>
  <c r="AT204" i="49"/>
  <c r="AT205" i="49"/>
  <c r="AV184" i="49"/>
  <c r="AV185" i="49"/>
  <c r="AV186" i="49"/>
  <c r="AV187" i="49"/>
  <c r="AV188" i="49"/>
  <c r="AV189" i="49"/>
  <c r="AV190" i="49"/>
  <c r="AV191" i="49"/>
  <c r="AV192" i="49"/>
  <c r="AV193" i="49"/>
  <c r="AV194" i="49"/>
  <c r="AV195" i="49"/>
  <c r="AV196" i="49"/>
  <c r="AV197" i="49"/>
  <c r="AV198" i="49"/>
  <c r="AV199" i="49"/>
  <c r="AV200" i="49"/>
  <c r="AV201" i="49"/>
  <c r="AV202" i="49"/>
  <c r="AV203" i="49"/>
  <c r="AV204" i="49"/>
  <c r="AV205" i="49"/>
  <c r="AX184" i="49"/>
  <c r="AX185" i="49"/>
  <c r="AX186" i="49"/>
  <c r="AX187" i="49"/>
  <c r="AX188" i="49"/>
  <c r="AX189" i="49"/>
  <c r="AX190" i="49"/>
  <c r="AX191" i="49"/>
  <c r="AX192" i="49"/>
  <c r="AX193" i="49"/>
  <c r="AX194" i="49"/>
  <c r="AX195" i="49"/>
  <c r="AX196" i="49"/>
  <c r="AX197" i="49"/>
  <c r="AX198" i="49"/>
  <c r="AX199" i="49"/>
  <c r="AX200" i="49"/>
  <c r="AX201" i="49"/>
  <c r="AX202" i="49"/>
  <c r="AX203" i="49"/>
  <c r="AX204" i="49"/>
  <c r="AX205" i="49"/>
  <c r="AY184" i="49"/>
  <c r="AY185" i="49"/>
  <c r="AY186" i="49"/>
  <c r="AY187" i="49"/>
  <c r="AY188" i="49"/>
  <c r="AY189" i="49"/>
  <c r="AY190" i="49"/>
  <c r="AY191" i="49"/>
  <c r="AY192" i="49"/>
  <c r="AY193" i="49"/>
  <c r="AY194" i="49"/>
  <c r="AY195" i="49"/>
  <c r="AY196" i="49"/>
  <c r="AY197" i="49"/>
  <c r="AY198" i="49"/>
  <c r="AY199" i="49"/>
  <c r="AY200" i="49"/>
  <c r="AY201" i="49"/>
  <c r="AY202" i="49"/>
  <c r="AY203" i="49"/>
  <c r="AY204" i="49"/>
  <c r="AY205" i="49"/>
  <c r="AZ184" i="49"/>
  <c r="AZ185" i="49"/>
  <c r="AZ186" i="49"/>
  <c r="AZ187" i="49"/>
  <c r="AZ188" i="49"/>
  <c r="AZ189" i="49"/>
  <c r="AZ190" i="49"/>
  <c r="AZ191" i="49"/>
  <c r="AZ192" i="49"/>
  <c r="AZ193" i="49"/>
  <c r="AZ194" i="49"/>
  <c r="AZ195" i="49"/>
  <c r="AZ196" i="49"/>
  <c r="AZ197" i="49"/>
  <c r="AZ198" i="49"/>
  <c r="AZ199" i="49"/>
  <c r="AZ200" i="49"/>
  <c r="AZ201" i="49"/>
  <c r="AZ202" i="49"/>
  <c r="AZ203" i="49"/>
  <c r="AZ204" i="49"/>
  <c r="AZ205" i="49"/>
  <c r="D23" i="2"/>
  <c r="A8" i="2"/>
  <c r="A6" i="69" s="1"/>
  <c r="BN184" i="49"/>
  <c r="BN185" i="49"/>
  <c r="BN186" i="49"/>
  <c r="BN187" i="49"/>
  <c r="BN188" i="49"/>
  <c r="BN189" i="49"/>
  <c r="BN190" i="49"/>
  <c r="BN191" i="49"/>
  <c r="BN192" i="49"/>
  <c r="BN193" i="49"/>
  <c r="BN194" i="49"/>
  <c r="BN195" i="49"/>
  <c r="BN196" i="49"/>
  <c r="BN197" i="49"/>
  <c r="BN198" i="49"/>
  <c r="BN199" i="49"/>
  <c r="BN200" i="49"/>
  <c r="BN201" i="49"/>
  <c r="BN202" i="49"/>
  <c r="BN203" i="49"/>
  <c r="BN204" i="49"/>
  <c r="BN205" i="49"/>
  <c r="BO134" i="49"/>
  <c r="BO135" i="49"/>
  <c r="BO136" i="49"/>
  <c r="BO137" i="49"/>
  <c r="BO138" i="49"/>
  <c r="BO139" i="49"/>
  <c r="BO140" i="49"/>
  <c r="BO141" i="49"/>
  <c r="BO142" i="49"/>
  <c r="BO143" i="49"/>
  <c r="BO144" i="49"/>
  <c r="BO145" i="49"/>
  <c r="BO146" i="49"/>
  <c r="BO147" i="49"/>
  <c r="BO148" i="49"/>
  <c r="BO149" i="49"/>
  <c r="BO150" i="49"/>
  <c r="BO152" i="49"/>
  <c r="BO153" i="49"/>
  <c r="BO154" i="49"/>
  <c r="BO155" i="49"/>
  <c r="BO156" i="49"/>
  <c r="BO157" i="49"/>
  <c r="BO158" i="49"/>
  <c r="BO182" i="49"/>
  <c r="BO183" i="49"/>
  <c r="BO170" i="49"/>
  <c r="BO171" i="49"/>
  <c r="BO172" i="49"/>
  <c r="BO173" i="49"/>
  <c r="BO174" i="49"/>
  <c r="BO175" i="49"/>
  <c r="BO159" i="49"/>
  <c r="BO160" i="49"/>
  <c r="BO161" i="49"/>
  <c r="BO162" i="49"/>
  <c r="BO163" i="49"/>
  <c r="BO166" i="49"/>
  <c r="BO167" i="49"/>
  <c r="BO168" i="49"/>
  <c r="BO169" i="49"/>
  <c r="BO184" i="49"/>
  <c r="BO185" i="49"/>
  <c r="BO186" i="49"/>
  <c r="BO187" i="49"/>
  <c r="BO188" i="49"/>
  <c r="BO189" i="49"/>
  <c r="BO190" i="49"/>
  <c r="BO191" i="49"/>
  <c r="BO192" i="49"/>
  <c r="BO193" i="49"/>
  <c r="BO194" i="49"/>
  <c r="BO195" i="49"/>
  <c r="BO196" i="49"/>
  <c r="BO197" i="49"/>
  <c r="BO198" i="49"/>
  <c r="BO199" i="49"/>
  <c r="BO200" i="49"/>
  <c r="BO201" i="49"/>
  <c r="BO202" i="49"/>
  <c r="BO203" i="49"/>
  <c r="BO204" i="49"/>
  <c r="BO205" i="49"/>
  <c r="B18" i="8"/>
  <c r="BE7" i="49"/>
  <c r="BE210" i="49" s="1"/>
  <c r="BE184" i="49"/>
  <c r="BE185" i="49"/>
  <c r="BE186" i="49"/>
  <c r="BE187" i="49"/>
  <c r="BE188" i="49"/>
  <c r="BE189" i="49"/>
  <c r="BE190" i="49"/>
  <c r="BE191" i="49"/>
  <c r="BE192" i="49"/>
  <c r="BE193" i="49"/>
  <c r="BE194" i="49"/>
  <c r="BE195" i="49"/>
  <c r="BE196" i="49"/>
  <c r="BE197" i="49"/>
  <c r="BE198" i="49"/>
  <c r="BE199" i="49"/>
  <c r="BE200" i="49"/>
  <c r="BE201" i="49"/>
  <c r="BE202" i="49"/>
  <c r="BE203" i="49"/>
  <c r="BE204" i="49"/>
  <c r="BE205" i="49"/>
  <c r="BE208" i="49"/>
  <c r="BM184" i="49"/>
  <c r="BM185" i="49"/>
  <c r="BM186" i="49"/>
  <c r="BM187" i="49"/>
  <c r="BM188" i="49"/>
  <c r="BM189" i="49"/>
  <c r="BM190" i="49"/>
  <c r="BM191" i="49"/>
  <c r="BM192" i="49"/>
  <c r="BM193" i="49"/>
  <c r="BM194" i="49"/>
  <c r="BM195" i="49"/>
  <c r="BM196" i="49"/>
  <c r="BM197" i="49"/>
  <c r="BM198" i="49"/>
  <c r="BM199" i="49"/>
  <c r="BM200" i="49"/>
  <c r="BM201" i="49"/>
  <c r="BM202" i="49"/>
  <c r="BM203" i="49"/>
  <c r="BM204" i="49"/>
  <c r="BM205" i="49"/>
  <c r="BD7" i="49"/>
  <c r="BD210" i="49" s="1"/>
  <c r="BD184" i="49"/>
  <c r="BD185" i="49"/>
  <c r="BD186" i="49"/>
  <c r="BD187" i="49"/>
  <c r="BD188" i="49"/>
  <c r="BD189" i="49"/>
  <c r="BD190" i="49"/>
  <c r="BD191" i="49"/>
  <c r="BD192" i="49"/>
  <c r="BD193" i="49"/>
  <c r="BD194" i="49"/>
  <c r="BD195" i="49"/>
  <c r="BD196" i="49"/>
  <c r="BD197" i="49"/>
  <c r="BD198" i="49"/>
  <c r="BD199" i="49"/>
  <c r="BD200" i="49"/>
  <c r="BD201" i="49"/>
  <c r="BD202" i="49"/>
  <c r="BD203" i="49"/>
  <c r="BD204" i="49"/>
  <c r="BD205" i="49"/>
  <c r="BD208" i="49"/>
  <c r="BF184" i="49"/>
  <c r="BF185" i="49"/>
  <c r="BF186" i="49"/>
  <c r="BF187" i="49"/>
  <c r="BF188" i="49"/>
  <c r="BF189" i="49"/>
  <c r="BF190" i="49"/>
  <c r="BF191" i="49"/>
  <c r="BF192" i="49"/>
  <c r="BF193" i="49"/>
  <c r="BF194" i="49"/>
  <c r="BF195" i="49"/>
  <c r="BF196" i="49"/>
  <c r="BF197" i="49"/>
  <c r="BF198" i="49"/>
  <c r="BF199" i="49"/>
  <c r="BF200" i="49"/>
  <c r="BF201" i="49"/>
  <c r="BF202" i="49"/>
  <c r="BF203" i="49"/>
  <c r="BF204" i="49"/>
  <c r="BF205" i="49"/>
  <c r="BH184" i="49"/>
  <c r="BH185" i="49"/>
  <c r="BH186" i="49"/>
  <c r="BH187" i="49"/>
  <c r="BH188" i="49"/>
  <c r="BH189" i="49"/>
  <c r="BH190" i="49"/>
  <c r="BH191" i="49"/>
  <c r="BH192" i="49"/>
  <c r="BH193" i="49"/>
  <c r="BH194" i="49"/>
  <c r="BH195" i="49"/>
  <c r="BH196" i="49"/>
  <c r="BH197" i="49"/>
  <c r="BH198" i="49"/>
  <c r="BH199" i="49"/>
  <c r="BH200" i="49"/>
  <c r="BH201" i="49"/>
  <c r="BH202" i="49"/>
  <c r="BH203" i="49"/>
  <c r="BH204" i="49"/>
  <c r="BH205" i="49"/>
  <c r="BC7" i="49"/>
  <c r="BC210" i="49" s="1"/>
  <c r="BC184" i="49"/>
  <c r="BC185" i="49"/>
  <c r="BC186" i="49"/>
  <c r="BC187" i="49"/>
  <c r="BC188" i="49"/>
  <c r="BC189" i="49"/>
  <c r="BC190" i="49"/>
  <c r="BC191" i="49"/>
  <c r="BC192" i="49"/>
  <c r="BC193" i="49"/>
  <c r="BC194" i="49"/>
  <c r="BC195" i="49"/>
  <c r="BC196" i="49"/>
  <c r="BC197" i="49"/>
  <c r="BC198" i="49"/>
  <c r="BC199" i="49"/>
  <c r="BC200" i="49"/>
  <c r="BC201" i="49"/>
  <c r="BC202" i="49"/>
  <c r="BC203" i="49"/>
  <c r="BC204" i="49"/>
  <c r="BC205" i="49"/>
  <c r="BC208" i="49"/>
  <c r="AI7" i="49"/>
  <c r="AI210" i="49" s="1"/>
  <c r="AI184" i="49"/>
  <c r="AI185" i="49"/>
  <c r="AI186" i="49"/>
  <c r="AI187" i="49"/>
  <c r="AI188" i="49"/>
  <c r="AI189" i="49"/>
  <c r="AI190" i="49"/>
  <c r="AI191" i="49"/>
  <c r="AI192" i="49"/>
  <c r="AI193" i="49"/>
  <c r="AI194" i="49"/>
  <c r="AI195" i="49"/>
  <c r="AI196" i="49"/>
  <c r="AI197" i="49"/>
  <c r="AI198" i="49"/>
  <c r="AI199" i="49"/>
  <c r="AI200" i="49"/>
  <c r="AI201" i="49"/>
  <c r="AI202" i="49"/>
  <c r="AI203" i="49"/>
  <c r="AI204" i="49"/>
  <c r="AI205" i="49"/>
  <c r="AI208" i="49"/>
  <c r="N36" i="50"/>
  <c r="AJ184" i="49"/>
  <c r="AJ185" i="49"/>
  <c r="AJ186" i="49"/>
  <c r="AJ187" i="49"/>
  <c r="AJ188" i="49"/>
  <c r="AJ189" i="49"/>
  <c r="AJ190" i="49"/>
  <c r="AJ191" i="49"/>
  <c r="AJ192" i="49"/>
  <c r="AJ193" i="49"/>
  <c r="AJ194" i="49"/>
  <c r="AJ195" i="49"/>
  <c r="AJ196" i="49"/>
  <c r="AJ197" i="49"/>
  <c r="AJ198" i="49"/>
  <c r="AJ199" i="49"/>
  <c r="AJ200" i="49"/>
  <c r="AJ201" i="49"/>
  <c r="AJ202" i="49"/>
  <c r="AJ203" i="49"/>
  <c r="AJ204" i="49"/>
  <c r="AJ205" i="49"/>
  <c r="AJ208" i="49"/>
  <c r="AR184" i="49"/>
  <c r="AR185" i="49"/>
  <c r="AR186" i="49"/>
  <c r="AR187" i="49"/>
  <c r="AR188" i="49"/>
  <c r="AR189" i="49"/>
  <c r="AR190" i="49"/>
  <c r="AR191" i="49"/>
  <c r="AR192" i="49"/>
  <c r="AR193" i="49"/>
  <c r="AR194" i="49"/>
  <c r="AR195" i="49"/>
  <c r="AR196" i="49"/>
  <c r="AR197" i="49"/>
  <c r="AR198" i="49"/>
  <c r="AR199" i="49"/>
  <c r="AR200" i="49"/>
  <c r="AR201" i="49"/>
  <c r="AR202" i="49"/>
  <c r="AR203" i="49"/>
  <c r="AR204" i="49"/>
  <c r="AR205" i="49"/>
  <c r="P44" i="50"/>
  <c r="AK184" i="49"/>
  <c r="AK185" i="49"/>
  <c r="AK186" i="49"/>
  <c r="AK187" i="49"/>
  <c r="AK188" i="49"/>
  <c r="AK189" i="49"/>
  <c r="AK190" i="49"/>
  <c r="AK191" i="49"/>
  <c r="AK192" i="49"/>
  <c r="AK193" i="49"/>
  <c r="AK194" i="49"/>
  <c r="AK195" i="49"/>
  <c r="AK196" i="49"/>
  <c r="AK197" i="49"/>
  <c r="AK198" i="49"/>
  <c r="AK199" i="49"/>
  <c r="AK200" i="49"/>
  <c r="AK201" i="49"/>
  <c r="AK202" i="49"/>
  <c r="AK203" i="49"/>
  <c r="AK204" i="49"/>
  <c r="AK205" i="49"/>
  <c r="AL184" i="49"/>
  <c r="AL185" i="49"/>
  <c r="AL186" i="49"/>
  <c r="AL187" i="49"/>
  <c r="AL188" i="49"/>
  <c r="AL189" i="49"/>
  <c r="AL190" i="49"/>
  <c r="AL191" i="49"/>
  <c r="AL192" i="49"/>
  <c r="AL193" i="49"/>
  <c r="AL194" i="49"/>
  <c r="AL195" i="49"/>
  <c r="AL196" i="49"/>
  <c r="AL197" i="49"/>
  <c r="AL198" i="49"/>
  <c r="AL199" i="49"/>
  <c r="AL200" i="49"/>
  <c r="AL201" i="49"/>
  <c r="AL202" i="49"/>
  <c r="AL203" i="49"/>
  <c r="AL204" i="49"/>
  <c r="AL205" i="49"/>
  <c r="AM184" i="49"/>
  <c r="AM185" i="49"/>
  <c r="AM186" i="49"/>
  <c r="AM187" i="49"/>
  <c r="AM188" i="49"/>
  <c r="AM189" i="49"/>
  <c r="AM190" i="49"/>
  <c r="AM191" i="49"/>
  <c r="AM192" i="49"/>
  <c r="AM193" i="49"/>
  <c r="AM194" i="49"/>
  <c r="AM195" i="49"/>
  <c r="AM196" i="49"/>
  <c r="AM197" i="49"/>
  <c r="AM198" i="49"/>
  <c r="AM199" i="49"/>
  <c r="AM200" i="49"/>
  <c r="AM201" i="49"/>
  <c r="AM202" i="49"/>
  <c r="AM203" i="49"/>
  <c r="AM204" i="49"/>
  <c r="AM205" i="49"/>
  <c r="AN184" i="49"/>
  <c r="AN185" i="49"/>
  <c r="AN186" i="49"/>
  <c r="AN187" i="49"/>
  <c r="AN188" i="49"/>
  <c r="AN189" i="49"/>
  <c r="AN190" i="49"/>
  <c r="AN191" i="49"/>
  <c r="AN192" i="49"/>
  <c r="AN193" i="49"/>
  <c r="AN194" i="49"/>
  <c r="AN195" i="49"/>
  <c r="AN196" i="49"/>
  <c r="AN197" i="49"/>
  <c r="AN198" i="49"/>
  <c r="AN199" i="49"/>
  <c r="AN200" i="49"/>
  <c r="AN201" i="49"/>
  <c r="AN202" i="49"/>
  <c r="AN203" i="49"/>
  <c r="AN204" i="49"/>
  <c r="AN205" i="49"/>
  <c r="AO7" i="49"/>
  <c r="AO184" i="49"/>
  <c r="AO185" i="49"/>
  <c r="AO186" i="49"/>
  <c r="AO187" i="49"/>
  <c r="AO188" i="49"/>
  <c r="AO189" i="49"/>
  <c r="AO190" i="49"/>
  <c r="AO191" i="49"/>
  <c r="AO192" i="49"/>
  <c r="AO193" i="49"/>
  <c r="AO194" i="49"/>
  <c r="AO195" i="49"/>
  <c r="AO196" i="49"/>
  <c r="AO197" i="49"/>
  <c r="AO198" i="49"/>
  <c r="AO199" i="49"/>
  <c r="AO200" i="49"/>
  <c r="AO201" i="49"/>
  <c r="AO202" i="49"/>
  <c r="AO203" i="49"/>
  <c r="AO204" i="49"/>
  <c r="AO205" i="49"/>
  <c r="AP7" i="49"/>
  <c r="AP184" i="49"/>
  <c r="AP185" i="49"/>
  <c r="AP186" i="49"/>
  <c r="AP187" i="49"/>
  <c r="AP188" i="49"/>
  <c r="AP189" i="49"/>
  <c r="AP190" i="49"/>
  <c r="AP191" i="49"/>
  <c r="AP192" i="49"/>
  <c r="AP193" i="49"/>
  <c r="AP194" i="49"/>
  <c r="AP195" i="49"/>
  <c r="AP196" i="49"/>
  <c r="AP197" i="49"/>
  <c r="AP198" i="49"/>
  <c r="AP199" i="49"/>
  <c r="AP200" i="49"/>
  <c r="AP201" i="49"/>
  <c r="AP202" i="49"/>
  <c r="AP203" i="49"/>
  <c r="AP204" i="49"/>
  <c r="AP205" i="49"/>
  <c r="BI184" i="49"/>
  <c r="BI185" i="49"/>
  <c r="BI186" i="49"/>
  <c r="BI187" i="49"/>
  <c r="BI188" i="49"/>
  <c r="BI189" i="49"/>
  <c r="BI190" i="49"/>
  <c r="BI191" i="49"/>
  <c r="BI192" i="49"/>
  <c r="BI193" i="49"/>
  <c r="BI194" i="49"/>
  <c r="BI195" i="49"/>
  <c r="BI196" i="49"/>
  <c r="BI197" i="49"/>
  <c r="BI198" i="49"/>
  <c r="BI199" i="49"/>
  <c r="BI200" i="49"/>
  <c r="BI201" i="49"/>
  <c r="BI202" i="49"/>
  <c r="BI203" i="49"/>
  <c r="BI204" i="49"/>
  <c r="BI205" i="49"/>
  <c r="BJ184" i="49"/>
  <c r="BJ185" i="49"/>
  <c r="BJ186" i="49"/>
  <c r="BJ187" i="49"/>
  <c r="BJ188" i="49"/>
  <c r="BJ189" i="49"/>
  <c r="BJ190" i="49"/>
  <c r="BJ191" i="49"/>
  <c r="BJ192" i="49"/>
  <c r="BJ193" i="49"/>
  <c r="BJ194" i="49"/>
  <c r="BJ195" i="49"/>
  <c r="BJ196" i="49"/>
  <c r="BJ197" i="49"/>
  <c r="BJ198" i="49"/>
  <c r="BJ199" i="49"/>
  <c r="BJ200" i="49"/>
  <c r="BJ201" i="49"/>
  <c r="BJ202" i="49"/>
  <c r="BJ203" i="49"/>
  <c r="BJ204" i="49"/>
  <c r="BJ205" i="49"/>
  <c r="BK184" i="49"/>
  <c r="BK185" i="49"/>
  <c r="BK186" i="49"/>
  <c r="BK187" i="49"/>
  <c r="BK188" i="49"/>
  <c r="BK189" i="49"/>
  <c r="BK190" i="49"/>
  <c r="BK191" i="49"/>
  <c r="BK192" i="49"/>
  <c r="BK193" i="49"/>
  <c r="BK194" i="49"/>
  <c r="BK195" i="49"/>
  <c r="BK196" i="49"/>
  <c r="BK197" i="49"/>
  <c r="BK198" i="49"/>
  <c r="BK199" i="49"/>
  <c r="BK200" i="49"/>
  <c r="BK201" i="49"/>
  <c r="BK202" i="49"/>
  <c r="BK203" i="49"/>
  <c r="BK204" i="49"/>
  <c r="BK205" i="49"/>
  <c r="BL184" i="49"/>
  <c r="BL185" i="49"/>
  <c r="BL186" i="49"/>
  <c r="BL187" i="49"/>
  <c r="BL188" i="49"/>
  <c r="BL189" i="49"/>
  <c r="BL190" i="49"/>
  <c r="BL191" i="49"/>
  <c r="BL192" i="49"/>
  <c r="BL193" i="49"/>
  <c r="BL194" i="49"/>
  <c r="BL195" i="49"/>
  <c r="BL196" i="49"/>
  <c r="BL197" i="49"/>
  <c r="BL198" i="49"/>
  <c r="BL199" i="49"/>
  <c r="BL200" i="49"/>
  <c r="BL201" i="49"/>
  <c r="BL202" i="49"/>
  <c r="BL203" i="49"/>
  <c r="BL204" i="49"/>
  <c r="BL205" i="49"/>
  <c r="BG7" i="49"/>
  <c r="BG184" i="49"/>
  <c r="BG185" i="49"/>
  <c r="BG186" i="49"/>
  <c r="BG187" i="49"/>
  <c r="BG188" i="49"/>
  <c r="BG189" i="49"/>
  <c r="BG190" i="49"/>
  <c r="BG191" i="49"/>
  <c r="BG192" i="49"/>
  <c r="BG193" i="49"/>
  <c r="BG194" i="49"/>
  <c r="BG195" i="49"/>
  <c r="BG196" i="49"/>
  <c r="BG197" i="49"/>
  <c r="BG198" i="49"/>
  <c r="BG199" i="49"/>
  <c r="BG200" i="49"/>
  <c r="BG201" i="49"/>
  <c r="BG202" i="49"/>
  <c r="BG203" i="49"/>
  <c r="BG204" i="49"/>
  <c r="BG205" i="49"/>
  <c r="BG208" i="49"/>
  <c r="BA184" i="49"/>
  <c r="BA185" i="49"/>
  <c r="BA186" i="49"/>
  <c r="BA187" i="49"/>
  <c r="BA188" i="49"/>
  <c r="BA189" i="49"/>
  <c r="BA190" i="49"/>
  <c r="BA191" i="49"/>
  <c r="BA192" i="49"/>
  <c r="BA193" i="49"/>
  <c r="BA194" i="49"/>
  <c r="BA195" i="49"/>
  <c r="BA196" i="49"/>
  <c r="BA197" i="49"/>
  <c r="BA198" i="49"/>
  <c r="BA199" i="49"/>
  <c r="BA200" i="49"/>
  <c r="BA201" i="49"/>
  <c r="BA202" i="49"/>
  <c r="BA203" i="49"/>
  <c r="BA204" i="49"/>
  <c r="BA205" i="49"/>
  <c r="A25" i="5"/>
  <c r="B12" i="79" s="1"/>
  <c r="A6" i="4"/>
  <c r="A10" i="8"/>
  <c r="A8" i="8"/>
  <c r="A11" i="6"/>
  <c r="A8" i="6"/>
  <c r="K7" i="50"/>
  <c r="F7" i="50"/>
  <c r="F32" i="50" s="1"/>
  <c r="E7" i="50"/>
  <c r="H7" i="50"/>
  <c r="J7" i="50"/>
  <c r="D7" i="50"/>
  <c r="G7" i="50"/>
  <c r="I7" i="50"/>
  <c r="K8" i="50"/>
  <c r="L8" i="50"/>
  <c r="F8" i="50"/>
  <c r="E8" i="50"/>
  <c r="H8" i="50"/>
  <c r="J8" i="50"/>
  <c r="M8" i="50"/>
  <c r="D8" i="50"/>
  <c r="Q8" i="50" s="1"/>
  <c r="G8" i="50"/>
  <c r="I8" i="50"/>
  <c r="Q9" i="50"/>
  <c r="K12" i="50"/>
  <c r="L12" i="50"/>
  <c r="F12" i="50"/>
  <c r="E12" i="50"/>
  <c r="H12" i="50"/>
  <c r="J12" i="50"/>
  <c r="M12" i="50"/>
  <c r="D12" i="50"/>
  <c r="Q12" i="50" s="1"/>
  <c r="G12" i="50"/>
  <c r="I12" i="50"/>
  <c r="K13" i="50"/>
  <c r="L13" i="50"/>
  <c r="F13" i="50"/>
  <c r="E13" i="50"/>
  <c r="H13" i="50"/>
  <c r="J13" i="50"/>
  <c r="M13" i="50"/>
  <c r="D13" i="50"/>
  <c r="Q13" i="50" s="1"/>
  <c r="G13" i="50"/>
  <c r="I13" i="50"/>
  <c r="K14" i="50"/>
  <c r="L14" i="50"/>
  <c r="F14" i="50"/>
  <c r="E14" i="50"/>
  <c r="H14" i="50"/>
  <c r="J14" i="50"/>
  <c r="M14" i="50"/>
  <c r="D14" i="50"/>
  <c r="Q14" i="50" s="1"/>
  <c r="G14" i="50"/>
  <c r="I14" i="50"/>
  <c r="K15" i="50"/>
  <c r="L15" i="50"/>
  <c r="F15" i="50"/>
  <c r="E15" i="50"/>
  <c r="H15" i="50"/>
  <c r="J15" i="50"/>
  <c r="M15" i="50"/>
  <c r="D15" i="50"/>
  <c r="Q15" i="50" s="1"/>
  <c r="G15" i="50"/>
  <c r="I15" i="50"/>
  <c r="K16" i="50"/>
  <c r="L16" i="50"/>
  <c r="F16" i="50"/>
  <c r="E16" i="50"/>
  <c r="H16" i="50"/>
  <c r="J16" i="50"/>
  <c r="M16" i="50"/>
  <c r="D16" i="50"/>
  <c r="Q16" i="50" s="1"/>
  <c r="G16" i="50"/>
  <c r="I16" i="50"/>
  <c r="K17" i="50"/>
  <c r="L17" i="50"/>
  <c r="F17" i="50"/>
  <c r="E17" i="50"/>
  <c r="H17" i="50"/>
  <c r="J17" i="50"/>
  <c r="M17" i="50"/>
  <c r="D17" i="50"/>
  <c r="Q17" i="50" s="1"/>
  <c r="G17" i="50"/>
  <c r="I17" i="50"/>
  <c r="K18" i="50"/>
  <c r="L18" i="50"/>
  <c r="F18" i="50"/>
  <c r="E18" i="50"/>
  <c r="H18" i="50"/>
  <c r="J18" i="50"/>
  <c r="M18" i="50"/>
  <c r="N18" i="50"/>
  <c r="D18" i="50"/>
  <c r="Q18" i="50" s="1"/>
  <c r="G18" i="50"/>
  <c r="I18" i="50"/>
  <c r="K19" i="50"/>
  <c r="L19" i="50"/>
  <c r="F19" i="50"/>
  <c r="E19" i="50"/>
  <c r="H19" i="50"/>
  <c r="J19" i="50"/>
  <c r="M19" i="50"/>
  <c r="N19" i="50"/>
  <c r="D19" i="50"/>
  <c r="Q19" i="50" s="1"/>
  <c r="G19" i="50"/>
  <c r="I19" i="50"/>
  <c r="K20" i="50"/>
  <c r="L20" i="50"/>
  <c r="F20" i="50"/>
  <c r="E20" i="50"/>
  <c r="H20" i="50"/>
  <c r="J20" i="50"/>
  <c r="M20" i="50"/>
  <c r="D20" i="50"/>
  <c r="Q20" i="50" s="1"/>
  <c r="G20" i="50"/>
  <c r="I20" i="50"/>
  <c r="K21" i="50"/>
  <c r="L21" i="50"/>
  <c r="F21" i="50"/>
  <c r="E21" i="50"/>
  <c r="H21" i="50"/>
  <c r="J21" i="50"/>
  <c r="M21" i="50"/>
  <c r="D21" i="50"/>
  <c r="Q21" i="50" s="1"/>
  <c r="G21" i="50"/>
  <c r="I21" i="50"/>
  <c r="K22" i="50"/>
  <c r="L22" i="50"/>
  <c r="F22" i="50"/>
  <c r="E22" i="50"/>
  <c r="H22" i="50"/>
  <c r="J22" i="50"/>
  <c r="M22" i="50"/>
  <c r="D22" i="50"/>
  <c r="Q22" i="50" s="1"/>
  <c r="G22" i="50"/>
  <c r="I22" i="50"/>
  <c r="K23" i="50"/>
  <c r="L23" i="50"/>
  <c r="F23" i="50"/>
  <c r="E23" i="50"/>
  <c r="H23" i="50"/>
  <c r="J23" i="50"/>
  <c r="M23" i="50"/>
  <c r="N23" i="50"/>
  <c r="D23" i="50"/>
  <c r="Q23" i="50" s="1"/>
  <c r="G23" i="50"/>
  <c r="I23" i="50"/>
  <c r="K24" i="50"/>
  <c r="L24" i="50"/>
  <c r="F24" i="50"/>
  <c r="E24" i="50"/>
  <c r="H24" i="50"/>
  <c r="J24" i="50"/>
  <c r="M24" i="50"/>
  <c r="D24" i="50"/>
  <c r="Q24" i="50" s="1"/>
  <c r="G24" i="50"/>
  <c r="I24" i="50"/>
  <c r="K25" i="50"/>
  <c r="L25" i="50"/>
  <c r="F25" i="50"/>
  <c r="E25" i="50"/>
  <c r="H25" i="50"/>
  <c r="J25" i="50"/>
  <c r="M25" i="50"/>
  <c r="D25" i="50"/>
  <c r="Q25" i="50" s="1"/>
  <c r="G25" i="50"/>
  <c r="I25" i="50"/>
  <c r="K26" i="50"/>
  <c r="L26" i="50"/>
  <c r="F26" i="50"/>
  <c r="E26" i="50"/>
  <c r="H26" i="50"/>
  <c r="J26" i="50"/>
  <c r="M26" i="50"/>
  <c r="D26" i="50"/>
  <c r="Q26" i="50" s="1"/>
  <c r="G26" i="50"/>
  <c r="I26" i="50"/>
  <c r="K27" i="50"/>
  <c r="L27" i="50"/>
  <c r="F27" i="50"/>
  <c r="E27" i="50"/>
  <c r="H27" i="50"/>
  <c r="J27" i="50"/>
  <c r="M27" i="50"/>
  <c r="D27" i="50"/>
  <c r="Q27" i="50" s="1"/>
  <c r="G27" i="50"/>
  <c r="I27" i="50"/>
  <c r="AE7" i="49"/>
  <c r="K29" i="50"/>
  <c r="L29" i="50"/>
  <c r="F29" i="50"/>
  <c r="E29" i="50"/>
  <c r="H29" i="50"/>
  <c r="J29" i="50"/>
  <c r="M29" i="50"/>
  <c r="N29" i="50"/>
  <c r="D29" i="50"/>
  <c r="Q29" i="50" s="1"/>
  <c r="G29" i="50"/>
  <c r="I29" i="50"/>
  <c r="K30" i="50"/>
  <c r="L30" i="50"/>
  <c r="F30" i="50"/>
  <c r="E30" i="50"/>
  <c r="H30" i="50"/>
  <c r="J30" i="50"/>
  <c r="M30" i="50"/>
  <c r="D30" i="50"/>
  <c r="Q30" i="50" s="1"/>
  <c r="G30" i="50"/>
  <c r="I30" i="50"/>
  <c r="R55" i="50"/>
  <c r="R70" i="50"/>
  <c r="R77" i="50"/>
  <c r="BP134" i="49"/>
  <c r="BP135" i="49"/>
  <c r="BP136" i="49"/>
  <c r="BP137" i="49"/>
  <c r="BP138" i="49"/>
  <c r="BP139" i="49"/>
  <c r="BP140" i="49"/>
  <c r="BP141" i="49"/>
  <c r="BP142" i="49"/>
  <c r="BP143" i="49"/>
  <c r="BP144" i="49"/>
  <c r="BP145" i="49"/>
  <c r="BP146" i="49"/>
  <c r="BP147" i="49"/>
  <c r="BP148" i="49"/>
  <c r="BP149" i="49"/>
  <c r="BP150" i="49"/>
  <c r="BP152" i="49"/>
  <c r="BP153" i="49"/>
  <c r="BP154" i="49"/>
  <c r="BP155" i="49"/>
  <c r="BP156" i="49"/>
  <c r="BP157" i="49"/>
  <c r="BP158" i="49"/>
  <c r="BP182" i="49"/>
  <c r="BP183" i="49"/>
  <c r="BP170" i="49"/>
  <c r="BP171" i="49"/>
  <c r="BP172" i="49"/>
  <c r="BP173" i="49"/>
  <c r="BP174" i="49"/>
  <c r="BP175" i="49"/>
  <c r="BP159" i="49"/>
  <c r="BP160" i="49"/>
  <c r="BP161" i="49"/>
  <c r="BP162" i="49"/>
  <c r="BP163" i="49"/>
  <c r="BP166" i="49"/>
  <c r="BP167" i="49"/>
  <c r="BP168" i="49"/>
  <c r="BP169" i="49"/>
  <c r="BP184" i="49"/>
  <c r="BP185" i="49"/>
  <c r="BP186" i="49"/>
  <c r="BP187" i="49"/>
  <c r="BP188" i="49"/>
  <c r="BP189" i="49"/>
  <c r="BP190" i="49"/>
  <c r="BP191" i="49"/>
  <c r="BP192" i="49"/>
  <c r="BP193" i="49"/>
  <c r="BP194" i="49"/>
  <c r="BP195" i="49"/>
  <c r="BP196" i="49"/>
  <c r="BP197" i="49"/>
  <c r="BP198" i="49"/>
  <c r="BP199" i="49"/>
  <c r="BP200" i="49"/>
  <c r="BP201" i="49"/>
  <c r="BP202" i="49"/>
  <c r="BP203" i="49"/>
  <c r="BP204" i="49"/>
  <c r="BP205" i="49"/>
  <c r="P77" i="50"/>
  <c r="E32" i="50"/>
  <c r="J32" i="50"/>
  <c r="M32" i="50"/>
  <c r="N34" i="50"/>
  <c r="N55" i="50" s="1"/>
  <c r="N35" i="50"/>
  <c r="N58" i="50"/>
  <c r="N59" i="50"/>
  <c r="M34" i="50"/>
  <c r="M55" i="50" s="1"/>
  <c r="M35" i="50"/>
  <c r="M36" i="50"/>
  <c r="M37" i="50"/>
  <c r="M38" i="50"/>
  <c r="M39" i="50"/>
  <c r="M40" i="50"/>
  <c r="M41" i="50"/>
  <c r="M42" i="50"/>
  <c r="M43" i="50"/>
  <c r="M44" i="50"/>
  <c r="M45" i="50"/>
  <c r="M46" i="50"/>
  <c r="M47" i="50"/>
  <c r="M48" i="50"/>
  <c r="M49" i="50"/>
  <c r="M50" i="50"/>
  <c r="M51" i="50"/>
  <c r="M52" i="50"/>
  <c r="M53" i="50"/>
  <c r="M57" i="50"/>
  <c r="M70" i="50" s="1"/>
  <c r="M58" i="50"/>
  <c r="M59" i="50"/>
  <c r="M60" i="50"/>
  <c r="M61" i="50"/>
  <c r="M62" i="50"/>
  <c r="M63" i="50"/>
  <c r="M64" i="50"/>
  <c r="M65" i="50"/>
  <c r="M66" i="50"/>
  <c r="M67" i="50"/>
  <c r="M68" i="50"/>
  <c r="M72" i="50"/>
  <c r="M77" i="50" s="1"/>
  <c r="M73" i="50"/>
  <c r="M74" i="50"/>
  <c r="M75" i="50"/>
  <c r="L34" i="50"/>
  <c r="L55" i="50" s="1"/>
  <c r="L35" i="50"/>
  <c r="L36" i="50"/>
  <c r="L37" i="50"/>
  <c r="L38" i="50"/>
  <c r="L39" i="50"/>
  <c r="L40" i="50"/>
  <c r="L41" i="50"/>
  <c r="L42" i="50"/>
  <c r="L43" i="50"/>
  <c r="L44" i="50"/>
  <c r="L45" i="50"/>
  <c r="L46" i="50"/>
  <c r="L47" i="50"/>
  <c r="L48" i="50"/>
  <c r="L49" i="50"/>
  <c r="L50" i="50"/>
  <c r="L51" i="50"/>
  <c r="L52" i="50"/>
  <c r="L53" i="50"/>
  <c r="L57" i="50"/>
  <c r="L70" i="50" s="1"/>
  <c r="L58" i="50"/>
  <c r="L59" i="50"/>
  <c r="L60" i="50"/>
  <c r="L61" i="50"/>
  <c r="L62" i="50"/>
  <c r="L63" i="50"/>
  <c r="L64" i="50"/>
  <c r="L65" i="50"/>
  <c r="L66" i="50"/>
  <c r="L67" i="50"/>
  <c r="L68" i="50"/>
  <c r="L72" i="50"/>
  <c r="L77" i="50" s="1"/>
  <c r="L73" i="50"/>
  <c r="L74" i="50"/>
  <c r="L75" i="50"/>
  <c r="K34" i="50"/>
  <c r="K55" i="50" s="1"/>
  <c r="K35" i="50"/>
  <c r="K36" i="50"/>
  <c r="K37" i="50"/>
  <c r="K38" i="50"/>
  <c r="K39" i="50"/>
  <c r="K40" i="50"/>
  <c r="K41" i="50"/>
  <c r="K42" i="50"/>
  <c r="K43" i="50"/>
  <c r="K44" i="50"/>
  <c r="K45" i="50"/>
  <c r="K46" i="50"/>
  <c r="K47" i="50"/>
  <c r="K48" i="50"/>
  <c r="K49" i="50"/>
  <c r="K50" i="50"/>
  <c r="K51" i="50"/>
  <c r="K52" i="50"/>
  <c r="K53" i="50"/>
  <c r="K57" i="50"/>
  <c r="K70" i="50" s="1"/>
  <c r="K58" i="50"/>
  <c r="K59" i="50"/>
  <c r="K60" i="50"/>
  <c r="K61" i="50"/>
  <c r="K62" i="50"/>
  <c r="K63" i="50"/>
  <c r="K64" i="50"/>
  <c r="K65" i="50"/>
  <c r="K66" i="50"/>
  <c r="K67" i="50"/>
  <c r="K68" i="50"/>
  <c r="K72" i="50"/>
  <c r="K77" i="50" s="1"/>
  <c r="K73" i="50"/>
  <c r="K74" i="50"/>
  <c r="K75" i="50"/>
  <c r="J34" i="50"/>
  <c r="J55" i="50" s="1"/>
  <c r="J35" i="50"/>
  <c r="J36" i="50"/>
  <c r="J37" i="50"/>
  <c r="J38" i="50"/>
  <c r="J39" i="50"/>
  <c r="J40" i="50"/>
  <c r="J41" i="50"/>
  <c r="J42" i="50"/>
  <c r="J43" i="50"/>
  <c r="J44" i="50"/>
  <c r="J45" i="50"/>
  <c r="J46" i="50"/>
  <c r="J47" i="50"/>
  <c r="J48" i="50"/>
  <c r="J49" i="50"/>
  <c r="J50" i="50"/>
  <c r="J51" i="50"/>
  <c r="J52" i="50"/>
  <c r="J53" i="50"/>
  <c r="J57" i="50"/>
  <c r="J70" i="50" s="1"/>
  <c r="J58" i="50"/>
  <c r="J59" i="50"/>
  <c r="J60" i="50"/>
  <c r="J61" i="50"/>
  <c r="J62" i="50"/>
  <c r="J63" i="50"/>
  <c r="J64" i="50"/>
  <c r="J65" i="50"/>
  <c r="J66" i="50"/>
  <c r="J67" i="50"/>
  <c r="J68" i="50"/>
  <c r="J72" i="50"/>
  <c r="J77" i="50" s="1"/>
  <c r="J73" i="50"/>
  <c r="J74" i="50"/>
  <c r="J75" i="50"/>
  <c r="I34" i="50"/>
  <c r="I55" i="50" s="1"/>
  <c r="I35" i="50"/>
  <c r="I36" i="50"/>
  <c r="I37" i="50"/>
  <c r="I38" i="50"/>
  <c r="I39" i="50"/>
  <c r="I40" i="50"/>
  <c r="I41" i="50"/>
  <c r="I42" i="50"/>
  <c r="I43" i="50"/>
  <c r="I44" i="50"/>
  <c r="I45" i="50"/>
  <c r="I46" i="50"/>
  <c r="I47" i="50"/>
  <c r="I48" i="50"/>
  <c r="I49" i="50"/>
  <c r="I50" i="50"/>
  <c r="I51" i="50"/>
  <c r="I52" i="50"/>
  <c r="I53" i="50"/>
  <c r="I57" i="50"/>
  <c r="I58" i="50"/>
  <c r="I59" i="50"/>
  <c r="I60" i="50"/>
  <c r="I61" i="50"/>
  <c r="I62" i="50"/>
  <c r="I63" i="50"/>
  <c r="I64" i="50"/>
  <c r="I65" i="50"/>
  <c r="I66" i="50"/>
  <c r="I67" i="50"/>
  <c r="I68" i="50"/>
  <c r="I70" i="50"/>
  <c r="I72" i="50"/>
  <c r="I77" i="50" s="1"/>
  <c r="I73" i="50"/>
  <c r="I74" i="50"/>
  <c r="I75" i="50"/>
  <c r="H34" i="50"/>
  <c r="H55" i="50" s="1"/>
  <c r="H35" i="50"/>
  <c r="H36" i="50"/>
  <c r="H37" i="50"/>
  <c r="H38" i="50"/>
  <c r="H39" i="50"/>
  <c r="H40" i="50"/>
  <c r="H41" i="50"/>
  <c r="H42" i="50"/>
  <c r="H43" i="50"/>
  <c r="H44" i="50"/>
  <c r="H45" i="50"/>
  <c r="H46" i="50"/>
  <c r="H47" i="50"/>
  <c r="H48" i="50"/>
  <c r="H49" i="50"/>
  <c r="H50" i="50"/>
  <c r="H51" i="50"/>
  <c r="H52" i="50"/>
  <c r="H53" i="50"/>
  <c r="H57" i="50"/>
  <c r="H70" i="50" s="1"/>
  <c r="H58" i="50"/>
  <c r="H59" i="50"/>
  <c r="H60" i="50"/>
  <c r="H61" i="50"/>
  <c r="H62" i="50"/>
  <c r="H63" i="50"/>
  <c r="H64" i="50"/>
  <c r="H65" i="50"/>
  <c r="H66" i="50"/>
  <c r="H67" i="50"/>
  <c r="H68" i="50"/>
  <c r="H72" i="50"/>
  <c r="H77" i="50" s="1"/>
  <c r="H73" i="50"/>
  <c r="H74" i="50"/>
  <c r="H75" i="50"/>
  <c r="G34" i="50"/>
  <c r="G55" i="50" s="1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7" i="50"/>
  <c r="G70" i="50" s="1"/>
  <c r="G58" i="50"/>
  <c r="G59" i="50"/>
  <c r="G60" i="50"/>
  <c r="G61" i="50"/>
  <c r="G62" i="50"/>
  <c r="G63" i="50"/>
  <c r="G64" i="50"/>
  <c r="G65" i="50"/>
  <c r="G66" i="50"/>
  <c r="G67" i="50"/>
  <c r="G68" i="50"/>
  <c r="G72" i="50"/>
  <c r="G77" i="50" s="1"/>
  <c r="G73" i="50"/>
  <c r="G74" i="50"/>
  <c r="G75" i="50"/>
  <c r="F34" i="50"/>
  <c r="F55" i="50" s="1"/>
  <c r="F35" i="50"/>
  <c r="F36" i="50"/>
  <c r="F37" i="50"/>
  <c r="F38" i="50"/>
  <c r="F39" i="50"/>
  <c r="F40" i="50"/>
  <c r="F41" i="50"/>
  <c r="F42" i="50"/>
  <c r="F43" i="50"/>
  <c r="F44" i="50"/>
  <c r="F45" i="50"/>
  <c r="F46" i="50"/>
  <c r="F47" i="50"/>
  <c r="F48" i="50"/>
  <c r="F49" i="50"/>
  <c r="F50" i="50"/>
  <c r="F51" i="50"/>
  <c r="F52" i="50"/>
  <c r="F53" i="50"/>
  <c r="F57" i="50"/>
  <c r="F70" i="50" s="1"/>
  <c r="F58" i="50"/>
  <c r="F59" i="50"/>
  <c r="F60" i="50"/>
  <c r="F61" i="50"/>
  <c r="F62" i="50"/>
  <c r="F63" i="50"/>
  <c r="F64" i="50"/>
  <c r="F65" i="50"/>
  <c r="F66" i="50"/>
  <c r="F67" i="50"/>
  <c r="F68" i="50"/>
  <c r="F72" i="50"/>
  <c r="F77" i="50" s="1"/>
  <c r="F73" i="50"/>
  <c r="F74" i="50"/>
  <c r="F75" i="50"/>
  <c r="E34" i="50"/>
  <c r="E55" i="50" s="1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7" i="50"/>
  <c r="E70" i="50" s="1"/>
  <c r="E58" i="50"/>
  <c r="E59" i="50"/>
  <c r="E60" i="50"/>
  <c r="E61" i="50"/>
  <c r="E62" i="50"/>
  <c r="E63" i="50"/>
  <c r="E64" i="50"/>
  <c r="E65" i="50"/>
  <c r="E66" i="50"/>
  <c r="E67" i="50"/>
  <c r="E68" i="50"/>
  <c r="E72" i="50"/>
  <c r="E77" i="50" s="1"/>
  <c r="E73" i="50"/>
  <c r="E74" i="50"/>
  <c r="E75" i="50"/>
  <c r="D34" i="50"/>
  <c r="D55" i="50" s="1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7" i="50"/>
  <c r="D70" i="50" s="1"/>
  <c r="D58" i="50"/>
  <c r="D59" i="50"/>
  <c r="D60" i="50"/>
  <c r="D61" i="50"/>
  <c r="D62" i="50"/>
  <c r="D63" i="50"/>
  <c r="D64" i="50"/>
  <c r="D65" i="50"/>
  <c r="D66" i="50"/>
  <c r="D67" i="50"/>
  <c r="D68" i="50"/>
  <c r="D72" i="50"/>
  <c r="D77" i="50" s="1"/>
  <c r="D73" i="50"/>
  <c r="D74" i="50"/>
  <c r="D75" i="50"/>
  <c r="B67" i="50"/>
  <c r="A67" i="50"/>
  <c r="B66" i="50"/>
  <c r="A66" i="50"/>
  <c r="B63" i="50"/>
  <c r="A63" i="50"/>
  <c r="B62" i="50"/>
  <c r="B61" i="50"/>
  <c r="B59" i="50"/>
  <c r="B58" i="50"/>
  <c r="B53" i="50"/>
  <c r="A53" i="50"/>
  <c r="B52" i="50"/>
  <c r="B51" i="50"/>
  <c r="B36" i="50"/>
  <c r="A36" i="50"/>
  <c r="B25" i="50"/>
  <c r="B17" i="50"/>
  <c r="A17" i="50"/>
  <c r="B12" i="50"/>
  <c r="A12" i="50"/>
  <c r="B8" i="50"/>
  <c r="B7" i="50"/>
  <c r="L7" i="49"/>
  <c r="E184" i="49"/>
  <c r="F184" i="49"/>
  <c r="E187" i="49"/>
  <c r="G187" i="49" s="1"/>
  <c r="F187" i="49"/>
  <c r="E188" i="49"/>
  <c r="F188" i="49"/>
  <c r="E189" i="49"/>
  <c r="F189" i="49"/>
  <c r="E190" i="49"/>
  <c r="F190" i="49"/>
  <c r="E191" i="49"/>
  <c r="F191" i="49"/>
  <c r="E194" i="49"/>
  <c r="F194" i="49"/>
  <c r="E195" i="49"/>
  <c r="F195" i="49"/>
  <c r="E196" i="49"/>
  <c r="F196" i="49"/>
  <c r="E197" i="49"/>
  <c r="F197" i="49"/>
  <c r="E198" i="49"/>
  <c r="F198" i="49"/>
  <c r="E199" i="49"/>
  <c r="F199" i="49"/>
  <c r="E200" i="49"/>
  <c r="F200" i="49"/>
  <c r="E201" i="49"/>
  <c r="F201" i="49"/>
  <c r="E202" i="49"/>
  <c r="F202" i="49"/>
  <c r="E203" i="49"/>
  <c r="F203" i="49"/>
  <c r="E204" i="49"/>
  <c r="F204" i="49"/>
  <c r="E205" i="49"/>
  <c r="F205" i="49"/>
  <c r="F208" i="49"/>
  <c r="F210" i="49" s="1"/>
  <c r="BQ6" i="49"/>
  <c r="BP6" i="49"/>
  <c r="BO6" i="49"/>
  <c r="BN6" i="49"/>
  <c r="BM6" i="49"/>
  <c r="BL6" i="49"/>
  <c r="BK6" i="49"/>
  <c r="BJ6" i="49"/>
  <c r="BI6" i="49"/>
  <c r="BH6" i="49"/>
  <c r="BG6" i="49"/>
  <c r="BF6" i="49"/>
  <c r="BE6" i="49"/>
  <c r="BD6" i="49"/>
  <c r="BC6" i="49"/>
  <c r="BB6" i="49"/>
  <c r="BA6" i="49"/>
  <c r="AZ6" i="49"/>
  <c r="AY6" i="49"/>
  <c r="AX6" i="49"/>
  <c r="AW6" i="49"/>
  <c r="AV6" i="49"/>
  <c r="AU6" i="49"/>
  <c r="AT6" i="49"/>
  <c r="AS6" i="49"/>
  <c r="AR6" i="49"/>
  <c r="AN6" i="49"/>
  <c r="AM6" i="49"/>
  <c r="AL6" i="49"/>
  <c r="AK6" i="49"/>
  <c r="AJ6" i="49"/>
  <c r="AI6" i="49"/>
  <c r="AH6" i="49"/>
  <c r="AG6" i="49"/>
  <c r="AD6" i="49"/>
  <c r="AC6" i="49"/>
  <c r="AB6" i="49"/>
  <c r="AA6" i="49"/>
  <c r="Z6" i="49"/>
  <c r="Y6" i="49"/>
  <c r="X6" i="49"/>
  <c r="W6" i="49"/>
  <c r="V6" i="49"/>
  <c r="U6" i="49"/>
  <c r="T6" i="49"/>
  <c r="S6" i="49"/>
  <c r="R6" i="49"/>
  <c r="Q6" i="49"/>
  <c r="P6" i="49"/>
  <c r="O6" i="49"/>
  <c r="K6" i="49"/>
  <c r="J6" i="49"/>
  <c r="G106" i="49" l="1"/>
  <c r="G110" i="49"/>
  <c r="G128" i="49"/>
  <c r="G130" i="49"/>
  <c r="G134" i="49"/>
  <c r="G138" i="49"/>
  <c r="G142" i="49"/>
  <c r="G192" i="49"/>
  <c r="G204" i="49"/>
  <c r="G78" i="49"/>
  <c r="G196" i="49"/>
  <c r="BR60" i="49"/>
  <c r="G177" i="49"/>
  <c r="BR180" i="49"/>
  <c r="BR186" i="49"/>
  <c r="BR122" i="49"/>
  <c r="BR42" i="49"/>
  <c r="BR139" i="49"/>
  <c r="BR67" i="49"/>
  <c r="BR51" i="49"/>
  <c r="BR40" i="49"/>
  <c r="BR177" i="49"/>
  <c r="BR105" i="49"/>
  <c r="BR81" i="49"/>
  <c r="G91" i="49"/>
  <c r="G198" i="49"/>
  <c r="G188" i="49"/>
  <c r="G51" i="49"/>
  <c r="G85" i="49"/>
  <c r="G70" i="49"/>
  <c r="G90" i="49"/>
  <c r="G202" i="49"/>
  <c r="G194" i="49"/>
  <c r="G167" i="49"/>
  <c r="G105" i="49"/>
  <c r="G145" i="49"/>
  <c r="G193" i="49"/>
  <c r="G120" i="49"/>
  <c r="BR107" i="49"/>
  <c r="BR99" i="49"/>
  <c r="BR59" i="49"/>
  <c r="BR43" i="49"/>
  <c r="BR137" i="49"/>
  <c r="BR113" i="49"/>
  <c r="BR97" i="49"/>
  <c r="BR57" i="49"/>
  <c r="BR25" i="49"/>
  <c r="BR17" i="49"/>
  <c r="BR9" i="49"/>
  <c r="BR87" i="49"/>
  <c r="BR79" i="49"/>
  <c r="BR188" i="49"/>
  <c r="BR156" i="49"/>
  <c r="BR132" i="49"/>
  <c r="BR108" i="49"/>
  <c r="BR68" i="49"/>
  <c r="BR44" i="49"/>
  <c r="AA208" i="49"/>
  <c r="O24" i="50" s="1"/>
  <c r="BR98" i="49"/>
  <c r="BR50" i="49"/>
  <c r="BR26" i="49"/>
  <c r="BR128" i="49"/>
  <c r="BR16" i="49"/>
  <c r="BR182" i="49"/>
  <c r="BR166" i="49"/>
  <c r="BR118" i="49"/>
  <c r="BR78" i="49"/>
  <c r="BR70" i="49"/>
  <c r="BR14" i="49"/>
  <c r="G203" i="49"/>
  <c r="G199" i="49"/>
  <c r="G155" i="49"/>
  <c r="G169" i="49"/>
  <c r="G29" i="49"/>
  <c r="G73" i="49"/>
  <c r="G23" i="49"/>
  <c r="G71" i="49"/>
  <c r="G81" i="49"/>
  <c r="G86" i="49"/>
  <c r="G97" i="49"/>
  <c r="G137" i="49"/>
  <c r="G180" i="49"/>
  <c r="G15" i="49"/>
  <c r="G87" i="49"/>
  <c r="G183" i="49"/>
  <c r="BR45" i="49"/>
  <c r="BR201" i="49"/>
  <c r="BR193" i="49"/>
  <c r="BR185" i="49"/>
  <c r="G201" i="49"/>
  <c r="G191" i="49"/>
  <c r="G122" i="49"/>
  <c r="G124" i="49"/>
  <c r="BR148" i="49"/>
  <c r="BR168" i="49"/>
  <c r="G9" i="49"/>
  <c r="G208" i="49" s="1"/>
  <c r="G210" i="49" s="1"/>
  <c r="G38" i="49"/>
  <c r="G119" i="49"/>
  <c r="G181" i="49"/>
  <c r="G10" i="49"/>
  <c r="G61" i="49"/>
  <c r="G69" i="49"/>
  <c r="G162" i="49"/>
  <c r="G184" i="49"/>
  <c r="G89" i="49"/>
  <c r="G176" i="49"/>
  <c r="G17" i="49"/>
  <c r="G22" i="49"/>
  <c r="G63" i="49"/>
  <c r="G104" i="49"/>
  <c r="G178" i="49"/>
  <c r="BR202" i="49"/>
  <c r="BR162" i="49"/>
  <c r="BR82" i="49"/>
  <c r="BR66" i="49"/>
  <c r="BR18" i="49"/>
  <c r="BR144" i="49"/>
  <c r="BR112" i="49"/>
  <c r="BR96" i="49"/>
  <c r="BR80" i="49"/>
  <c r="BR64" i="49"/>
  <c r="BR56" i="49"/>
  <c r="BR24" i="49"/>
  <c r="BR110" i="49"/>
  <c r="BR94" i="49"/>
  <c r="BR62" i="49"/>
  <c r="BR22" i="49"/>
  <c r="G195" i="49"/>
  <c r="G189" i="49"/>
  <c r="BR153" i="49"/>
  <c r="AL208" i="49"/>
  <c r="G16" i="49"/>
  <c r="BR171" i="49"/>
  <c r="BR115" i="49"/>
  <c r="BR83" i="49"/>
  <c r="BR27" i="49"/>
  <c r="BR19" i="49"/>
  <c r="S208" i="49"/>
  <c r="O16" i="50" s="1"/>
  <c r="BR194" i="49"/>
  <c r="BR154" i="49"/>
  <c r="BR106" i="49"/>
  <c r="BR90" i="49"/>
  <c r="BR58" i="49"/>
  <c r="BR10" i="49"/>
  <c r="BR176" i="49"/>
  <c r="BR136" i="49"/>
  <c r="BR120" i="49"/>
  <c r="BR104" i="49"/>
  <c r="BR72" i="49"/>
  <c r="BR48" i="49"/>
  <c r="BR126" i="49"/>
  <c r="BR102" i="49"/>
  <c r="BR86" i="49"/>
  <c r="BR54" i="49"/>
  <c r="BR38" i="49"/>
  <c r="BR160" i="49"/>
  <c r="BR183" i="49"/>
  <c r="BR152" i="49"/>
  <c r="BR143" i="49"/>
  <c r="BR135" i="49"/>
  <c r="BR199" i="49"/>
  <c r="BR191" i="49"/>
  <c r="AP208" i="49"/>
  <c r="AQ208" i="49"/>
  <c r="BR175" i="49"/>
  <c r="BR127" i="49"/>
  <c r="BR111" i="49"/>
  <c r="BR103" i="49"/>
  <c r="BR95" i="49"/>
  <c r="BR71" i="49"/>
  <c r="BR63" i="49"/>
  <c r="BR55" i="49"/>
  <c r="BR47" i="49"/>
  <c r="BR39" i="49"/>
  <c r="BR15" i="49"/>
  <c r="BR196" i="49"/>
  <c r="BR140" i="49"/>
  <c r="BR100" i="49"/>
  <c r="BR52" i="49"/>
  <c r="BR28" i="49"/>
  <c r="BR167" i="49"/>
  <c r="BR151" i="49"/>
  <c r="BR145" i="49"/>
  <c r="BR121" i="49"/>
  <c r="BR73" i="49"/>
  <c r="BR33" i="49"/>
  <c r="BG210" i="49"/>
  <c r="C62" i="50" s="1"/>
  <c r="BR198" i="49"/>
  <c r="BR190" i="49"/>
  <c r="G55" i="49"/>
  <c r="BR161" i="49"/>
  <c r="BR129" i="49"/>
  <c r="BR89" i="49"/>
  <c r="BR65" i="49"/>
  <c r="BR41" i="49"/>
  <c r="G205" i="49"/>
  <c r="G197" i="49"/>
  <c r="G186" i="49"/>
  <c r="BR179" i="49"/>
  <c r="BR147" i="49"/>
  <c r="BR131" i="49"/>
  <c r="BR11" i="49"/>
  <c r="BR204" i="49"/>
  <c r="BR164" i="49"/>
  <c r="BR116" i="49"/>
  <c r="BR84" i="49"/>
  <c r="BR76" i="49"/>
  <c r="BR20" i="49"/>
  <c r="BR49" i="49"/>
  <c r="BR169" i="49"/>
  <c r="AN208" i="49"/>
  <c r="BR172" i="49"/>
  <c r="P208" i="49"/>
  <c r="O13" i="50" s="1"/>
  <c r="R208" i="49"/>
  <c r="O15" i="50" s="1"/>
  <c r="O208" i="49"/>
  <c r="O12" i="50" s="1"/>
  <c r="K208" i="49"/>
  <c r="O8" i="50" s="1"/>
  <c r="BR174" i="49"/>
  <c r="BR159" i="49"/>
  <c r="G34" i="49"/>
  <c r="G67" i="49"/>
  <c r="G109" i="49"/>
  <c r="G92" i="49"/>
  <c r="G182" i="49"/>
  <c r="G175" i="49"/>
  <c r="G185" i="49"/>
  <c r="BR205" i="49"/>
  <c r="BR197" i="49"/>
  <c r="BR189" i="49"/>
  <c r="BR181" i="49"/>
  <c r="BR173" i="49"/>
  <c r="BR165" i="49"/>
  <c r="BR157" i="49"/>
  <c r="BR149" i="49"/>
  <c r="BR141" i="49"/>
  <c r="BR133" i="49"/>
  <c r="BR125" i="49"/>
  <c r="BR117" i="49"/>
  <c r="BR109" i="49"/>
  <c r="BR101" i="49"/>
  <c r="BR93" i="49"/>
  <c r="BR85" i="49"/>
  <c r="BR77" i="49"/>
  <c r="BR69" i="49"/>
  <c r="BR61" i="49"/>
  <c r="BR53" i="49"/>
  <c r="BR37" i="49"/>
  <c r="BR29" i="49"/>
  <c r="BR21" i="49"/>
  <c r="BR13" i="49"/>
  <c r="BR203" i="49"/>
  <c r="BR195" i="49"/>
  <c r="BR187" i="49"/>
  <c r="G168" i="49"/>
  <c r="G159" i="49"/>
  <c r="G26" i="49"/>
  <c r="G39" i="49"/>
  <c r="G96" i="49"/>
  <c r="G41" i="49"/>
  <c r="G56" i="49"/>
  <c r="G74" i="49"/>
  <c r="G99" i="49"/>
  <c r="G118" i="49"/>
  <c r="G129" i="49"/>
  <c r="G132" i="49"/>
  <c r="G139" i="49"/>
  <c r="G148" i="49"/>
  <c r="G172" i="49"/>
  <c r="Z208" i="49"/>
  <c r="O23" i="50" s="1"/>
  <c r="W208" i="49"/>
  <c r="O20" i="50" s="1"/>
  <c r="T208" i="49"/>
  <c r="O17" i="50" s="1"/>
  <c r="L208" i="49"/>
  <c r="O9" i="50" s="1"/>
  <c r="G77" i="49"/>
  <c r="AC208" i="49"/>
  <c r="O26" i="50" s="1"/>
  <c r="Q208" i="49"/>
  <c r="O14" i="50" s="1"/>
  <c r="G200" i="49"/>
  <c r="BR12" i="49"/>
  <c r="G126" i="49"/>
  <c r="G127" i="49"/>
  <c r="AK208" i="49"/>
  <c r="AK210" i="49" s="1"/>
  <c r="AV208" i="49"/>
  <c r="AM208" i="49"/>
  <c r="AX208" i="49"/>
  <c r="AX210" i="49" s="1"/>
  <c r="BR31" i="49"/>
  <c r="BR32" i="49"/>
  <c r="BR46" i="49"/>
  <c r="AO208" i="49"/>
  <c r="BI208" i="49"/>
  <c r="BI210" i="49" s="1"/>
  <c r="O64" i="50" s="1"/>
  <c r="BR34" i="49"/>
  <c r="BR35" i="49"/>
  <c r="BR36" i="49"/>
  <c r="BR74" i="49"/>
  <c r="BR88" i="49"/>
  <c r="BR75" i="49"/>
  <c r="G114" i="49"/>
  <c r="BR114" i="49"/>
  <c r="BR178" i="49"/>
  <c r="G95" i="49"/>
  <c r="G12" i="49"/>
  <c r="G42" i="49"/>
  <c r="G45" i="49"/>
  <c r="G80" i="49"/>
  <c r="G88" i="49"/>
  <c r="G133" i="49"/>
  <c r="Y208" i="49"/>
  <c r="O22" i="50" s="1"/>
  <c r="G14" i="49"/>
  <c r="G123" i="49"/>
  <c r="G125" i="49"/>
  <c r="G152" i="49"/>
  <c r="G153" i="49"/>
  <c r="G28" i="49"/>
  <c r="G37" i="49"/>
  <c r="G54" i="49"/>
  <c r="G48" i="49"/>
  <c r="G84" i="49"/>
  <c r="G100" i="49"/>
  <c r="G107" i="49"/>
  <c r="G111" i="49"/>
  <c r="G147" i="49"/>
  <c r="G170" i="49"/>
  <c r="M208" i="49"/>
  <c r="O10" i="50" s="1"/>
  <c r="AD208" i="49"/>
  <c r="O27" i="50" s="1"/>
  <c r="AE208" i="49"/>
  <c r="O28" i="50" s="1"/>
  <c r="V208" i="49"/>
  <c r="O19" i="50" s="1"/>
  <c r="J208" i="49"/>
  <c r="O7" i="50" s="1"/>
  <c r="BR163" i="49"/>
  <c r="BR155" i="49"/>
  <c r="BP208" i="49"/>
  <c r="BR124" i="49"/>
  <c r="BR158" i="49"/>
  <c r="G116" i="49"/>
  <c r="AB208" i="49"/>
  <c r="O25" i="50" s="1"/>
  <c r="U208" i="49"/>
  <c r="O18" i="50" s="1"/>
  <c r="G190" i="49"/>
  <c r="BR200" i="49"/>
  <c r="BR192" i="49"/>
  <c r="BR184" i="49"/>
  <c r="BR130" i="49"/>
  <c r="BR134" i="49"/>
  <c r="BR138" i="49"/>
  <c r="BR142" i="49"/>
  <c r="BR146" i="49"/>
  <c r="BR150" i="49"/>
  <c r="G20" i="49"/>
  <c r="G50" i="49"/>
  <c r="G75" i="49"/>
  <c r="G98" i="49"/>
  <c r="G19" i="49"/>
  <c r="G30" i="49"/>
  <c r="G58" i="49"/>
  <c r="G66" i="49"/>
  <c r="G72" i="49"/>
  <c r="G101" i="49"/>
  <c r="G108" i="49"/>
  <c r="G164" i="49"/>
  <c r="G131" i="49"/>
  <c r="G141" i="49"/>
  <c r="G158" i="49"/>
  <c r="AF208" i="49"/>
  <c r="O29" i="50" s="1"/>
  <c r="X208" i="49"/>
  <c r="O21" i="50" s="1"/>
  <c r="AT7" i="49"/>
  <c r="N46" i="50"/>
  <c r="AV7" i="49"/>
  <c r="N48" i="50"/>
  <c r="AN210" i="49"/>
  <c r="O40" i="50" s="1"/>
  <c r="AM210" i="49"/>
  <c r="C39" i="50" s="1"/>
  <c r="Q39" i="50" s="1"/>
  <c r="AO210" i="49"/>
  <c r="O41" i="50" s="1"/>
  <c r="AP210" i="49"/>
  <c r="C42" i="50" s="1"/>
  <c r="Q42" i="50" s="1"/>
  <c r="BR170" i="49"/>
  <c r="G40" i="49"/>
  <c r="Q7" i="49"/>
  <c r="N14" i="50"/>
  <c r="N15" i="50"/>
  <c r="R7" i="49"/>
  <c r="J7" i="49"/>
  <c r="N7" i="50"/>
  <c r="G82" i="49"/>
  <c r="G135" i="49"/>
  <c r="G174" i="49"/>
  <c r="N26" i="50"/>
  <c r="AC7" i="49"/>
  <c r="AC210" i="49" s="1"/>
  <c r="C26" i="50" s="1"/>
  <c r="B36" i="79" s="1"/>
  <c r="AT208" i="49"/>
  <c r="BR30" i="49"/>
  <c r="BR208" i="49" s="1"/>
  <c r="BH7" i="49"/>
  <c r="BH210" i="49" s="1"/>
  <c r="C63" i="50" s="1"/>
  <c r="N63" i="50"/>
  <c r="BF7" i="49"/>
  <c r="BF210" i="49" s="1"/>
  <c r="N61" i="50"/>
  <c r="BL7" i="49"/>
  <c r="BA208" i="49"/>
  <c r="BJ208" i="49"/>
  <c r="BL208" i="49"/>
  <c r="AW208" i="49"/>
  <c r="BN208" i="49"/>
  <c r="AY208" i="49"/>
  <c r="G52" i="49"/>
  <c r="G44" i="49"/>
  <c r="AF210" i="49"/>
  <c r="C29" i="50" s="1"/>
  <c r="R29" i="50" s="1"/>
  <c r="P7" i="49"/>
  <c r="N13" i="50"/>
  <c r="BR7" i="49"/>
  <c r="AZ208" i="49"/>
  <c r="AR208" i="49"/>
  <c r="BK208" i="49"/>
  <c r="BM208" i="49"/>
  <c r="G117" i="49"/>
  <c r="AG208" i="49"/>
  <c r="O30" i="50" s="1"/>
  <c r="N208" i="49"/>
  <c r="O11" i="50" s="1"/>
  <c r="AU208" i="49"/>
  <c r="BR123" i="49"/>
  <c r="AL7" i="49"/>
  <c r="AL210" i="49" s="1"/>
  <c r="AZ7" i="49"/>
  <c r="G143" i="49"/>
  <c r="N10" i="50"/>
  <c r="BO208" i="49"/>
  <c r="G27" i="49"/>
  <c r="BQ208" i="49"/>
  <c r="K32" i="50"/>
  <c r="D32" i="50"/>
  <c r="E80" i="50" s="1"/>
  <c r="G156" i="49"/>
  <c r="G157" i="49"/>
  <c r="G79" i="49"/>
  <c r="G68" i="49"/>
  <c r="N30" i="50"/>
  <c r="AS208" i="49"/>
  <c r="N27" i="50"/>
  <c r="AD7" i="49"/>
  <c r="AD210" i="49" s="1"/>
  <c r="N47" i="50"/>
  <c r="T7" i="49"/>
  <c r="O7" i="49"/>
  <c r="O210" i="49" s="1"/>
  <c r="C12" i="50" s="1"/>
  <c r="R12" i="50" s="1"/>
  <c r="W7" i="49"/>
  <c r="AB7" i="49"/>
  <c r="X7" i="49"/>
  <c r="X210" i="49" s="1"/>
  <c r="C21" i="50" s="1"/>
  <c r="B25" i="79" s="1"/>
  <c r="Y7" i="49"/>
  <c r="G32" i="50"/>
  <c r="N7" i="49"/>
  <c r="AA7" i="49"/>
  <c r="AA210" i="49" s="1"/>
  <c r="C24" i="50" s="1"/>
  <c r="R24" i="50" s="1"/>
  <c r="M7" i="49"/>
  <c r="AY7" i="49"/>
  <c r="AY210" i="49" s="1"/>
  <c r="C51" i="50" s="1"/>
  <c r="S7" i="49"/>
  <c r="K7" i="49"/>
  <c r="K210" i="49" s="1"/>
  <c r="C8" i="50" s="1"/>
  <c r="B17" i="79" s="1"/>
  <c r="V7" i="49"/>
  <c r="V210" i="49" s="1"/>
  <c r="C19" i="50" s="1"/>
  <c r="B26" i="79" s="1"/>
  <c r="U7" i="49"/>
  <c r="U210" i="49" s="1"/>
  <c r="C18" i="50" s="1"/>
  <c r="B24" i="79" s="1"/>
  <c r="BJ7" i="49"/>
  <c r="N65" i="50"/>
  <c r="N41" i="50"/>
  <c r="N40" i="50"/>
  <c r="N39" i="50"/>
  <c r="N64" i="50"/>
  <c r="N38" i="50"/>
  <c r="H32" i="50"/>
  <c r="R9" i="50"/>
  <c r="N62" i="50"/>
  <c r="N42" i="50"/>
  <c r="BB7" i="49"/>
  <c r="BB210" i="49" s="1"/>
  <c r="C57" i="50" s="1"/>
  <c r="N57" i="50"/>
  <c r="N70" i="50" s="1"/>
  <c r="C35" i="50"/>
  <c r="O35" i="50"/>
  <c r="C60" i="50"/>
  <c r="O60" i="50"/>
  <c r="N60" i="50"/>
  <c r="Q7" i="50"/>
  <c r="AJ7" i="49"/>
  <c r="AJ210" i="49" s="1"/>
  <c r="O62" i="50"/>
  <c r="N52" i="50"/>
  <c r="B41" i="79"/>
  <c r="N50" i="50"/>
  <c r="I32" i="50"/>
  <c r="C34" i="50"/>
  <c r="O34" i="50"/>
  <c r="O55" i="50" s="1"/>
  <c r="B19" i="4"/>
  <c r="Q62" i="50"/>
  <c r="O57" i="50"/>
  <c r="O70" i="50" s="1"/>
  <c r="AU7" i="49"/>
  <c r="O39" i="50"/>
  <c r="O38" i="50"/>
  <c r="C38" i="50"/>
  <c r="Q38" i="50" s="1"/>
  <c r="O58" i="50"/>
  <c r="C58" i="50"/>
  <c r="O61" i="50"/>
  <c r="C61" i="50"/>
  <c r="C59" i="50"/>
  <c r="O59" i="50"/>
  <c r="N37" i="50"/>
  <c r="B11" i="4"/>
  <c r="B15" i="8"/>
  <c r="A8" i="33"/>
  <c r="C41" i="50" l="1"/>
  <c r="Q41" i="50" s="1"/>
  <c r="B18" i="79"/>
  <c r="M210" i="49"/>
  <c r="C10" i="50" s="1"/>
  <c r="R10" i="50" s="1"/>
  <c r="AV210" i="49"/>
  <c r="O48" i="50" s="1"/>
  <c r="AU210" i="49"/>
  <c r="Y210" i="49"/>
  <c r="C22" i="50" s="1"/>
  <c r="B30" i="79" s="1"/>
  <c r="K80" i="50"/>
  <c r="O50" i="50"/>
  <c r="C50" i="50"/>
  <c r="Q50" i="50" s="1"/>
  <c r="BJ210" i="49"/>
  <c r="O65" i="50" s="1"/>
  <c r="N210" i="49"/>
  <c r="C11" i="50" s="1"/>
  <c r="R11" i="50" s="1"/>
  <c r="Q210" i="49"/>
  <c r="C14" i="50" s="1"/>
  <c r="S210" i="49"/>
  <c r="C16" i="50" s="1"/>
  <c r="R16" i="50" s="1"/>
  <c r="B23" i="79"/>
  <c r="B39" i="79" s="1"/>
  <c r="O37" i="50"/>
  <c r="C37" i="50"/>
  <c r="Z210" i="49"/>
  <c r="C23" i="50" s="1"/>
  <c r="O63" i="50"/>
  <c r="AB210" i="49"/>
  <c r="C25" i="50" s="1"/>
  <c r="P210" i="49"/>
  <c r="C13" i="50" s="1"/>
  <c r="R210" i="49"/>
  <c r="C15" i="50" s="1"/>
  <c r="R22" i="50"/>
  <c r="W210" i="49"/>
  <c r="C20" i="50" s="1"/>
  <c r="R20" i="50" s="1"/>
  <c r="BL210" i="49"/>
  <c r="J210" i="49"/>
  <c r="C7" i="50" s="1"/>
  <c r="R7" i="50" s="1"/>
  <c r="R32" i="50" s="1"/>
  <c r="R80" i="50" s="1"/>
  <c r="C40" i="50"/>
  <c r="Q40" i="50" s="1"/>
  <c r="O42" i="50"/>
  <c r="F80" i="50"/>
  <c r="R21" i="50"/>
  <c r="T210" i="49"/>
  <c r="C17" i="50" s="1"/>
  <c r="O32" i="50"/>
  <c r="L210" i="49"/>
  <c r="AE210" i="49"/>
  <c r="C28" i="50" s="1"/>
  <c r="R28" i="50" s="1"/>
  <c r="BQ7" i="49"/>
  <c r="BQ210" i="49" s="1"/>
  <c r="O75" i="50" s="1"/>
  <c r="N75" i="50"/>
  <c r="N66" i="50"/>
  <c r="BK7" i="49"/>
  <c r="BK210" i="49" s="1"/>
  <c r="N45" i="50"/>
  <c r="AS7" i="49"/>
  <c r="AS210" i="49" s="1"/>
  <c r="D80" i="50"/>
  <c r="N32" i="50"/>
  <c r="AR7" i="49"/>
  <c r="AR210" i="49" s="1"/>
  <c r="N44" i="50"/>
  <c r="I80" i="50"/>
  <c r="M80" i="50"/>
  <c r="R18" i="50"/>
  <c r="AZ210" i="49"/>
  <c r="BA7" i="49"/>
  <c r="BA210" i="49" s="1"/>
  <c r="N53" i="50"/>
  <c r="R19" i="50"/>
  <c r="N51" i="50"/>
  <c r="BN7" i="49"/>
  <c r="BN210" i="49" s="1"/>
  <c r="N72" i="50"/>
  <c r="N77" i="50" s="1"/>
  <c r="R8" i="50"/>
  <c r="AG7" i="49"/>
  <c r="AG210" i="49" s="1"/>
  <c r="BO7" i="49"/>
  <c r="BO210" i="49" s="1"/>
  <c r="N73" i="50"/>
  <c r="AW7" i="49"/>
  <c r="AW210" i="49" s="1"/>
  <c r="N49" i="50"/>
  <c r="BR210" i="49"/>
  <c r="J80" i="50"/>
  <c r="H80" i="50"/>
  <c r="AQ7" i="49"/>
  <c r="AQ210" i="49" s="1"/>
  <c r="N43" i="50"/>
  <c r="BP7" i="49"/>
  <c r="BP210" i="49" s="1"/>
  <c r="N74" i="50"/>
  <c r="BM7" i="49"/>
  <c r="BM210" i="49" s="1"/>
  <c r="N68" i="50"/>
  <c r="G80" i="50"/>
  <c r="N67" i="50"/>
  <c r="L80" i="50"/>
  <c r="R26" i="50"/>
  <c r="AT210" i="49"/>
  <c r="O46" i="50" s="1"/>
  <c r="O51" i="50"/>
  <c r="C36" i="50"/>
  <c r="Q36" i="50" s="1"/>
  <c r="O36" i="50"/>
  <c r="Q35" i="50"/>
  <c r="Q32" i="50"/>
  <c r="B27" i="4"/>
  <c r="B34" i="4" s="1"/>
  <c r="Q60" i="50"/>
  <c r="Q59" i="50"/>
  <c r="B29" i="4"/>
  <c r="B17" i="4"/>
  <c r="Q37" i="50"/>
  <c r="Q61" i="50"/>
  <c r="B30" i="4"/>
  <c r="B31" i="4"/>
  <c r="Q63" i="50"/>
  <c r="C55" i="50"/>
  <c r="B13" i="4"/>
  <c r="B23" i="4" s="1"/>
  <c r="Q34" i="50"/>
  <c r="Q55" i="50" s="1"/>
  <c r="Q58" i="50"/>
  <c r="B32" i="4"/>
  <c r="O47" i="50"/>
  <c r="C47" i="50"/>
  <c r="Q57" i="50"/>
  <c r="Q70" i="50" s="1"/>
  <c r="C70" i="50"/>
  <c r="C32" i="2"/>
  <c r="Q51" i="50"/>
  <c r="D31" i="2" l="1"/>
  <c r="B33" i="79"/>
  <c r="B34" i="79"/>
  <c r="R14" i="50"/>
  <c r="B31" i="79"/>
  <c r="R13" i="50"/>
  <c r="B32" i="79"/>
  <c r="R15" i="50"/>
  <c r="B28" i="79"/>
  <c r="R25" i="50"/>
  <c r="C32" i="50"/>
  <c r="B16" i="79"/>
  <c r="R23" i="50"/>
  <c r="B35" i="79"/>
  <c r="D20" i="69"/>
  <c r="R17" i="50"/>
  <c r="B14" i="4"/>
  <c r="O67" i="50"/>
  <c r="C67" i="50"/>
  <c r="Q67" i="50" s="1"/>
  <c r="B29" i="79"/>
  <c r="D18" i="69" s="1"/>
  <c r="O43" i="50"/>
  <c r="C43" i="50"/>
  <c r="O53" i="50"/>
  <c r="C53" i="50"/>
  <c r="C52" i="50"/>
  <c r="O52" i="50"/>
  <c r="N80" i="50"/>
  <c r="C45" i="50"/>
  <c r="O45" i="50"/>
  <c r="C75" i="50"/>
  <c r="C68" i="50"/>
  <c r="O68" i="50"/>
  <c r="O72" i="50"/>
  <c r="O77" i="50" s="1"/>
  <c r="O80" i="50" s="1"/>
  <c r="C72" i="50"/>
  <c r="O66" i="50"/>
  <c r="C66" i="50"/>
  <c r="Q66" i="50" s="1"/>
  <c r="C74" i="50"/>
  <c r="Q74" i="50" s="1"/>
  <c r="O74" i="50"/>
  <c r="C49" i="50"/>
  <c r="O49" i="50"/>
  <c r="O44" i="50"/>
  <c r="C44" i="50"/>
  <c r="C73" i="50"/>
  <c r="Q73" i="50" s="1"/>
  <c r="O73" i="50"/>
  <c r="C30" i="2"/>
  <c r="Q47" i="50"/>
  <c r="B19" i="79" l="1"/>
  <c r="B43" i="79" s="1"/>
  <c r="D15" i="69" s="1"/>
  <c r="D33" i="69" s="1"/>
  <c r="E33" i="69" s="1"/>
  <c r="Q45" i="50"/>
  <c r="C29" i="2"/>
  <c r="Q52" i="50"/>
  <c r="D32" i="2"/>
  <c r="E32" i="2" s="1"/>
  <c r="B21" i="4"/>
  <c r="Q53" i="50"/>
  <c r="Q44" i="50"/>
  <c r="B16" i="4"/>
  <c r="Q72" i="50"/>
  <c r="Q77" i="50" s="1"/>
  <c r="Q80" i="50" s="1"/>
  <c r="C77" i="50"/>
  <c r="C80" i="50" s="1"/>
  <c r="B37" i="4"/>
  <c r="B39" i="4" s="1"/>
  <c r="B41" i="4" s="1"/>
  <c r="C31" i="2"/>
  <c r="Q49" i="50"/>
  <c r="B28" i="4"/>
  <c r="Q68" i="50"/>
  <c r="B24" i="8"/>
  <c r="Q75" i="50"/>
  <c r="B15" i="4"/>
  <c r="D31" i="69"/>
  <c r="Q43" i="50"/>
  <c r="J20" i="33"/>
  <c r="H20" i="33" s="1"/>
  <c r="E38" i="69" l="1"/>
  <c r="E41" i="69" s="1"/>
  <c r="E43" i="69" s="1"/>
  <c r="J22" i="33"/>
  <c r="H22" i="33" s="1"/>
  <c r="E31" i="2"/>
  <c r="C34" i="2"/>
  <c r="J21" i="33"/>
  <c r="H21" i="33" s="1"/>
  <c r="P46" i="50" s="1"/>
  <c r="P48" i="50"/>
  <c r="H24" i="33"/>
  <c r="E39" i="69"/>
  <c r="E45" i="69" s="1"/>
  <c r="F38" i="69" l="1"/>
  <c r="F39" i="69" s="1"/>
  <c r="C46" i="50"/>
  <c r="P55" i="50"/>
  <c r="F41" i="69"/>
  <c r="F43" i="69" s="1"/>
  <c r="F45" i="69" s="1"/>
  <c r="P65" i="50" s="1"/>
  <c r="C65" i="50" s="1"/>
  <c r="Q65" i="50" s="1"/>
  <c r="P64" i="50"/>
  <c r="C48" i="50"/>
  <c r="P27" i="50"/>
  <c r="D29" i="2" l="1"/>
  <c r="Q46" i="50"/>
  <c r="Q48" i="50"/>
  <c r="D30" i="2"/>
  <c r="E30" i="2" s="1"/>
  <c r="B20" i="4"/>
  <c r="P70" i="50"/>
  <c r="C64" i="50"/>
  <c r="D47" i="69"/>
  <c r="P32" i="50"/>
  <c r="C27" i="50"/>
  <c r="P80" i="50" l="1"/>
  <c r="D34" i="2"/>
  <c r="E29" i="2"/>
  <c r="E34" i="2" s="1"/>
  <c r="D53" i="69"/>
  <c r="P30" i="50"/>
  <c r="C30" i="50" s="1"/>
  <c r="R27" i="50"/>
  <c r="B37" i="79"/>
  <c r="D21" i="69" s="1"/>
  <c r="D28" i="69" s="1"/>
  <c r="B18" i="4"/>
  <c r="Q64" i="50"/>
  <c r="B45" i="79" l="1"/>
  <c r="B47" i="79" s="1"/>
  <c r="B20" i="8" s="1"/>
  <c r="B22" i="8" s="1"/>
  <c r="B26" i="8" s="1"/>
  <c r="B38" i="4" s="1"/>
  <c r="R30" i="50"/>
</calcChain>
</file>

<file path=xl/sharedStrings.xml><?xml version="1.0" encoding="utf-8"?>
<sst xmlns="http://schemas.openxmlformats.org/spreadsheetml/2006/main" count="823" uniqueCount="410">
  <si>
    <t>Taxes payée ou perçue</t>
  </si>
  <si>
    <t>Travaux en cours</t>
  </si>
  <si>
    <t>BALANCE DE VÉRIFICATION AU</t>
  </si>
  <si>
    <t>TOTAL ANNÉE</t>
  </si>
  <si>
    <t>TOTAL</t>
  </si>
  <si>
    <t>Écart</t>
  </si>
  <si>
    <t>TOTAL DE L'ACTIF</t>
  </si>
  <si>
    <t>TOTAL DU PASSIF</t>
  </si>
  <si>
    <t>TOTAL CAPITAUX PROPRES</t>
  </si>
  <si>
    <t>Documentation et outils de recherche</t>
  </si>
  <si>
    <t>Frais de communications</t>
  </si>
  <si>
    <t>Frais de poste</t>
  </si>
  <si>
    <t>Mauvaises créances</t>
  </si>
  <si>
    <t>Revenus d'intérêts</t>
  </si>
  <si>
    <t>Mauvaises Créances</t>
  </si>
  <si>
    <t>Autres revenus</t>
  </si>
  <si>
    <t>TOTAL DES REVENUS</t>
  </si>
  <si>
    <t>BNR</t>
  </si>
  <si>
    <t>TPS payées</t>
  </si>
  <si>
    <t>TVQ payées</t>
  </si>
  <si>
    <t>TPS percues</t>
  </si>
  <si>
    <t>TVQ percues</t>
  </si>
  <si>
    <t>Compte fournisseur</t>
  </si>
  <si>
    <t>Impôt Québec à payer</t>
  </si>
  <si>
    <t>Impôt Fédéral à payer</t>
  </si>
  <si>
    <t>Impôts exigibles</t>
  </si>
  <si>
    <t>Produit perçu d'avance</t>
  </si>
  <si>
    <t>Actions ordinaires</t>
  </si>
  <si>
    <t>Actions privilégiées</t>
  </si>
  <si>
    <t>BÉNÉFICES NON RÉPARTIS</t>
  </si>
  <si>
    <t>SOLDE DU DÉBUT</t>
  </si>
  <si>
    <t>Bénéfice net</t>
  </si>
  <si>
    <t>SOLDE DE FIN</t>
  </si>
  <si>
    <t>Dividendes</t>
  </si>
  <si>
    <t>Capital action</t>
  </si>
  <si>
    <t>Bénéfices non répartis</t>
  </si>
  <si>
    <t>Page</t>
  </si>
  <si>
    <t>TABLE DES MATIÈRES</t>
  </si>
  <si>
    <t>FNACC Début</t>
  </si>
  <si>
    <t>Acquisition</t>
  </si>
  <si>
    <t>DATE</t>
  </si>
  <si>
    <t># du client</t>
  </si>
  <si>
    <t># ACTIVITÉ</t>
  </si>
  <si>
    <t>4</t>
  </si>
  <si>
    <t>AMORTISSEMENT</t>
  </si>
  <si>
    <t>IMMOBILISATIONS</t>
  </si>
  <si>
    <t>TOTAL DES AMORTISSEMENT</t>
  </si>
  <si>
    <t>Équipements de bureau</t>
  </si>
  <si>
    <t>Équipements informatique</t>
  </si>
  <si>
    <t>Logiciels</t>
  </si>
  <si>
    <t>Dégressif</t>
  </si>
  <si>
    <t>Taux d'imposition</t>
  </si>
  <si>
    <t>BILAN</t>
  </si>
  <si>
    <t>TENUE DE LIVRE - COMPTABILITÉ</t>
  </si>
  <si>
    <t>Doc. et outils de recherche</t>
  </si>
  <si>
    <t>TOTAL TEST</t>
  </si>
  <si>
    <t>SOLDE DE DÉBUT</t>
  </si>
  <si>
    <t>OPÉRATIONS DE L'EXERCICE</t>
  </si>
  <si>
    <t>Description</t>
  </si>
  <si>
    <t>Logiciel informatique</t>
  </si>
  <si>
    <t>Amort. Cum - logiciels</t>
  </si>
  <si>
    <t>Frais de constitution</t>
  </si>
  <si>
    <t>Carte de crédit</t>
  </si>
  <si>
    <t xml:space="preserve">Formations </t>
  </si>
  <si>
    <t>Publicité</t>
  </si>
  <si>
    <t>Moins:</t>
  </si>
  <si>
    <t>Revenu net fiscal</t>
  </si>
  <si>
    <t>CONSTITUTION DE LA SOCIÉTÉ</t>
  </si>
  <si>
    <t>Déduction pour amortissement (DPA Fiscale)</t>
  </si>
  <si>
    <t>Amortissement comptable</t>
  </si>
  <si>
    <t>Comptes à recevoir</t>
  </si>
  <si>
    <t>Les frais payés d'avance sont constitués des éléments suivants:</t>
  </si>
  <si>
    <t>Cotisation professionnelle</t>
  </si>
  <si>
    <t>Assurance professionnelle</t>
  </si>
  <si>
    <t>Total</t>
  </si>
  <si>
    <t>FRAIS PAYÉS D'AVANCES</t>
  </si>
  <si>
    <t>Les immobilisations sont constitués des éléments suivants:</t>
  </si>
  <si>
    <t>Coût</t>
  </si>
  <si>
    <t>Amortissement cumulé</t>
  </si>
  <si>
    <t>Valeur nette</t>
  </si>
  <si>
    <t>IMPÔTS EXIGIBLES</t>
  </si>
  <si>
    <t>TOTAL - DÉPENSES</t>
  </si>
  <si>
    <t>Variable</t>
  </si>
  <si>
    <t>L'amortissement des immobilisation et des frais de constitution est effectuée de la façon suivante:</t>
  </si>
  <si>
    <t>Un impôt exigible a été déterminé comme suit:</t>
  </si>
  <si>
    <t>AU 31 JUILLET</t>
  </si>
  <si>
    <t>POUR L'EXERCICE FINANCIER SE TERMINANT LE 31 JUILLET</t>
  </si>
  <si>
    <t>La société a été constituée le 24 juillet 2008 en vertue de la Partie IA de la Loi sur les Compagnies du Québec. Elle œuvre dans le domaine de la consultation en fiscalité.</t>
  </si>
  <si>
    <t>NOTES AUX ÉTATS FINANCIERS</t>
  </si>
  <si>
    <t>Fournitures informatiques</t>
  </si>
  <si>
    <t>Loyer</t>
  </si>
  <si>
    <t>Frais financiers</t>
  </si>
  <si>
    <t>Amortissement</t>
  </si>
  <si>
    <t>Frais de publicité</t>
  </si>
  <si>
    <t>Fournitures de bureau</t>
  </si>
  <si>
    <t>Comptes clients</t>
  </si>
  <si>
    <t>Mobilier de bureau</t>
  </si>
  <si>
    <t>Matériel informatique</t>
  </si>
  <si>
    <t>Bilan</t>
  </si>
  <si>
    <t>ÉTAT DES RÉSULTATS</t>
  </si>
  <si>
    <t>TEMPS À FACTURER</t>
  </si>
  <si>
    <t>DESCRIPTION / NOTE</t>
  </si>
  <si>
    <t>Montant net à la dépense / revenu</t>
  </si>
  <si>
    <t>DÉBIT</t>
  </si>
  <si>
    <t>CRÉDIT</t>
  </si>
  <si>
    <t>Frais de déplacement</t>
  </si>
  <si>
    <t>Communications</t>
  </si>
  <si>
    <t>Amort. Cum - mobil. de bureau</t>
  </si>
  <si>
    <t>Amort. Cum - mat. Inform.</t>
  </si>
  <si>
    <t>Bénéfice comptable:</t>
  </si>
  <si>
    <t>Plus:</t>
  </si>
  <si>
    <t>50% Frais de représentation</t>
  </si>
  <si>
    <t>Demi taux la première année</t>
  </si>
  <si>
    <t>Écritures de régul</t>
  </si>
  <si>
    <t>Revenus - travaux en cours</t>
  </si>
  <si>
    <t>Revenus reportés</t>
  </si>
  <si>
    <t>ACTIFS</t>
  </si>
  <si>
    <t>Encaisse</t>
  </si>
  <si>
    <t>Frais payés d'avance</t>
  </si>
  <si>
    <t>PASSIFS</t>
  </si>
  <si>
    <t>Total actifs</t>
  </si>
  <si>
    <t>Total passifs</t>
  </si>
  <si>
    <t>AVOIR DES ACTIONNAIRES</t>
  </si>
  <si>
    <t>REVENU NET AVANT IMPÔTS</t>
  </si>
  <si>
    <t>REVENU NET</t>
  </si>
  <si>
    <t>GC FISCALITÉ PLUS INC.</t>
  </si>
  <si>
    <t>Date</t>
  </si>
  <si>
    <t>TPS à percevoir / à réclamer</t>
  </si>
  <si>
    <t>TVQ à percevoir / à réclamer</t>
  </si>
  <si>
    <t>Montant total de la facture</t>
  </si>
  <si>
    <t>ÉTATS FINANCIERS</t>
  </si>
  <si>
    <t>DÉPENSES</t>
  </si>
  <si>
    <t>CHARTE DE COMPTES DE GRAND LIVRE</t>
  </si>
  <si>
    <t>GC FISCALITÉ PLUS INC</t>
  </si>
  <si>
    <t>Formations</t>
  </si>
  <si>
    <t>Frais de représentation</t>
  </si>
  <si>
    <t>Assurance - location</t>
  </si>
  <si>
    <t>Assurance-habitation</t>
  </si>
  <si>
    <t>Fournisseurs</t>
  </si>
  <si>
    <t>Acomptes provisionnels TPS</t>
  </si>
  <si>
    <t>Acomptes provisionnels TVQ</t>
  </si>
  <si>
    <t>Acompte TPS</t>
  </si>
  <si>
    <t>Acompte TVQ</t>
  </si>
  <si>
    <t>Loyer et frais de locaux</t>
  </si>
  <si>
    <t>JUILLET</t>
  </si>
  <si>
    <t>Taxes à recevoir</t>
  </si>
  <si>
    <t>Impôt à recevoir</t>
  </si>
  <si>
    <t>Immobilisations</t>
  </si>
  <si>
    <t>Assurances professionnelles et cotisations</t>
  </si>
  <si>
    <t>Travaux en cours de début</t>
  </si>
  <si>
    <t>Travaux en cours de fin</t>
  </si>
  <si>
    <t>Revenus de dividendes</t>
  </si>
  <si>
    <t>Avances à 9249-3626 Québec inc.</t>
  </si>
  <si>
    <t>Avances à Fiducie Famille Charron</t>
  </si>
  <si>
    <t>Avances des actionnaires</t>
  </si>
  <si>
    <t>Golf / Pourvoirie</t>
  </si>
  <si>
    <t>5003b</t>
  </si>
  <si>
    <t>REVENUS</t>
  </si>
  <si>
    <t>IMPÔTS</t>
  </si>
  <si>
    <t>Loyer payé d'avance - 1 mois</t>
  </si>
  <si>
    <t>Acomptes - Impôt Fédéral</t>
  </si>
  <si>
    <t>Acomptes - Impôt Québec</t>
  </si>
  <si>
    <t>Avances à 9333-4829 Québec inc.</t>
  </si>
  <si>
    <t>IMPÔT DE LA PARTIE IV À PAYER</t>
  </si>
  <si>
    <t>RTD SUR DIVIDENDE VERSÉ</t>
  </si>
  <si>
    <t>IMPÔTS TOTAL</t>
  </si>
  <si>
    <t>Provision mauvaises créances</t>
  </si>
  <si>
    <t>Billet à demande envers Fiducie</t>
  </si>
  <si>
    <t>Impôt fédéral</t>
  </si>
  <si>
    <t>Impôt total</t>
  </si>
  <si>
    <t>Impôt Québec</t>
  </si>
  <si>
    <t>Premier 500 000 $ - DPE</t>
  </si>
  <si>
    <t>Excédent de 500 000 $</t>
  </si>
  <si>
    <t>Impôts totaux</t>
  </si>
  <si>
    <t>Revenus - Sociétés apparentées</t>
  </si>
  <si>
    <t>Assurance &amp; Cotisation professionnelle</t>
  </si>
  <si>
    <t>Fournitures informatiques &amp; Site web</t>
  </si>
  <si>
    <t>Assurance - loyer</t>
  </si>
  <si>
    <t>Revenus de consultation</t>
  </si>
  <si>
    <t>Avances de Guillaume Charron</t>
  </si>
  <si>
    <t>Avances avec 9249-3626 Québec inc.</t>
  </si>
  <si>
    <t>Avances avec 9333-4829 Québec inc</t>
  </si>
  <si>
    <t>Revenus de consultations</t>
  </si>
  <si>
    <t>Prise de valeur - Valeur de consolidation</t>
  </si>
  <si>
    <t>Placement -Actions de 9350-5311 Québec inc</t>
  </si>
  <si>
    <t>Dons</t>
  </si>
  <si>
    <t>Frais de golf, pourvoirie autres non déductibles</t>
  </si>
  <si>
    <t>Quote-part de la filiale - valeur de consolidation</t>
  </si>
  <si>
    <t>Achalandage</t>
  </si>
  <si>
    <t>Amort. Cum - Achalandage</t>
  </si>
  <si>
    <t>DPA sur catégorie 14.1</t>
  </si>
  <si>
    <t>Frais d'intérêts non déductibles</t>
  </si>
  <si>
    <t>Constats d'infractions - frais de déplacement</t>
  </si>
  <si>
    <t>Québec</t>
  </si>
  <si>
    <t>Fédéral</t>
  </si>
  <si>
    <t>Salaires et Sous-traitance</t>
  </si>
  <si>
    <t>États des résultats</t>
  </si>
  <si>
    <t>État des Bénéfices non répartis</t>
  </si>
  <si>
    <t>2</t>
  </si>
  <si>
    <t>3</t>
  </si>
  <si>
    <t>TRAVAUX EN COURS / FEUILLES DE TEMPS</t>
  </si>
  <si>
    <t>5</t>
  </si>
  <si>
    <t>Prêt - Compte d'urgence</t>
  </si>
  <si>
    <t>Prêt - Compte d'Urgence</t>
  </si>
  <si>
    <t>Revenus de sociétés apparentées &amp; Subventions</t>
  </si>
  <si>
    <t>Salaires et sous-traitance</t>
  </si>
  <si>
    <t>Location auto &gt; 5 150$/année</t>
  </si>
  <si>
    <t>Avance - Prêt GCP</t>
  </si>
  <si>
    <t>ID</t>
  </si>
  <si>
    <t>9299-2585 Québec inc.</t>
  </si>
  <si>
    <t>Analyser et optimiser la rémunération de Robert pour 2023 et fournir directives par courriel.</t>
  </si>
  <si>
    <t>Aucun commentaire</t>
  </si>
  <si>
    <t>Les logiciels INFORMAT inc.</t>
  </si>
  <si>
    <t>Première utilisation de l'application</t>
  </si>
  <si>
    <t>Aucun</t>
  </si>
  <si>
    <t>Sans saisie de date</t>
  </si>
  <si>
    <t>Pas d'idée</t>
  </si>
  <si>
    <t>Test avec un nouveau professionnel</t>
  </si>
  <si>
    <t>Euh....</t>
  </si>
  <si>
    <t>Autre client</t>
  </si>
  <si>
    <t>Huwiz Solutions inc.</t>
  </si>
  <si>
    <t>Recherche de la jurisprudence sur la vente d'entreprise</t>
  </si>
  <si>
    <t>Site divers</t>
  </si>
  <si>
    <t>PG Solutions</t>
  </si>
  <si>
    <t>Première rencontre pour prendre connaissance de l'organigramme des entreprises liées à PG Solutions.</t>
  </si>
  <si>
    <t>Déplacement à Ottawa</t>
  </si>
  <si>
    <t>Encore du bla bla</t>
  </si>
  <si>
    <t>Sans commentaire</t>
  </si>
  <si>
    <t>9299-2596 Québec inc.</t>
  </si>
  <si>
    <t>Première charge pour ce client</t>
  </si>
  <si>
    <t>A</t>
  </si>
  <si>
    <t>Test de l'activité</t>
  </si>
  <si>
    <t>Test du commentaire modifié</t>
  </si>
  <si>
    <t>Première des deux compagnies de gestion</t>
  </si>
  <si>
    <t>Ma compagnie préférée</t>
  </si>
  <si>
    <t>Pertinent ?</t>
  </si>
  <si>
    <t>Un petit coup de main de la part de Marie-France</t>
  </si>
  <si>
    <t>Test</t>
  </si>
  <si>
    <t>Test avec le format de date</t>
  </si>
  <si>
    <t>Appel téléphonique avec Martyne</t>
  </si>
  <si>
    <t>Questions diverses</t>
  </si>
  <si>
    <t>Overflow</t>
  </si>
  <si>
    <t>Test sans professionnel et sans date</t>
  </si>
  <si>
    <t>test</t>
  </si>
  <si>
    <t>2,75</t>
  </si>
  <si>
    <t>Test du format de date</t>
  </si>
  <si>
    <t>Test avec filtre activé</t>
  </si>
  <si>
    <t>Autre test, modifié</t>
  </si>
  <si>
    <t>Test avec le client '9299-2596 Québec inc."</t>
  </si>
  <si>
    <t>Activité modifié en mode modification</t>
  </si>
  <si>
    <t>Test de la somme des heures</t>
  </si>
  <si>
    <t>Rien de spécial</t>
  </si>
  <si>
    <t>Test pour montrer à Marie</t>
  </si>
  <si>
    <t>Pas de commentaire</t>
  </si>
  <si>
    <t>Premier test du 24 février</t>
  </si>
  <si>
    <t>Test après le bug</t>
  </si>
  <si>
    <t>Test après le bug d'affichage</t>
  </si>
  <si>
    <t>Une autre intervention à la demande de Robert</t>
  </si>
  <si>
    <t>Test après le bug d'affichage de date sur double click</t>
  </si>
  <si>
    <t>Test après validation du format des heures</t>
  </si>
  <si>
    <t>Première charge de Guillaume pour le 24 février</t>
  </si>
  <si>
    <t>Dernier avis sur les réformes à venir</t>
  </si>
  <si>
    <t>Tests avec la validation de date</t>
  </si>
  <si>
    <t>Tests additionnels avec la date par défaut</t>
  </si>
  <si>
    <t>2,00</t>
  </si>
  <si>
    <t>Tests après avoir intégré la logique nécessaire pour DISABLED du bouton Add</t>
  </si>
  <si>
    <t>1,50</t>
  </si>
  <si>
    <t>Première cahrge de temps de RMV pour le 24 février</t>
  </si>
  <si>
    <t>Exemple de ksd fdfhs djff sjffgsjhg  sdfjhsfhs gfs fjf  sfd</t>
  </si>
  <si>
    <t>0,75</t>
  </si>
  <si>
    <t>Commentaire / Note</t>
  </si>
  <si>
    <t>Test avec la version 0.0</t>
  </si>
  <si>
    <t>2,50</t>
  </si>
  <si>
    <t>Nouvelle charge de temps</t>
  </si>
  <si>
    <t>0,50</t>
  </si>
  <si>
    <t>1,00</t>
  </si>
  <si>
    <t>Test après la formation</t>
  </si>
  <si>
    <t>Test après la formation de Wise Owl</t>
  </si>
  <si>
    <t>3,00</t>
  </si>
  <si>
    <t>Test à partir de la version 0.0</t>
  </si>
  <si>
    <t>0,30</t>
  </si>
  <si>
    <t>Test, encore avec la version 0.1</t>
  </si>
  <si>
    <t>Test 23</t>
  </si>
  <si>
    <t>Test 55</t>
  </si>
  <si>
    <t>Canplex inc.</t>
  </si>
  <si>
    <t>Test avec la version 0.2, le mardi matin, avec un nouveau client.</t>
  </si>
  <si>
    <t>Test pour la ligne 60</t>
  </si>
  <si>
    <t>CANPLEX inc.</t>
  </si>
  <si>
    <t>Test pour la ligne 61</t>
  </si>
  <si>
    <t>0,10</t>
  </si>
  <si>
    <t>Test avec la line 62</t>
  </si>
  <si>
    <t>Test avec la ligne 63</t>
  </si>
  <si>
    <t>Test avec la ligne 66</t>
  </si>
  <si>
    <t>Test avec la ligne suivante...</t>
  </si>
  <si>
    <t>Test avec txtClient, au lieu de cmbClient</t>
  </si>
  <si>
    <t>Test, première charge pour MFP, le 20 mars</t>
  </si>
  <si>
    <t>Commentaire / note</t>
  </si>
  <si>
    <t>Test avec txtClient, plutôt que cmbClient</t>
  </si>
  <si>
    <t>Huwiz inc.</t>
  </si>
  <si>
    <t>Test, sans la recherche fonctionnelle du client</t>
  </si>
  <si>
    <t>Attention, première charge avec la version 0.6</t>
  </si>
  <si>
    <t>0,60</t>
  </si>
  <si>
    <t>Recherche dynamique fonctionne, mais il y a un message d'erreur au début, dans la listebox invisible</t>
  </si>
  <si>
    <t>0,25</t>
  </si>
  <si>
    <t>Révision initiale</t>
  </si>
  <si>
    <t>Autre exemple</t>
  </si>
  <si>
    <t>Apple Computer, Inc.</t>
  </si>
  <si>
    <t>Un nouveau client</t>
  </si>
  <si>
    <t>Royal Caribbean Cruises Ltd.</t>
  </si>
  <si>
    <t>Un autre nouveau client</t>
  </si>
  <si>
    <t>Un client qui voyage</t>
  </si>
  <si>
    <t>Networks Associates, Inc.</t>
  </si>
  <si>
    <t>Recherche dynamique implantée</t>
  </si>
  <si>
    <t>El Paso Corporation</t>
  </si>
  <si>
    <t>Presque parfait</t>
  </si>
  <si>
    <t>ASTRAZENECA PLC</t>
  </si>
  <si>
    <t>In process</t>
  </si>
  <si>
    <t>Ford Motor Credit Company</t>
  </si>
  <si>
    <t>A big one</t>
  </si>
  <si>
    <t>Adobe Systems Incorporated</t>
  </si>
  <si>
    <t>CNOOC Limited</t>
  </si>
  <si>
    <t>Las Vegas Sands Corp.</t>
  </si>
  <si>
    <t>Woooooo</t>
  </si>
  <si>
    <t>0,90</t>
  </si>
  <si>
    <t>Federal Home Loan Mortgage Corporation</t>
  </si>
  <si>
    <t>More tests</t>
  </si>
  <si>
    <t>Démonstration</t>
  </si>
  <si>
    <t>Une autre charge</t>
  </si>
  <si>
    <t>JetBlue Airways Corporation</t>
  </si>
  <si>
    <t>Another one</t>
  </si>
  <si>
    <t>Darden Restaurants, Inc.</t>
  </si>
  <si>
    <t>Search with 'Dar'</t>
  </si>
  <si>
    <t>0,80</t>
  </si>
  <si>
    <t>Plexus Corp.</t>
  </si>
  <si>
    <t>Recherche avec Plex</t>
  </si>
  <si>
    <t>0,40</t>
  </si>
  <si>
    <t>Honeywell International Inc.</t>
  </si>
  <si>
    <t>Costco Wholesale Corporation</t>
  </si>
  <si>
    <t>Test avec les ajustements requis pour ne pas montrer le listBox</t>
  </si>
  <si>
    <t>Test fin</t>
  </si>
  <si>
    <t>FREESCALE SEMICONDUCTOR INC</t>
  </si>
  <si>
    <t>Gemstar-TV Guide International Inc.</t>
  </si>
  <si>
    <t>Description saisie manuellement</t>
  </si>
  <si>
    <t>Test de démonstration</t>
  </si>
  <si>
    <t>Si applicable</t>
  </si>
  <si>
    <t>CANPLEX INC.</t>
  </si>
  <si>
    <t>Monsieur Normand Fiset</t>
  </si>
  <si>
    <t>Test avec la date égale à '' + Test nouveau client</t>
  </si>
  <si>
    <t>HUWIZ inc.</t>
  </si>
  <si>
    <t>5,00</t>
  </si>
  <si>
    <t>Monsieur Robert M. Vigneault</t>
  </si>
  <si>
    <t>Test2</t>
  </si>
  <si>
    <t>Test 2</t>
  </si>
  <si>
    <t>Test des boutons</t>
  </si>
  <si>
    <t>Rétro test avec la version 1.3</t>
  </si>
  <si>
    <t>Test avec la version 1.4, mais la feuille de 1.3 !!!</t>
  </si>
  <si>
    <t>Test avec le format de date jj/MM/aaaa</t>
  </si>
  <si>
    <t>Brookfield Homes Corp</t>
  </si>
  <si>
    <t>Tests</t>
  </si>
  <si>
    <t>Advantest Corporation (Kabushiki Kaisha Advantest) ADS</t>
  </si>
  <si>
    <t>Note</t>
  </si>
  <si>
    <t>GTECH Holdings Corporation</t>
  </si>
  <si>
    <t>Informatica Corporation</t>
  </si>
  <si>
    <t>British Airways plc</t>
  </si>
  <si>
    <t>Big Lots, Inc.</t>
  </si>
  <si>
    <t>Test avec la version 1.6</t>
  </si>
  <si>
    <t>Test avec la version 1.7</t>
  </si>
  <si>
    <t>Marie Guay, experte en RH</t>
  </si>
  <si>
    <t>1,70</t>
  </si>
  <si>
    <t>Chesapeake Energy Corporation</t>
  </si>
  <si>
    <t>Forest City Enterprises Inc</t>
  </si>
  <si>
    <t>Test avec la version 1.7, suite aux changements de nom des Worksheets</t>
  </si>
  <si>
    <t>1,80</t>
  </si>
  <si>
    <t>Banco Santiago, S.A.</t>
  </si>
  <si>
    <t>2023-04-05 - Tests avec la version 1.7</t>
  </si>
  <si>
    <t>Test avec le filtre Professionnel + Date</t>
  </si>
  <si>
    <t>XYZ Super Dooper Client</t>
  </si>
  <si>
    <t>Test avec l'ajout d'un client dans le fichier client &amp; Import au démarrage</t>
  </si>
  <si>
    <t>Test avec l'export des données - Version 1.8</t>
  </si>
  <si>
    <t>Toyota Motor Corporation</t>
  </si>
  <si>
    <t>Test avec la version 1.9</t>
  </si>
  <si>
    <t>Kennametal Inc.</t>
  </si>
  <si>
    <t>Rogers Communication, Inc.</t>
  </si>
  <si>
    <t>Test sur la validation de la date, version 1.9</t>
  </si>
  <si>
    <t>Test avec le format de date pour le cutoff de l'exportation</t>
  </si>
  <si>
    <t>1,25</t>
  </si>
  <si>
    <t>Il est temps de mettre un commentaire pour tester les fonctionnalités de l'application</t>
  </si>
  <si>
    <t>Test avec le traitement de la table tCharges</t>
  </si>
  <si>
    <t>Bank Of Montreal</t>
  </si>
  <si>
    <t>Test avec la suppression de la ligne TOTALS du tableau tCharges</t>
  </si>
  <si>
    <t>Grey Wolf, Inc.</t>
  </si>
  <si>
    <t>Test avec un nom de client très long... - OK</t>
  </si>
  <si>
    <t>0,20</t>
  </si>
  <si>
    <t>CREDIT SUISSE GROUP</t>
  </si>
  <si>
    <t>Examen des documents</t>
  </si>
  <si>
    <t>2,40</t>
  </si>
  <si>
    <t>ONEOK, Inc.</t>
  </si>
  <si>
    <t>IAC/InterActiveCorp</t>
  </si>
  <si>
    <t>Callaway Golf Company</t>
  </si>
  <si>
    <t>Plantronics, Inc.</t>
  </si>
  <si>
    <t>Oshkosh Truck Corporation</t>
  </si>
  <si>
    <t>Anglo American plc</t>
  </si>
  <si>
    <t>Test avec le format de date...</t>
  </si>
  <si>
    <t>Computer Associates International, Inc.</t>
  </si>
  <si>
    <t>hgwsfd jhdbfag d gsajghdg adg ahgdhdd</t>
  </si>
  <si>
    <t>Test d'export avec le format de date non performant...</t>
  </si>
  <si>
    <t>Tests avec la version 1.9</t>
  </si>
  <si>
    <t>Commentaires avec la version 1.9</t>
  </si>
  <si>
    <t>Tests des transferts avec la version 1.9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</si>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</sst>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&quot;$&quot;* #,##0.00_);_(&quot;$&quot;* \(#,##0.00\);_(&quot;$&quot;* &quot;-&quot;??_);_(@_)"/>
    <numFmt numFmtId="170" formatCode="_ * #,##0.00_)\ _$_ ;_ * \(#,##0.00\)\ _$_ ;_ * &quot;-&quot;??_)\ _$_ ;_ @_ "/>
    <numFmt numFmtId="172" formatCode="#\ ##0_);\(#\ ##0\)"/>
    <numFmt numFmtId="173" formatCode="d\ mmmm\ yyyy"/>
    <numFmt numFmtId="175" formatCode="#,##0\ &quot;$&quot;"/>
    <numFmt numFmtId="176" formatCode="[$-C0C]d\ mmmm\,\ yyyy;@"/>
    <numFmt numFmtId="177" formatCode="[$-C0C]d\ mmm\ yyyy;@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sz val="11"/>
      <name val="Times New Roman"/>
      <family val="1"/>
    </font>
    <font>
      <u/>
      <sz val="7.5"/>
      <color indexed="36"/>
      <name val="Arial"/>
      <family val="2"/>
    </font>
    <font>
      <u/>
      <sz val="7.5"/>
      <color indexed="12"/>
      <name val="Arial"/>
      <family val="2"/>
    </font>
    <font>
      <sz val="12"/>
      <color rgb="FF8C8375"/>
      <name val="Verdana"/>
      <family val="2"/>
    </font>
    <font>
      <b/>
      <sz val="12"/>
      <color rgb="FF8C8375"/>
      <name val="Verdana"/>
      <family val="2"/>
    </font>
    <font>
      <sz val="24"/>
      <color rgb="FF8C8375"/>
      <name val="Verdana"/>
      <family val="2"/>
    </font>
    <font>
      <sz val="11"/>
      <color rgb="FF625850"/>
      <name val="Verdana"/>
      <family val="2"/>
    </font>
    <font>
      <b/>
      <sz val="12"/>
      <color rgb="FF625850"/>
      <name val="Verdana"/>
      <family val="2"/>
    </font>
    <font>
      <b/>
      <sz val="11"/>
      <color rgb="FF625850"/>
      <name val="Verdana"/>
      <family val="2"/>
    </font>
    <font>
      <b/>
      <sz val="14"/>
      <color rgb="FF625850"/>
      <name val="Verdana"/>
      <family val="2"/>
    </font>
    <font>
      <u/>
      <sz val="11"/>
      <color rgb="FF625850"/>
      <name val="Verdana"/>
      <family val="2"/>
    </font>
    <font>
      <sz val="10"/>
      <color rgb="FF625850"/>
      <name val="Verdana"/>
      <family val="2"/>
    </font>
    <font>
      <i/>
      <sz val="11"/>
      <color rgb="FF625850"/>
      <name val="Verdana"/>
      <family val="2"/>
    </font>
    <font>
      <b/>
      <u/>
      <sz val="11"/>
      <color rgb="FF625850"/>
      <name val="Verdana"/>
      <family val="2"/>
    </font>
    <font>
      <sz val="12"/>
      <color rgb="FF625850"/>
      <name val="Verdana"/>
      <family val="2"/>
    </font>
    <font>
      <b/>
      <sz val="10"/>
      <color rgb="FF625850"/>
      <name val="Verdana"/>
      <family val="2"/>
    </font>
    <font>
      <b/>
      <u/>
      <sz val="10"/>
      <color rgb="FF625850"/>
      <name val="Verdana"/>
      <family val="2"/>
    </font>
    <font>
      <b/>
      <sz val="11"/>
      <color rgb="FF8C8375"/>
      <name val="Verdana"/>
      <family val="2"/>
    </font>
    <font>
      <b/>
      <sz val="10"/>
      <color theme="0"/>
      <name val="Verdana"/>
      <family val="2"/>
    </font>
    <font>
      <sz val="14"/>
      <color rgb="FF625850"/>
      <name val="Verdana"/>
      <family val="2"/>
    </font>
    <font>
      <sz val="10"/>
      <color rgb="FF625850"/>
      <name val="Calibri"/>
      <family val="2"/>
      <scheme val="minor"/>
    </font>
    <font>
      <sz val="10"/>
      <color indexed="63"/>
      <name val="Calibri"/>
      <family val="2"/>
      <scheme val="minor"/>
    </font>
    <font>
      <b/>
      <sz val="10"/>
      <color rgb="FF625850"/>
      <name val="Calibri"/>
      <family val="2"/>
      <scheme val="minor"/>
    </font>
    <font>
      <sz val="12"/>
      <color rgb="FF62585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0"/>
      <color rgb="FF8C8375"/>
      <name val="Verdana"/>
      <family val="2"/>
    </font>
    <font>
      <sz val="20"/>
      <color rgb="FF8C8375"/>
      <name val="Verdana"/>
      <family val="2"/>
    </font>
    <font>
      <sz val="11"/>
      <color theme="1" tint="0.249977111117893"/>
      <name val="Calibri"/>
      <family val="2"/>
      <scheme val="minor"/>
    </font>
    <font>
      <sz val="10"/>
      <color theme="1" tint="0.249977111117893"/>
      <name val="Verdana"/>
      <family val="2"/>
    </font>
    <font>
      <b/>
      <sz val="18"/>
      <color theme="0"/>
      <name val="Verdana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177" fontId="0" fillId="0" borderId="0"/>
    <xf numFmtId="172" fontId="4" fillId="0" borderId="0" applyFill="0" applyBorder="0" applyAlignment="0">
      <alignment horizontal="left"/>
    </xf>
    <xf numFmtId="177" fontId="2" fillId="0" borderId="0" applyFont="0" applyFill="0" applyBorder="0" applyAlignment="0" applyProtection="0"/>
    <xf numFmtId="177" fontId="6" fillId="0" borderId="0" applyNumberFormat="0" applyFill="0" applyBorder="0" applyAlignment="0" applyProtection="0">
      <alignment vertical="top"/>
      <protection locked="0"/>
    </xf>
    <xf numFmtId="177" fontId="7" fillId="0" borderId="0" applyNumberFormat="0" applyFill="0" applyBorder="0" applyAlignment="0" applyProtection="0">
      <alignment vertical="top"/>
      <protection locked="0"/>
    </xf>
    <xf numFmtId="3" fontId="5" fillId="0" borderId="0" applyFont="0" applyFill="0" applyBorder="0" applyAlignment="0">
      <alignment horizontal="left"/>
    </xf>
    <xf numFmtId="177" fontId="1" fillId="0" borderId="0"/>
    <xf numFmtId="0" fontId="37" fillId="0" borderId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</cellStyleXfs>
  <cellXfs count="233">
    <xf numFmtId="177" fontId="0" fillId="0" borderId="0" xfId="0"/>
    <xf numFmtId="172" fontId="8" fillId="2" borderId="0" xfId="1" applyFont="1" applyFill="1">
      <alignment horizontal="left"/>
    </xf>
    <xf numFmtId="172" fontId="9" fillId="2" borderId="0" xfId="1" applyFont="1" applyFill="1" applyAlignment="1">
      <alignment horizontal="centerContinuous"/>
    </xf>
    <xf numFmtId="172" fontId="10" fillId="2" borderId="0" xfId="1" applyFont="1" applyFill="1">
      <alignment horizontal="left"/>
    </xf>
    <xf numFmtId="172" fontId="11" fillId="2" borderId="0" xfId="1" applyFont="1" applyFill="1">
      <alignment horizontal="left"/>
    </xf>
    <xf numFmtId="172" fontId="11" fillId="2" borderId="0" xfId="1" applyFont="1" applyFill="1" applyAlignment="1">
      <alignment horizontal="right"/>
    </xf>
    <xf numFmtId="172" fontId="11" fillId="2" borderId="0" xfId="1" applyFont="1" applyFill="1" applyAlignment="1">
      <alignment horizontal="centerContinuous"/>
    </xf>
    <xf numFmtId="172" fontId="12" fillId="2" borderId="0" xfId="1" applyFont="1" applyFill="1">
      <alignment horizontal="left"/>
    </xf>
    <xf numFmtId="172" fontId="13" fillId="2" borderId="0" xfId="1" applyFont="1" applyFill="1">
      <alignment horizontal="left"/>
    </xf>
    <xf numFmtId="172" fontId="13" fillId="2" borderId="0" xfId="1" applyFont="1" applyFill="1" applyAlignment="1">
      <alignment horizontal="centerContinuous"/>
    </xf>
    <xf numFmtId="49" fontId="13" fillId="2" borderId="0" xfId="1" applyNumberFormat="1" applyFont="1" applyFill="1">
      <alignment horizontal="left"/>
    </xf>
    <xf numFmtId="172" fontId="11" fillId="2" borderId="2" xfId="1" applyFont="1" applyFill="1" applyBorder="1" applyAlignment="1">
      <alignment horizontal="centerContinuous"/>
    </xf>
    <xf numFmtId="172" fontId="13" fillId="2" borderId="2" xfId="1" applyFont="1" applyFill="1" applyBorder="1">
      <alignment horizontal="left"/>
    </xf>
    <xf numFmtId="172" fontId="11" fillId="2" borderId="2" xfId="1" applyFont="1" applyFill="1" applyBorder="1">
      <alignment horizontal="left"/>
    </xf>
    <xf numFmtId="172" fontId="11" fillId="2" borderId="0" xfId="1" applyFont="1" applyFill="1" applyAlignment="1">
      <alignment horizontal="center"/>
    </xf>
    <xf numFmtId="49" fontId="11" fillId="2" borderId="0" xfId="1" applyNumberFormat="1" applyFont="1" applyFill="1" applyAlignment="1">
      <alignment horizontal="right"/>
    </xf>
    <xf numFmtId="172" fontId="11" fillId="2" borderId="0" xfId="1" quotePrefix="1" applyFont="1" applyFill="1">
      <alignment horizontal="left"/>
    </xf>
    <xf numFmtId="177" fontId="11" fillId="2" borderId="0" xfId="0" applyFont="1" applyFill="1"/>
    <xf numFmtId="177" fontId="14" fillId="2" borderId="0" xfId="0" applyFont="1" applyFill="1"/>
    <xf numFmtId="3" fontId="11" fillId="2" borderId="2" xfId="1" applyNumberFormat="1" applyFont="1" applyFill="1" applyBorder="1">
      <alignment horizontal="left"/>
    </xf>
    <xf numFmtId="3" fontId="11" fillId="2" borderId="0" xfId="1" applyNumberFormat="1" applyFont="1" applyFill="1" applyAlignment="1">
      <alignment horizontal="centerContinuous"/>
    </xf>
    <xf numFmtId="177" fontId="13" fillId="2" borderId="0" xfId="0" applyFont="1" applyFill="1"/>
    <xf numFmtId="177" fontId="11" fillId="2" borderId="0" xfId="0" applyFont="1" applyFill="1" applyAlignment="1">
      <alignment horizontal="left" indent="1"/>
    </xf>
    <xf numFmtId="164" fontId="11" fillId="2" borderId="0" xfId="0" applyNumberFormat="1" applyFont="1" applyFill="1" applyAlignment="1">
      <alignment horizontal="center"/>
    </xf>
    <xf numFmtId="177" fontId="15" fillId="2" borderId="0" xfId="0" applyFont="1" applyFill="1"/>
    <xf numFmtId="177" fontId="11" fillId="2" borderId="0" xfId="0" applyFont="1" applyFill="1" applyAlignment="1">
      <alignment horizontal="center"/>
    </xf>
    <xf numFmtId="164" fontId="11" fillId="2" borderId="4" xfId="0" applyNumberFormat="1" applyFont="1" applyFill="1" applyBorder="1" applyAlignment="1">
      <alignment horizontal="center"/>
    </xf>
    <xf numFmtId="10" fontId="11" fillId="2" borderId="0" xfId="0" applyNumberFormat="1" applyFont="1" applyFill="1" applyAlignment="1">
      <alignment horizontal="center"/>
    </xf>
    <xf numFmtId="164" fontId="13" fillId="2" borderId="4" xfId="0" applyNumberFormat="1" applyFont="1" applyFill="1" applyBorder="1" applyAlignment="1">
      <alignment horizontal="center"/>
    </xf>
    <xf numFmtId="164" fontId="13" fillId="2" borderId="0" xfId="0" applyNumberFormat="1" applyFont="1" applyFill="1" applyAlignment="1">
      <alignment horizontal="center"/>
    </xf>
    <xf numFmtId="177" fontId="11" fillId="2" borderId="0" xfId="0" applyFont="1" applyFill="1" applyAlignment="1">
      <alignment vertical="center" wrapText="1" shrinkToFit="1"/>
    </xf>
    <xf numFmtId="177" fontId="11" fillId="2" borderId="0" xfId="0" applyFont="1" applyFill="1" applyAlignment="1">
      <alignment horizontal="left"/>
    </xf>
    <xf numFmtId="164" fontId="11" fillId="2" borderId="1" xfId="0" applyNumberFormat="1" applyFont="1" applyFill="1" applyBorder="1" applyAlignment="1">
      <alignment horizontal="center"/>
    </xf>
    <xf numFmtId="177" fontId="13" fillId="2" borderId="0" xfId="0" applyFont="1" applyFill="1" applyAlignment="1">
      <alignment horizontal="left"/>
    </xf>
    <xf numFmtId="165" fontId="13" fillId="2" borderId="0" xfId="0" applyNumberFormat="1" applyFont="1" applyFill="1"/>
    <xf numFmtId="177" fontId="11" fillId="2" borderId="0" xfId="0" applyFont="1" applyFill="1" applyAlignment="1">
      <alignment horizontal="left" indent="4"/>
    </xf>
    <xf numFmtId="177" fontId="11" fillId="2" borderId="0" xfId="0" applyFont="1" applyFill="1" applyAlignment="1">
      <alignment horizontal="center" vertical="center" wrapText="1" shrinkToFit="1"/>
    </xf>
    <xf numFmtId="177" fontId="13" fillId="2" borderId="0" xfId="0" applyFont="1" applyFill="1" applyAlignment="1">
      <alignment horizontal="left" indent="4"/>
    </xf>
    <xf numFmtId="177" fontId="16" fillId="0" borderId="0" xfId="0" applyFont="1" applyAlignment="1">
      <alignment wrapText="1" shrinkToFit="1"/>
    </xf>
    <xf numFmtId="177" fontId="17" fillId="2" borderId="0" xfId="0" applyFont="1" applyFill="1"/>
    <xf numFmtId="3" fontId="11" fillId="2" borderId="2" xfId="1" applyNumberFormat="1" applyFont="1" applyFill="1" applyBorder="1" applyAlignment="1">
      <alignment horizontal="center"/>
    </xf>
    <xf numFmtId="177" fontId="18" fillId="2" borderId="0" xfId="0" applyFont="1" applyFill="1" applyAlignment="1">
      <alignment horizontal="left"/>
    </xf>
    <xf numFmtId="177" fontId="11" fillId="2" borderId="0" xfId="0" applyFont="1" applyFill="1" applyAlignment="1">
      <alignment horizontal="left" indent="3"/>
    </xf>
    <xf numFmtId="177" fontId="11" fillId="2" borderId="0" xfId="0" applyFont="1" applyFill="1" applyAlignment="1">
      <alignment horizontal="center" wrapText="1" shrinkToFit="1"/>
    </xf>
    <xf numFmtId="177" fontId="11" fillId="2" borderId="0" xfId="0" applyFont="1" applyFill="1" applyAlignment="1">
      <alignment horizontal="center" vertical="center"/>
    </xf>
    <xf numFmtId="10" fontId="11" fillId="2" borderId="0" xfId="0" applyNumberFormat="1" applyFont="1" applyFill="1" applyAlignment="1">
      <alignment horizontal="center" vertical="center"/>
    </xf>
    <xf numFmtId="164" fontId="11" fillId="2" borderId="0" xfId="0" applyNumberFormat="1" applyFont="1" applyFill="1" applyAlignment="1">
      <alignment horizontal="center" vertical="center"/>
    </xf>
    <xf numFmtId="165" fontId="11" fillId="2" borderId="0" xfId="0" applyNumberFormat="1" applyFont="1" applyFill="1" applyAlignment="1">
      <alignment horizontal="center"/>
    </xf>
    <xf numFmtId="10" fontId="11" fillId="2" borderId="0" xfId="0" applyNumberFormat="1" applyFont="1" applyFill="1"/>
    <xf numFmtId="177" fontId="16" fillId="2" borderId="0" xfId="0" applyFont="1" applyFill="1"/>
    <xf numFmtId="177" fontId="16" fillId="0" borderId="0" xfId="0" applyFont="1"/>
    <xf numFmtId="177" fontId="11" fillId="2" borderId="2" xfId="0" applyFont="1" applyFill="1" applyBorder="1"/>
    <xf numFmtId="172" fontId="13" fillId="2" borderId="2" xfId="1" applyFont="1" applyFill="1" applyBorder="1" applyAlignment="1">
      <alignment horizontal="center"/>
    </xf>
    <xf numFmtId="177" fontId="11" fillId="2" borderId="0" xfId="0" applyFont="1" applyFill="1" applyAlignment="1">
      <alignment horizontal="left" indent="2"/>
    </xf>
    <xf numFmtId="165" fontId="11" fillId="2" borderId="0" xfId="0" applyNumberFormat="1" applyFont="1" applyFill="1"/>
    <xf numFmtId="177" fontId="13" fillId="2" borderId="0" xfId="0" applyFont="1" applyFill="1" applyAlignment="1">
      <alignment horizontal="center" vertical="center" wrapText="1" shrinkToFit="1"/>
    </xf>
    <xf numFmtId="165" fontId="11" fillId="2" borderId="1" xfId="0" applyNumberFormat="1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77" fontId="12" fillId="2" borderId="0" xfId="0" applyFont="1" applyFill="1"/>
    <xf numFmtId="177" fontId="19" fillId="2" borderId="0" xfId="0" applyFont="1" applyFill="1"/>
    <xf numFmtId="172" fontId="20" fillId="2" borderId="0" xfId="1" applyFont="1" applyFill="1">
      <alignment horizontal="left"/>
    </xf>
    <xf numFmtId="177" fontId="16" fillId="2" borderId="0" xfId="0" applyFont="1" applyFill="1" applyAlignment="1">
      <alignment horizontal="left" indent="1"/>
    </xf>
    <xf numFmtId="177" fontId="20" fillId="2" borderId="0" xfId="0" applyFont="1" applyFill="1" applyAlignment="1">
      <alignment horizontal="right"/>
    </xf>
    <xf numFmtId="177" fontId="20" fillId="2" borderId="0" xfId="0" applyFont="1" applyFill="1" applyAlignment="1">
      <alignment horizontal="left" indent="1"/>
    </xf>
    <xf numFmtId="164" fontId="16" fillId="2" borderId="0" xfId="0" applyNumberFormat="1" applyFont="1" applyFill="1" applyAlignment="1">
      <alignment horizontal="right"/>
    </xf>
    <xf numFmtId="164" fontId="16" fillId="2" borderId="0" xfId="0" applyNumberFormat="1" applyFont="1" applyFill="1" applyAlignment="1">
      <alignment horizontal="center"/>
    </xf>
    <xf numFmtId="164" fontId="16" fillId="2" borderId="1" xfId="0" applyNumberFormat="1" applyFont="1" applyFill="1" applyBorder="1" applyAlignment="1">
      <alignment horizontal="right"/>
    </xf>
    <xf numFmtId="164" fontId="16" fillId="2" borderId="1" xfId="0" applyNumberFormat="1" applyFont="1" applyFill="1" applyBorder="1" applyAlignment="1">
      <alignment horizontal="center"/>
    </xf>
    <xf numFmtId="164" fontId="20" fillId="2" borderId="0" xfId="0" applyNumberFormat="1" applyFont="1" applyFill="1" applyAlignment="1">
      <alignment horizontal="right"/>
    </xf>
    <xf numFmtId="177" fontId="20" fillId="2" borderId="0" xfId="0" applyFont="1" applyFill="1"/>
    <xf numFmtId="164" fontId="20" fillId="2" borderId="0" xfId="0" applyNumberFormat="1" applyFont="1" applyFill="1" applyAlignment="1">
      <alignment horizontal="center"/>
    </xf>
    <xf numFmtId="164" fontId="16" fillId="2" borderId="0" xfId="0" quotePrefix="1" applyNumberFormat="1" applyFont="1" applyFill="1" applyAlignment="1">
      <alignment horizontal="right"/>
    </xf>
    <xf numFmtId="172" fontId="19" fillId="2" borderId="0" xfId="1" applyFont="1" applyFill="1" applyAlignment="1">
      <alignment horizontal="centerContinuous"/>
    </xf>
    <xf numFmtId="172" fontId="19" fillId="2" borderId="0" xfId="1" applyFont="1" applyFill="1">
      <alignment horizontal="left"/>
    </xf>
    <xf numFmtId="172" fontId="12" fillId="2" borderId="0" xfId="1" applyFont="1" applyFill="1" applyAlignment="1">
      <alignment horizontal="centerContinuous"/>
    </xf>
    <xf numFmtId="172" fontId="16" fillId="2" borderId="0" xfId="1" applyFont="1" applyFill="1">
      <alignment horizontal="left"/>
    </xf>
    <xf numFmtId="3" fontId="16" fillId="2" borderId="0" xfId="5" applyFont="1" applyFill="1">
      <alignment horizontal="left"/>
    </xf>
    <xf numFmtId="164" fontId="20" fillId="2" borderId="0" xfId="5" applyNumberFormat="1" applyFont="1" applyFill="1" applyAlignment="1">
      <alignment horizontal="right"/>
    </xf>
    <xf numFmtId="164" fontId="16" fillId="2" borderId="1" xfId="5" applyNumberFormat="1" applyFont="1" applyFill="1" applyBorder="1" applyAlignment="1">
      <alignment horizontal="right"/>
    </xf>
    <xf numFmtId="164" fontId="16" fillId="2" borderId="0" xfId="5" applyNumberFormat="1" applyFont="1" applyFill="1" applyAlignment="1">
      <alignment horizontal="right"/>
    </xf>
    <xf numFmtId="164" fontId="20" fillId="2" borderId="4" xfId="5" applyNumberFormat="1" applyFont="1" applyFill="1" applyBorder="1" applyAlignment="1">
      <alignment horizontal="right"/>
    </xf>
    <xf numFmtId="164" fontId="13" fillId="2" borderId="0" xfId="1" applyNumberFormat="1" applyFont="1" applyFill="1" applyAlignment="1">
      <alignment horizontal="center"/>
    </xf>
    <xf numFmtId="164" fontId="13" fillId="2" borderId="0" xfId="1" applyNumberFormat="1" applyFont="1" applyFill="1">
      <alignment horizontal="left"/>
    </xf>
    <xf numFmtId="172" fontId="13" fillId="2" borderId="0" xfId="1" applyFont="1" applyFill="1" applyAlignment="1">
      <alignment horizontal="center"/>
    </xf>
    <xf numFmtId="177" fontId="16" fillId="2" borderId="0" xfId="0" applyFont="1" applyFill="1" applyAlignment="1">
      <alignment horizontal="right"/>
    </xf>
    <xf numFmtId="164" fontId="20" fillId="2" borderId="9" xfId="0" applyNumberFormat="1" applyFont="1" applyFill="1" applyBorder="1" applyAlignment="1">
      <alignment horizontal="right"/>
    </xf>
    <xf numFmtId="164" fontId="20" fillId="2" borderId="8" xfId="0" applyNumberFormat="1" applyFont="1" applyFill="1" applyBorder="1" applyAlignment="1">
      <alignment horizontal="right"/>
    </xf>
    <xf numFmtId="168" fontId="16" fillId="2" borderId="0" xfId="0" applyNumberFormat="1" applyFont="1" applyFill="1" applyAlignment="1">
      <alignment horizontal="center"/>
    </xf>
    <xf numFmtId="168" fontId="16" fillId="2" borderId="0" xfId="0" applyNumberFormat="1" applyFont="1" applyFill="1" applyAlignment="1">
      <alignment horizontal="right"/>
    </xf>
    <xf numFmtId="172" fontId="13" fillId="2" borderId="0" xfId="1" applyFont="1" applyFill="1" applyAlignment="1">
      <alignment horizontal="left" indent="2"/>
    </xf>
    <xf numFmtId="172" fontId="11" fillId="2" borderId="0" xfId="1" applyFont="1" applyFill="1" applyAlignment="1">
      <alignment horizontal="left" indent="2"/>
    </xf>
    <xf numFmtId="172" fontId="22" fillId="2" borderId="0" xfId="1" applyFont="1" applyFill="1" applyAlignment="1">
      <alignment horizontal="left" indent="3"/>
    </xf>
    <xf numFmtId="172" fontId="22" fillId="2" borderId="2" xfId="1" applyFont="1" applyFill="1" applyBorder="1" applyAlignment="1">
      <alignment horizontal="left" indent="3"/>
    </xf>
    <xf numFmtId="172" fontId="11" fillId="2" borderId="2" xfId="1" applyFont="1" applyFill="1" applyBorder="1" applyAlignment="1">
      <alignment horizontal="left" indent="2"/>
    </xf>
    <xf numFmtId="172" fontId="13" fillId="2" borderId="0" xfId="1" applyFont="1" applyFill="1" applyAlignment="1">
      <alignment horizontal="left" indent="3"/>
    </xf>
    <xf numFmtId="172" fontId="11" fillId="2" borderId="0" xfId="1" applyFont="1" applyFill="1" applyAlignment="1">
      <alignment horizontal="left" indent="3"/>
    </xf>
    <xf numFmtId="172" fontId="11" fillId="2" borderId="0" xfId="1" quotePrefix="1" applyFont="1" applyFill="1" applyAlignment="1">
      <alignment horizontal="left" indent="3"/>
    </xf>
    <xf numFmtId="177" fontId="9" fillId="2" borderId="0" xfId="0" applyFont="1" applyFill="1" applyAlignment="1">
      <alignment horizontal="left" indent="2"/>
    </xf>
    <xf numFmtId="172" fontId="9" fillId="2" borderId="0" xfId="1" applyFont="1" applyFill="1" applyAlignment="1">
      <alignment horizontal="left" indent="3"/>
    </xf>
    <xf numFmtId="177" fontId="9" fillId="2" borderId="0" xfId="0" applyFont="1" applyFill="1" applyAlignment="1">
      <alignment horizontal="left" indent="3"/>
    </xf>
    <xf numFmtId="172" fontId="16" fillId="2" borderId="0" xfId="1" applyFont="1" applyFill="1" applyAlignment="1">
      <alignment horizontal="left" indent="3"/>
    </xf>
    <xf numFmtId="3" fontId="16" fillId="2" borderId="0" xfId="5" applyFont="1" applyFill="1" applyAlignment="1">
      <alignment horizontal="left" indent="3"/>
    </xf>
    <xf numFmtId="177" fontId="20" fillId="2" borderId="0" xfId="0" applyFont="1" applyFill="1" applyAlignment="1">
      <alignment horizontal="left" indent="3"/>
    </xf>
    <xf numFmtId="177" fontId="16" fillId="2" borderId="0" xfId="0" applyFont="1" applyFill="1" applyAlignment="1">
      <alignment horizontal="left" indent="3"/>
    </xf>
    <xf numFmtId="177" fontId="21" fillId="2" borderId="0" xfId="0" applyFont="1" applyFill="1" applyAlignment="1">
      <alignment horizontal="left" indent="3"/>
    </xf>
    <xf numFmtId="177" fontId="16" fillId="2" borderId="0" xfId="0" applyFont="1" applyFill="1" applyAlignment="1">
      <alignment horizontal="left" wrapText="1" indent="3" shrinkToFit="1"/>
    </xf>
    <xf numFmtId="172" fontId="13" fillId="2" borderId="2" xfId="1" applyFont="1" applyFill="1" applyBorder="1" applyAlignment="1">
      <alignment horizontal="left" indent="2"/>
    </xf>
    <xf numFmtId="172" fontId="13" fillId="2" borderId="2" xfId="1" applyFont="1" applyFill="1" applyBorder="1" applyAlignment="1">
      <alignment horizontal="left" indent="3"/>
    </xf>
    <xf numFmtId="49" fontId="13" fillId="2" borderId="0" xfId="1" applyNumberFormat="1" applyFont="1" applyFill="1" applyAlignment="1">
      <alignment horizontal="left" indent="2"/>
    </xf>
    <xf numFmtId="49" fontId="13" fillId="2" borderId="0" xfId="1" applyNumberFormat="1" applyFont="1" applyFill="1" applyAlignment="1">
      <alignment horizontal="left" indent="3"/>
    </xf>
    <xf numFmtId="177" fontId="23" fillId="3" borderId="3" xfId="0" applyFont="1" applyFill="1" applyBorder="1" applyAlignment="1">
      <alignment horizontal="center" wrapText="1" shrinkToFit="1"/>
    </xf>
    <xf numFmtId="177" fontId="20" fillId="0" borderId="0" xfId="0" applyFont="1"/>
    <xf numFmtId="177" fontId="23" fillId="3" borderId="0" xfId="0" applyFont="1" applyFill="1"/>
    <xf numFmtId="177" fontId="20" fillId="0" borderId="0" xfId="0" applyFont="1" applyAlignment="1">
      <alignment horizontal="center" wrapText="1" shrinkToFit="1"/>
    </xf>
    <xf numFmtId="166" fontId="16" fillId="0" borderId="0" xfId="0" applyNumberFormat="1" applyFont="1"/>
    <xf numFmtId="177" fontId="23" fillId="3" borderId="5" xfId="0" applyFont="1" applyFill="1" applyBorder="1" applyAlignment="1">
      <alignment horizontal="center" wrapText="1" shrinkToFit="1"/>
    </xf>
    <xf numFmtId="177" fontId="23" fillId="3" borderId="6" xfId="0" applyFont="1" applyFill="1" applyBorder="1" applyAlignment="1">
      <alignment horizontal="center" wrapText="1" shrinkToFit="1"/>
    </xf>
    <xf numFmtId="166" fontId="23" fillId="3" borderId="0" xfId="0" applyNumberFormat="1" applyFont="1" applyFill="1"/>
    <xf numFmtId="177" fontId="27" fillId="0" borderId="0" xfId="0" applyFont="1"/>
    <xf numFmtId="177" fontId="25" fillId="0" borderId="0" xfId="0" applyFont="1"/>
    <xf numFmtId="49" fontId="27" fillId="0" borderId="0" xfId="0" applyNumberFormat="1" applyFont="1"/>
    <xf numFmtId="177" fontId="25" fillId="0" borderId="2" xfId="0" applyFont="1" applyBorder="1"/>
    <xf numFmtId="177" fontId="27" fillId="0" borderId="5" xfId="0" applyFont="1" applyBorder="1" applyAlignment="1">
      <alignment horizontal="center" wrapText="1"/>
    </xf>
    <xf numFmtId="177" fontId="27" fillId="0" borderId="3" xfId="0" applyFont="1" applyBorder="1" applyAlignment="1">
      <alignment horizontal="center" wrapText="1"/>
    </xf>
    <xf numFmtId="177" fontId="27" fillId="0" borderId="3" xfId="0" applyFont="1" applyBorder="1" applyAlignment="1">
      <alignment horizontal="center" wrapText="1" shrinkToFit="1"/>
    </xf>
    <xf numFmtId="177" fontId="25" fillId="0" borderId="3" xfId="0" applyFont="1" applyBorder="1" applyAlignment="1">
      <alignment horizontal="center" wrapText="1"/>
    </xf>
    <xf numFmtId="177" fontId="27" fillId="0" borderId="6" xfId="0" applyFont="1" applyBorder="1" applyAlignment="1">
      <alignment horizontal="center" wrapText="1"/>
    </xf>
    <xf numFmtId="177" fontId="27" fillId="0" borderId="0" xfId="0" applyFont="1" applyAlignment="1">
      <alignment wrapText="1"/>
    </xf>
    <xf numFmtId="49" fontId="25" fillId="0" borderId="0" xfId="0" applyNumberFormat="1" applyFont="1"/>
    <xf numFmtId="167" fontId="25" fillId="0" borderId="0" xfId="0" applyNumberFormat="1" applyFont="1"/>
    <xf numFmtId="166" fontId="25" fillId="0" borderId="0" xfId="0" applyNumberFormat="1" applyFont="1" applyAlignment="1">
      <alignment horizontal="center"/>
    </xf>
    <xf numFmtId="167" fontId="25" fillId="0" borderId="2" xfId="0" applyNumberFormat="1" applyFont="1" applyBorder="1"/>
    <xf numFmtId="166" fontId="25" fillId="0" borderId="2" xfId="0" applyNumberFormat="1" applyFont="1" applyBorder="1" applyAlignment="1">
      <alignment horizontal="center"/>
    </xf>
    <xf numFmtId="177" fontId="26" fillId="0" borderId="0" xfId="0" applyFont="1"/>
    <xf numFmtId="177" fontId="31" fillId="3" borderId="5" xfId="0" applyFont="1" applyFill="1" applyBorder="1" applyAlignment="1">
      <alignment horizontal="center" wrapText="1"/>
    </xf>
    <xf numFmtId="177" fontId="31" fillId="3" borderId="3" xfId="0" applyFont="1" applyFill="1" applyBorder="1" applyAlignment="1">
      <alignment horizontal="center" wrapText="1"/>
    </xf>
    <xf numFmtId="177" fontId="31" fillId="3" borderId="3" xfId="0" applyFont="1" applyFill="1" applyBorder="1" applyAlignment="1">
      <alignment horizontal="center" wrapText="1" shrinkToFit="1"/>
    </xf>
    <xf numFmtId="177" fontId="31" fillId="3" borderId="3" xfId="0" applyFont="1" applyFill="1" applyBorder="1" applyAlignment="1">
      <alignment wrapText="1"/>
    </xf>
    <xf numFmtId="166" fontId="31" fillId="3" borderId="3" xfId="0" applyNumberFormat="1" applyFont="1" applyFill="1" applyBorder="1" applyAlignment="1">
      <alignment horizontal="center" wrapText="1"/>
    </xf>
    <xf numFmtId="166" fontId="31" fillId="3" borderId="6" xfId="0" applyNumberFormat="1" applyFont="1" applyFill="1" applyBorder="1" applyAlignment="1">
      <alignment horizontal="center"/>
    </xf>
    <xf numFmtId="177" fontId="31" fillId="3" borderId="0" xfId="0" applyFont="1" applyFill="1" applyAlignment="1">
      <alignment wrapText="1"/>
    </xf>
    <xf numFmtId="177" fontId="31" fillId="3" borderId="5" xfId="0" applyFont="1" applyFill="1" applyBorder="1"/>
    <xf numFmtId="177" fontId="31" fillId="3" borderId="3" xfId="0" applyFont="1" applyFill="1" applyBorder="1"/>
    <xf numFmtId="166" fontId="31" fillId="3" borderId="3" xfId="0" applyNumberFormat="1" applyFont="1" applyFill="1" applyBorder="1"/>
    <xf numFmtId="167" fontId="31" fillId="3" borderId="3" xfId="0" applyNumberFormat="1" applyFont="1" applyFill="1" applyBorder="1"/>
    <xf numFmtId="166" fontId="31" fillId="3" borderId="3" xfId="0" applyNumberFormat="1" applyFont="1" applyFill="1" applyBorder="1" applyAlignment="1">
      <alignment horizontal="center"/>
    </xf>
    <xf numFmtId="177" fontId="31" fillId="3" borderId="0" xfId="0" applyFont="1" applyFill="1"/>
    <xf numFmtId="1" fontId="16" fillId="0" borderId="0" xfId="0" applyNumberFormat="1" applyFont="1"/>
    <xf numFmtId="1" fontId="20" fillId="2" borderId="1" xfId="0" applyNumberFormat="1" applyFont="1" applyFill="1" applyBorder="1" applyAlignment="1">
      <alignment horizontal="right"/>
    </xf>
    <xf numFmtId="1" fontId="16" fillId="2" borderId="0" xfId="0" applyNumberFormat="1" applyFont="1" applyFill="1" applyAlignment="1">
      <alignment horizontal="right"/>
    </xf>
    <xf numFmtId="175" fontId="11" fillId="2" borderId="0" xfId="0" applyNumberFormat="1" applyFont="1" applyFill="1" applyAlignment="1">
      <alignment horizontal="center"/>
    </xf>
    <xf numFmtId="1" fontId="20" fillId="2" borderId="2" xfId="0" applyNumberFormat="1" applyFont="1" applyFill="1" applyBorder="1" applyAlignment="1">
      <alignment horizontal="right"/>
    </xf>
    <xf numFmtId="1" fontId="20" fillId="2" borderId="2" xfId="0" applyNumberFormat="1" applyFont="1" applyFill="1" applyBorder="1" applyAlignment="1">
      <alignment horizontal="center"/>
    </xf>
    <xf numFmtId="1" fontId="16" fillId="2" borderId="0" xfId="0" applyNumberFormat="1" applyFont="1" applyFill="1"/>
    <xf numFmtId="164" fontId="11" fillId="4" borderId="0" xfId="0" applyNumberFormat="1" applyFont="1" applyFill="1" applyAlignment="1">
      <alignment horizontal="center"/>
    </xf>
    <xf numFmtId="1" fontId="16" fillId="0" borderId="0" xfId="0" applyNumberFormat="1" applyFont="1" applyAlignment="1">
      <alignment horizontal="right"/>
    </xf>
    <xf numFmtId="1" fontId="20" fillId="2" borderId="1" xfId="0" applyNumberFormat="1" applyFont="1" applyFill="1" applyBorder="1" applyAlignment="1">
      <alignment horizontal="center" vertical="center"/>
    </xf>
    <xf numFmtId="1" fontId="16" fillId="2" borderId="0" xfId="1" applyNumberFormat="1" applyFont="1" applyFill="1" applyAlignment="1">
      <alignment horizontal="center" vertical="center"/>
    </xf>
    <xf numFmtId="172" fontId="20" fillId="2" borderId="0" xfId="1" applyFont="1" applyFill="1" applyAlignment="1">
      <alignment horizontal="left" indent="4"/>
    </xf>
    <xf numFmtId="172" fontId="16" fillId="2" borderId="0" xfId="1" applyFont="1" applyFill="1" applyAlignment="1">
      <alignment horizontal="left" indent="4"/>
    </xf>
    <xf numFmtId="3" fontId="16" fillId="2" borderId="0" xfId="5" applyFont="1" applyFill="1" applyAlignment="1">
      <alignment horizontal="left" indent="4"/>
    </xf>
    <xf numFmtId="3" fontId="20" fillId="2" borderId="0" xfId="5" applyFont="1" applyFill="1" applyAlignment="1">
      <alignment horizontal="left" indent="4"/>
    </xf>
    <xf numFmtId="177" fontId="16" fillId="4" borderId="0" xfId="0" applyFont="1" applyFill="1"/>
    <xf numFmtId="177" fontId="11" fillId="4" borderId="0" xfId="0" applyFont="1" applyFill="1"/>
    <xf numFmtId="165" fontId="13" fillId="2" borderId="4" xfId="0" applyNumberFormat="1" applyFont="1" applyFill="1" applyBorder="1"/>
    <xf numFmtId="177" fontId="16" fillId="2" borderId="0" xfId="0" applyFont="1" applyFill="1" applyAlignment="1">
      <alignment horizontal="left" vertical="center" wrapText="1" shrinkToFit="1"/>
    </xf>
    <xf numFmtId="175" fontId="11" fillId="2" borderId="0" xfId="0" applyNumberFormat="1" applyFont="1" applyFill="1"/>
    <xf numFmtId="177" fontId="13" fillId="2" borderId="4" xfId="0" applyFont="1" applyFill="1" applyBorder="1"/>
    <xf numFmtId="10" fontId="13" fillId="2" borderId="4" xfId="0" applyNumberFormat="1" applyFont="1" applyFill="1" applyBorder="1" applyAlignment="1">
      <alignment horizontal="center"/>
    </xf>
    <xf numFmtId="164" fontId="11" fillId="5" borderId="0" xfId="0" applyNumberFormat="1" applyFont="1" applyFill="1" applyAlignment="1">
      <alignment horizontal="center"/>
    </xf>
    <xf numFmtId="9" fontId="16" fillId="2" borderId="0" xfId="0" applyNumberFormat="1" applyFont="1" applyFill="1" applyAlignment="1">
      <alignment horizontal="right"/>
    </xf>
    <xf numFmtId="177" fontId="18" fillId="2" borderId="0" xfId="0" applyFont="1" applyFill="1" applyAlignment="1">
      <alignment horizontal="center"/>
    </xf>
    <xf numFmtId="172" fontId="32" fillId="2" borderId="0" xfId="1" applyFont="1" applyFill="1" applyAlignment="1">
      <alignment horizontal="center"/>
    </xf>
    <xf numFmtId="172" fontId="32" fillId="2" borderId="0" xfId="1" applyFont="1" applyFill="1" applyAlignment="1">
      <alignment horizontal="centerContinuous"/>
    </xf>
    <xf numFmtId="172" fontId="33" fillId="2" borderId="0" xfId="1" applyFont="1" applyFill="1">
      <alignment horizontal="left"/>
    </xf>
    <xf numFmtId="173" fontId="32" fillId="2" borderId="0" xfId="1" applyNumberFormat="1" applyFont="1" applyFill="1" applyAlignment="1">
      <alignment horizontal="center"/>
    </xf>
    <xf numFmtId="177" fontId="16" fillId="4" borderId="0" xfId="0" applyFont="1" applyFill="1" applyAlignment="1">
      <alignment horizontal="center"/>
    </xf>
    <xf numFmtId="177" fontId="27" fillId="0" borderId="0" xfId="0" applyFont="1" applyAlignment="1">
      <alignment horizontal="center"/>
    </xf>
    <xf numFmtId="10" fontId="25" fillId="0" borderId="0" xfId="0" applyNumberFormat="1" applyFont="1"/>
    <xf numFmtId="173" fontId="22" fillId="2" borderId="0" xfId="1" applyNumberFormat="1" applyFont="1" applyFill="1" applyAlignment="1">
      <alignment horizontal="left" indent="3"/>
    </xf>
    <xf numFmtId="177" fontId="24" fillId="4" borderId="0" xfId="0" applyFont="1" applyFill="1"/>
    <xf numFmtId="166" fontId="16" fillId="4" borderId="0" xfId="0" applyNumberFormat="1" applyFont="1" applyFill="1"/>
    <xf numFmtId="1" fontId="16" fillId="4" borderId="0" xfId="0" applyNumberFormat="1" applyFont="1" applyFill="1"/>
    <xf numFmtId="166" fontId="16" fillId="4" borderId="0" xfId="0" applyNumberFormat="1" applyFont="1" applyFill="1" applyAlignment="1">
      <alignment horizontal="center"/>
    </xf>
    <xf numFmtId="166" fontId="16" fillId="4" borderId="1" xfId="0" applyNumberFormat="1" applyFont="1" applyFill="1" applyBorder="1"/>
    <xf numFmtId="177" fontId="20" fillId="4" borderId="0" xfId="0" applyFont="1" applyFill="1" applyAlignment="1">
      <alignment horizontal="center" wrapText="1" shrinkToFit="1"/>
    </xf>
    <xf numFmtId="177" fontId="20" fillId="4" borderId="0" xfId="0" applyFont="1" applyFill="1"/>
    <xf numFmtId="1" fontId="16" fillId="4" borderId="0" xfId="0" applyNumberFormat="1" applyFont="1" applyFill="1" applyAlignment="1">
      <alignment horizontal="right"/>
    </xf>
    <xf numFmtId="49" fontId="16" fillId="4" borderId="0" xfId="0" applyNumberFormat="1" applyFont="1" applyFill="1"/>
    <xf numFmtId="49" fontId="16" fillId="0" borderId="0" xfId="0" applyNumberFormat="1" applyFont="1"/>
    <xf numFmtId="49" fontId="23" fillId="3" borderId="0" xfId="0" applyNumberFormat="1" applyFont="1" applyFill="1"/>
    <xf numFmtId="2" fontId="11" fillId="2" borderId="0" xfId="0" applyNumberFormat="1" applyFont="1" applyFill="1"/>
    <xf numFmtId="177" fontId="29" fillId="7" borderId="10" xfId="0" applyFont="1" applyFill="1" applyBorder="1" applyAlignment="1">
      <alignment horizontal="center" vertical="center"/>
    </xf>
    <xf numFmtId="3" fontId="35" fillId="4" borderId="0" xfId="0" applyNumberFormat="1" applyFont="1" applyFill="1" applyAlignment="1">
      <alignment horizontal="center" vertical="top"/>
    </xf>
    <xf numFmtId="3" fontId="16" fillId="4" borderId="0" xfId="0" applyNumberFormat="1" applyFont="1" applyFill="1" applyAlignment="1">
      <alignment horizontal="center" vertical="top"/>
    </xf>
    <xf numFmtId="177" fontId="35" fillId="4" borderId="0" xfId="0" applyFont="1" applyFill="1" applyAlignment="1">
      <alignment vertical="top"/>
    </xf>
    <xf numFmtId="177" fontId="35" fillId="4" borderId="0" xfId="0" applyFont="1" applyFill="1" applyAlignment="1">
      <alignment horizontal="center" vertical="top"/>
    </xf>
    <xf numFmtId="177" fontId="34" fillId="4" borderId="0" xfId="0" applyFont="1" applyFill="1" applyAlignment="1">
      <alignment vertical="top" wrapText="1" shrinkToFit="1"/>
    </xf>
    <xf numFmtId="177" fontId="30" fillId="7" borderId="0" xfId="0" applyFont="1" applyFill="1" applyAlignment="1">
      <alignment vertical="top"/>
    </xf>
    <xf numFmtId="177" fontId="16" fillId="4" borderId="0" xfId="0" applyFont="1" applyFill="1" applyAlignment="1">
      <alignment vertical="top"/>
    </xf>
    <xf numFmtId="177" fontId="16" fillId="4" borderId="0" xfId="0" applyFont="1" applyFill="1" applyAlignment="1">
      <alignment horizontal="center" vertical="top"/>
    </xf>
    <xf numFmtId="3" fontId="34" fillId="4" borderId="12" xfId="0" applyNumberFormat="1" applyFont="1" applyFill="1" applyBorder="1" applyAlignment="1">
      <alignment horizontal="center" vertical="top" wrapText="1" shrinkToFit="1"/>
    </xf>
    <xf numFmtId="3" fontId="30" fillId="7" borderId="12" xfId="0" applyNumberFormat="1" applyFont="1" applyFill="1" applyBorder="1" applyAlignment="1">
      <alignment horizontal="center" vertical="top"/>
    </xf>
    <xf numFmtId="177" fontId="29" fillId="7" borderId="10" xfId="0" applyFont="1" applyFill="1" applyBorder="1" applyAlignment="1">
      <alignment horizontal="center" vertical="center" wrapText="1" shrinkToFit="1"/>
    </xf>
    <xf numFmtId="177" fontId="29" fillId="7" borderId="7" xfId="0" applyFont="1" applyFill="1" applyBorder="1" applyAlignment="1">
      <alignment horizontal="center" vertical="center"/>
    </xf>
    <xf numFmtId="3" fontId="29" fillId="7" borderId="7" xfId="0" applyNumberFormat="1" applyFont="1" applyFill="1" applyBorder="1" applyAlignment="1">
      <alignment horizontal="center" vertical="center"/>
    </xf>
    <xf numFmtId="177" fontId="28" fillId="7" borderId="0" xfId="0" applyFont="1" applyFill="1" applyAlignment="1">
      <alignment vertical="center"/>
    </xf>
    <xf numFmtId="176" fontId="34" fillId="6" borderId="11" xfId="0" applyNumberFormat="1" applyFont="1" applyFill="1" applyBorder="1" applyAlignment="1">
      <alignment horizontal="center" vertical="top" wrapText="1" shrinkToFit="1"/>
    </xf>
    <xf numFmtId="176" fontId="34" fillId="4" borderId="11" xfId="0" applyNumberFormat="1" applyFont="1" applyFill="1" applyBorder="1" applyAlignment="1">
      <alignment horizontal="center" vertical="top" wrapText="1" shrinkToFit="1"/>
    </xf>
    <xf numFmtId="177" fontId="29" fillId="7" borderId="11" xfId="0" applyFont="1" applyFill="1" applyBorder="1" applyAlignment="1">
      <alignment horizontal="center" vertical="top"/>
    </xf>
    <xf numFmtId="177" fontId="35" fillId="4" borderId="0" xfId="0" applyFont="1" applyFill="1" applyAlignment="1">
      <alignment horizontal="left" vertical="top"/>
    </xf>
    <xf numFmtId="49" fontId="34" fillId="6" borderId="7" xfId="0" applyNumberFormat="1" applyFont="1" applyFill="1" applyBorder="1" applyAlignment="1">
      <alignment horizontal="left" vertical="top" wrapText="1" shrinkToFit="1"/>
    </xf>
    <xf numFmtId="49" fontId="34" fillId="4" borderId="7" xfId="0" applyNumberFormat="1" applyFont="1" applyFill="1" applyBorder="1" applyAlignment="1">
      <alignment horizontal="left" vertical="top" wrapText="1" shrinkToFit="1"/>
    </xf>
    <xf numFmtId="49" fontId="29" fillId="7" borderId="7" xfId="0" applyNumberFormat="1" applyFont="1" applyFill="1" applyBorder="1" applyAlignment="1">
      <alignment horizontal="left" vertical="top"/>
    </xf>
    <xf numFmtId="177" fontId="16" fillId="4" borderId="0" xfId="0" applyFont="1" applyFill="1" applyAlignment="1">
      <alignment horizontal="left" vertical="top"/>
    </xf>
    <xf numFmtId="177" fontId="35" fillId="4" borderId="0" xfId="0" applyFont="1" applyFill="1" applyAlignment="1">
      <alignment horizontal="left" vertical="top" wrapText="1" shrinkToFit="1"/>
    </xf>
    <xf numFmtId="177" fontId="34" fillId="6" borderId="7" xfId="0" applyFont="1" applyFill="1" applyBorder="1" applyAlignment="1">
      <alignment horizontal="left" vertical="top" wrapText="1" shrinkToFit="1"/>
    </xf>
    <xf numFmtId="177" fontId="34" fillId="4" borderId="7" xfId="0" applyFont="1" applyFill="1" applyBorder="1" applyAlignment="1">
      <alignment horizontal="left" vertical="top" wrapText="1" shrinkToFit="1"/>
    </xf>
    <xf numFmtId="177" fontId="29" fillId="7" borderId="7" xfId="0" applyFont="1" applyFill="1" applyBorder="1" applyAlignment="1">
      <alignment horizontal="left" vertical="top" wrapText="1" shrinkToFit="1"/>
    </xf>
    <xf numFmtId="177" fontId="16" fillId="4" borderId="0" xfId="0" applyFont="1" applyFill="1" applyAlignment="1">
      <alignment horizontal="left" vertical="top" wrapText="1" shrinkToFit="1"/>
    </xf>
    <xf numFmtId="177" fontId="35" fillId="4" borderId="0" xfId="0" applyFont="1" applyFill="1" applyAlignment="1">
      <alignment horizontal="right" vertical="top"/>
    </xf>
    <xf numFmtId="39" fontId="34" fillId="6" borderId="7" xfId="0" applyNumberFormat="1" applyFont="1" applyFill="1" applyBorder="1" applyAlignment="1">
      <alignment horizontal="right" vertical="top" wrapText="1" shrinkToFit="1"/>
    </xf>
    <xf numFmtId="39" fontId="34" fillId="4" borderId="7" xfId="0" applyNumberFormat="1" applyFont="1" applyFill="1" applyBorder="1" applyAlignment="1">
      <alignment horizontal="right" vertical="top" wrapText="1" shrinkToFit="1"/>
    </xf>
    <xf numFmtId="164" fontId="29" fillId="7" borderId="7" xfId="0" applyNumberFormat="1" applyFont="1" applyFill="1" applyBorder="1" applyAlignment="1">
      <alignment horizontal="right" vertical="top"/>
    </xf>
    <xf numFmtId="177" fontId="16" fillId="4" borderId="0" xfId="0" applyFont="1" applyFill="1" applyAlignment="1">
      <alignment horizontal="right" vertical="top"/>
    </xf>
    <xf numFmtId="49" fontId="29" fillId="7" borderId="7" xfId="0" applyNumberFormat="1" applyFont="1" applyFill="1" applyBorder="1" applyAlignment="1">
      <alignment horizontal="left" vertical="top" wrapText="1" shrinkToFit="1"/>
    </xf>
    <xf numFmtId="177" fontId="36" fillId="7" borderId="10" xfId="0" applyFont="1" applyFill="1" applyBorder="1" applyAlignment="1">
      <alignment horizontal="center" vertical="top"/>
    </xf>
    <xf numFmtId="177" fontId="36" fillId="7" borderId="8" xfId="0" applyFont="1" applyFill="1" applyBorder="1" applyAlignment="1">
      <alignment horizontal="center" vertical="top"/>
    </xf>
    <xf numFmtId="177" fontId="14" fillId="4" borderId="0" xfId="0" applyFont="1" applyFill="1" applyAlignment="1">
      <alignment horizontal="left"/>
    </xf>
    <xf numFmtId="177" fontId="11" fillId="2" borderId="0" xfId="0" applyFont="1" applyFill="1" applyAlignment="1">
      <alignment horizontal="left" vertical="center" wrapText="1" shrinkToFit="1"/>
    </xf>
    <xf numFmtId="177" fontId="16" fillId="2" borderId="0" xfId="0" applyFont="1" applyFill="1" applyAlignment="1">
      <alignment horizontal="left" vertical="center" wrapText="1" shrinkToFit="1"/>
    </xf>
    <xf numFmtId="177" fontId="11" fillId="2" borderId="0" xfId="0" applyFont="1" applyFill="1" applyAlignment="1">
      <alignment horizontal="left" vertical="center"/>
    </xf>
    <xf numFmtId="177" fontId="11" fillId="2" borderId="0" xfId="0" applyFont="1" applyFill="1" applyAlignment="1">
      <alignment wrapText="1" shrinkToFit="1"/>
    </xf>
  </cellXfs>
  <cellStyles count="10">
    <cellStyle name="États financiers" xfId="1" xr:uid="{00000000-0005-0000-0000-000000000000}"/>
    <cellStyle name="Euro" xfId="2" xr:uid="{00000000-0005-0000-0000-000001000000}"/>
    <cellStyle name="Followed Hyperlink" xfId="3" xr:uid="{00000000-0005-0000-0000-000002000000}"/>
    <cellStyle name="Hyperlink" xfId="4" xr:uid="{00000000-0005-0000-0000-000003000000}"/>
    <cellStyle name="Milliers 2" xfId="9" xr:uid="{0EE41C51-9DC5-4E75-BEEB-77EC83A9ACCD}"/>
    <cellStyle name="Monétaire 2" xfId="8" xr:uid="{4D006E4B-D9E7-4343-8837-F3E70D45C2C3}"/>
    <cellStyle name="Normal" xfId="0" builtinId="0"/>
    <cellStyle name="Normal 2" xfId="6" xr:uid="{00000000-0005-0000-0000-000005000000}"/>
    <cellStyle name="Normal 3" xfId="7" xr:uid="{49E100CC-0A87-4EDB-8F98-5C9295B202D5}"/>
    <cellStyle name="Normal_Copie de États financiers modèles v2" xfId="5" xr:uid="{00000000-0005-0000-0000-000006000000}"/>
  </cellStyles>
  <dxfs count="6">
    <dxf>
      <fill>
        <patternFill>
          <bgColor theme="4" tint="0.79998168889431442"/>
        </patternFill>
      </fill>
    </dxf>
    <dxf>
      <fill>
        <patternFill>
          <bgColor rgb="FFB4DE86"/>
        </patternFill>
      </fill>
    </dxf>
    <dxf>
      <fill>
        <patternFill>
          <bgColor rgb="FFB4DE86"/>
        </patternFill>
      </fill>
    </dxf>
    <dxf>
      <fill>
        <patternFill>
          <bgColor rgb="FFB4DE86"/>
        </patternFill>
      </fill>
    </dxf>
    <dxf>
      <fill>
        <patternFill>
          <bgColor rgb="FFB4DE86"/>
        </patternFill>
      </fill>
    </dxf>
    <dxf>
      <fill>
        <patternFill>
          <bgColor rgb="FFB4DE86"/>
        </patternFill>
      </fill>
    </dxf>
  </dxfs>
  <tableStyles count="1" defaultTableStyle="TableStyleMedium9" defaultPivotStyle="PivotStyleLight16">
    <tableStyle name="Invisible" pivot="0" table="0" count="0" xr9:uid="{653A1F31-782D-4A9F-A5A6-E9A84281DA15}"/>
  </tableStyles>
  <colors>
    <mruColors>
      <color rgb="FFAFDC7E"/>
      <color rgb="FFD56161"/>
      <color rgb="FF8C8375"/>
      <color rgb="FFB4DE86"/>
      <color rgb="FFA4D76B"/>
      <color rgb="FFDDD9C3"/>
      <color rgb="FF6258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7483C5-C667-4EA0-8B9C-A69DB3847F0C}">
  <we:reference id="wa104072495" version="5.1.0.0" store="fr-CA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8C8375"/>
  </sheetPr>
  <dimension ref="A1:F294"/>
  <sheetViews>
    <sheetView topLeftCell="A108" zoomScale="70" zoomScaleNormal="70" zoomScaleSheetLayoutView="70" workbookViewId="0">
      <selection activeCell="B131" sqref="B131"/>
    </sheetView>
  </sheetViews>
  <sheetFormatPr baseColWidth="10" defaultColWidth="0" defaultRowHeight="12.75" x14ac:dyDescent="0.2"/>
  <cols>
    <col min="1" max="1" width="17.7109375" style="200" customWidth="1"/>
    <col min="2" max="2" width="60.7109375" style="214" customWidth="1"/>
    <col min="3" max="3" width="100.7109375" style="219" customWidth="1"/>
    <col min="4" max="4" width="10.7109375" style="224" customWidth="1"/>
    <col min="5" max="5" width="41.5703125" style="214" customWidth="1"/>
    <col min="6" max="6" width="10.7109375" style="194" customWidth="1"/>
    <col min="7" max="16384" width="15.85546875" style="199" hidden="1"/>
  </cols>
  <sheetData>
    <row r="1" spans="1:6" s="195" customFormat="1" ht="22.5" x14ac:dyDescent="0.2">
      <c r="A1" s="226" t="s">
        <v>200</v>
      </c>
      <c r="B1" s="227"/>
      <c r="C1" s="227"/>
      <c r="D1" s="227"/>
      <c r="E1" s="227"/>
      <c r="F1" s="227"/>
    </row>
    <row r="2" spans="1:6" s="195" customFormat="1" x14ac:dyDescent="0.2">
      <c r="A2" s="196"/>
      <c r="B2" s="210"/>
      <c r="C2" s="215"/>
      <c r="D2" s="220"/>
      <c r="E2" s="210"/>
      <c r="F2" s="193"/>
    </row>
    <row r="3" spans="1:6" s="206" customFormat="1" ht="47.25" x14ac:dyDescent="0.2">
      <c r="A3" s="192" t="s">
        <v>40</v>
      </c>
      <c r="B3" s="192" t="s">
        <v>41</v>
      </c>
      <c r="C3" s="203" t="s">
        <v>42</v>
      </c>
      <c r="D3" s="203" t="s">
        <v>100</v>
      </c>
      <c r="E3" s="204" t="s">
        <v>101</v>
      </c>
      <c r="F3" s="205" t="s">
        <v>208</v>
      </c>
    </row>
    <row r="4" spans="1:6" s="197" customFormat="1" ht="15" x14ac:dyDescent="0.2">
      <c r="A4" s="207">
        <v>44976</v>
      </c>
      <c r="B4" s="211" t="s">
        <v>209</v>
      </c>
      <c r="C4" s="216" t="s">
        <v>210</v>
      </c>
      <c r="D4" s="221">
        <v>1.4</v>
      </c>
      <c r="E4" s="211" t="s">
        <v>211</v>
      </c>
      <c r="F4" s="201">
        <v>1</v>
      </c>
    </row>
    <row r="5" spans="1:6" s="197" customFormat="1" ht="15" x14ac:dyDescent="0.2">
      <c r="A5" s="207">
        <v>44974</v>
      </c>
      <c r="B5" s="211" t="s">
        <v>212</v>
      </c>
      <c r="C5" s="216" t="s">
        <v>213</v>
      </c>
      <c r="D5" s="221">
        <v>1.5</v>
      </c>
      <c r="E5" s="211" t="s">
        <v>214</v>
      </c>
      <c r="F5" s="201">
        <v>2</v>
      </c>
    </row>
    <row r="6" spans="1:6" s="197" customFormat="1" ht="15" x14ac:dyDescent="0.2">
      <c r="A6" s="207">
        <v>44979</v>
      </c>
      <c r="B6" s="211" t="s">
        <v>209</v>
      </c>
      <c r="C6" s="216" t="s">
        <v>215</v>
      </c>
      <c r="D6" s="221">
        <v>2</v>
      </c>
      <c r="E6" s="211" t="s">
        <v>216</v>
      </c>
      <c r="F6" s="201">
        <v>3</v>
      </c>
    </row>
    <row r="7" spans="1:6" s="197" customFormat="1" ht="15" x14ac:dyDescent="0.2">
      <c r="A7" s="207">
        <v>44974</v>
      </c>
      <c r="B7" s="211" t="s">
        <v>212</v>
      </c>
      <c r="C7" s="216" t="s">
        <v>217</v>
      </c>
      <c r="D7" s="221">
        <v>0.4</v>
      </c>
      <c r="E7" s="211" t="s">
        <v>218</v>
      </c>
      <c r="F7" s="201">
        <v>4</v>
      </c>
    </row>
    <row r="8" spans="1:6" s="197" customFormat="1" ht="15" x14ac:dyDescent="0.2">
      <c r="A8" s="207">
        <v>44979</v>
      </c>
      <c r="B8" s="211" t="s">
        <v>209</v>
      </c>
      <c r="C8" s="216" t="s">
        <v>219</v>
      </c>
      <c r="D8" s="221">
        <v>0.5</v>
      </c>
      <c r="E8" s="211"/>
      <c r="F8" s="201">
        <v>5</v>
      </c>
    </row>
    <row r="9" spans="1:6" s="197" customFormat="1" ht="15" x14ac:dyDescent="0.2">
      <c r="A9" s="207">
        <v>44978</v>
      </c>
      <c r="B9" s="211" t="s">
        <v>220</v>
      </c>
      <c r="C9" s="216" t="s">
        <v>221</v>
      </c>
      <c r="D9" s="221">
        <v>4</v>
      </c>
      <c r="E9" s="211" t="s">
        <v>222</v>
      </c>
      <c r="F9" s="201">
        <v>6</v>
      </c>
    </row>
    <row r="10" spans="1:6" s="197" customFormat="1" ht="15" x14ac:dyDescent="0.2">
      <c r="A10" s="207">
        <v>44978</v>
      </c>
      <c r="B10" s="211" t="s">
        <v>223</v>
      </c>
      <c r="C10" s="216" t="s">
        <v>224</v>
      </c>
      <c r="D10" s="221">
        <v>4</v>
      </c>
      <c r="E10" s="211" t="s">
        <v>225</v>
      </c>
      <c r="F10" s="201">
        <v>7</v>
      </c>
    </row>
    <row r="11" spans="1:6" s="197" customFormat="1" ht="15" x14ac:dyDescent="0.2">
      <c r="A11" s="207">
        <v>44979</v>
      </c>
      <c r="B11" s="211" t="s">
        <v>209</v>
      </c>
      <c r="C11" s="216" t="s">
        <v>226</v>
      </c>
      <c r="D11" s="221">
        <v>1</v>
      </c>
      <c r="E11" s="211" t="s">
        <v>227</v>
      </c>
      <c r="F11" s="201">
        <v>8</v>
      </c>
    </row>
    <row r="12" spans="1:6" s="197" customFormat="1" ht="15" x14ac:dyDescent="0.2">
      <c r="A12" s="207">
        <v>44977</v>
      </c>
      <c r="B12" s="211" t="s">
        <v>228</v>
      </c>
      <c r="C12" s="216" t="s">
        <v>229</v>
      </c>
      <c r="D12" s="221">
        <v>0.25</v>
      </c>
      <c r="E12" s="211" t="s">
        <v>230</v>
      </c>
      <c r="F12" s="201">
        <v>9</v>
      </c>
    </row>
    <row r="13" spans="1:6" s="197" customFormat="1" ht="15" x14ac:dyDescent="0.2">
      <c r="A13" s="207">
        <v>44979</v>
      </c>
      <c r="B13" s="211" t="s">
        <v>223</v>
      </c>
      <c r="C13" s="216" t="s">
        <v>231</v>
      </c>
      <c r="D13" s="221">
        <v>1.25</v>
      </c>
      <c r="E13" s="211" t="s">
        <v>232</v>
      </c>
      <c r="F13" s="201">
        <v>10</v>
      </c>
    </row>
    <row r="14" spans="1:6" s="197" customFormat="1" ht="15" x14ac:dyDescent="0.2">
      <c r="A14" s="207">
        <v>44974</v>
      </c>
      <c r="B14" s="211" t="s">
        <v>209</v>
      </c>
      <c r="C14" s="216" t="s">
        <v>233</v>
      </c>
      <c r="D14" s="221">
        <v>1.75</v>
      </c>
      <c r="E14" s="211"/>
      <c r="F14" s="201">
        <v>11</v>
      </c>
    </row>
    <row r="15" spans="1:6" s="197" customFormat="1" ht="15" x14ac:dyDescent="0.2">
      <c r="A15" s="207">
        <v>44980</v>
      </c>
      <c r="B15" s="211" t="s">
        <v>212</v>
      </c>
      <c r="C15" s="216" t="s">
        <v>234</v>
      </c>
      <c r="D15" s="221">
        <v>1.25</v>
      </c>
      <c r="E15" s="211" t="s">
        <v>235</v>
      </c>
      <c r="F15" s="201">
        <v>12</v>
      </c>
    </row>
    <row r="16" spans="1:6" s="197" customFormat="1" ht="15" x14ac:dyDescent="0.2">
      <c r="A16" s="207">
        <v>44979</v>
      </c>
      <c r="B16" s="211" t="s">
        <v>212</v>
      </c>
      <c r="C16" s="216" t="s">
        <v>236</v>
      </c>
      <c r="D16" s="221">
        <v>0.5</v>
      </c>
      <c r="E16" s="211"/>
      <c r="F16" s="201">
        <v>13</v>
      </c>
    </row>
    <row r="17" spans="1:6" s="197" customFormat="1" ht="15" x14ac:dyDescent="0.2">
      <c r="A17" s="207">
        <v>44979</v>
      </c>
      <c r="B17" s="211" t="s">
        <v>228</v>
      </c>
      <c r="C17" s="216" t="s">
        <v>237</v>
      </c>
      <c r="D17" s="221">
        <v>4</v>
      </c>
      <c r="E17" s="211" t="s">
        <v>237</v>
      </c>
      <c r="F17" s="201">
        <v>14</v>
      </c>
    </row>
    <row r="18" spans="1:6" s="197" customFormat="1" ht="15" x14ac:dyDescent="0.2">
      <c r="A18" s="207">
        <v>44979</v>
      </c>
      <c r="B18" s="211" t="s">
        <v>212</v>
      </c>
      <c r="C18" s="216" t="s">
        <v>238</v>
      </c>
      <c r="D18" s="221">
        <v>0.5</v>
      </c>
      <c r="E18" s="211" t="s">
        <v>237</v>
      </c>
      <c r="F18" s="201">
        <v>15</v>
      </c>
    </row>
    <row r="19" spans="1:6" s="197" customFormat="1" ht="15" x14ac:dyDescent="0.2">
      <c r="A19" s="207">
        <v>44978</v>
      </c>
      <c r="B19" s="211" t="s">
        <v>220</v>
      </c>
      <c r="C19" s="216" t="s">
        <v>239</v>
      </c>
      <c r="D19" s="221">
        <v>0.5</v>
      </c>
      <c r="E19" s="211" t="s">
        <v>240</v>
      </c>
      <c r="F19" s="201">
        <v>16</v>
      </c>
    </row>
    <row r="20" spans="1:6" s="197" customFormat="1" ht="15" x14ac:dyDescent="0.2">
      <c r="A20" s="207">
        <v>44978</v>
      </c>
      <c r="B20" s="211" t="s">
        <v>223</v>
      </c>
      <c r="C20" s="216"/>
      <c r="D20" s="221">
        <v>0.5</v>
      </c>
      <c r="E20" s="211"/>
      <c r="F20" s="201">
        <v>17</v>
      </c>
    </row>
    <row r="21" spans="1:6" s="197" customFormat="1" ht="15" x14ac:dyDescent="0.2">
      <c r="A21" s="207">
        <v>44978</v>
      </c>
      <c r="B21" s="211" t="s">
        <v>223</v>
      </c>
      <c r="C21" s="216" t="s">
        <v>241</v>
      </c>
      <c r="D21" s="221">
        <v>0.25</v>
      </c>
      <c r="E21" s="211"/>
      <c r="F21" s="201">
        <v>18</v>
      </c>
    </row>
    <row r="22" spans="1:6" s="197" customFormat="1" ht="15" x14ac:dyDescent="0.2">
      <c r="A22" s="207">
        <v>44978</v>
      </c>
      <c r="B22" s="211" t="s">
        <v>212</v>
      </c>
      <c r="C22" s="216" t="s">
        <v>242</v>
      </c>
      <c r="D22" s="221">
        <v>1</v>
      </c>
      <c r="E22" s="211" t="s">
        <v>237</v>
      </c>
      <c r="F22" s="201">
        <v>19</v>
      </c>
    </row>
    <row r="23" spans="1:6" s="197" customFormat="1" ht="15" x14ac:dyDescent="0.2">
      <c r="A23" s="207">
        <v>44973</v>
      </c>
      <c r="B23" s="211" t="s">
        <v>212</v>
      </c>
      <c r="C23" s="216" t="s">
        <v>243</v>
      </c>
      <c r="D23" s="221" t="s">
        <v>244</v>
      </c>
      <c r="E23" s="211"/>
      <c r="F23" s="201">
        <v>20</v>
      </c>
    </row>
    <row r="24" spans="1:6" s="197" customFormat="1" ht="15" x14ac:dyDescent="0.2">
      <c r="A24" s="207">
        <v>44980</v>
      </c>
      <c r="B24" s="211" t="s">
        <v>212</v>
      </c>
      <c r="C24" s="216" t="s">
        <v>245</v>
      </c>
      <c r="D24" s="221">
        <v>0.5</v>
      </c>
      <c r="E24" s="211"/>
      <c r="F24" s="201">
        <v>21</v>
      </c>
    </row>
    <row r="25" spans="1:6" s="197" customFormat="1" ht="15" x14ac:dyDescent="0.2">
      <c r="A25" s="207">
        <v>44974</v>
      </c>
      <c r="B25" s="211" t="s">
        <v>220</v>
      </c>
      <c r="C25" s="216" t="s">
        <v>246</v>
      </c>
      <c r="D25" s="221">
        <v>3.75</v>
      </c>
      <c r="E25" s="211"/>
      <c r="F25" s="201">
        <v>22</v>
      </c>
    </row>
    <row r="26" spans="1:6" s="197" customFormat="1" ht="15" x14ac:dyDescent="0.2">
      <c r="A26" s="207">
        <v>44979</v>
      </c>
      <c r="B26" s="211" t="s">
        <v>223</v>
      </c>
      <c r="C26" s="216" t="s">
        <v>237</v>
      </c>
      <c r="D26" s="221">
        <v>1.5</v>
      </c>
      <c r="E26" s="211"/>
      <c r="F26" s="201">
        <v>23</v>
      </c>
    </row>
    <row r="27" spans="1:6" s="197" customFormat="1" ht="15" x14ac:dyDescent="0.2">
      <c r="A27" s="207">
        <v>44979</v>
      </c>
      <c r="B27" s="211" t="s">
        <v>209</v>
      </c>
      <c r="C27" s="216" t="s">
        <v>247</v>
      </c>
      <c r="D27" s="221">
        <v>1</v>
      </c>
      <c r="E27" s="211"/>
      <c r="F27" s="201">
        <v>24</v>
      </c>
    </row>
    <row r="28" spans="1:6" s="197" customFormat="1" ht="15" x14ac:dyDescent="0.2">
      <c r="A28" s="207">
        <v>44979</v>
      </c>
      <c r="B28" s="211" t="s">
        <v>228</v>
      </c>
      <c r="C28" s="216" t="s">
        <v>248</v>
      </c>
      <c r="D28" s="221">
        <v>0.5</v>
      </c>
      <c r="E28" s="211"/>
      <c r="F28" s="201">
        <v>25</v>
      </c>
    </row>
    <row r="29" spans="1:6" s="197" customFormat="1" ht="15" x14ac:dyDescent="0.2">
      <c r="A29" s="207">
        <v>44979</v>
      </c>
      <c r="B29" s="211" t="s">
        <v>223</v>
      </c>
      <c r="C29" s="216" t="s">
        <v>249</v>
      </c>
      <c r="D29" s="221">
        <v>0.6</v>
      </c>
      <c r="E29" s="211"/>
      <c r="F29" s="201">
        <v>26</v>
      </c>
    </row>
    <row r="30" spans="1:6" s="197" customFormat="1" ht="15" x14ac:dyDescent="0.2">
      <c r="A30" s="207">
        <v>44979</v>
      </c>
      <c r="B30" s="211" t="s">
        <v>220</v>
      </c>
      <c r="C30" s="216" t="s">
        <v>250</v>
      </c>
      <c r="D30" s="221">
        <v>1</v>
      </c>
      <c r="E30" s="211" t="s">
        <v>251</v>
      </c>
      <c r="F30" s="201">
        <v>27</v>
      </c>
    </row>
    <row r="31" spans="1:6" s="197" customFormat="1" ht="15" x14ac:dyDescent="0.2">
      <c r="A31" s="207">
        <v>44979</v>
      </c>
      <c r="B31" s="211" t="s">
        <v>212</v>
      </c>
      <c r="C31" s="216" t="s">
        <v>252</v>
      </c>
      <c r="D31" s="221">
        <v>2</v>
      </c>
      <c r="E31" s="211" t="s">
        <v>253</v>
      </c>
      <c r="F31" s="201">
        <v>28</v>
      </c>
    </row>
    <row r="32" spans="1:6" s="197" customFormat="1" ht="15" x14ac:dyDescent="0.2">
      <c r="A32" s="207">
        <v>44981</v>
      </c>
      <c r="B32" s="211" t="s">
        <v>212</v>
      </c>
      <c r="C32" s="216" t="s">
        <v>254</v>
      </c>
      <c r="D32" s="221">
        <v>1</v>
      </c>
      <c r="E32" s="211"/>
      <c r="F32" s="201">
        <v>29</v>
      </c>
    </row>
    <row r="33" spans="1:6" s="197" customFormat="1" ht="15" x14ac:dyDescent="0.2">
      <c r="A33" s="207">
        <v>44979</v>
      </c>
      <c r="B33" s="211" t="s">
        <v>223</v>
      </c>
      <c r="C33" s="216" t="s">
        <v>255</v>
      </c>
      <c r="D33" s="221">
        <v>2.5</v>
      </c>
      <c r="E33" s="211"/>
      <c r="F33" s="201">
        <v>30</v>
      </c>
    </row>
    <row r="34" spans="1:6" s="197" customFormat="1" ht="15" x14ac:dyDescent="0.2">
      <c r="A34" s="207">
        <v>44979</v>
      </c>
      <c r="B34" s="211" t="s">
        <v>209</v>
      </c>
      <c r="C34" s="216" t="s">
        <v>256</v>
      </c>
      <c r="D34" s="221">
        <v>4</v>
      </c>
      <c r="E34" s="211"/>
      <c r="F34" s="201">
        <v>31</v>
      </c>
    </row>
    <row r="35" spans="1:6" s="197" customFormat="1" ht="15" x14ac:dyDescent="0.2">
      <c r="A35" s="207">
        <v>44980</v>
      </c>
      <c r="B35" s="211" t="s">
        <v>212</v>
      </c>
      <c r="C35" s="216" t="s">
        <v>257</v>
      </c>
      <c r="D35" s="221">
        <v>2</v>
      </c>
      <c r="E35" s="211"/>
      <c r="F35" s="201">
        <v>32</v>
      </c>
    </row>
    <row r="36" spans="1:6" s="197" customFormat="1" ht="15" x14ac:dyDescent="0.2">
      <c r="A36" s="207">
        <v>44979</v>
      </c>
      <c r="B36" s="211" t="s">
        <v>212</v>
      </c>
      <c r="C36" s="216" t="s">
        <v>258</v>
      </c>
      <c r="D36" s="221">
        <v>0.5</v>
      </c>
      <c r="E36" s="211"/>
      <c r="F36" s="201">
        <v>33</v>
      </c>
    </row>
    <row r="37" spans="1:6" s="197" customFormat="1" ht="15" x14ac:dyDescent="0.2">
      <c r="A37" s="207">
        <v>44979</v>
      </c>
      <c r="B37" s="211" t="s">
        <v>212</v>
      </c>
      <c r="C37" s="216" t="s">
        <v>259</v>
      </c>
      <c r="D37" s="221">
        <v>1.4</v>
      </c>
      <c r="E37" s="211"/>
      <c r="F37" s="201">
        <v>34</v>
      </c>
    </row>
    <row r="38" spans="1:6" s="197" customFormat="1" ht="15" x14ac:dyDescent="0.2">
      <c r="A38" s="207">
        <v>44981</v>
      </c>
      <c r="B38" s="211" t="s">
        <v>212</v>
      </c>
      <c r="C38" s="216" t="s">
        <v>260</v>
      </c>
      <c r="D38" s="221">
        <v>2</v>
      </c>
      <c r="E38" s="211"/>
      <c r="F38" s="201">
        <v>35</v>
      </c>
    </row>
    <row r="39" spans="1:6" s="197" customFormat="1" ht="15" x14ac:dyDescent="0.2">
      <c r="A39" s="207">
        <v>44981</v>
      </c>
      <c r="B39" s="211" t="s">
        <v>209</v>
      </c>
      <c r="C39" s="216" t="s">
        <v>261</v>
      </c>
      <c r="D39" s="221">
        <v>2.25</v>
      </c>
      <c r="E39" s="211"/>
      <c r="F39" s="201">
        <v>36</v>
      </c>
    </row>
    <row r="40" spans="1:6" s="197" customFormat="1" ht="15" x14ac:dyDescent="0.2">
      <c r="A40" s="207">
        <v>44981</v>
      </c>
      <c r="B40" s="211" t="s">
        <v>223</v>
      </c>
      <c r="C40" s="216" t="s">
        <v>262</v>
      </c>
      <c r="D40" s="221">
        <v>1</v>
      </c>
      <c r="E40" s="211"/>
      <c r="F40" s="201">
        <v>37</v>
      </c>
    </row>
    <row r="41" spans="1:6" s="197" customFormat="1" ht="15" x14ac:dyDescent="0.2">
      <c r="A41" s="207">
        <v>44981</v>
      </c>
      <c r="B41" s="211" t="s">
        <v>220</v>
      </c>
      <c r="C41" s="216" t="s">
        <v>263</v>
      </c>
      <c r="D41" s="221" t="s">
        <v>264</v>
      </c>
      <c r="E41" s="211"/>
      <c r="F41" s="201">
        <v>38</v>
      </c>
    </row>
    <row r="42" spans="1:6" s="197" customFormat="1" ht="15" x14ac:dyDescent="0.2">
      <c r="A42" s="207">
        <v>44981</v>
      </c>
      <c r="B42" s="211" t="s">
        <v>212</v>
      </c>
      <c r="C42" s="216" t="s">
        <v>265</v>
      </c>
      <c r="D42" s="221" t="s">
        <v>266</v>
      </c>
      <c r="E42" s="211"/>
      <c r="F42" s="201">
        <v>39</v>
      </c>
    </row>
    <row r="43" spans="1:6" s="197" customFormat="1" ht="15" x14ac:dyDescent="0.2">
      <c r="A43" s="207">
        <v>44981</v>
      </c>
      <c r="B43" s="211" t="s">
        <v>212</v>
      </c>
      <c r="C43" s="216" t="s">
        <v>267</v>
      </c>
      <c r="D43" s="221" t="s">
        <v>266</v>
      </c>
      <c r="E43" s="211"/>
      <c r="F43" s="201">
        <v>40</v>
      </c>
    </row>
    <row r="44" spans="1:6" s="197" customFormat="1" ht="15" x14ac:dyDescent="0.2">
      <c r="A44" s="207">
        <v>44979</v>
      </c>
      <c r="B44" s="211" t="s">
        <v>228</v>
      </c>
      <c r="C44" s="216" t="s">
        <v>268</v>
      </c>
      <c r="D44" s="221" t="s">
        <v>269</v>
      </c>
      <c r="E44" s="211" t="s">
        <v>270</v>
      </c>
      <c r="F44" s="201">
        <v>41</v>
      </c>
    </row>
    <row r="45" spans="1:6" s="197" customFormat="1" ht="15" x14ac:dyDescent="0.2">
      <c r="A45" s="207">
        <v>44987</v>
      </c>
      <c r="B45" s="211" t="s">
        <v>212</v>
      </c>
      <c r="C45" s="216" t="s">
        <v>271</v>
      </c>
      <c r="D45" s="221" t="s">
        <v>272</v>
      </c>
      <c r="E45" s="211" t="s">
        <v>211</v>
      </c>
      <c r="F45" s="201">
        <v>42</v>
      </c>
    </row>
    <row r="46" spans="1:6" s="197" customFormat="1" ht="15" x14ac:dyDescent="0.2">
      <c r="A46" s="207">
        <v>44979</v>
      </c>
      <c r="B46" s="211" t="s">
        <v>220</v>
      </c>
      <c r="C46" s="216" t="s">
        <v>273</v>
      </c>
      <c r="D46" s="221" t="s">
        <v>274</v>
      </c>
      <c r="E46" s="211"/>
      <c r="F46" s="201">
        <v>43</v>
      </c>
    </row>
    <row r="47" spans="1:6" s="197" customFormat="1" ht="15" x14ac:dyDescent="0.2">
      <c r="A47" s="207">
        <v>44987</v>
      </c>
      <c r="B47" s="211" t="s">
        <v>209</v>
      </c>
      <c r="C47" s="216" t="s">
        <v>237</v>
      </c>
      <c r="D47" s="221" t="s">
        <v>275</v>
      </c>
      <c r="E47" s="211"/>
      <c r="F47" s="201">
        <v>44</v>
      </c>
    </row>
    <row r="48" spans="1:6" s="197" customFormat="1" ht="15" x14ac:dyDescent="0.2">
      <c r="A48" s="207">
        <v>44987</v>
      </c>
      <c r="B48" s="211" t="s">
        <v>212</v>
      </c>
      <c r="C48" s="216" t="s">
        <v>237</v>
      </c>
      <c r="D48" s="221" t="s">
        <v>264</v>
      </c>
      <c r="E48" s="211"/>
      <c r="F48" s="201">
        <v>45</v>
      </c>
    </row>
    <row r="49" spans="1:6" s="197" customFormat="1" ht="15" x14ac:dyDescent="0.2">
      <c r="A49" s="207">
        <v>44988</v>
      </c>
      <c r="B49" s="211" t="s">
        <v>209</v>
      </c>
      <c r="C49" s="216" t="s">
        <v>237</v>
      </c>
      <c r="D49" s="221" t="s">
        <v>264</v>
      </c>
      <c r="E49" s="211"/>
      <c r="F49" s="201">
        <v>46</v>
      </c>
    </row>
    <row r="50" spans="1:6" s="197" customFormat="1" ht="15" x14ac:dyDescent="0.2">
      <c r="A50" s="207">
        <v>45003</v>
      </c>
      <c r="B50" s="211" t="s">
        <v>212</v>
      </c>
      <c r="C50" s="216" t="s">
        <v>276</v>
      </c>
      <c r="D50" s="221" t="s">
        <v>264</v>
      </c>
      <c r="E50" s="211"/>
      <c r="F50" s="201">
        <v>47</v>
      </c>
    </row>
    <row r="51" spans="1:6" s="197" customFormat="1" ht="15" x14ac:dyDescent="0.2">
      <c r="A51" s="207">
        <v>45003</v>
      </c>
      <c r="B51" s="211" t="s">
        <v>220</v>
      </c>
      <c r="C51" s="216" t="s">
        <v>277</v>
      </c>
      <c r="D51" s="221" t="s">
        <v>278</v>
      </c>
      <c r="E51" s="211"/>
      <c r="F51" s="201">
        <v>48</v>
      </c>
    </row>
    <row r="52" spans="1:6" s="197" customFormat="1" ht="15" x14ac:dyDescent="0.2">
      <c r="A52" s="207">
        <v>45004</v>
      </c>
      <c r="B52" s="211" t="s">
        <v>212</v>
      </c>
      <c r="C52" s="216" t="s">
        <v>279</v>
      </c>
      <c r="D52" s="221" t="s">
        <v>264</v>
      </c>
      <c r="E52" s="211"/>
      <c r="F52" s="201">
        <v>49</v>
      </c>
    </row>
    <row r="53" spans="1:6" s="197" customFormat="1" ht="15" x14ac:dyDescent="0.2">
      <c r="A53" s="207">
        <v>45005</v>
      </c>
      <c r="B53" s="211" t="s">
        <v>212</v>
      </c>
      <c r="C53" s="216" t="s">
        <v>237</v>
      </c>
      <c r="D53" s="221" t="s">
        <v>275</v>
      </c>
      <c r="E53" s="211"/>
      <c r="F53" s="201">
        <v>50</v>
      </c>
    </row>
    <row r="54" spans="1:6" s="197" customFormat="1" ht="15" x14ac:dyDescent="0.2">
      <c r="A54" s="207">
        <v>45004</v>
      </c>
      <c r="B54" s="211" t="s">
        <v>212</v>
      </c>
      <c r="C54" s="216" t="s">
        <v>237</v>
      </c>
      <c r="D54" s="221" t="s">
        <v>280</v>
      </c>
      <c r="E54" s="211"/>
      <c r="F54" s="201">
        <v>51</v>
      </c>
    </row>
    <row r="55" spans="1:6" s="197" customFormat="1" ht="15" x14ac:dyDescent="0.2">
      <c r="A55" s="207">
        <v>45004</v>
      </c>
      <c r="B55" s="211" t="s">
        <v>209</v>
      </c>
      <c r="C55" s="216" t="s">
        <v>281</v>
      </c>
      <c r="D55" s="221" t="s">
        <v>264</v>
      </c>
      <c r="E55" s="211"/>
      <c r="F55" s="201">
        <v>52</v>
      </c>
    </row>
    <row r="56" spans="1:6" s="197" customFormat="1" ht="15" x14ac:dyDescent="0.2">
      <c r="A56" s="207">
        <v>45004</v>
      </c>
      <c r="B56" s="211" t="s">
        <v>209</v>
      </c>
      <c r="C56" s="216" t="s">
        <v>282</v>
      </c>
      <c r="D56" s="221" t="s">
        <v>275</v>
      </c>
      <c r="E56" s="211"/>
      <c r="F56" s="201">
        <v>53</v>
      </c>
    </row>
    <row r="57" spans="1:6" s="197" customFormat="1" ht="15" x14ac:dyDescent="0.2">
      <c r="A57" s="207">
        <v>45004</v>
      </c>
      <c r="B57" s="211" t="s">
        <v>220</v>
      </c>
      <c r="C57" s="216" t="s">
        <v>283</v>
      </c>
      <c r="D57" s="221" t="s">
        <v>275</v>
      </c>
      <c r="E57" s="211"/>
      <c r="F57" s="201">
        <v>54</v>
      </c>
    </row>
    <row r="58" spans="1:6" s="197" customFormat="1" ht="15" x14ac:dyDescent="0.2">
      <c r="A58" s="207">
        <v>45006</v>
      </c>
      <c r="B58" s="211" t="s">
        <v>284</v>
      </c>
      <c r="C58" s="216" t="s">
        <v>285</v>
      </c>
      <c r="D58" s="221" t="s">
        <v>269</v>
      </c>
      <c r="E58" s="211"/>
      <c r="F58" s="201">
        <v>55</v>
      </c>
    </row>
    <row r="59" spans="1:6" s="197" customFormat="1" ht="15" x14ac:dyDescent="0.2">
      <c r="A59" s="207">
        <v>45006</v>
      </c>
      <c r="B59" s="211" t="s">
        <v>284</v>
      </c>
      <c r="C59" s="216" t="s">
        <v>237</v>
      </c>
      <c r="D59" s="221" t="s">
        <v>275</v>
      </c>
      <c r="E59" s="211"/>
      <c r="F59" s="201">
        <v>56</v>
      </c>
    </row>
    <row r="60" spans="1:6" s="197" customFormat="1" ht="15" x14ac:dyDescent="0.2">
      <c r="A60" s="207">
        <v>45006</v>
      </c>
      <c r="B60" s="211" t="s">
        <v>212</v>
      </c>
      <c r="C60" s="216" t="s">
        <v>286</v>
      </c>
      <c r="D60" s="221" t="s">
        <v>275</v>
      </c>
      <c r="E60" s="211"/>
      <c r="F60" s="201">
        <v>57</v>
      </c>
    </row>
    <row r="61" spans="1:6" s="197" customFormat="1" ht="15" x14ac:dyDescent="0.2">
      <c r="A61" s="207">
        <v>45006</v>
      </c>
      <c r="B61" s="211" t="s">
        <v>287</v>
      </c>
      <c r="C61" s="216" t="s">
        <v>288</v>
      </c>
      <c r="D61" s="221" t="s">
        <v>289</v>
      </c>
      <c r="E61" s="211"/>
      <c r="F61" s="201">
        <v>58</v>
      </c>
    </row>
    <row r="62" spans="1:6" s="197" customFormat="1" ht="15" x14ac:dyDescent="0.2">
      <c r="A62" s="207">
        <v>45006</v>
      </c>
      <c r="B62" s="211" t="s">
        <v>220</v>
      </c>
      <c r="C62" s="216" t="s">
        <v>290</v>
      </c>
      <c r="D62" s="221" t="s">
        <v>264</v>
      </c>
      <c r="E62" s="211"/>
      <c r="F62" s="201">
        <v>59</v>
      </c>
    </row>
    <row r="63" spans="1:6" s="197" customFormat="1" ht="15" x14ac:dyDescent="0.2">
      <c r="A63" s="207">
        <v>45006</v>
      </c>
      <c r="B63" s="211" t="s">
        <v>209</v>
      </c>
      <c r="C63" s="216" t="s">
        <v>291</v>
      </c>
      <c r="D63" s="221" t="s">
        <v>278</v>
      </c>
      <c r="E63" s="211"/>
      <c r="F63" s="201">
        <v>60</v>
      </c>
    </row>
    <row r="64" spans="1:6" s="197" customFormat="1" ht="15" x14ac:dyDescent="0.2">
      <c r="A64" s="207">
        <v>45006</v>
      </c>
      <c r="B64" s="211" t="s">
        <v>212</v>
      </c>
      <c r="C64" s="216" t="s">
        <v>292</v>
      </c>
      <c r="D64" s="221" t="s">
        <v>269</v>
      </c>
      <c r="E64" s="211"/>
      <c r="F64" s="201">
        <v>61</v>
      </c>
    </row>
    <row r="65" spans="1:6" s="197" customFormat="1" ht="15" x14ac:dyDescent="0.2">
      <c r="A65" s="207">
        <v>45006</v>
      </c>
      <c r="B65" s="211" t="s">
        <v>212</v>
      </c>
      <c r="C65" s="216" t="s">
        <v>293</v>
      </c>
      <c r="D65" s="221" t="s">
        <v>269</v>
      </c>
      <c r="E65" s="211"/>
      <c r="F65" s="201">
        <v>62</v>
      </c>
    </row>
    <row r="66" spans="1:6" s="197" customFormat="1" ht="15" x14ac:dyDescent="0.2">
      <c r="A66" s="207">
        <v>45004</v>
      </c>
      <c r="B66" s="211" t="s">
        <v>212</v>
      </c>
      <c r="C66" s="216" t="s">
        <v>294</v>
      </c>
      <c r="D66" s="221" t="s">
        <v>275</v>
      </c>
      <c r="E66" s="211"/>
      <c r="F66" s="201">
        <v>63</v>
      </c>
    </row>
    <row r="67" spans="1:6" s="197" customFormat="1" ht="15" x14ac:dyDescent="0.2">
      <c r="A67" s="207">
        <v>45005</v>
      </c>
      <c r="B67" s="211" t="s">
        <v>212</v>
      </c>
      <c r="C67" s="216" t="s">
        <v>295</v>
      </c>
      <c r="D67" s="221" t="s">
        <v>275</v>
      </c>
      <c r="E67" s="211" t="s">
        <v>296</v>
      </c>
      <c r="F67" s="201">
        <v>64</v>
      </c>
    </row>
    <row r="68" spans="1:6" s="197" customFormat="1" ht="15" x14ac:dyDescent="0.2">
      <c r="A68" s="207">
        <v>45004</v>
      </c>
      <c r="B68" s="211" t="s">
        <v>212</v>
      </c>
      <c r="C68" s="216" t="s">
        <v>297</v>
      </c>
      <c r="D68" s="221" t="s">
        <v>275</v>
      </c>
      <c r="E68" s="211"/>
      <c r="F68" s="201">
        <v>65</v>
      </c>
    </row>
    <row r="69" spans="1:6" s="197" customFormat="1" ht="15" x14ac:dyDescent="0.2">
      <c r="A69" s="207">
        <v>45004</v>
      </c>
      <c r="B69" s="211" t="s">
        <v>298</v>
      </c>
      <c r="C69" s="216" t="s">
        <v>299</v>
      </c>
      <c r="D69" s="221" t="s">
        <v>275</v>
      </c>
      <c r="E69" s="211"/>
      <c r="F69" s="201">
        <v>66</v>
      </c>
    </row>
    <row r="70" spans="1:6" s="197" customFormat="1" ht="15" x14ac:dyDescent="0.2">
      <c r="A70" s="207">
        <v>45004</v>
      </c>
      <c r="B70" s="211" t="s">
        <v>298</v>
      </c>
      <c r="C70" s="216" t="s">
        <v>300</v>
      </c>
      <c r="D70" s="221" t="s">
        <v>301</v>
      </c>
      <c r="E70" s="211"/>
      <c r="F70" s="201">
        <v>67</v>
      </c>
    </row>
    <row r="71" spans="1:6" s="197" customFormat="1" ht="15" x14ac:dyDescent="0.2">
      <c r="A71" s="207">
        <v>45004</v>
      </c>
      <c r="B71" s="211" t="s">
        <v>298</v>
      </c>
      <c r="C71" s="216" t="s">
        <v>302</v>
      </c>
      <c r="D71" s="221" t="s">
        <v>303</v>
      </c>
      <c r="E71" s="211"/>
      <c r="F71" s="201">
        <v>68</v>
      </c>
    </row>
    <row r="72" spans="1:6" s="197" customFormat="1" ht="15" x14ac:dyDescent="0.2">
      <c r="A72" s="207">
        <v>45004</v>
      </c>
      <c r="B72" s="211" t="s">
        <v>209</v>
      </c>
      <c r="C72" s="216" t="s">
        <v>304</v>
      </c>
      <c r="D72" s="221" t="s">
        <v>275</v>
      </c>
      <c r="E72" s="211"/>
      <c r="F72" s="201">
        <v>69</v>
      </c>
    </row>
    <row r="73" spans="1:6" s="197" customFormat="1" ht="15" x14ac:dyDescent="0.2">
      <c r="A73" s="207">
        <v>45004</v>
      </c>
      <c r="B73" s="211" t="s">
        <v>287</v>
      </c>
      <c r="C73" s="216" t="s">
        <v>305</v>
      </c>
      <c r="D73" s="221" t="s">
        <v>264</v>
      </c>
      <c r="E73" s="211"/>
      <c r="F73" s="201">
        <v>70</v>
      </c>
    </row>
    <row r="74" spans="1:6" s="197" customFormat="1" ht="15" x14ac:dyDescent="0.2">
      <c r="A74" s="207">
        <v>45004</v>
      </c>
      <c r="B74" s="211" t="s">
        <v>306</v>
      </c>
      <c r="C74" s="216" t="s">
        <v>307</v>
      </c>
      <c r="D74" s="221" t="s">
        <v>278</v>
      </c>
      <c r="E74" s="211"/>
      <c r="F74" s="201">
        <v>71</v>
      </c>
    </row>
    <row r="75" spans="1:6" s="197" customFormat="1" ht="15" x14ac:dyDescent="0.2">
      <c r="A75" s="208">
        <v>45004</v>
      </c>
      <c r="B75" s="211" t="s">
        <v>308</v>
      </c>
      <c r="C75" s="217" t="s">
        <v>309</v>
      </c>
      <c r="D75" s="222" t="s">
        <v>278</v>
      </c>
      <c r="E75" s="212"/>
      <c r="F75" s="201">
        <v>72</v>
      </c>
    </row>
    <row r="76" spans="1:6" s="197" customFormat="1" ht="15" x14ac:dyDescent="0.2">
      <c r="A76" s="208">
        <v>45006</v>
      </c>
      <c r="B76" s="212" t="s">
        <v>308</v>
      </c>
      <c r="C76" s="217" t="s">
        <v>310</v>
      </c>
      <c r="D76" s="222" t="s">
        <v>303</v>
      </c>
      <c r="E76" s="212"/>
      <c r="F76" s="201">
        <v>73</v>
      </c>
    </row>
    <row r="77" spans="1:6" s="197" customFormat="1" ht="15" x14ac:dyDescent="0.2">
      <c r="A77" s="208">
        <v>45003</v>
      </c>
      <c r="B77" s="212" t="s">
        <v>311</v>
      </c>
      <c r="C77" s="217" t="s">
        <v>312</v>
      </c>
      <c r="D77" s="222" t="s">
        <v>275</v>
      </c>
      <c r="E77" s="212"/>
      <c r="F77" s="201">
        <v>74</v>
      </c>
    </row>
    <row r="78" spans="1:6" s="197" customFormat="1" ht="15" x14ac:dyDescent="0.2">
      <c r="A78" s="208">
        <v>45002</v>
      </c>
      <c r="B78" s="211" t="s">
        <v>313</v>
      </c>
      <c r="C78" s="217" t="s">
        <v>314</v>
      </c>
      <c r="D78" s="222" t="s">
        <v>264</v>
      </c>
      <c r="E78" s="212"/>
      <c r="F78" s="201">
        <v>75</v>
      </c>
    </row>
    <row r="79" spans="1:6" s="197" customFormat="1" ht="15" x14ac:dyDescent="0.2">
      <c r="A79" s="208">
        <v>45002</v>
      </c>
      <c r="B79" s="212" t="s">
        <v>315</v>
      </c>
      <c r="C79" s="217" t="s">
        <v>316</v>
      </c>
      <c r="D79" s="222" t="s">
        <v>275</v>
      </c>
      <c r="E79" s="212"/>
      <c r="F79" s="201">
        <v>76</v>
      </c>
    </row>
    <row r="80" spans="1:6" s="197" customFormat="1" ht="15" x14ac:dyDescent="0.2">
      <c r="A80" s="208">
        <v>45002</v>
      </c>
      <c r="B80" s="212" t="s">
        <v>317</v>
      </c>
      <c r="C80" s="217" t="s">
        <v>318</v>
      </c>
      <c r="D80" s="222" t="s">
        <v>264</v>
      </c>
      <c r="E80" s="212"/>
      <c r="F80" s="201">
        <v>77</v>
      </c>
    </row>
    <row r="81" spans="1:6" s="197" customFormat="1" ht="15" x14ac:dyDescent="0.2">
      <c r="A81" s="208">
        <v>45002</v>
      </c>
      <c r="B81" s="212" t="s">
        <v>319</v>
      </c>
      <c r="C81" s="217"/>
      <c r="D81" s="222" t="s">
        <v>264</v>
      </c>
      <c r="E81" s="212"/>
      <c r="F81" s="201">
        <v>78</v>
      </c>
    </row>
    <row r="82" spans="1:6" s="197" customFormat="1" ht="15" x14ac:dyDescent="0.2">
      <c r="A82" s="208">
        <v>45003</v>
      </c>
      <c r="B82" s="212" t="s">
        <v>320</v>
      </c>
      <c r="C82" s="217"/>
      <c r="D82" s="222" t="s">
        <v>275</v>
      </c>
      <c r="E82" s="212"/>
      <c r="F82" s="201">
        <v>79</v>
      </c>
    </row>
    <row r="83" spans="1:6" s="197" customFormat="1" ht="15" x14ac:dyDescent="0.2">
      <c r="A83" s="208">
        <v>45003</v>
      </c>
      <c r="B83" s="212" t="s">
        <v>321</v>
      </c>
      <c r="C83" s="217" t="s">
        <v>322</v>
      </c>
      <c r="D83" s="222" t="s">
        <v>323</v>
      </c>
      <c r="E83" s="212"/>
      <c r="F83" s="201">
        <v>80</v>
      </c>
    </row>
    <row r="84" spans="1:6" s="197" customFormat="1" ht="15" x14ac:dyDescent="0.2">
      <c r="A84" s="208">
        <v>45006</v>
      </c>
      <c r="B84" s="212" t="s">
        <v>324</v>
      </c>
      <c r="C84" s="217" t="s">
        <v>325</v>
      </c>
      <c r="D84" s="222" t="s">
        <v>264</v>
      </c>
      <c r="E84" s="212"/>
      <c r="F84" s="201">
        <v>81</v>
      </c>
    </row>
    <row r="85" spans="1:6" s="197" customFormat="1" ht="15" x14ac:dyDescent="0.2">
      <c r="A85" s="208">
        <v>45006</v>
      </c>
      <c r="B85" s="212" t="s">
        <v>287</v>
      </c>
      <c r="C85" s="217" t="s">
        <v>326</v>
      </c>
      <c r="D85" s="222" t="s">
        <v>274</v>
      </c>
      <c r="E85" s="212"/>
      <c r="F85" s="201">
        <v>82</v>
      </c>
    </row>
    <row r="86" spans="1:6" s="197" customFormat="1" ht="15" x14ac:dyDescent="0.2">
      <c r="A86" s="208">
        <v>45006</v>
      </c>
      <c r="B86" s="212" t="s">
        <v>212</v>
      </c>
      <c r="C86" s="217" t="s">
        <v>327</v>
      </c>
      <c r="D86" s="222" t="s">
        <v>274</v>
      </c>
      <c r="E86" s="212"/>
      <c r="F86" s="201">
        <v>83</v>
      </c>
    </row>
    <row r="87" spans="1:6" s="197" customFormat="1" ht="15" x14ac:dyDescent="0.2">
      <c r="A87" s="208">
        <v>45006</v>
      </c>
      <c r="B87" s="212" t="s">
        <v>328</v>
      </c>
      <c r="C87" s="217" t="s">
        <v>329</v>
      </c>
      <c r="D87" s="222" t="s">
        <v>264</v>
      </c>
      <c r="E87" s="212"/>
      <c r="F87" s="201">
        <v>84</v>
      </c>
    </row>
    <row r="88" spans="1:6" s="197" customFormat="1" ht="15" x14ac:dyDescent="0.2">
      <c r="A88" s="208">
        <v>45006</v>
      </c>
      <c r="B88" s="212" t="s">
        <v>330</v>
      </c>
      <c r="C88" s="217" t="s">
        <v>331</v>
      </c>
      <c r="D88" s="222" t="s">
        <v>332</v>
      </c>
      <c r="E88" s="212"/>
      <c r="F88" s="201">
        <v>85</v>
      </c>
    </row>
    <row r="89" spans="1:6" s="197" customFormat="1" ht="15" x14ac:dyDescent="0.2">
      <c r="A89" s="208">
        <v>45006</v>
      </c>
      <c r="B89" s="212" t="s">
        <v>333</v>
      </c>
      <c r="C89" s="217" t="s">
        <v>334</v>
      </c>
      <c r="D89" s="222" t="s">
        <v>335</v>
      </c>
      <c r="E89" s="212"/>
      <c r="F89" s="201">
        <v>86</v>
      </c>
    </row>
    <row r="90" spans="1:6" s="197" customFormat="1" ht="15" x14ac:dyDescent="0.2">
      <c r="A90" s="208">
        <v>45004</v>
      </c>
      <c r="B90" s="212" t="s">
        <v>336</v>
      </c>
      <c r="C90" s="217"/>
      <c r="D90" s="222" t="s">
        <v>303</v>
      </c>
      <c r="E90" s="212"/>
      <c r="F90" s="201">
        <v>87</v>
      </c>
    </row>
    <row r="91" spans="1:6" s="197" customFormat="1" ht="15" x14ac:dyDescent="0.2">
      <c r="A91" s="208">
        <v>45007</v>
      </c>
      <c r="B91" s="212" t="s">
        <v>337</v>
      </c>
      <c r="C91" s="217" t="s">
        <v>338</v>
      </c>
      <c r="D91" s="222" t="s">
        <v>264</v>
      </c>
      <c r="E91" s="212"/>
      <c r="F91" s="201">
        <v>88</v>
      </c>
    </row>
    <row r="92" spans="1:6" s="197" customFormat="1" ht="15" x14ac:dyDescent="0.2">
      <c r="A92" s="208">
        <v>45007</v>
      </c>
      <c r="B92" s="212" t="s">
        <v>337</v>
      </c>
      <c r="C92" s="217" t="s">
        <v>339</v>
      </c>
      <c r="D92" s="222" t="s">
        <v>264</v>
      </c>
      <c r="E92" s="212"/>
      <c r="F92" s="201">
        <v>89</v>
      </c>
    </row>
    <row r="93" spans="1:6" s="197" customFormat="1" ht="15" x14ac:dyDescent="0.2">
      <c r="A93" s="208">
        <v>45006</v>
      </c>
      <c r="B93" s="212" t="s">
        <v>340</v>
      </c>
      <c r="C93" s="217" t="s">
        <v>237</v>
      </c>
      <c r="D93" s="222" t="s">
        <v>275</v>
      </c>
      <c r="E93" s="212"/>
      <c r="F93" s="201">
        <v>92</v>
      </c>
    </row>
    <row r="94" spans="1:6" s="197" customFormat="1" ht="15" x14ac:dyDescent="0.2">
      <c r="A94" s="208">
        <v>45007</v>
      </c>
      <c r="B94" s="212" t="s">
        <v>341</v>
      </c>
      <c r="C94" s="217" t="s">
        <v>342</v>
      </c>
      <c r="D94" s="222" t="s">
        <v>275</v>
      </c>
      <c r="E94" s="212"/>
      <c r="F94" s="201">
        <v>93</v>
      </c>
    </row>
    <row r="95" spans="1:6" s="197" customFormat="1" ht="15" x14ac:dyDescent="0.2">
      <c r="A95" s="208">
        <v>45007</v>
      </c>
      <c r="B95" s="212" t="s">
        <v>212</v>
      </c>
      <c r="C95" s="217" t="s">
        <v>343</v>
      </c>
      <c r="D95" s="222" t="s">
        <v>303</v>
      </c>
      <c r="E95" s="212" t="s">
        <v>344</v>
      </c>
      <c r="F95" s="201">
        <v>94</v>
      </c>
    </row>
    <row r="96" spans="1:6" s="197" customFormat="1" ht="15" x14ac:dyDescent="0.2">
      <c r="A96" s="208">
        <v>45008</v>
      </c>
      <c r="B96" s="212" t="s">
        <v>345</v>
      </c>
      <c r="C96" s="217" t="s">
        <v>237</v>
      </c>
      <c r="D96" s="222" t="s">
        <v>269</v>
      </c>
      <c r="E96" s="212"/>
      <c r="F96" s="201">
        <v>95</v>
      </c>
    </row>
    <row r="97" spans="1:6" s="197" customFormat="1" ht="15" x14ac:dyDescent="0.2">
      <c r="A97" s="208">
        <v>45008</v>
      </c>
      <c r="B97" s="212" t="s">
        <v>346</v>
      </c>
      <c r="C97" s="217" t="s">
        <v>347</v>
      </c>
      <c r="D97" s="222" t="s">
        <v>275</v>
      </c>
      <c r="E97" s="212"/>
      <c r="F97" s="201">
        <v>96</v>
      </c>
    </row>
    <row r="98" spans="1:6" s="197" customFormat="1" ht="15" x14ac:dyDescent="0.2">
      <c r="A98" s="208">
        <v>45008</v>
      </c>
      <c r="B98" s="212" t="s">
        <v>346</v>
      </c>
      <c r="C98" s="217" t="s">
        <v>237</v>
      </c>
      <c r="D98" s="222" t="s">
        <v>264</v>
      </c>
      <c r="E98" s="212"/>
      <c r="F98" s="201">
        <v>97</v>
      </c>
    </row>
    <row r="99" spans="1:6" s="197" customFormat="1" ht="15" x14ac:dyDescent="0.2">
      <c r="A99" s="208">
        <v>45008</v>
      </c>
      <c r="B99" s="212" t="s">
        <v>346</v>
      </c>
      <c r="C99" s="217" t="s">
        <v>237</v>
      </c>
      <c r="D99" s="222" t="s">
        <v>274</v>
      </c>
      <c r="E99" s="212"/>
      <c r="F99" s="201">
        <v>98</v>
      </c>
    </row>
    <row r="100" spans="1:6" s="197" customFormat="1" ht="15" x14ac:dyDescent="0.2">
      <c r="A100" s="208">
        <v>45008</v>
      </c>
      <c r="B100" s="212" t="s">
        <v>345</v>
      </c>
      <c r="C100" s="217" t="s">
        <v>237</v>
      </c>
      <c r="D100" s="222" t="s">
        <v>274</v>
      </c>
      <c r="E100" s="212"/>
      <c r="F100" s="201">
        <v>99</v>
      </c>
    </row>
    <row r="101" spans="1:6" s="197" customFormat="1" ht="15" x14ac:dyDescent="0.2">
      <c r="A101" s="208">
        <v>45008</v>
      </c>
      <c r="B101" s="212" t="s">
        <v>348</v>
      </c>
      <c r="C101" s="217" t="s">
        <v>237</v>
      </c>
      <c r="D101" s="222" t="s">
        <v>274</v>
      </c>
      <c r="E101" s="212"/>
      <c r="F101" s="201">
        <v>100</v>
      </c>
    </row>
    <row r="102" spans="1:6" s="197" customFormat="1" ht="15" x14ac:dyDescent="0.2">
      <c r="A102" s="208">
        <v>45009</v>
      </c>
      <c r="B102" s="212" t="s">
        <v>212</v>
      </c>
      <c r="C102" s="217" t="s">
        <v>237</v>
      </c>
      <c r="D102" s="222" t="s">
        <v>349</v>
      </c>
      <c r="E102" s="212"/>
      <c r="F102" s="201">
        <v>101</v>
      </c>
    </row>
    <row r="103" spans="1:6" s="197" customFormat="1" ht="15" x14ac:dyDescent="0.2">
      <c r="A103" s="208">
        <v>45010</v>
      </c>
      <c r="B103" s="212" t="s">
        <v>346</v>
      </c>
      <c r="C103" s="217" t="s">
        <v>243</v>
      </c>
      <c r="D103" s="222" t="s">
        <v>264</v>
      </c>
      <c r="E103" s="212"/>
      <c r="F103" s="201">
        <v>103</v>
      </c>
    </row>
    <row r="104" spans="1:6" s="197" customFormat="1" ht="15" x14ac:dyDescent="0.2">
      <c r="A104" s="208">
        <v>45010</v>
      </c>
      <c r="B104" s="212" t="s">
        <v>350</v>
      </c>
      <c r="C104" s="217" t="s">
        <v>351</v>
      </c>
      <c r="D104" s="222" t="s">
        <v>275</v>
      </c>
      <c r="E104" s="212"/>
      <c r="F104" s="201">
        <v>104</v>
      </c>
    </row>
    <row r="105" spans="1:6" s="197" customFormat="1" ht="15" x14ac:dyDescent="0.2">
      <c r="A105" s="208">
        <v>45010</v>
      </c>
      <c r="B105" s="212" t="s">
        <v>350</v>
      </c>
      <c r="C105" s="217" t="s">
        <v>352</v>
      </c>
      <c r="D105" s="222" t="s">
        <v>275</v>
      </c>
      <c r="E105" s="212"/>
      <c r="F105" s="201">
        <v>105</v>
      </c>
    </row>
    <row r="106" spans="1:6" s="197" customFormat="1" ht="15" x14ac:dyDescent="0.2">
      <c r="A106" s="208">
        <v>45000</v>
      </c>
      <c r="B106" s="212" t="s">
        <v>346</v>
      </c>
      <c r="C106" s="217" t="s">
        <v>353</v>
      </c>
      <c r="D106" s="222" t="s">
        <v>275</v>
      </c>
      <c r="E106" s="212"/>
      <c r="F106" s="201">
        <v>106</v>
      </c>
    </row>
    <row r="107" spans="1:6" s="197" customFormat="1" ht="15" x14ac:dyDescent="0.2">
      <c r="A107" s="208">
        <v>45011</v>
      </c>
      <c r="B107" s="212" t="s">
        <v>346</v>
      </c>
      <c r="C107" s="217" t="s">
        <v>354</v>
      </c>
      <c r="D107" s="222" t="s">
        <v>275</v>
      </c>
      <c r="E107" s="212"/>
      <c r="F107" s="201">
        <v>107</v>
      </c>
    </row>
    <row r="108" spans="1:6" s="197" customFormat="1" ht="15" x14ac:dyDescent="0.2">
      <c r="A108" s="208">
        <v>45011</v>
      </c>
      <c r="B108" s="212" t="s">
        <v>350</v>
      </c>
      <c r="C108" s="217" t="s">
        <v>355</v>
      </c>
      <c r="D108" s="222" t="s">
        <v>264</v>
      </c>
      <c r="E108" s="212"/>
      <c r="F108" s="201">
        <v>108</v>
      </c>
    </row>
    <row r="109" spans="1:6" s="197" customFormat="1" ht="15" x14ac:dyDescent="0.2">
      <c r="A109" s="208">
        <v>45012</v>
      </c>
      <c r="B109" s="212" t="s">
        <v>345</v>
      </c>
      <c r="C109" s="217" t="s">
        <v>237</v>
      </c>
      <c r="D109" s="222" t="s">
        <v>269</v>
      </c>
      <c r="E109" s="212"/>
      <c r="F109" s="201">
        <v>111</v>
      </c>
    </row>
    <row r="110" spans="1:6" s="197" customFormat="1" ht="15" x14ac:dyDescent="0.2">
      <c r="A110" s="208">
        <v>45012</v>
      </c>
      <c r="B110" s="212" t="s">
        <v>345</v>
      </c>
      <c r="C110" s="217" t="s">
        <v>356</v>
      </c>
      <c r="D110" s="222" t="s">
        <v>274</v>
      </c>
      <c r="E110" s="212"/>
      <c r="F110" s="201">
        <v>114</v>
      </c>
    </row>
    <row r="111" spans="1:6" s="197" customFormat="1" ht="15" x14ac:dyDescent="0.2">
      <c r="A111" s="208">
        <v>45011</v>
      </c>
      <c r="B111" s="212" t="s">
        <v>350</v>
      </c>
      <c r="C111" s="217" t="s">
        <v>237</v>
      </c>
      <c r="D111" s="222" t="s">
        <v>275</v>
      </c>
      <c r="E111" s="212"/>
      <c r="F111" s="201">
        <v>115</v>
      </c>
    </row>
    <row r="112" spans="1:6" s="197" customFormat="1" ht="15" x14ac:dyDescent="0.2">
      <c r="A112" s="208">
        <v>45012</v>
      </c>
      <c r="B112" s="212" t="s">
        <v>209</v>
      </c>
      <c r="C112" s="217" t="s">
        <v>237</v>
      </c>
      <c r="D112" s="222" t="s">
        <v>275</v>
      </c>
      <c r="E112" s="212"/>
      <c r="F112" s="201">
        <v>116</v>
      </c>
    </row>
    <row r="113" spans="1:6" s="197" customFormat="1" ht="15" x14ac:dyDescent="0.2">
      <c r="A113" s="208">
        <v>45011</v>
      </c>
      <c r="B113" s="212" t="s">
        <v>357</v>
      </c>
      <c r="C113" s="217" t="s">
        <v>358</v>
      </c>
      <c r="D113" s="222" t="s">
        <v>274</v>
      </c>
      <c r="E113" s="212"/>
      <c r="F113" s="201">
        <v>121</v>
      </c>
    </row>
    <row r="114" spans="1:6" s="197" customFormat="1" ht="15" x14ac:dyDescent="0.2">
      <c r="A114" s="208">
        <v>45012</v>
      </c>
      <c r="B114" s="212" t="s">
        <v>359</v>
      </c>
      <c r="C114" s="217" t="s">
        <v>237</v>
      </c>
      <c r="D114" s="222" t="s">
        <v>269</v>
      </c>
      <c r="E114" s="212" t="s">
        <v>360</v>
      </c>
      <c r="F114" s="201">
        <v>123</v>
      </c>
    </row>
    <row r="115" spans="1:6" s="197" customFormat="1" ht="15" x14ac:dyDescent="0.2">
      <c r="A115" s="208">
        <v>45011</v>
      </c>
      <c r="B115" s="212" t="s">
        <v>361</v>
      </c>
      <c r="C115" s="217" t="s">
        <v>358</v>
      </c>
      <c r="D115" s="222" t="s">
        <v>264</v>
      </c>
      <c r="E115" s="212"/>
      <c r="F115" s="201">
        <v>128</v>
      </c>
    </row>
    <row r="116" spans="1:6" s="197" customFormat="1" ht="15" x14ac:dyDescent="0.2">
      <c r="A116" s="208">
        <v>45011</v>
      </c>
      <c r="B116" s="212" t="s">
        <v>212</v>
      </c>
      <c r="C116" s="217" t="s">
        <v>237</v>
      </c>
      <c r="D116" s="222" t="s">
        <v>264</v>
      </c>
      <c r="E116" s="212"/>
      <c r="F116" s="201">
        <v>129</v>
      </c>
    </row>
    <row r="117" spans="1:6" s="197" customFormat="1" ht="15" x14ac:dyDescent="0.2">
      <c r="A117" s="208">
        <v>45011</v>
      </c>
      <c r="B117" s="212" t="s">
        <v>362</v>
      </c>
      <c r="C117" s="217" t="s">
        <v>237</v>
      </c>
      <c r="D117" s="222" t="s">
        <v>264</v>
      </c>
      <c r="E117" s="212"/>
      <c r="F117" s="201">
        <v>130</v>
      </c>
    </row>
    <row r="118" spans="1:6" s="197" customFormat="1" ht="15" x14ac:dyDescent="0.2">
      <c r="A118" s="208">
        <v>45011</v>
      </c>
      <c r="B118" s="212" t="s">
        <v>363</v>
      </c>
      <c r="C118" s="217" t="s">
        <v>358</v>
      </c>
      <c r="D118" s="222" t="s">
        <v>275</v>
      </c>
      <c r="E118" s="212"/>
      <c r="F118" s="201">
        <v>131</v>
      </c>
    </row>
    <row r="119" spans="1:6" s="197" customFormat="1" ht="15" x14ac:dyDescent="0.2">
      <c r="A119" s="208">
        <v>45011</v>
      </c>
      <c r="B119" s="212" t="s">
        <v>364</v>
      </c>
      <c r="C119" s="217" t="s">
        <v>237</v>
      </c>
      <c r="D119" s="222" t="s">
        <v>275</v>
      </c>
      <c r="E119" s="212"/>
      <c r="F119" s="201">
        <v>132</v>
      </c>
    </row>
    <row r="120" spans="1:6" s="197" customFormat="1" ht="15" x14ac:dyDescent="0.2">
      <c r="A120" s="208">
        <v>45019</v>
      </c>
      <c r="B120" s="212" t="s">
        <v>212</v>
      </c>
      <c r="C120" s="217" t="s">
        <v>365</v>
      </c>
      <c r="D120" s="222" t="s">
        <v>264</v>
      </c>
      <c r="E120" s="212"/>
      <c r="F120" s="201">
        <v>133</v>
      </c>
    </row>
    <row r="121" spans="1:6" s="197" customFormat="1" ht="15" x14ac:dyDescent="0.2">
      <c r="A121" s="208">
        <v>45019</v>
      </c>
      <c r="B121" s="212" t="s">
        <v>359</v>
      </c>
      <c r="C121" s="217" t="s">
        <v>366</v>
      </c>
      <c r="D121" s="222" t="s">
        <v>264</v>
      </c>
      <c r="E121" s="212"/>
      <c r="F121" s="201">
        <v>135</v>
      </c>
    </row>
    <row r="122" spans="1:6" s="197" customFormat="1" ht="15" x14ac:dyDescent="0.2">
      <c r="A122" s="208">
        <v>45019</v>
      </c>
      <c r="B122" s="212" t="s">
        <v>367</v>
      </c>
      <c r="C122" s="217" t="s">
        <v>366</v>
      </c>
      <c r="D122" s="222" t="s">
        <v>303</v>
      </c>
      <c r="E122" s="212"/>
      <c r="F122" s="201">
        <v>136</v>
      </c>
    </row>
    <row r="123" spans="1:6" s="197" customFormat="1" ht="15" x14ac:dyDescent="0.2">
      <c r="A123" s="208">
        <v>45020</v>
      </c>
      <c r="B123" s="212" t="s">
        <v>212</v>
      </c>
      <c r="C123" s="217" t="s">
        <v>366</v>
      </c>
      <c r="D123" s="222" t="s">
        <v>368</v>
      </c>
      <c r="E123" s="212"/>
      <c r="F123" s="201">
        <v>137</v>
      </c>
    </row>
    <row r="124" spans="1:6" s="197" customFormat="1" ht="15" x14ac:dyDescent="0.2">
      <c r="A124" s="208">
        <v>45020</v>
      </c>
      <c r="B124" s="212" t="s">
        <v>369</v>
      </c>
      <c r="C124" s="217" t="s">
        <v>366</v>
      </c>
      <c r="D124" s="222" t="s">
        <v>368</v>
      </c>
      <c r="E124" s="212"/>
      <c r="F124" s="201">
        <v>138</v>
      </c>
    </row>
    <row r="125" spans="1:6" s="197" customFormat="1" ht="15" x14ac:dyDescent="0.2">
      <c r="A125" s="208">
        <v>45021</v>
      </c>
      <c r="B125" s="212" t="s">
        <v>370</v>
      </c>
      <c r="C125" s="217" t="s">
        <v>371</v>
      </c>
      <c r="D125" s="222" t="s">
        <v>372</v>
      </c>
      <c r="E125" s="212"/>
      <c r="F125" s="201">
        <v>140</v>
      </c>
    </row>
    <row r="126" spans="1:6" s="197" customFormat="1" ht="15" x14ac:dyDescent="0.2">
      <c r="A126" s="208">
        <v>45021</v>
      </c>
      <c r="B126" s="212" t="s">
        <v>376</v>
      </c>
      <c r="C126" s="217" t="s">
        <v>377</v>
      </c>
      <c r="D126" s="222" t="s">
        <v>275</v>
      </c>
      <c r="E126" s="212"/>
      <c r="F126" s="201">
        <v>143</v>
      </c>
    </row>
    <row r="127" spans="1:6" s="197" customFormat="1" ht="15" x14ac:dyDescent="0.2">
      <c r="A127" s="208">
        <v>45021</v>
      </c>
      <c r="B127" s="212" t="s">
        <v>209</v>
      </c>
      <c r="C127" s="217" t="s">
        <v>378</v>
      </c>
      <c r="D127" s="222" t="s">
        <v>372</v>
      </c>
      <c r="E127" s="212"/>
      <c r="F127" s="201">
        <v>144</v>
      </c>
    </row>
    <row r="128" spans="1:6" s="197" customFormat="1" ht="15" x14ac:dyDescent="0.2">
      <c r="A128" s="208">
        <v>45021</v>
      </c>
      <c r="B128" s="212" t="s">
        <v>379</v>
      </c>
      <c r="C128" s="217" t="s">
        <v>380</v>
      </c>
      <c r="D128" s="222" t="s">
        <v>275</v>
      </c>
      <c r="E128" s="212"/>
      <c r="F128" s="201">
        <v>145</v>
      </c>
    </row>
    <row r="129" spans="1:6" s="197" customFormat="1" ht="15" x14ac:dyDescent="0.2">
      <c r="A129" s="208">
        <v>45021</v>
      </c>
      <c r="B129" s="212" t="s">
        <v>359</v>
      </c>
      <c r="C129" s="217" t="s">
        <v>375</v>
      </c>
      <c r="D129" s="222" t="s">
        <v>264</v>
      </c>
      <c r="E129" s="212"/>
      <c r="F129" s="201">
        <v>142</v>
      </c>
    </row>
    <row r="130" spans="1:6" s="197" customFormat="1" ht="15" x14ac:dyDescent="0.2">
      <c r="A130" s="208">
        <v>45020</v>
      </c>
      <c r="B130" s="212" t="s">
        <v>373</v>
      </c>
      <c r="C130" s="217" t="s">
        <v>374</v>
      </c>
      <c r="D130" s="222" t="s">
        <v>264</v>
      </c>
      <c r="E130" s="212"/>
      <c r="F130" s="201">
        <v>141</v>
      </c>
    </row>
    <row r="131" spans="1:6" s="197" customFormat="1" ht="15" x14ac:dyDescent="0.2">
      <c r="A131" s="208">
        <v>45021</v>
      </c>
      <c r="B131" s="212" t="s">
        <v>362</v>
      </c>
      <c r="C131" s="217" t="s">
        <v>237</v>
      </c>
      <c r="D131" s="222" t="s">
        <v>275</v>
      </c>
      <c r="E131" s="212"/>
      <c r="F131" s="201">
        <v>146</v>
      </c>
    </row>
    <row r="132" spans="1:6" s="197" customFormat="1" ht="15" x14ac:dyDescent="0.2">
      <c r="A132" s="208">
        <v>45021</v>
      </c>
      <c r="B132" s="212" t="s">
        <v>381</v>
      </c>
      <c r="C132" s="217" t="s">
        <v>237</v>
      </c>
      <c r="D132" s="222" t="s">
        <v>264</v>
      </c>
      <c r="E132" s="212"/>
      <c r="F132" s="201">
        <v>147</v>
      </c>
    </row>
    <row r="133" spans="1:6" s="197" customFormat="1" ht="15" x14ac:dyDescent="0.2">
      <c r="A133" s="208">
        <v>45022</v>
      </c>
      <c r="B133" s="212" t="s">
        <v>382</v>
      </c>
      <c r="C133" s="217" t="s">
        <v>383</v>
      </c>
      <c r="D133" s="222" t="s">
        <v>274</v>
      </c>
      <c r="E133" s="212"/>
      <c r="F133" s="201">
        <v>148</v>
      </c>
    </row>
    <row r="134" spans="1:6" s="197" customFormat="1" ht="30" x14ac:dyDescent="0.2">
      <c r="A134" s="208">
        <v>45022</v>
      </c>
      <c r="B134" s="212" t="s">
        <v>348</v>
      </c>
      <c r="C134" s="217" t="s">
        <v>384</v>
      </c>
      <c r="D134" s="222" t="s">
        <v>385</v>
      </c>
      <c r="E134" s="212" t="s">
        <v>386</v>
      </c>
      <c r="F134" s="201">
        <v>150</v>
      </c>
    </row>
    <row r="135" spans="1:6" s="197" customFormat="1" ht="15" x14ac:dyDescent="0.2">
      <c r="A135" s="208">
        <v>45022</v>
      </c>
      <c r="B135" s="212" t="s">
        <v>367</v>
      </c>
      <c r="C135" s="217" t="s">
        <v>387</v>
      </c>
      <c r="D135" s="222" t="s">
        <v>269</v>
      </c>
      <c r="E135" s="212"/>
      <c r="F135" s="201">
        <v>151</v>
      </c>
    </row>
    <row r="136" spans="1:6" s="197" customFormat="1" ht="15" x14ac:dyDescent="0.2">
      <c r="A136" s="208">
        <v>45022</v>
      </c>
      <c r="B136" s="212" t="s">
        <v>388</v>
      </c>
      <c r="C136" s="217" t="s">
        <v>237</v>
      </c>
      <c r="D136" s="222" t="s">
        <v>323</v>
      </c>
      <c r="E136" s="212"/>
      <c r="F136" s="201">
        <v>152</v>
      </c>
    </row>
    <row r="137" spans="1:6" s="197" customFormat="1" ht="15" x14ac:dyDescent="0.2">
      <c r="A137" s="208">
        <v>45022</v>
      </c>
      <c r="B137" s="212" t="s">
        <v>348</v>
      </c>
      <c r="C137" s="217" t="s">
        <v>389</v>
      </c>
      <c r="D137" s="222" t="s">
        <v>335</v>
      </c>
      <c r="E137" s="212"/>
      <c r="F137" s="201">
        <v>153</v>
      </c>
    </row>
    <row r="138" spans="1:6" s="197" customFormat="1" ht="15" x14ac:dyDescent="0.2">
      <c r="A138" s="208">
        <v>45022</v>
      </c>
      <c r="B138" s="212" t="s">
        <v>390</v>
      </c>
      <c r="C138" s="217" t="s">
        <v>237</v>
      </c>
      <c r="D138" s="222" t="s">
        <v>280</v>
      </c>
      <c r="E138" s="212"/>
      <c r="F138" s="201">
        <v>154</v>
      </c>
    </row>
    <row r="139" spans="1:6" s="197" customFormat="1" ht="15" x14ac:dyDescent="0.2">
      <c r="A139" s="208">
        <v>45022</v>
      </c>
      <c r="B139" s="212" t="s">
        <v>359</v>
      </c>
      <c r="C139" s="217" t="s">
        <v>391</v>
      </c>
      <c r="D139" s="222" t="s">
        <v>392</v>
      </c>
      <c r="E139" s="212"/>
      <c r="F139" s="201">
        <v>155</v>
      </c>
    </row>
    <row r="140" spans="1:6" s="197" customFormat="1" ht="15" x14ac:dyDescent="0.2">
      <c r="A140" s="208">
        <v>45022</v>
      </c>
      <c r="B140" s="212" t="s">
        <v>393</v>
      </c>
      <c r="C140" s="217" t="s">
        <v>394</v>
      </c>
      <c r="D140" s="222" t="s">
        <v>395</v>
      </c>
      <c r="E140" s="212"/>
      <c r="F140" s="201">
        <v>156</v>
      </c>
    </row>
    <row r="141" spans="1:6" s="197" customFormat="1" ht="15" x14ac:dyDescent="0.2">
      <c r="A141" s="208">
        <v>45022</v>
      </c>
      <c r="B141" s="212" t="s">
        <v>396</v>
      </c>
      <c r="C141" s="217" t="s">
        <v>237</v>
      </c>
      <c r="D141" s="222" t="s">
        <v>332</v>
      </c>
      <c r="E141" s="212"/>
      <c r="F141" s="201">
        <v>157</v>
      </c>
    </row>
    <row r="142" spans="1:6" s="197" customFormat="1" ht="15" x14ac:dyDescent="0.2">
      <c r="A142" s="208">
        <v>45022</v>
      </c>
      <c r="B142" s="212" t="s">
        <v>397</v>
      </c>
      <c r="C142" s="217" t="s">
        <v>237</v>
      </c>
      <c r="D142" s="222" t="s">
        <v>275</v>
      </c>
      <c r="E142" s="212"/>
      <c r="F142" s="201">
        <v>158</v>
      </c>
    </row>
    <row r="143" spans="1:6" s="197" customFormat="1" ht="15" x14ac:dyDescent="0.2">
      <c r="A143" s="208">
        <v>45022</v>
      </c>
      <c r="B143" s="212" t="s">
        <v>398</v>
      </c>
      <c r="C143" s="217" t="s">
        <v>237</v>
      </c>
      <c r="D143" s="222" t="s">
        <v>275</v>
      </c>
      <c r="E143" s="212"/>
      <c r="F143" s="201">
        <v>159</v>
      </c>
    </row>
    <row r="144" spans="1:6" s="197" customFormat="1" ht="15" x14ac:dyDescent="0.2">
      <c r="A144" s="208">
        <v>45022</v>
      </c>
      <c r="B144" s="212" t="s">
        <v>399</v>
      </c>
      <c r="C144" s="217" t="s">
        <v>237</v>
      </c>
      <c r="D144" s="222" t="s">
        <v>275</v>
      </c>
      <c r="E144" s="212"/>
      <c r="F144" s="201">
        <v>160</v>
      </c>
    </row>
    <row r="145" spans="1:6" s="197" customFormat="1" ht="15" x14ac:dyDescent="0.2">
      <c r="A145" s="208">
        <v>45022</v>
      </c>
      <c r="B145" s="212" t="s">
        <v>400</v>
      </c>
      <c r="C145" s="217" t="s">
        <v>237</v>
      </c>
      <c r="D145" s="222" t="s">
        <v>289</v>
      </c>
      <c r="E145" s="212"/>
      <c r="F145" s="201">
        <v>161</v>
      </c>
    </row>
    <row r="146" spans="1:6" s="197" customFormat="1" ht="15" x14ac:dyDescent="0.2">
      <c r="A146" s="208">
        <v>45022</v>
      </c>
      <c r="B146" s="212" t="s">
        <v>401</v>
      </c>
      <c r="C146" s="217" t="s">
        <v>237</v>
      </c>
      <c r="D146" s="222" t="s">
        <v>275</v>
      </c>
      <c r="E146" s="212"/>
      <c r="F146" s="201">
        <v>162</v>
      </c>
    </row>
    <row r="147" spans="1:6" s="197" customFormat="1" ht="15" x14ac:dyDescent="0.2">
      <c r="A147" s="208">
        <v>45022</v>
      </c>
      <c r="B147" s="212" t="s">
        <v>367</v>
      </c>
      <c r="C147" s="217" t="s">
        <v>402</v>
      </c>
      <c r="D147" s="222" t="s">
        <v>264</v>
      </c>
      <c r="E147" s="212"/>
      <c r="F147" s="201">
        <v>163</v>
      </c>
    </row>
    <row r="148" spans="1:6" s="197" customFormat="1" ht="15" x14ac:dyDescent="0.2">
      <c r="A148" s="208">
        <v>45022</v>
      </c>
      <c r="B148" s="212" t="s">
        <v>403</v>
      </c>
      <c r="C148" s="217" t="s">
        <v>237</v>
      </c>
      <c r="D148" s="222" t="s">
        <v>275</v>
      </c>
      <c r="E148" s="212"/>
      <c r="F148" s="201">
        <v>164</v>
      </c>
    </row>
    <row r="149" spans="1:6" s="197" customFormat="1" ht="15" x14ac:dyDescent="0.2">
      <c r="A149" s="208">
        <v>45021</v>
      </c>
      <c r="B149" s="212" t="s">
        <v>398</v>
      </c>
      <c r="C149" s="217" t="s">
        <v>237</v>
      </c>
      <c r="D149" s="222" t="s">
        <v>275</v>
      </c>
      <c r="E149" s="212"/>
      <c r="F149" s="201">
        <v>165</v>
      </c>
    </row>
    <row r="150" spans="1:6" s="197" customFormat="1" ht="15" x14ac:dyDescent="0.2">
      <c r="A150" s="208">
        <v>45025</v>
      </c>
      <c r="B150" s="212" t="s">
        <v>212</v>
      </c>
      <c r="C150" s="217" t="s">
        <v>404</v>
      </c>
      <c r="D150" s="222" t="s">
        <v>275</v>
      </c>
      <c r="E150" s="212"/>
      <c r="F150" s="201">
        <v>166</v>
      </c>
    </row>
    <row r="151" spans="1:6" s="197" customFormat="1" ht="15" x14ac:dyDescent="0.2">
      <c r="A151" s="208">
        <v>45025</v>
      </c>
      <c r="B151" s="212" t="s">
        <v>348</v>
      </c>
      <c r="C151" s="217" t="s">
        <v>237</v>
      </c>
      <c r="D151" s="222" t="s">
        <v>264</v>
      </c>
      <c r="E151" s="212"/>
      <c r="F151" s="201">
        <v>167</v>
      </c>
    </row>
    <row r="152" spans="1:6" s="197" customFormat="1" ht="15" x14ac:dyDescent="0.2">
      <c r="A152" s="208">
        <v>45019</v>
      </c>
      <c r="B152" s="212" t="s">
        <v>212</v>
      </c>
      <c r="C152" s="217" t="s">
        <v>365</v>
      </c>
      <c r="D152" s="222" t="s">
        <v>264</v>
      </c>
      <c r="E152" s="212"/>
      <c r="F152" s="201">
        <v>133</v>
      </c>
    </row>
    <row r="153" spans="1:6" s="197" customFormat="1" ht="15" x14ac:dyDescent="0.2">
      <c r="A153" s="208">
        <v>45019</v>
      </c>
      <c r="B153" s="212" t="s">
        <v>359</v>
      </c>
      <c r="C153" s="217" t="s">
        <v>366</v>
      </c>
      <c r="D153" s="222" t="s">
        <v>264</v>
      </c>
      <c r="E153" s="212"/>
      <c r="F153" s="201">
        <v>135</v>
      </c>
    </row>
    <row r="154" spans="1:6" s="197" customFormat="1" ht="15" x14ac:dyDescent="0.2">
      <c r="A154" s="208">
        <v>45019</v>
      </c>
      <c r="B154" s="212" t="s">
        <v>367</v>
      </c>
      <c r="C154" s="217" t="s">
        <v>366</v>
      </c>
      <c r="D154" s="222" t="s">
        <v>303</v>
      </c>
      <c r="E154" s="212"/>
      <c r="F154" s="201">
        <v>136</v>
      </c>
    </row>
    <row r="155" spans="1:6" s="197" customFormat="1" ht="15" x14ac:dyDescent="0.2">
      <c r="A155" s="208">
        <v>45020</v>
      </c>
      <c r="B155" s="212" t="s">
        <v>212</v>
      </c>
      <c r="C155" s="217" t="s">
        <v>366</v>
      </c>
      <c r="D155" s="222" t="s">
        <v>368</v>
      </c>
      <c r="E155" s="212"/>
      <c r="F155" s="201">
        <v>137</v>
      </c>
    </row>
    <row r="156" spans="1:6" s="197" customFormat="1" ht="15" x14ac:dyDescent="0.2">
      <c r="A156" s="208">
        <v>45020</v>
      </c>
      <c r="B156" s="212" t="s">
        <v>369</v>
      </c>
      <c r="C156" s="217" t="s">
        <v>366</v>
      </c>
      <c r="D156" s="222" t="s">
        <v>368</v>
      </c>
      <c r="E156" s="212"/>
      <c r="F156" s="201">
        <v>138</v>
      </c>
    </row>
    <row r="157" spans="1:6" s="197" customFormat="1" ht="15" x14ac:dyDescent="0.2">
      <c r="A157" s="208">
        <v>45021</v>
      </c>
      <c r="B157" s="212" t="s">
        <v>370</v>
      </c>
      <c r="C157" s="217" t="s">
        <v>371</v>
      </c>
      <c r="D157" s="222" t="s">
        <v>372</v>
      </c>
      <c r="E157" s="212"/>
      <c r="F157" s="201">
        <v>140</v>
      </c>
    </row>
    <row r="158" spans="1:6" s="197" customFormat="1" ht="15" x14ac:dyDescent="0.2">
      <c r="A158" s="208">
        <v>45020</v>
      </c>
      <c r="B158" s="212" t="s">
        <v>373</v>
      </c>
      <c r="C158" s="217" t="s">
        <v>374</v>
      </c>
      <c r="D158" s="222" t="s">
        <v>264</v>
      </c>
      <c r="E158" s="212"/>
      <c r="F158" s="201">
        <v>141</v>
      </c>
    </row>
    <row r="159" spans="1:6" s="197" customFormat="1" ht="15" x14ac:dyDescent="0.2">
      <c r="A159" s="208">
        <v>45021</v>
      </c>
      <c r="B159" s="212" t="s">
        <v>359</v>
      </c>
      <c r="C159" s="217" t="s">
        <v>375</v>
      </c>
      <c r="D159" s="222" t="s">
        <v>264</v>
      </c>
      <c r="E159" s="212"/>
      <c r="F159" s="201">
        <v>142</v>
      </c>
    </row>
    <row r="160" spans="1:6" s="197" customFormat="1" ht="15" x14ac:dyDescent="0.2">
      <c r="A160" s="208">
        <v>45021</v>
      </c>
      <c r="B160" s="212" t="s">
        <v>376</v>
      </c>
      <c r="C160" s="217" t="s">
        <v>377</v>
      </c>
      <c r="D160" s="222" t="s">
        <v>275</v>
      </c>
      <c r="E160" s="212"/>
      <c r="F160" s="201">
        <v>143</v>
      </c>
    </row>
    <row r="161" spans="1:6" s="197" customFormat="1" ht="15" x14ac:dyDescent="0.2">
      <c r="A161" s="208">
        <v>45021</v>
      </c>
      <c r="B161" s="212" t="s">
        <v>209</v>
      </c>
      <c r="C161" s="217" t="s">
        <v>378</v>
      </c>
      <c r="D161" s="222" t="s">
        <v>372</v>
      </c>
      <c r="E161" s="212"/>
      <c r="F161" s="201">
        <v>144</v>
      </c>
    </row>
    <row r="162" spans="1:6" s="197" customFormat="1" ht="15" x14ac:dyDescent="0.2">
      <c r="A162" s="208">
        <v>45021</v>
      </c>
      <c r="B162" s="212" t="s">
        <v>379</v>
      </c>
      <c r="C162" s="217" t="s">
        <v>380</v>
      </c>
      <c r="D162" s="222" t="s">
        <v>275</v>
      </c>
      <c r="E162" s="212"/>
      <c r="F162" s="201">
        <v>145</v>
      </c>
    </row>
    <row r="163" spans="1:6" s="197" customFormat="1" ht="15" x14ac:dyDescent="0.2">
      <c r="A163" s="208">
        <v>45021</v>
      </c>
      <c r="B163" s="212" t="s">
        <v>362</v>
      </c>
      <c r="C163" s="217" t="s">
        <v>237</v>
      </c>
      <c r="D163" s="222" t="s">
        <v>275</v>
      </c>
      <c r="E163" s="212"/>
      <c r="F163" s="201">
        <v>146</v>
      </c>
    </row>
    <row r="164" spans="1:6" s="197" customFormat="1" ht="15" x14ac:dyDescent="0.2">
      <c r="A164" s="208">
        <v>45021</v>
      </c>
      <c r="B164" s="212" t="s">
        <v>381</v>
      </c>
      <c r="C164" s="217" t="s">
        <v>237</v>
      </c>
      <c r="D164" s="222" t="s">
        <v>264</v>
      </c>
      <c r="E164" s="212"/>
      <c r="F164" s="201">
        <v>147</v>
      </c>
    </row>
    <row r="165" spans="1:6" s="197" customFormat="1" ht="15" x14ac:dyDescent="0.2">
      <c r="A165" s="208">
        <v>45022</v>
      </c>
      <c r="B165" s="212" t="s">
        <v>382</v>
      </c>
      <c r="C165" s="217" t="s">
        <v>383</v>
      </c>
      <c r="D165" s="222" t="s">
        <v>274</v>
      </c>
      <c r="E165" s="212"/>
      <c r="F165" s="201">
        <v>148</v>
      </c>
    </row>
    <row r="166" spans="1:6" s="197" customFormat="1" ht="15" x14ac:dyDescent="0.2">
      <c r="A166" s="208">
        <v>45022</v>
      </c>
      <c r="B166" s="212" t="s">
        <v>209</v>
      </c>
      <c r="C166" s="217" t="s">
        <v>405</v>
      </c>
      <c r="D166" s="222" t="s">
        <v>274</v>
      </c>
      <c r="E166" s="212"/>
      <c r="F166" s="201">
        <v>149</v>
      </c>
    </row>
    <row r="167" spans="1:6" s="197" customFormat="1" ht="30" x14ac:dyDescent="0.2">
      <c r="A167" s="208">
        <v>45022</v>
      </c>
      <c r="B167" s="212" t="s">
        <v>348</v>
      </c>
      <c r="C167" s="217" t="s">
        <v>384</v>
      </c>
      <c r="D167" s="222" t="s">
        <v>385</v>
      </c>
      <c r="E167" s="212" t="s">
        <v>386</v>
      </c>
      <c r="F167" s="201">
        <v>150</v>
      </c>
    </row>
    <row r="168" spans="1:6" s="197" customFormat="1" ht="15" x14ac:dyDescent="0.2">
      <c r="A168" s="208">
        <v>45022</v>
      </c>
      <c r="B168" s="212" t="s">
        <v>367</v>
      </c>
      <c r="C168" s="217" t="s">
        <v>387</v>
      </c>
      <c r="D168" s="222" t="s">
        <v>269</v>
      </c>
      <c r="E168" s="212"/>
      <c r="F168" s="201">
        <v>151</v>
      </c>
    </row>
    <row r="169" spans="1:6" s="197" customFormat="1" ht="15" x14ac:dyDescent="0.2">
      <c r="A169" s="208">
        <v>45022</v>
      </c>
      <c r="B169" s="212" t="s">
        <v>388</v>
      </c>
      <c r="C169" s="217" t="s">
        <v>237</v>
      </c>
      <c r="D169" s="222" t="s">
        <v>323</v>
      </c>
      <c r="E169" s="212"/>
      <c r="F169" s="201">
        <v>152</v>
      </c>
    </row>
    <row r="170" spans="1:6" s="197" customFormat="1" ht="15" x14ac:dyDescent="0.2">
      <c r="A170" s="208">
        <v>45022</v>
      </c>
      <c r="B170" s="212" t="s">
        <v>348</v>
      </c>
      <c r="C170" s="217" t="s">
        <v>389</v>
      </c>
      <c r="D170" s="222" t="s">
        <v>335</v>
      </c>
      <c r="E170" s="212"/>
      <c r="F170" s="201">
        <v>153</v>
      </c>
    </row>
    <row r="171" spans="1:6" s="197" customFormat="1" ht="15" x14ac:dyDescent="0.2">
      <c r="A171" s="208">
        <v>45022</v>
      </c>
      <c r="B171" s="212" t="s">
        <v>390</v>
      </c>
      <c r="C171" s="217" t="s">
        <v>237</v>
      </c>
      <c r="D171" s="222" t="s">
        <v>280</v>
      </c>
      <c r="E171" s="212"/>
      <c r="F171" s="201">
        <v>154</v>
      </c>
    </row>
    <row r="172" spans="1:6" s="197" customFormat="1" ht="15" x14ac:dyDescent="0.2">
      <c r="A172" s="208">
        <v>45022</v>
      </c>
      <c r="B172" s="212" t="s">
        <v>359</v>
      </c>
      <c r="C172" s="217" t="s">
        <v>391</v>
      </c>
      <c r="D172" s="222" t="s">
        <v>392</v>
      </c>
      <c r="E172" s="212"/>
      <c r="F172" s="201">
        <v>155</v>
      </c>
    </row>
    <row r="173" spans="1:6" s="197" customFormat="1" ht="15" x14ac:dyDescent="0.2">
      <c r="A173" s="208">
        <v>45022</v>
      </c>
      <c r="B173" s="212" t="s">
        <v>393</v>
      </c>
      <c r="C173" s="217" t="s">
        <v>394</v>
      </c>
      <c r="D173" s="222" t="s">
        <v>395</v>
      </c>
      <c r="E173" s="212"/>
      <c r="F173" s="201">
        <v>156</v>
      </c>
    </row>
    <row r="174" spans="1:6" s="197" customFormat="1" ht="15" x14ac:dyDescent="0.2">
      <c r="A174" s="208">
        <v>45022</v>
      </c>
      <c r="B174" s="212" t="s">
        <v>396</v>
      </c>
      <c r="C174" s="217" t="s">
        <v>237</v>
      </c>
      <c r="D174" s="222" t="s">
        <v>332</v>
      </c>
      <c r="E174" s="212"/>
      <c r="F174" s="201">
        <v>157</v>
      </c>
    </row>
    <row r="175" spans="1:6" s="197" customFormat="1" ht="15" x14ac:dyDescent="0.2">
      <c r="A175" s="208">
        <v>45022</v>
      </c>
      <c r="B175" s="212" t="s">
        <v>397</v>
      </c>
      <c r="C175" s="217" t="s">
        <v>237</v>
      </c>
      <c r="D175" s="222" t="s">
        <v>275</v>
      </c>
      <c r="E175" s="212"/>
      <c r="F175" s="201">
        <v>158</v>
      </c>
    </row>
    <row r="176" spans="1:6" s="197" customFormat="1" ht="15" x14ac:dyDescent="0.2">
      <c r="A176" s="208">
        <v>45022</v>
      </c>
      <c r="B176" s="212" t="s">
        <v>398</v>
      </c>
      <c r="C176" s="217" t="s">
        <v>237</v>
      </c>
      <c r="D176" s="222" t="s">
        <v>275</v>
      </c>
      <c r="E176" s="212"/>
      <c r="F176" s="201">
        <v>159</v>
      </c>
    </row>
    <row r="177" spans="1:6" s="197" customFormat="1" ht="15" x14ac:dyDescent="0.2">
      <c r="A177" s="208">
        <v>45022</v>
      </c>
      <c r="B177" s="212" t="s">
        <v>399</v>
      </c>
      <c r="C177" s="217" t="s">
        <v>237</v>
      </c>
      <c r="D177" s="222" t="s">
        <v>275</v>
      </c>
      <c r="E177" s="212"/>
      <c r="F177" s="201">
        <v>160</v>
      </c>
    </row>
    <row r="178" spans="1:6" s="197" customFormat="1" ht="15" x14ac:dyDescent="0.2">
      <c r="A178" s="208">
        <v>45022</v>
      </c>
      <c r="B178" s="212" t="s">
        <v>400</v>
      </c>
      <c r="C178" s="217" t="s">
        <v>237</v>
      </c>
      <c r="D178" s="222" t="s">
        <v>289</v>
      </c>
      <c r="E178" s="212"/>
      <c r="F178" s="201">
        <v>161</v>
      </c>
    </row>
    <row r="179" spans="1:6" s="197" customFormat="1" ht="15" x14ac:dyDescent="0.2">
      <c r="A179" s="208">
        <v>45022</v>
      </c>
      <c r="B179" s="212" t="s">
        <v>401</v>
      </c>
      <c r="C179" s="217" t="s">
        <v>237</v>
      </c>
      <c r="D179" s="222" t="s">
        <v>275</v>
      </c>
      <c r="E179" s="212"/>
      <c r="F179" s="201">
        <v>162</v>
      </c>
    </row>
    <row r="180" spans="1:6" s="197" customFormat="1" ht="15" x14ac:dyDescent="0.2">
      <c r="A180" s="208">
        <v>45022</v>
      </c>
      <c r="B180" s="212" t="s">
        <v>367</v>
      </c>
      <c r="C180" s="217" t="s">
        <v>402</v>
      </c>
      <c r="D180" s="222" t="s">
        <v>264</v>
      </c>
      <c r="E180" s="212"/>
      <c r="F180" s="201">
        <v>163</v>
      </c>
    </row>
    <row r="181" spans="1:6" s="197" customFormat="1" ht="15" x14ac:dyDescent="0.2">
      <c r="A181" s="208">
        <v>45022</v>
      </c>
      <c r="B181" s="212" t="s">
        <v>403</v>
      </c>
      <c r="C181" s="217" t="s">
        <v>237</v>
      </c>
      <c r="D181" s="222" t="s">
        <v>275</v>
      </c>
      <c r="E181" s="212"/>
      <c r="F181" s="201">
        <v>164</v>
      </c>
    </row>
    <row r="182" spans="1:6" s="197" customFormat="1" ht="15" x14ac:dyDescent="0.2">
      <c r="A182" s="208">
        <v>45021</v>
      </c>
      <c r="B182" s="212" t="s">
        <v>398</v>
      </c>
      <c r="C182" s="217" t="s">
        <v>237</v>
      </c>
      <c r="D182" s="222" t="s">
        <v>275</v>
      </c>
      <c r="E182" s="212"/>
      <c r="F182" s="201">
        <v>165</v>
      </c>
    </row>
    <row r="183" spans="1:6" s="197" customFormat="1" ht="15" x14ac:dyDescent="0.2">
      <c r="A183" s="208">
        <v>45025</v>
      </c>
      <c r="B183" s="212" t="s">
        <v>212</v>
      </c>
      <c r="C183" s="217" t="s">
        <v>404</v>
      </c>
      <c r="D183" s="222" t="s">
        <v>275</v>
      </c>
      <c r="E183" s="212"/>
      <c r="F183" s="201">
        <v>166</v>
      </c>
    </row>
    <row r="184" spans="1:6" s="197" customFormat="1" ht="15" x14ac:dyDescent="0.2">
      <c r="A184" s="208">
        <v>45025</v>
      </c>
      <c r="B184" s="212" t="s">
        <v>348</v>
      </c>
      <c r="C184" s="217" t="s">
        <v>237</v>
      </c>
      <c r="D184" s="222" t="s">
        <v>264</v>
      </c>
      <c r="E184" s="212"/>
      <c r="F184" s="201">
        <v>167</v>
      </c>
    </row>
    <row r="185" spans="1:6" s="197" customFormat="1" ht="15" x14ac:dyDescent="0.2">
      <c r="A185" s="208">
        <v>45084</v>
      </c>
      <c r="B185" s="212" t="s">
        <v>359</v>
      </c>
      <c r="C185" s="217" t="s">
        <v>380</v>
      </c>
      <c r="D185" s="222" t="s">
        <v>264</v>
      </c>
      <c r="E185" s="212" t="s">
        <v>380</v>
      </c>
      <c r="F185" s="201">
        <v>168</v>
      </c>
    </row>
    <row r="186" spans="1:6" s="197" customFormat="1" ht="15" x14ac:dyDescent="0.2">
      <c r="A186" s="208">
        <v>45120</v>
      </c>
      <c r="B186" s="212" t="s">
        <v>212</v>
      </c>
      <c r="C186" s="217" t="s">
        <v>406</v>
      </c>
      <c r="D186" s="222" t="s">
        <v>264</v>
      </c>
      <c r="E186" s="212" t="s">
        <v>407</v>
      </c>
      <c r="F186" s="201">
        <v>169</v>
      </c>
    </row>
    <row r="187" spans="1:6" s="197" customFormat="1" ht="15" x14ac:dyDescent="0.2">
      <c r="A187" s="208">
        <v>45120</v>
      </c>
      <c r="B187" s="212" t="s">
        <v>348</v>
      </c>
      <c r="C187" s="217" t="s">
        <v>408</v>
      </c>
      <c r="D187" s="222" t="s">
        <v>275</v>
      </c>
      <c r="E187" s="212" t="s">
        <v>409</v>
      </c>
      <c r="F187" s="201">
        <v>170</v>
      </c>
    </row>
    <row r="188" spans="1:6" s="197" customFormat="1" ht="15" x14ac:dyDescent="0.2">
      <c r="A188" s="208"/>
      <c r="B188" s="212"/>
      <c r="C188" s="217"/>
      <c r="D188" s="222"/>
      <c r="E188" s="212"/>
      <c r="F188" s="201"/>
    </row>
    <row r="189" spans="1:6" s="197" customFormat="1" ht="15" x14ac:dyDescent="0.2">
      <c r="A189" s="208"/>
      <c r="B189" s="212"/>
      <c r="C189" s="217"/>
      <c r="D189" s="222"/>
      <c r="E189" s="212"/>
      <c r="F189" s="201"/>
    </row>
    <row r="190" spans="1:6" s="197" customFormat="1" ht="15" x14ac:dyDescent="0.2">
      <c r="A190" s="208"/>
      <c r="B190" s="212"/>
      <c r="C190" s="217"/>
      <c r="D190" s="222"/>
      <c r="E190" s="212"/>
      <c r="F190" s="201"/>
    </row>
    <row r="191" spans="1:6" s="197" customFormat="1" ht="15" x14ac:dyDescent="0.2">
      <c r="A191" s="208"/>
      <c r="B191" s="212"/>
      <c r="C191" s="217"/>
      <c r="D191" s="222"/>
      <c r="E191" s="212"/>
      <c r="F191" s="201"/>
    </row>
    <row r="192" spans="1:6" s="197" customFormat="1" ht="15" x14ac:dyDescent="0.2">
      <c r="A192" s="208"/>
      <c r="B192" s="212"/>
      <c r="C192" s="217"/>
      <c r="D192" s="222"/>
      <c r="E192" s="212"/>
      <c r="F192" s="201"/>
    </row>
    <row r="193" spans="1:6" s="197" customFormat="1" ht="15" x14ac:dyDescent="0.2">
      <c r="A193" s="208"/>
      <c r="B193" s="212"/>
      <c r="C193" s="217"/>
      <c r="D193" s="222"/>
      <c r="E193" s="212"/>
      <c r="F193" s="201"/>
    </row>
    <row r="194" spans="1:6" s="197" customFormat="1" ht="15" x14ac:dyDescent="0.2">
      <c r="A194" s="208"/>
      <c r="B194" s="212"/>
      <c r="C194" s="217"/>
      <c r="D194" s="222"/>
      <c r="E194" s="212"/>
      <c r="F194" s="201"/>
    </row>
    <row r="195" spans="1:6" s="197" customFormat="1" ht="15" x14ac:dyDescent="0.2">
      <c r="A195" s="208"/>
      <c r="B195" s="212"/>
      <c r="C195" s="217"/>
      <c r="D195" s="222"/>
      <c r="E195" s="212"/>
      <c r="F195" s="201"/>
    </row>
    <row r="196" spans="1:6" s="197" customFormat="1" ht="15" x14ac:dyDescent="0.2">
      <c r="A196" s="208"/>
      <c r="B196" s="212"/>
      <c r="C196" s="217"/>
      <c r="D196" s="222"/>
      <c r="E196" s="212"/>
      <c r="F196" s="201"/>
    </row>
    <row r="197" spans="1:6" s="197" customFormat="1" ht="15" x14ac:dyDescent="0.2">
      <c r="A197" s="208"/>
      <c r="B197" s="212"/>
      <c r="C197" s="217"/>
      <c r="D197" s="222"/>
      <c r="E197" s="212"/>
      <c r="F197" s="201"/>
    </row>
    <row r="198" spans="1:6" s="197" customFormat="1" ht="15" x14ac:dyDescent="0.2">
      <c r="A198" s="208"/>
      <c r="B198" s="212"/>
      <c r="C198" s="217"/>
      <c r="D198" s="222"/>
      <c r="E198" s="212"/>
      <c r="F198" s="201"/>
    </row>
    <row r="199" spans="1:6" s="197" customFormat="1" ht="15" x14ac:dyDescent="0.2">
      <c r="A199" s="208"/>
      <c r="B199" s="212"/>
      <c r="C199" s="217"/>
      <c r="D199" s="222"/>
      <c r="E199" s="212"/>
      <c r="F199" s="201"/>
    </row>
    <row r="200" spans="1:6" s="197" customFormat="1" ht="15" x14ac:dyDescent="0.2">
      <c r="A200" s="208"/>
      <c r="B200" s="212"/>
      <c r="C200" s="217"/>
      <c r="D200" s="222"/>
      <c r="E200" s="212"/>
      <c r="F200" s="201"/>
    </row>
    <row r="201" spans="1:6" s="197" customFormat="1" ht="15" x14ac:dyDescent="0.2">
      <c r="A201" s="208"/>
      <c r="B201" s="212"/>
      <c r="C201" s="217"/>
      <c r="D201" s="222"/>
      <c r="E201" s="212"/>
      <c r="F201" s="201"/>
    </row>
    <row r="202" spans="1:6" s="197" customFormat="1" ht="15" x14ac:dyDescent="0.2">
      <c r="A202" s="208"/>
      <c r="B202" s="212"/>
      <c r="C202" s="217"/>
      <c r="D202" s="222"/>
      <c r="E202" s="212"/>
      <c r="F202" s="201"/>
    </row>
    <row r="203" spans="1:6" s="197" customFormat="1" ht="15" x14ac:dyDescent="0.2">
      <c r="A203" s="208"/>
      <c r="B203" s="212"/>
      <c r="C203" s="217"/>
      <c r="D203" s="222"/>
      <c r="E203" s="212"/>
      <c r="F203" s="201"/>
    </row>
    <row r="204" spans="1:6" s="197" customFormat="1" ht="15" x14ac:dyDescent="0.2">
      <c r="A204" s="208"/>
      <c r="B204" s="212"/>
      <c r="C204" s="217"/>
      <c r="D204" s="222"/>
      <c r="E204" s="212"/>
      <c r="F204" s="201"/>
    </row>
    <row r="205" spans="1:6" s="197" customFormat="1" ht="15" x14ac:dyDescent="0.2">
      <c r="A205" s="208"/>
      <c r="B205" s="212"/>
      <c r="C205" s="217"/>
      <c r="D205" s="222"/>
      <c r="E205" s="212"/>
      <c r="F205" s="201"/>
    </row>
    <row r="206" spans="1:6" s="197" customFormat="1" ht="15" x14ac:dyDescent="0.2">
      <c r="A206" s="208"/>
      <c r="B206" s="212"/>
      <c r="C206" s="217"/>
      <c r="D206" s="222"/>
      <c r="E206" s="212"/>
      <c r="F206" s="201"/>
    </row>
    <row r="207" spans="1:6" s="197" customFormat="1" ht="15" x14ac:dyDescent="0.2">
      <c r="A207" s="208"/>
      <c r="B207" s="212"/>
      <c r="C207" s="217"/>
      <c r="D207" s="222"/>
      <c r="E207" s="212"/>
      <c r="F207" s="201"/>
    </row>
    <row r="208" spans="1:6" s="197" customFormat="1" ht="15" x14ac:dyDescent="0.2">
      <c r="A208" s="208"/>
      <c r="B208" s="212"/>
      <c r="C208" s="217"/>
      <c r="D208" s="222"/>
      <c r="E208" s="212"/>
      <c r="F208" s="201"/>
    </row>
    <row r="209" spans="1:6" s="197" customFormat="1" ht="15" x14ac:dyDescent="0.2">
      <c r="A209" s="208"/>
      <c r="B209" s="212"/>
      <c r="C209" s="217"/>
      <c r="D209" s="222"/>
      <c r="E209" s="212"/>
      <c r="F209" s="201"/>
    </row>
    <row r="210" spans="1:6" s="197" customFormat="1" ht="15" x14ac:dyDescent="0.2">
      <c r="A210" s="208"/>
      <c r="B210" s="212"/>
      <c r="C210" s="217"/>
      <c r="D210" s="222"/>
      <c r="E210" s="212"/>
      <c r="F210" s="201"/>
    </row>
    <row r="211" spans="1:6" s="197" customFormat="1" ht="15" x14ac:dyDescent="0.2">
      <c r="A211" s="208"/>
      <c r="B211" s="212"/>
      <c r="C211" s="217"/>
      <c r="D211" s="222"/>
      <c r="E211" s="212"/>
      <c r="F211" s="201"/>
    </row>
    <row r="212" spans="1:6" s="197" customFormat="1" ht="15" x14ac:dyDescent="0.2">
      <c r="A212" s="208"/>
      <c r="B212" s="212"/>
      <c r="C212" s="217"/>
      <c r="D212" s="222"/>
      <c r="E212" s="212"/>
      <c r="F212" s="201"/>
    </row>
    <row r="213" spans="1:6" s="197" customFormat="1" ht="15" x14ac:dyDescent="0.2">
      <c r="A213" s="208"/>
      <c r="B213" s="212"/>
      <c r="C213" s="217"/>
      <c r="D213" s="222"/>
      <c r="E213" s="212"/>
      <c r="F213" s="201"/>
    </row>
    <row r="214" spans="1:6" s="197" customFormat="1" ht="15" x14ac:dyDescent="0.2">
      <c r="A214" s="208"/>
      <c r="B214" s="212"/>
      <c r="C214" s="217"/>
      <c r="D214" s="222"/>
      <c r="E214" s="212"/>
      <c r="F214" s="201"/>
    </row>
    <row r="215" spans="1:6" s="197" customFormat="1" ht="15" x14ac:dyDescent="0.2">
      <c r="A215" s="208"/>
      <c r="B215" s="212"/>
      <c r="C215" s="217"/>
      <c r="D215" s="222"/>
      <c r="E215" s="212"/>
      <c r="F215" s="201"/>
    </row>
    <row r="216" spans="1:6" s="197" customFormat="1" ht="15" x14ac:dyDescent="0.2">
      <c r="A216" s="208"/>
      <c r="B216" s="212"/>
      <c r="C216" s="217"/>
      <c r="D216" s="222"/>
      <c r="E216" s="212"/>
      <c r="F216" s="201"/>
    </row>
    <row r="217" spans="1:6" s="197" customFormat="1" ht="15" x14ac:dyDescent="0.2">
      <c r="A217" s="208"/>
      <c r="B217" s="212"/>
      <c r="C217" s="217"/>
      <c r="D217" s="222"/>
      <c r="E217" s="212"/>
      <c r="F217" s="201"/>
    </row>
    <row r="218" spans="1:6" s="197" customFormat="1" ht="15" x14ac:dyDescent="0.2">
      <c r="A218" s="208"/>
      <c r="B218" s="212"/>
      <c r="C218" s="217"/>
      <c r="D218" s="222"/>
      <c r="E218" s="212"/>
      <c r="F218" s="201"/>
    </row>
    <row r="219" spans="1:6" s="197" customFormat="1" ht="15" x14ac:dyDescent="0.2">
      <c r="A219" s="208"/>
      <c r="B219" s="212"/>
      <c r="C219" s="217"/>
      <c r="D219" s="222"/>
      <c r="E219" s="212"/>
      <c r="F219" s="201"/>
    </row>
    <row r="220" spans="1:6" s="197" customFormat="1" ht="15" x14ac:dyDescent="0.2">
      <c r="A220" s="208"/>
      <c r="B220" s="212"/>
      <c r="C220" s="217"/>
      <c r="D220" s="222"/>
      <c r="E220" s="212"/>
      <c r="F220" s="201"/>
    </row>
    <row r="221" spans="1:6" s="197" customFormat="1" ht="15" x14ac:dyDescent="0.2">
      <c r="A221" s="208"/>
      <c r="B221" s="212"/>
      <c r="C221" s="217"/>
      <c r="D221" s="222"/>
      <c r="E221" s="212"/>
      <c r="F221" s="201"/>
    </row>
    <row r="222" spans="1:6" s="197" customFormat="1" ht="15" x14ac:dyDescent="0.2">
      <c r="A222" s="208"/>
      <c r="B222" s="212"/>
      <c r="C222" s="217"/>
      <c r="D222" s="222"/>
      <c r="E222" s="212"/>
      <c r="F222" s="201"/>
    </row>
    <row r="223" spans="1:6" s="197" customFormat="1" ht="15" x14ac:dyDescent="0.2">
      <c r="A223" s="208"/>
      <c r="B223" s="212"/>
      <c r="C223" s="217"/>
      <c r="D223" s="222"/>
      <c r="E223" s="212"/>
      <c r="F223" s="201"/>
    </row>
    <row r="224" spans="1:6" s="197" customFormat="1" ht="15" x14ac:dyDescent="0.2">
      <c r="A224" s="208"/>
      <c r="B224" s="212"/>
      <c r="C224" s="217"/>
      <c r="D224" s="222"/>
      <c r="E224" s="212"/>
      <c r="F224" s="201"/>
    </row>
    <row r="225" spans="1:6" s="197" customFormat="1" ht="15" x14ac:dyDescent="0.2">
      <c r="A225" s="208"/>
      <c r="B225" s="212"/>
      <c r="C225" s="217"/>
      <c r="D225" s="222"/>
      <c r="E225" s="212"/>
      <c r="F225" s="201"/>
    </row>
    <row r="226" spans="1:6" s="197" customFormat="1" ht="15" x14ac:dyDescent="0.2">
      <c r="A226" s="208"/>
      <c r="B226" s="212"/>
      <c r="C226" s="217"/>
      <c r="D226" s="222"/>
      <c r="E226" s="212"/>
      <c r="F226" s="201"/>
    </row>
    <row r="227" spans="1:6" s="197" customFormat="1" ht="15" x14ac:dyDescent="0.2">
      <c r="A227" s="208"/>
      <c r="B227" s="212"/>
      <c r="C227" s="217"/>
      <c r="D227" s="222"/>
      <c r="E227" s="212"/>
      <c r="F227" s="201"/>
    </row>
    <row r="228" spans="1:6" s="197" customFormat="1" ht="15" x14ac:dyDescent="0.2">
      <c r="A228" s="208"/>
      <c r="B228" s="212"/>
      <c r="C228" s="217"/>
      <c r="D228" s="222"/>
      <c r="E228" s="212"/>
      <c r="F228" s="201"/>
    </row>
    <row r="229" spans="1:6" s="197" customFormat="1" ht="15" x14ac:dyDescent="0.2">
      <c r="A229" s="208"/>
      <c r="B229" s="212"/>
      <c r="C229" s="217"/>
      <c r="D229" s="222"/>
      <c r="E229" s="212"/>
      <c r="F229" s="201"/>
    </row>
    <row r="230" spans="1:6" s="197" customFormat="1" ht="15" x14ac:dyDescent="0.2">
      <c r="A230" s="208"/>
      <c r="B230" s="212"/>
      <c r="C230" s="217"/>
      <c r="D230" s="222"/>
      <c r="E230" s="212"/>
      <c r="F230" s="201"/>
    </row>
    <row r="231" spans="1:6" s="197" customFormat="1" ht="15" x14ac:dyDescent="0.2">
      <c r="A231" s="208"/>
      <c r="B231" s="212"/>
      <c r="C231" s="217"/>
      <c r="D231" s="222"/>
      <c r="E231" s="212"/>
      <c r="F231" s="201"/>
    </row>
    <row r="232" spans="1:6" s="197" customFormat="1" ht="15" x14ac:dyDescent="0.2">
      <c r="A232" s="208"/>
      <c r="B232" s="212"/>
      <c r="C232" s="217"/>
      <c r="D232" s="222"/>
      <c r="E232" s="212"/>
      <c r="F232" s="201"/>
    </row>
    <row r="233" spans="1:6" s="197" customFormat="1" ht="15" x14ac:dyDescent="0.2">
      <c r="A233" s="208"/>
      <c r="B233" s="212"/>
      <c r="C233" s="217"/>
      <c r="D233" s="222"/>
      <c r="E233" s="212"/>
      <c r="F233" s="201"/>
    </row>
    <row r="234" spans="1:6" s="197" customFormat="1" ht="15" x14ac:dyDescent="0.2">
      <c r="A234" s="208"/>
      <c r="B234" s="212"/>
      <c r="C234" s="217"/>
      <c r="D234" s="222"/>
      <c r="E234" s="212"/>
      <c r="F234" s="201"/>
    </row>
    <row r="235" spans="1:6" s="197" customFormat="1" ht="15" x14ac:dyDescent="0.2">
      <c r="A235" s="208"/>
      <c r="B235" s="212"/>
      <c r="C235" s="217"/>
      <c r="D235" s="222"/>
      <c r="E235" s="212"/>
      <c r="F235" s="201"/>
    </row>
    <row r="236" spans="1:6" s="197" customFormat="1" ht="15" x14ac:dyDescent="0.2">
      <c r="A236" s="208"/>
      <c r="B236" s="212"/>
      <c r="C236" s="217"/>
      <c r="D236" s="222"/>
      <c r="E236" s="212"/>
      <c r="F236" s="201"/>
    </row>
    <row r="237" spans="1:6" s="197" customFormat="1" ht="15" x14ac:dyDescent="0.2">
      <c r="A237" s="208"/>
      <c r="B237" s="212"/>
      <c r="C237" s="217"/>
      <c r="D237" s="222"/>
      <c r="E237" s="212"/>
      <c r="F237" s="201"/>
    </row>
    <row r="238" spans="1:6" s="197" customFormat="1" ht="15" x14ac:dyDescent="0.2">
      <c r="A238" s="208"/>
      <c r="B238" s="212"/>
      <c r="C238" s="217"/>
      <c r="D238" s="222"/>
      <c r="E238" s="212"/>
      <c r="F238" s="201"/>
    </row>
    <row r="239" spans="1:6" s="197" customFormat="1" ht="15" x14ac:dyDescent="0.2">
      <c r="A239" s="208"/>
      <c r="B239" s="212"/>
      <c r="C239" s="217"/>
      <c r="D239" s="222"/>
      <c r="E239" s="212"/>
      <c r="F239" s="201"/>
    </row>
    <row r="240" spans="1:6" s="197" customFormat="1" ht="15" x14ac:dyDescent="0.2">
      <c r="A240" s="208"/>
      <c r="B240" s="212"/>
      <c r="C240" s="217"/>
      <c r="D240" s="222"/>
      <c r="E240" s="212"/>
      <c r="F240" s="201"/>
    </row>
    <row r="241" spans="1:6" s="197" customFormat="1" ht="15" x14ac:dyDescent="0.2">
      <c r="A241" s="208"/>
      <c r="B241" s="212"/>
      <c r="C241" s="217"/>
      <c r="D241" s="222"/>
      <c r="E241" s="212"/>
      <c r="F241" s="201"/>
    </row>
    <row r="242" spans="1:6" s="197" customFormat="1" ht="15" x14ac:dyDescent="0.2">
      <c r="A242" s="208"/>
      <c r="B242" s="212"/>
      <c r="C242" s="217"/>
      <c r="D242" s="222"/>
      <c r="E242" s="212"/>
      <c r="F242" s="201"/>
    </row>
    <row r="243" spans="1:6" s="197" customFormat="1" ht="15" x14ac:dyDescent="0.2">
      <c r="A243" s="208"/>
      <c r="B243" s="212"/>
      <c r="C243" s="217"/>
      <c r="D243" s="222"/>
      <c r="E243" s="212"/>
      <c r="F243" s="201"/>
    </row>
    <row r="244" spans="1:6" s="197" customFormat="1" ht="15" x14ac:dyDescent="0.2">
      <c r="A244" s="208"/>
      <c r="B244" s="212"/>
      <c r="C244" s="217"/>
      <c r="D244" s="222"/>
      <c r="E244" s="212"/>
      <c r="F244" s="201"/>
    </row>
    <row r="245" spans="1:6" s="197" customFormat="1" ht="15" x14ac:dyDescent="0.2">
      <c r="A245" s="208"/>
      <c r="B245" s="212"/>
      <c r="C245" s="217"/>
      <c r="D245" s="222"/>
      <c r="E245" s="212"/>
      <c r="F245" s="201"/>
    </row>
    <row r="246" spans="1:6" s="197" customFormat="1" ht="15" x14ac:dyDescent="0.2">
      <c r="A246" s="208"/>
      <c r="B246" s="212"/>
      <c r="C246" s="217"/>
      <c r="D246" s="222"/>
      <c r="E246" s="212"/>
      <c r="F246" s="201"/>
    </row>
    <row r="247" spans="1:6" s="197" customFormat="1" ht="15" x14ac:dyDescent="0.2">
      <c r="A247" s="208"/>
      <c r="B247" s="212"/>
      <c r="C247" s="217"/>
      <c r="D247" s="222"/>
      <c r="E247" s="212"/>
      <c r="F247" s="201"/>
    </row>
    <row r="248" spans="1:6" s="197" customFormat="1" ht="15" x14ac:dyDescent="0.2">
      <c r="A248" s="208"/>
      <c r="B248" s="212"/>
      <c r="C248" s="217"/>
      <c r="D248" s="222"/>
      <c r="E248" s="212"/>
      <c r="F248" s="201"/>
    </row>
    <row r="249" spans="1:6" s="197" customFormat="1" ht="15" x14ac:dyDescent="0.2">
      <c r="A249" s="208"/>
      <c r="B249" s="212"/>
      <c r="C249" s="217"/>
      <c r="D249" s="222"/>
      <c r="E249" s="212"/>
      <c r="F249" s="201"/>
    </row>
    <row r="250" spans="1:6" s="197" customFormat="1" ht="15" x14ac:dyDescent="0.2">
      <c r="A250" s="208"/>
      <c r="B250" s="212"/>
      <c r="C250" s="217"/>
      <c r="D250" s="222"/>
      <c r="E250" s="212"/>
      <c r="F250" s="201"/>
    </row>
    <row r="251" spans="1:6" s="197" customFormat="1" ht="15" x14ac:dyDescent="0.2">
      <c r="A251" s="208"/>
      <c r="B251" s="212"/>
      <c r="C251" s="217"/>
      <c r="D251" s="222"/>
      <c r="E251" s="212"/>
      <c r="F251" s="201"/>
    </row>
    <row r="252" spans="1:6" s="197" customFormat="1" ht="15" x14ac:dyDescent="0.2">
      <c r="A252" s="208"/>
      <c r="B252" s="212"/>
      <c r="C252" s="217"/>
      <c r="D252" s="222"/>
      <c r="E252" s="212"/>
      <c r="F252" s="201"/>
    </row>
    <row r="253" spans="1:6" s="197" customFormat="1" ht="15" x14ac:dyDescent="0.2">
      <c r="A253" s="208"/>
      <c r="B253" s="212"/>
      <c r="C253" s="217"/>
      <c r="D253" s="222"/>
      <c r="E253" s="212"/>
      <c r="F253" s="201"/>
    </row>
    <row r="254" spans="1:6" s="197" customFormat="1" ht="15" x14ac:dyDescent="0.2">
      <c r="A254" s="208"/>
      <c r="B254" s="212"/>
      <c r="C254" s="217"/>
      <c r="D254" s="222"/>
      <c r="E254" s="212"/>
      <c r="F254" s="201"/>
    </row>
    <row r="255" spans="1:6" s="197" customFormat="1" ht="15" x14ac:dyDescent="0.2">
      <c r="A255" s="208"/>
      <c r="B255" s="212"/>
      <c r="C255" s="217"/>
      <c r="D255" s="222"/>
      <c r="E255" s="212"/>
      <c r="F255" s="201"/>
    </row>
    <row r="256" spans="1:6" s="197" customFormat="1" ht="15" x14ac:dyDescent="0.2">
      <c r="A256" s="208"/>
      <c r="B256" s="212"/>
      <c r="C256" s="217"/>
      <c r="D256" s="222"/>
      <c r="E256" s="212"/>
      <c r="F256" s="201"/>
    </row>
    <row r="257" spans="1:6" s="197" customFormat="1" ht="15" x14ac:dyDescent="0.2">
      <c r="A257" s="208"/>
      <c r="B257" s="212"/>
      <c r="C257" s="217"/>
      <c r="D257" s="222"/>
      <c r="E257" s="212"/>
      <c r="F257" s="201"/>
    </row>
    <row r="258" spans="1:6" s="197" customFormat="1" ht="15" x14ac:dyDescent="0.2">
      <c r="A258" s="208"/>
      <c r="B258" s="212"/>
      <c r="C258" s="217"/>
      <c r="D258" s="222"/>
      <c r="E258" s="212"/>
      <c r="F258" s="201"/>
    </row>
    <row r="259" spans="1:6" s="197" customFormat="1" ht="15" x14ac:dyDescent="0.2">
      <c r="A259" s="208"/>
      <c r="B259" s="212"/>
      <c r="C259" s="217"/>
      <c r="D259" s="222"/>
      <c r="E259" s="212"/>
      <c r="F259" s="201"/>
    </row>
    <row r="260" spans="1:6" s="197" customFormat="1" ht="15" x14ac:dyDescent="0.2">
      <c r="A260" s="208"/>
      <c r="B260" s="212"/>
      <c r="C260" s="217"/>
      <c r="D260" s="222"/>
      <c r="E260" s="212"/>
      <c r="F260" s="201"/>
    </row>
    <row r="261" spans="1:6" s="197" customFormat="1" ht="15" x14ac:dyDescent="0.2">
      <c r="A261" s="208"/>
      <c r="B261" s="212"/>
      <c r="C261" s="217"/>
      <c r="D261" s="222"/>
      <c r="E261" s="212"/>
      <c r="F261" s="201"/>
    </row>
    <row r="262" spans="1:6" s="197" customFormat="1" ht="15" x14ac:dyDescent="0.2">
      <c r="A262" s="208"/>
      <c r="B262" s="212"/>
      <c r="C262" s="217"/>
      <c r="D262" s="222"/>
      <c r="E262" s="212"/>
      <c r="F262" s="201"/>
    </row>
    <row r="263" spans="1:6" s="197" customFormat="1" ht="15" x14ac:dyDescent="0.2">
      <c r="A263" s="208"/>
      <c r="B263" s="212"/>
      <c r="C263" s="217"/>
      <c r="D263" s="222"/>
      <c r="E263" s="212"/>
      <c r="F263" s="201"/>
    </row>
    <row r="264" spans="1:6" s="197" customFormat="1" ht="15" x14ac:dyDescent="0.2">
      <c r="A264" s="208"/>
      <c r="B264" s="212"/>
      <c r="C264" s="217"/>
      <c r="D264" s="222"/>
      <c r="E264" s="212"/>
      <c r="F264" s="201"/>
    </row>
    <row r="265" spans="1:6" s="197" customFormat="1" ht="15" x14ac:dyDescent="0.2">
      <c r="A265" s="208"/>
      <c r="B265" s="212"/>
      <c r="C265" s="217"/>
      <c r="D265" s="222"/>
      <c r="E265" s="212"/>
      <c r="F265" s="201"/>
    </row>
    <row r="266" spans="1:6" s="197" customFormat="1" ht="15" x14ac:dyDescent="0.2">
      <c r="A266" s="208"/>
      <c r="B266" s="212"/>
      <c r="C266" s="217"/>
      <c r="D266" s="222"/>
      <c r="E266" s="212"/>
      <c r="F266" s="201"/>
    </row>
    <row r="267" spans="1:6" s="197" customFormat="1" ht="15" x14ac:dyDescent="0.2">
      <c r="A267" s="208"/>
      <c r="B267" s="212"/>
      <c r="C267" s="217"/>
      <c r="D267" s="222"/>
      <c r="E267" s="212"/>
      <c r="F267" s="201"/>
    </row>
    <row r="268" spans="1:6" s="197" customFormat="1" ht="15" x14ac:dyDescent="0.2">
      <c r="A268" s="208"/>
      <c r="B268" s="212"/>
      <c r="C268" s="217"/>
      <c r="D268" s="222"/>
      <c r="E268" s="212"/>
      <c r="F268" s="201"/>
    </row>
    <row r="269" spans="1:6" s="197" customFormat="1" ht="15" x14ac:dyDescent="0.2">
      <c r="A269" s="208"/>
      <c r="B269" s="212"/>
      <c r="C269" s="217"/>
      <c r="D269" s="222"/>
      <c r="E269" s="212"/>
      <c r="F269" s="201"/>
    </row>
    <row r="270" spans="1:6" s="197" customFormat="1" ht="15" x14ac:dyDescent="0.2">
      <c r="A270" s="208"/>
      <c r="B270" s="212"/>
      <c r="C270" s="217"/>
      <c r="D270" s="222"/>
      <c r="E270" s="212"/>
      <c r="F270" s="201"/>
    </row>
    <row r="271" spans="1:6" s="197" customFormat="1" ht="15" x14ac:dyDescent="0.2">
      <c r="A271" s="208"/>
      <c r="B271" s="212"/>
      <c r="C271" s="217"/>
      <c r="D271" s="222"/>
      <c r="E271" s="212"/>
      <c r="F271" s="201"/>
    </row>
    <row r="272" spans="1:6" s="197" customFormat="1" ht="15" x14ac:dyDescent="0.2">
      <c r="A272" s="208"/>
      <c r="B272" s="212"/>
      <c r="C272" s="217"/>
      <c r="D272" s="222"/>
      <c r="E272" s="212"/>
      <c r="F272" s="201"/>
    </row>
    <row r="273" spans="1:6" s="197" customFormat="1" ht="15" x14ac:dyDescent="0.2">
      <c r="A273" s="208"/>
      <c r="B273" s="212"/>
      <c r="C273" s="217"/>
      <c r="D273" s="222"/>
      <c r="E273" s="212"/>
      <c r="F273" s="201"/>
    </row>
    <row r="274" spans="1:6" s="197" customFormat="1" ht="15" x14ac:dyDescent="0.2">
      <c r="A274" s="208"/>
      <c r="B274" s="212"/>
      <c r="C274" s="217"/>
      <c r="D274" s="222"/>
      <c r="E274" s="212"/>
      <c r="F274" s="201"/>
    </row>
    <row r="275" spans="1:6" s="197" customFormat="1" ht="15" x14ac:dyDescent="0.2">
      <c r="A275" s="208"/>
      <c r="B275" s="212"/>
      <c r="C275" s="217"/>
      <c r="D275" s="222"/>
      <c r="E275" s="212"/>
      <c r="F275" s="201"/>
    </row>
    <row r="276" spans="1:6" s="197" customFormat="1" ht="15" x14ac:dyDescent="0.2">
      <c r="A276" s="208"/>
      <c r="B276" s="212"/>
      <c r="C276" s="217"/>
      <c r="D276" s="222"/>
      <c r="E276" s="212"/>
      <c r="F276" s="201"/>
    </row>
    <row r="277" spans="1:6" s="197" customFormat="1" ht="15" x14ac:dyDescent="0.2">
      <c r="A277" s="208"/>
      <c r="B277" s="212"/>
      <c r="C277" s="217"/>
      <c r="D277" s="222"/>
      <c r="E277" s="212"/>
      <c r="F277" s="201"/>
    </row>
    <row r="278" spans="1:6" s="197" customFormat="1" ht="15" x14ac:dyDescent="0.2">
      <c r="A278" s="208"/>
      <c r="B278" s="212"/>
      <c r="C278" s="217"/>
      <c r="D278" s="222"/>
      <c r="E278" s="212"/>
      <c r="F278" s="201"/>
    </row>
    <row r="279" spans="1:6" s="197" customFormat="1" ht="15" x14ac:dyDescent="0.2">
      <c r="A279" s="208"/>
      <c r="B279" s="212"/>
      <c r="C279" s="217"/>
      <c r="D279" s="222"/>
      <c r="E279" s="212"/>
      <c r="F279" s="201"/>
    </row>
    <row r="280" spans="1:6" s="197" customFormat="1" ht="15" x14ac:dyDescent="0.2">
      <c r="A280" s="208"/>
      <c r="B280" s="212"/>
      <c r="C280" s="217"/>
      <c r="D280" s="222"/>
      <c r="E280" s="212"/>
      <c r="F280" s="201"/>
    </row>
    <row r="281" spans="1:6" s="197" customFormat="1" ht="15" x14ac:dyDescent="0.2">
      <c r="A281" s="208"/>
      <c r="B281" s="212"/>
      <c r="C281" s="217"/>
      <c r="D281" s="222"/>
      <c r="E281" s="212"/>
      <c r="F281" s="201"/>
    </row>
    <row r="282" spans="1:6" s="197" customFormat="1" ht="15" x14ac:dyDescent="0.2">
      <c r="A282" s="208"/>
      <c r="B282" s="212"/>
      <c r="C282" s="217"/>
      <c r="D282" s="222"/>
      <c r="E282" s="212"/>
      <c r="F282" s="201"/>
    </row>
    <row r="283" spans="1:6" s="197" customFormat="1" ht="15" x14ac:dyDescent="0.2">
      <c r="A283" s="208"/>
      <c r="B283" s="212"/>
      <c r="C283" s="217"/>
      <c r="D283" s="222"/>
      <c r="E283" s="212"/>
      <c r="F283" s="201"/>
    </row>
    <row r="284" spans="1:6" s="197" customFormat="1" ht="15" x14ac:dyDescent="0.2">
      <c r="A284" s="208"/>
      <c r="B284" s="212"/>
      <c r="C284" s="217"/>
      <c r="D284" s="222"/>
      <c r="E284" s="212"/>
      <c r="F284" s="201"/>
    </row>
    <row r="285" spans="1:6" s="197" customFormat="1" ht="15" x14ac:dyDescent="0.2">
      <c r="A285" s="208"/>
      <c r="B285" s="212"/>
      <c r="C285" s="217"/>
      <c r="D285" s="222"/>
      <c r="E285" s="212"/>
      <c r="F285" s="201"/>
    </row>
    <row r="286" spans="1:6" s="197" customFormat="1" ht="15" x14ac:dyDescent="0.2">
      <c r="A286" s="208"/>
      <c r="B286" s="212"/>
      <c r="C286" s="217"/>
      <c r="D286" s="222"/>
      <c r="E286" s="212"/>
      <c r="F286" s="201"/>
    </row>
    <row r="287" spans="1:6" s="197" customFormat="1" ht="15" x14ac:dyDescent="0.2">
      <c r="A287" s="208"/>
      <c r="B287" s="212"/>
      <c r="C287" s="217"/>
      <c r="D287" s="222"/>
      <c r="E287" s="212"/>
      <c r="F287" s="201"/>
    </row>
    <row r="288" spans="1:6" s="197" customFormat="1" ht="15" x14ac:dyDescent="0.2">
      <c r="A288" s="208"/>
      <c r="B288" s="212"/>
      <c r="C288" s="217"/>
      <c r="D288" s="222"/>
      <c r="E288" s="212"/>
      <c r="F288" s="201"/>
    </row>
    <row r="289" spans="1:6" s="197" customFormat="1" ht="15" x14ac:dyDescent="0.2">
      <c r="A289" s="208"/>
      <c r="B289" s="212"/>
      <c r="C289" s="217"/>
      <c r="D289" s="222"/>
      <c r="E289" s="212"/>
      <c r="F289" s="201"/>
    </row>
    <row r="290" spans="1:6" s="197" customFormat="1" ht="15" x14ac:dyDescent="0.2">
      <c r="A290" s="208"/>
      <c r="B290" s="212"/>
      <c r="C290" s="217"/>
      <c r="D290" s="222"/>
      <c r="E290" s="212"/>
      <c r="F290" s="201"/>
    </row>
    <row r="291" spans="1:6" s="197" customFormat="1" ht="15" x14ac:dyDescent="0.2">
      <c r="A291" s="208"/>
      <c r="B291" s="212"/>
      <c r="C291" s="217"/>
      <c r="D291" s="222"/>
      <c r="E291" s="212"/>
      <c r="F291" s="201"/>
    </row>
    <row r="292" spans="1:6" s="197" customFormat="1" ht="15" x14ac:dyDescent="0.2">
      <c r="A292" s="207"/>
      <c r="B292" s="211"/>
      <c r="C292" s="216"/>
      <c r="D292" s="221"/>
      <c r="E292" s="211"/>
      <c r="F292" s="201"/>
    </row>
    <row r="293" spans="1:6" s="197" customFormat="1" ht="15" x14ac:dyDescent="0.2">
      <c r="A293" s="208"/>
      <c r="B293" s="212"/>
      <c r="C293" s="217"/>
      <c r="D293" s="222"/>
      <c r="E293" s="212"/>
      <c r="F293" s="201"/>
    </row>
    <row r="294" spans="1:6" s="198" customFormat="1" ht="15.75" x14ac:dyDescent="0.2">
      <c r="A294" s="209"/>
      <c r="B294" s="213"/>
      <c r="C294" s="218"/>
      <c r="D294" s="223"/>
      <c r="E294" s="225"/>
      <c r="F294" s="202"/>
    </row>
  </sheetData>
  <autoFilter ref="A3:E130" xr:uid="{65C2E03D-4034-4224-A7E7-D749EA26D8D6}">
    <sortState xmlns:xlrd2="http://schemas.microsoft.com/office/spreadsheetml/2017/richdata2" ref="A4:E259">
      <sortCondition ref="A3:A130"/>
    </sortState>
  </autoFilter>
  <mergeCells count="1">
    <mergeCell ref="A1:F1"/>
  </mergeCells>
  <phoneticPr fontId="3" type="noConversion"/>
  <conditionalFormatting sqref="A131:XFD133 A134:A135 C134:XFD135 A136:XFD293 A4:XFD129">
    <cfRule type="expression" dxfId="5" priority="31">
      <formula>MOD(ROW(),2)</formula>
    </cfRule>
  </conditionalFormatting>
  <conditionalFormatting sqref="A130 C130:XFD130">
    <cfRule type="expression" dxfId="4" priority="4">
      <formula>MOD(ROW(),2)</formula>
    </cfRule>
  </conditionalFormatting>
  <conditionalFormatting sqref="B130">
    <cfRule type="expression" dxfId="3" priority="3">
      <formula>MOD(ROW(),2)</formula>
    </cfRule>
  </conditionalFormatting>
  <conditionalFormatting sqref="B134">
    <cfRule type="expression" dxfId="2" priority="2">
      <formula>MOD(ROW(),2)</formula>
    </cfRule>
  </conditionalFormatting>
  <conditionalFormatting sqref="B135">
    <cfRule type="expression" dxfId="1" priority="1">
      <formula>MOD(ROW(),2)</formula>
    </cfRule>
  </conditionalFormatting>
  <dataValidations count="2">
    <dataValidation type="list" allowBlank="1" showInputMessage="1" showErrorMessage="1" sqref="C4:C294" xr:uid="{00000000-0002-0000-0100-000000000000}">
      <formula1>Liste_Activités</formula1>
    </dataValidation>
    <dataValidation type="list" allowBlank="1" showInputMessage="1" showErrorMessage="1" sqref="B4:B294" xr:uid="{00000000-0002-0000-0100-000001000000}">
      <formula1>Liste_clients</formula1>
    </dataValidation>
  </dataValidations>
  <pageMargins left="0.78740157480314965" right="0.78740157480314965" top="0.98425196850393704" bottom="0.98425196850393704" header="0.51181102362204722" footer="0.51181102362204722"/>
  <pageSetup paperSize="120" scale="61" fitToHeight="42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0">
    <tabColor rgb="FF8C8375"/>
    <pageSetUpPr fitToPage="1"/>
  </sheetPr>
  <dimension ref="A1:BR210"/>
  <sheetViews>
    <sheetView view="pageBreakPreview" zoomScale="90" zoomScaleNormal="100" zoomScaleSheetLayoutView="90" workbookViewId="0">
      <pane xSplit="9" ySplit="8" topLeftCell="BI9" activePane="bottomRight" state="frozen"/>
      <selection activeCell="G81" sqref="G81"/>
      <selection pane="topRight" activeCell="G81" sqref="G81"/>
      <selection pane="bottomLeft" activeCell="G81" sqref="G81"/>
      <selection pane="bottomRight" activeCell="G81" sqref="G81"/>
    </sheetView>
  </sheetViews>
  <sheetFormatPr baseColWidth="10" defaultColWidth="10.7109375" defaultRowHeight="12.75" x14ac:dyDescent="0.2"/>
  <cols>
    <col min="1" max="1" width="19.5703125" style="133" customWidth="1"/>
    <col min="2" max="2" width="58.140625" style="133" customWidth="1"/>
    <col min="3" max="3" width="17" style="133" customWidth="1"/>
    <col min="4" max="7" width="15.7109375" style="133" customWidth="1"/>
    <col min="8" max="9" width="35.7109375" style="133" customWidth="1"/>
    <col min="10" max="70" width="15.7109375" style="133" customWidth="1"/>
    <col min="71" max="71" width="1.28515625" style="133" bestFit="1" customWidth="1"/>
    <col min="72" max="72" width="1.7109375" style="133" bestFit="1" customWidth="1"/>
    <col min="73" max="16384" width="10.7109375" style="133"/>
  </cols>
  <sheetData>
    <row r="1" spans="1:70" s="119" customFormat="1" x14ac:dyDescent="0.2">
      <c r="A1" s="118" t="s">
        <v>53</v>
      </c>
    </row>
    <row r="2" spans="1:70" s="119" customFormat="1" x14ac:dyDescent="0.2">
      <c r="A2" s="118" t="s">
        <v>125</v>
      </c>
    </row>
    <row r="3" spans="1:70" s="119" customFormat="1" x14ac:dyDescent="0.2">
      <c r="A3" s="120" t="s">
        <v>144</v>
      </c>
      <c r="F3" s="177"/>
      <c r="G3" s="177"/>
      <c r="H3" s="177"/>
    </row>
    <row r="4" spans="1:70" s="119" customFormat="1" x14ac:dyDescent="0.2">
      <c r="F4" s="178"/>
      <c r="G4" s="178"/>
      <c r="H4" s="178"/>
    </row>
    <row r="5" spans="1:70" s="119" customFormat="1" ht="13.5" thickBot="1" x14ac:dyDescent="0.25"/>
    <row r="6" spans="1:70" s="127" customFormat="1" ht="39" thickBot="1" x14ac:dyDescent="0.25">
      <c r="A6" s="122" t="s">
        <v>126</v>
      </c>
      <c r="B6" s="123" t="s">
        <v>58</v>
      </c>
      <c r="C6" s="124" t="s">
        <v>129</v>
      </c>
      <c r="D6" s="124" t="s">
        <v>0</v>
      </c>
      <c r="E6" s="124" t="s">
        <v>127</v>
      </c>
      <c r="F6" s="124" t="s">
        <v>128</v>
      </c>
      <c r="G6" s="124" t="s">
        <v>102</v>
      </c>
      <c r="H6" s="123" t="s">
        <v>103</v>
      </c>
      <c r="I6" s="123" t="s">
        <v>104</v>
      </c>
      <c r="J6" s="125" t="str">
        <f>'Comptes GL'!B7</f>
        <v>Revenus de consultation</v>
      </c>
      <c r="K6" s="125" t="str">
        <f>'Comptes GL'!B8</f>
        <v>Revenus - Sociétés apparentées</v>
      </c>
      <c r="L6" s="125" t="s">
        <v>114</v>
      </c>
      <c r="M6" s="125" t="s">
        <v>13</v>
      </c>
      <c r="N6" s="125" t="s">
        <v>151</v>
      </c>
      <c r="O6" s="125" t="str">
        <f>'Comptes GL'!B12</f>
        <v>Prise de valeur - Valeur de consolidation</v>
      </c>
      <c r="P6" s="125" t="str">
        <f>'Comptes GL'!B13</f>
        <v>Doc. et outils de recherche</v>
      </c>
      <c r="Q6" s="125" t="str">
        <f>'Comptes GL'!B14</f>
        <v>Formations</v>
      </c>
      <c r="R6" s="125" t="str">
        <f>'Comptes GL'!B15</f>
        <v>Fournitures de bureau</v>
      </c>
      <c r="S6" s="125" t="str">
        <f>'Comptes GL'!B16</f>
        <v>Frais de représentation</v>
      </c>
      <c r="T6" s="125" t="str">
        <f>'Comptes GL'!B17</f>
        <v>Golf / Pourvoirie</v>
      </c>
      <c r="U6" s="125" t="str">
        <f>'Comptes GL'!B18</f>
        <v>Frais de déplacement</v>
      </c>
      <c r="V6" s="125" t="str">
        <f>'Comptes GL'!B19</f>
        <v>Frais de publicité</v>
      </c>
      <c r="W6" s="125" t="str">
        <f>'Comptes GL'!B20</f>
        <v>Fournitures informatiques &amp; Site web</v>
      </c>
      <c r="X6" s="125" t="str">
        <f>'Comptes GL'!B21</f>
        <v>Loyer</v>
      </c>
      <c r="Y6" s="125" t="str">
        <f>'Comptes GL'!B22</f>
        <v>Frais de communications</v>
      </c>
      <c r="Z6" s="125" t="str">
        <f>'Comptes GL'!B23</f>
        <v>Frais de poste</v>
      </c>
      <c r="AA6" s="125" t="str">
        <f>'Comptes GL'!B24</f>
        <v>Salaires et Sous-traitance</v>
      </c>
      <c r="AB6" s="125" t="str">
        <f>'Comptes GL'!B25</f>
        <v>Assurance &amp; Cotisation professionnelle</v>
      </c>
      <c r="AC6" s="125" t="str">
        <f>'Comptes GL'!B26</f>
        <v>Frais financiers</v>
      </c>
      <c r="AD6" s="125" t="str">
        <f>'Comptes GL'!B27</f>
        <v>Amortissement</v>
      </c>
      <c r="AE6" s="125" t="s">
        <v>12</v>
      </c>
      <c r="AF6" s="125" t="s">
        <v>136</v>
      </c>
      <c r="AG6" s="125" t="str">
        <f>'Comptes GL'!B30</f>
        <v>Impôts exigibles</v>
      </c>
      <c r="AH6" s="125" t="str">
        <f>'Comptes GL'!B31</f>
        <v>Encaisse</v>
      </c>
      <c r="AI6" s="125" t="str">
        <f>'Comptes GL'!B32</f>
        <v>Comptes clients</v>
      </c>
      <c r="AJ6" s="125" t="str">
        <f>'Comptes GL'!B33</f>
        <v>Provision mauvaises créances</v>
      </c>
      <c r="AK6" s="125" t="str">
        <f>'Comptes GL'!B34</f>
        <v>TPS payées</v>
      </c>
      <c r="AL6" s="125" t="str">
        <f>'Comptes GL'!B35</f>
        <v>TVQ payées</v>
      </c>
      <c r="AM6" s="125" t="str">
        <f>'Comptes GL'!B36</f>
        <v>TPS percues</v>
      </c>
      <c r="AN6" s="125" t="str">
        <f>'Comptes GL'!B37</f>
        <v>TVQ percues</v>
      </c>
      <c r="AO6" s="125" t="s">
        <v>139</v>
      </c>
      <c r="AP6" s="125" t="s">
        <v>140</v>
      </c>
      <c r="AQ6" s="125" t="s">
        <v>1</v>
      </c>
      <c r="AR6" s="125" t="str">
        <f>'Comptes GL'!B41</f>
        <v>Frais payés d'avance</v>
      </c>
      <c r="AS6" s="125" t="str">
        <f>'Comptes GL'!B42</f>
        <v>Mobilier de bureau</v>
      </c>
      <c r="AT6" s="125" t="str">
        <f>'Comptes GL'!B43</f>
        <v>Amort. Cum - mobil. de bureau</v>
      </c>
      <c r="AU6" s="125" t="str">
        <f>'Comptes GL'!B44</f>
        <v>Matériel informatique</v>
      </c>
      <c r="AV6" s="125" t="str">
        <f>'Comptes GL'!B45</f>
        <v>Amort. Cum - mat. Inform.</v>
      </c>
      <c r="AW6" s="125" t="str">
        <f>'Comptes GL'!B46</f>
        <v>Logiciel informatique</v>
      </c>
      <c r="AX6" s="125" t="str">
        <f>'Comptes GL'!B47</f>
        <v>Amort. Cum - logiciels</v>
      </c>
      <c r="AY6" s="125" t="str">
        <f>'Comptes GL'!B48</f>
        <v>Achalandage</v>
      </c>
      <c r="AZ6" s="125" t="str">
        <f>'Comptes GL'!B49</f>
        <v>Amort. Cum - Achalandage</v>
      </c>
      <c r="BA6" s="125" t="str">
        <f>'Comptes GL'!B50</f>
        <v>Avance - Prêt GCP</v>
      </c>
      <c r="BB6" s="125" t="str">
        <f>'Comptes GL'!B51</f>
        <v>Carte de crédit</v>
      </c>
      <c r="BC6" s="125" t="str">
        <f>'Comptes GL'!B52</f>
        <v>Avances de Guillaume Charron</v>
      </c>
      <c r="BD6" s="125" t="str">
        <f>'Comptes GL'!B53</f>
        <v>Avances à Fiducie Famille Charron</v>
      </c>
      <c r="BE6" s="125" t="str">
        <f>'Comptes GL'!B54</f>
        <v>Compte fournisseur</v>
      </c>
      <c r="BF6" s="125" t="str">
        <f>'Comptes GL'!B55</f>
        <v>Avances avec 9249-3626 Québec inc.</v>
      </c>
      <c r="BG6" s="125" t="str">
        <f>'Comptes GL'!B56</f>
        <v>Avances avec 9333-4829 Québec inc</v>
      </c>
      <c r="BH6" s="125" t="str">
        <f>'Comptes GL'!B57</f>
        <v>Prêt - Compte d'urgence</v>
      </c>
      <c r="BI6" s="125" t="str">
        <f>'Comptes GL'!B58</f>
        <v>Impôt Fédéral à payer</v>
      </c>
      <c r="BJ6" s="125" t="str">
        <f>'Comptes GL'!B59</f>
        <v>Impôt Québec à payer</v>
      </c>
      <c r="BK6" s="125" t="str">
        <f>'Comptes GL'!B60</f>
        <v>Acomptes - Impôt Fédéral</v>
      </c>
      <c r="BL6" s="125" t="str">
        <f>'Comptes GL'!B61</f>
        <v>Acomptes - Impôt Québec</v>
      </c>
      <c r="BM6" s="125" t="str">
        <f>'Comptes GL'!B62</f>
        <v>Produit perçu d'avance</v>
      </c>
      <c r="BN6" s="125" t="str">
        <f>'Comptes GL'!B63</f>
        <v>Actions ordinaires</v>
      </c>
      <c r="BO6" s="125" t="str">
        <f>'Comptes GL'!B64</f>
        <v>Actions privilégiées</v>
      </c>
      <c r="BP6" s="125" t="str">
        <f>'Comptes GL'!B65</f>
        <v>BNR</v>
      </c>
      <c r="BQ6" s="125" t="str">
        <f>'Comptes GL'!B66</f>
        <v>Dividendes</v>
      </c>
      <c r="BR6" s="126" t="s">
        <v>55</v>
      </c>
    </row>
    <row r="7" spans="1:70" s="140" customFormat="1" ht="13.5" thickBot="1" x14ac:dyDescent="0.25">
      <c r="A7" s="134" t="s">
        <v>56</v>
      </c>
      <c r="B7" s="135"/>
      <c r="C7" s="136"/>
      <c r="D7" s="136"/>
      <c r="E7" s="136"/>
      <c r="F7" s="136"/>
      <c r="G7" s="136"/>
      <c r="H7" s="137"/>
      <c r="I7" s="137"/>
      <c r="J7" s="138" t="e">
        <f>#REF!</f>
        <v>#REF!</v>
      </c>
      <c r="K7" s="138" t="e">
        <f>#REF!</f>
        <v>#REF!</v>
      </c>
      <c r="L7" s="138" t="e">
        <f>#REF!</f>
        <v>#REF!</v>
      </c>
      <c r="M7" s="138" t="e">
        <f>#REF!</f>
        <v>#REF!</v>
      </c>
      <c r="N7" s="138" t="e">
        <f>#REF!</f>
        <v>#REF!</v>
      </c>
      <c r="O7" s="138" t="e">
        <f>#REF!</f>
        <v>#REF!</v>
      </c>
      <c r="P7" s="138" t="e">
        <f>#REF!</f>
        <v>#REF!</v>
      </c>
      <c r="Q7" s="138" t="e">
        <f>#REF!</f>
        <v>#REF!</v>
      </c>
      <c r="R7" s="138" t="e">
        <f>#REF!</f>
        <v>#REF!</v>
      </c>
      <c r="S7" s="138" t="e">
        <f>#REF!</f>
        <v>#REF!</v>
      </c>
      <c r="T7" s="138" t="e">
        <f>#REF!</f>
        <v>#REF!</v>
      </c>
      <c r="U7" s="138" t="e">
        <f>#REF!</f>
        <v>#REF!</v>
      </c>
      <c r="V7" s="138" t="e">
        <f>#REF!</f>
        <v>#REF!</v>
      </c>
      <c r="W7" s="138" t="e">
        <f>#REF!</f>
        <v>#REF!</v>
      </c>
      <c r="X7" s="138" t="e">
        <f>#REF!</f>
        <v>#REF!</v>
      </c>
      <c r="Y7" s="138" t="e">
        <f>#REF!</f>
        <v>#REF!</v>
      </c>
      <c r="Z7" s="138" t="e">
        <f>#REF!</f>
        <v>#REF!</v>
      </c>
      <c r="AA7" s="138" t="e">
        <f>#REF!</f>
        <v>#REF!</v>
      </c>
      <c r="AB7" s="138" t="e">
        <f>#REF!</f>
        <v>#REF!</v>
      </c>
      <c r="AC7" s="138" t="e">
        <f>#REF!</f>
        <v>#REF!</v>
      </c>
      <c r="AD7" s="138" t="e">
        <f>#REF!</f>
        <v>#REF!</v>
      </c>
      <c r="AE7" s="138" t="e">
        <f>#REF!</f>
        <v>#REF!</v>
      </c>
      <c r="AF7" s="138" t="e">
        <f>#REF!</f>
        <v>#REF!</v>
      </c>
      <c r="AG7" s="138" t="e">
        <f>#REF!</f>
        <v>#REF!</v>
      </c>
      <c r="AH7" s="138" t="e">
        <f>#REF!</f>
        <v>#REF!</v>
      </c>
      <c r="AI7" s="138" t="e">
        <f>#REF!</f>
        <v>#REF!</v>
      </c>
      <c r="AJ7" s="138" t="e">
        <f>#REF!</f>
        <v>#REF!</v>
      </c>
      <c r="AK7" s="138" t="e">
        <f>#REF!</f>
        <v>#REF!</v>
      </c>
      <c r="AL7" s="138" t="e">
        <f>#REF!</f>
        <v>#REF!</v>
      </c>
      <c r="AM7" s="138" t="e">
        <f>#REF!</f>
        <v>#REF!</v>
      </c>
      <c r="AN7" s="138" t="e">
        <f>#REF!</f>
        <v>#REF!</v>
      </c>
      <c r="AO7" s="138" t="e">
        <f>#REF!</f>
        <v>#REF!</v>
      </c>
      <c r="AP7" s="138" t="e">
        <f>#REF!</f>
        <v>#REF!</v>
      </c>
      <c r="AQ7" s="138" t="e">
        <f>#REF!</f>
        <v>#REF!</v>
      </c>
      <c r="AR7" s="138" t="e">
        <f>#REF!</f>
        <v>#REF!</v>
      </c>
      <c r="AS7" s="138" t="e">
        <f>#REF!</f>
        <v>#REF!</v>
      </c>
      <c r="AT7" s="138" t="e">
        <f>#REF!</f>
        <v>#REF!</v>
      </c>
      <c r="AU7" s="138" t="e">
        <f>#REF!</f>
        <v>#REF!</v>
      </c>
      <c r="AV7" s="138" t="e">
        <f>#REF!</f>
        <v>#REF!</v>
      </c>
      <c r="AW7" s="138" t="e">
        <f>#REF!</f>
        <v>#REF!</v>
      </c>
      <c r="AX7" s="138" t="e">
        <f>#REF!</f>
        <v>#REF!</v>
      </c>
      <c r="AY7" s="138" t="e">
        <f>#REF!</f>
        <v>#REF!</v>
      </c>
      <c r="AZ7" s="138" t="e">
        <f>#REF!</f>
        <v>#REF!</v>
      </c>
      <c r="BA7" s="138" t="e">
        <f>#REF!</f>
        <v>#REF!</v>
      </c>
      <c r="BB7" s="138" t="e">
        <f>#REF!</f>
        <v>#REF!</v>
      </c>
      <c r="BC7" s="138" t="e">
        <f>#REF!</f>
        <v>#REF!</v>
      </c>
      <c r="BD7" s="138" t="e">
        <f>#REF!</f>
        <v>#REF!</v>
      </c>
      <c r="BE7" s="138" t="e">
        <f>#REF!</f>
        <v>#REF!</v>
      </c>
      <c r="BF7" s="138" t="e">
        <f>#REF!</f>
        <v>#REF!</v>
      </c>
      <c r="BG7" s="138" t="e">
        <f>#REF!</f>
        <v>#REF!</v>
      </c>
      <c r="BH7" s="138" t="e">
        <f>#REF!</f>
        <v>#REF!</v>
      </c>
      <c r="BI7" s="138" t="e">
        <f>#REF!</f>
        <v>#REF!</v>
      </c>
      <c r="BJ7" s="138" t="e">
        <f>#REF!</f>
        <v>#REF!</v>
      </c>
      <c r="BK7" s="138" t="e">
        <f>#REF!</f>
        <v>#REF!</v>
      </c>
      <c r="BL7" s="138" t="e">
        <f>#REF!</f>
        <v>#REF!</v>
      </c>
      <c r="BM7" s="138" t="e">
        <f>#REF!</f>
        <v>#REF!</v>
      </c>
      <c r="BN7" s="138" t="e">
        <f>#REF!</f>
        <v>#REF!</v>
      </c>
      <c r="BO7" s="138" t="e">
        <f>#REF!</f>
        <v>#REF!</v>
      </c>
      <c r="BP7" s="138" t="e">
        <f>#REF!</f>
        <v>#REF!</v>
      </c>
      <c r="BQ7" s="138" t="e">
        <f>#REF!</f>
        <v>#REF!</v>
      </c>
      <c r="BR7" s="138" t="e">
        <f>#REF!</f>
        <v>#REF!</v>
      </c>
    </row>
    <row r="8" spans="1:70" s="119" customFormat="1" x14ac:dyDescent="0.2">
      <c r="B8" s="128"/>
      <c r="C8" s="129"/>
      <c r="D8" s="129"/>
      <c r="E8" s="129"/>
      <c r="F8" s="129"/>
      <c r="G8" s="129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</row>
    <row r="9" spans="1:70" s="119" customFormat="1" x14ac:dyDescent="0.2">
      <c r="B9" s="128"/>
      <c r="C9" s="129"/>
      <c r="D9" s="129"/>
      <c r="E9" s="129" t="e">
        <f>ROUND(IF(D9=#REF!,0,IF($H9=$S$6,(C9/1.14975*0.05*0.5),C9/1.14975*0.05)),2)</f>
        <v>#REF!</v>
      </c>
      <c r="F9" s="129" t="e">
        <f>ROUND(IF(D9=#REF!,0,IF($H9=$S$6,C9/1.14975*0.09975*0.5,C9/1.14975*0.09975)),2)</f>
        <v>#REF!</v>
      </c>
      <c r="G9" s="129" t="e">
        <f t="shared" ref="G9:G40" si="0">C9-E9-F9</f>
        <v>#REF!</v>
      </c>
      <c r="J9" s="130">
        <f t="shared" ref="J9:J40" si="1">+IF($H9=$J$6,$G9,0)-IF($I9=$J$6,$G9,0)</f>
        <v>0</v>
      </c>
      <c r="K9" s="130">
        <f t="shared" ref="K9:T18" si="2">+IF($H9=K$6,$G9,0)-IF($I9=K$6,$G9,0)</f>
        <v>0</v>
      </c>
      <c r="L9" s="130">
        <f t="shared" si="2"/>
        <v>0</v>
      </c>
      <c r="M9" s="130">
        <f t="shared" si="2"/>
        <v>0</v>
      </c>
      <c r="N9" s="130">
        <f t="shared" si="2"/>
        <v>0</v>
      </c>
      <c r="O9" s="130">
        <f t="shared" si="2"/>
        <v>0</v>
      </c>
      <c r="P9" s="130">
        <f t="shared" si="2"/>
        <v>0</v>
      </c>
      <c r="Q9" s="130">
        <f t="shared" si="2"/>
        <v>0</v>
      </c>
      <c r="R9" s="130">
        <f t="shared" si="2"/>
        <v>0</v>
      </c>
      <c r="S9" s="130">
        <f t="shared" si="2"/>
        <v>0</v>
      </c>
      <c r="T9" s="130">
        <f t="shared" si="2"/>
        <v>0</v>
      </c>
      <c r="U9" s="130">
        <f t="shared" ref="U9:AG18" si="3">+IF($H9=U$6,$G9,0)-IF($I9=U$6,$G9,0)</f>
        <v>0</v>
      </c>
      <c r="V9" s="130">
        <f t="shared" si="3"/>
        <v>0</v>
      </c>
      <c r="W9" s="130">
        <f t="shared" si="3"/>
        <v>0</v>
      </c>
      <c r="X9" s="130">
        <f t="shared" si="3"/>
        <v>0</v>
      </c>
      <c r="Y9" s="130">
        <f t="shared" si="3"/>
        <v>0</v>
      </c>
      <c r="Z9" s="130">
        <f t="shared" si="3"/>
        <v>0</v>
      </c>
      <c r="AA9" s="130">
        <f t="shared" si="3"/>
        <v>0</v>
      </c>
      <c r="AB9" s="130">
        <f t="shared" si="3"/>
        <v>0</v>
      </c>
      <c r="AC9" s="130">
        <f t="shared" si="3"/>
        <v>0</v>
      </c>
      <c r="AD9" s="130">
        <f t="shared" si="3"/>
        <v>0</v>
      </c>
      <c r="AE9" s="130">
        <f t="shared" si="3"/>
        <v>0</v>
      </c>
      <c r="AF9" s="130">
        <f t="shared" si="3"/>
        <v>0</v>
      </c>
      <c r="AG9" s="130">
        <f t="shared" si="3"/>
        <v>0</v>
      </c>
      <c r="AH9" s="130">
        <f t="shared" ref="AH9:AJ28" si="4">+IF($H9=AH$6,$C9,0)-IF($I9=AH$6,$C9,0)</f>
        <v>0</v>
      </c>
      <c r="AI9" s="130">
        <f t="shared" si="4"/>
        <v>0</v>
      </c>
      <c r="AJ9" s="130">
        <f t="shared" si="4"/>
        <v>0</v>
      </c>
      <c r="AK9" s="130">
        <f t="shared" ref="AK9:AK40" si="5">IF(D9="payée",$E9,0)</f>
        <v>0</v>
      </c>
      <c r="AL9" s="130">
        <f t="shared" ref="AL9:AL40" si="6">IF(D9="payée",$F9,0)</f>
        <v>0</v>
      </c>
      <c r="AM9" s="130">
        <f t="shared" ref="AM9:AM40" si="7">IF(D9="perçue",-$E9,0)</f>
        <v>0</v>
      </c>
      <c r="AN9" s="130">
        <f t="shared" ref="AN9:AN40" si="8">IF(D9="perçue",-$F9,0)</f>
        <v>0</v>
      </c>
      <c r="AO9" s="130">
        <f t="shared" ref="AO9:BA18" si="9">+IF($H9=AO$6,$G9,0)-IF($I9=AO$6,$G9,0)</f>
        <v>0</v>
      </c>
      <c r="AP9" s="130">
        <f t="shared" si="9"/>
        <v>0</v>
      </c>
      <c r="AQ9" s="130">
        <f t="shared" si="9"/>
        <v>0</v>
      </c>
      <c r="AR9" s="130">
        <f t="shared" si="9"/>
        <v>0</v>
      </c>
      <c r="AS9" s="130">
        <f t="shared" si="9"/>
        <v>0</v>
      </c>
      <c r="AT9" s="130">
        <f t="shared" si="9"/>
        <v>0</v>
      </c>
      <c r="AU9" s="130">
        <f t="shared" si="9"/>
        <v>0</v>
      </c>
      <c r="AV9" s="130">
        <f t="shared" si="9"/>
        <v>0</v>
      </c>
      <c r="AW9" s="130">
        <f t="shared" si="9"/>
        <v>0</v>
      </c>
      <c r="AX9" s="130">
        <f t="shared" si="9"/>
        <v>0</v>
      </c>
      <c r="AY9" s="130">
        <f t="shared" si="9"/>
        <v>0</v>
      </c>
      <c r="AZ9" s="130">
        <f t="shared" si="9"/>
        <v>0</v>
      </c>
      <c r="BA9" s="130">
        <f t="shared" si="9"/>
        <v>0</v>
      </c>
      <c r="BB9" s="130">
        <f t="shared" ref="BB9:BE28" si="10">+IF($H9=BB$6,$C9,0)-IF($I9=BB$6,$C9,0)</f>
        <v>0</v>
      </c>
      <c r="BC9" s="130">
        <f t="shared" si="10"/>
        <v>0</v>
      </c>
      <c r="BD9" s="130">
        <f t="shared" si="10"/>
        <v>0</v>
      </c>
      <c r="BE9" s="130">
        <f t="shared" si="10"/>
        <v>0</v>
      </c>
      <c r="BF9" s="130" t="e">
        <f>+IF($H9=#REF!,$C9,0)-IF($I9=#REF!,$C9,0)</f>
        <v>#REF!</v>
      </c>
      <c r="BG9" s="130" t="e">
        <f>+IF($H9=#REF!,$C9,0)-IF($I9=#REF!,$C9,0)</f>
        <v>#REF!</v>
      </c>
      <c r="BH9" s="130" t="e">
        <f>+IF($H9=#REF!,$C9,0)-IF($I9=#REF!,$C9,0)</f>
        <v>#REF!</v>
      </c>
      <c r="BI9" s="130">
        <f t="shared" ref="BI9:BQ18" si="11">+IF($H9=BI$6,$G9,0)-IF($I9=BI$6,$G9,0)</f>
        <v>0</v>
      </c>
      <c r="BJ9" s="130">
        <f t="shared" si="11"/>
        <v>0</v>
      </c>
      <c r="BK9" s="130">
        <f t="shared" si="11"/>
        <v>0</v>
      </c>
      <c r="BL9" s="130">
        <f t="shared" si="11"/>
        <v>0</v>
      </c>
      <c r="BM9" s="130">
        <f t="shared" si="11"/>
        <v>0</v>
      </c>
      <c r="BN9" s="130">
        <f t="shared" si="11"/>
        <v>0</v>
      </c>
      <c r="BO9" s="130">
        <f t="shared" si="11"/>
        <v>0</v>
      </c>
      <c r="BP9" s="130">
        <f t="shared" si="11"/>
        <v>0</v>
      </c>
      <c r="BQ9" s="130">
        <f t="shared" si="11"/>
        <v>0</v>
      </c>
      <c r="BR9" s="130" t="e">
        <f t="shared" ref="BR9:BR40" si="12">SUM(J9:BQ9)</f>
        <v>#REF!</v>
      </c>
    </row>
    <row r="10" spans="1:70" s="119" customFormat="1" x14ac:dyDescent="0.2">
      <c r="B10" s="128"/>
      <c r="C10" s="129"/>
      <c r="D10" s="129"/>
      <c r="E10" s="129" t="e">
        <f>ROUND(IF(D10=#REF!,0,IF($H10=$S$6,(C10/1.14975*0.05*0.5),C10/1.14975*0.05)),2)</f>
        <v>#REF!</v>
      </c>
      <c r="F10" s="129" t="e">
        <f>ROUND(IF(D10=#REF!,0,IF($H10=$S$6,C10/1.14975*0.09975*0.5,C10/1.14975*0.09975)),2)</f>
        <v>#REF!</v>
      </c>
      <c r="G10" s="129" t="e">
        <f t="shared" si="0"/>
        <v>#REF!</v>
      </c>
      <c r="J10" s="130">
        <f t="shared" si="1"/>
        <v>0</v>
      </c>
      <c r="K10" s="130">
        <f t="shared" si="2"/>
        <v>0</v>
      </c>
      <c r="L10" s="130">
        <f t="shared" si="2"/>
        <v>0</v>
      </c>
      <c r="M10" s="130">
        <f t="shared" si="2"/>
        <v>0</v>
      </c>
      <c r="N10" s="130">
        <f t="shared" si="2"/>
        <v>0</v>
      </c>
      <c r="O10" s="130">
        <f t="shared" si="2"/>
        <v>0</v>
      </c>
      <c r="P10" s="130">
        <f t="shared" si="2"/>
        <v>0</v>
      </c>
      <c r="Q10" s="130">
        <f t="shared" si="2"/>
        <v>0</v>
      </c>
      <c r="R10" s="130">
        <f t="shared" si="2"/>
        <v>0</v>
      </c>
      <c r="S10" s="130">
        <f t="shared" si="2"/>
        <v>0</v>
      </c>
      <c r="T10" s="130">
        <f t="shared" si="2"/>
        <v>0</v>
      </c>
      <c r="U10" s="130">
        <f t="shared" si="3"/>
        <v>0</v>
      </c>
      <c r="V10" s="130">
        <f t="shared" si="3"/>
        <v>0</v>
      </c>
      <c r="W10" s="130">
        <f t="shared" si="3"/>
        <v>0</v>
      </c>
      <c r="X10" s="130">
        <f t="shared" si="3"/>
        <v>0</v>
      </c>
      <c r="Y10" s="130">
        <f t="shared" si="3"/>
        <v>0</v>
      </c>
      <c r="Z10" s="130">
        <f t="shared" si="3"/>
        <v>0</v>
      </c>
      <c r="AA10" s="130">
        <f t="shared" si="3"/>
        <v>0</v>
      </c>
      <c r="AB10" s="130">
        <f t="shared" si="3"/>
        <v>0</v>
      </c>
      <c r="AC10" s="130">
        <f t="shared" si="3"/>
        <v>0</v>
      </c>
      <c r="AD10" s="130">
        <f t="shared" si="3"/>
        <v>0</v>
      </c>
      <c r="AE10" s="130">
        <f t="shared" si="3"/>
        <v>0</v>
      </c>
      <c r="AF10" s="130">
        <f t="shared" si="3"/>
        <v>0</v>
      </c>
      <c r="AG10" s="130">
        <f t="shared" si="3"/>
        <v>0</v>
      </c>
      <c r="AH10" s="130">
        <f t="shared" si="4"/>
        <v>0</v>
      </c>
      <c r="AI10" s="130">
        <f t="shared" si="4"/>
        <v>0</v>
      </c>
      <c r="AJ10" s="130">
        <f t="shared" si="4"/>
        <v>0</v>
      </c>
      <c r="AK10" s="130">
        <f t="shared" si="5"/>
        <v>0</v>
      </c>
      <c r="AL10" s="130">
        <f t="shared" si="6"/>
        <v>0</v>
      </c>
      <c r="AM10" s="130">
        <f t="shared" si="7"/>
        <v>0</v>
      </c>
      <c r="AN10" s="130">
        <f t="shared" si="8"/>
        <v>0</v>
      </c>
      <c r="AO10" s="130">
        <f t="shared" si="9"/>
        <v>0</v>
      </c>
      <c r="AP10" s="130">
        <f t="shared" si="9"/>
        <v>0</v>
      </c>
      <c r="AQ10" s="130">
        <f t="shared" si="9"/>
        <v>0</v>
      </c>
      <c r="AR10" s="130">
        <f t="shared" si="9"/>
        <v>0</v>
      </c>
      <c r="AS10" s="130">
        <f t="shared" si="9"/>
        <v>0</v>
      </c>
      <c r="AT10" s="130">
        <f t="shared" si="9"/>
        <v>0</v>
      </c>
      <c r="AU10" s="130">
        <f t="shared" si="9"/>
        <v>0</v>
      </c>
      <c r="AV10" s="130">
        <f t="shared" si="9"/>
        <v>0</v>
      </c>
      <c r="AW10" s="130">
        <f t="shared" si="9"/>
        <v>0</v>
      </c>
      <c r="AX10" s="130">
        <f t="shared" si="9"/>
        <v>0</v>
      </c>
      <c r="AY10" s="130">
        <f t="shared" si="9"/>
        <v>0</v>
      </c>
      <c r="AZ10" s="130">
        <f t="shared" si="9"/>
        <v>0</v>
      </c>
      <c r="BA10" s="130">
        <f t="shared" si="9"/>
        <v>0</v>
      </c>
      <c r="BB10" s="130">
        <f t="shared" si="10"/>
        <v>0</v>
      </c>
      <c r="BC10" s="130">
        <f t="shared" si="10"/>
        <v>0</v>
      </c>
      <c r="BD10" s="130">
        <f t="shared" si="10"/>
        <v>0</v>
      </c>
      <c r="BE10" s="130">
        <f t="shared" si="10"/>
        <v>0</v>
      </c>
      <c r="BF10" s="130" t="e">
        <f>+IF($H10=#REF!,$C10,0)-IF($I10=#REF!,$C10,0)</f>
        <v>#REF!</v>
      </c>
      <c r="BG10" s="130" t="e">
        <f>+IF($H10=#REF!,$C10,0)-IF($I10=#REF!,$C10,0)</f>
        <v>#REF!</v>
      </c>
      <c r="BH10" s="130" t="e">
        <f>+IF($H10=#REF!,$C10,0)-IF($I10=#REF!,$C10,0)</f>
        <v>#REF!</v>
      </c>
      <c r="BI10" s="130">
        <f t="shared" si="11"/>
        <v>0</v>
      </c>
      <c r="BJ10" s="130">
        <f t="shared" si="11"/>
        <v>0</v>
      </c>
      <c r="BK10" s="130">
        <f t="shared" si="11"/>
        <v>0</v>
      </c>
      <c r="BL10" s="130">
        <f t="shared" si="11"/>
        <v>0</v>
      </c>
      <c r="BM10" s="130">
        <f t="shared" si="11"/>
        <v>0</v>
      </c>
      <c r="BN10" s="130">
        <f t="shared" si="11"/>
        <v>0</v>
      </c>
      <c r="BO10" s="130">
        <f t="shared" si="11"/>
        <v>0</v>
      </c>
      <c r="BP10" s="130">
        <f t="shared" si="11"/>
        <v>0</v>
      </c>
      <c r="BQ10" s="130">
        <f t="shared" si="11"/>
        <v>0</v>
      </c>
      <c r="BR10" s="130" t="e">
        <f t="shared" si="12"/>
        <v>#REF!</v>
      </c>
    </row>
    <row r="11" spans="1:70" s="119" customFormat="1" x14ac:dyDescent="0.2">
      <c r="B11" s="128"/>
      <c r="C11" s="129"/>
      <c r="D11" s="129"/>
      <c r="E11" s="129" t="e">
        <f>ROUND(IF(D11=#REF!,0,IF($H11=$S$6,(C11/1.14975*0.05*0.5),C11/1.14975*0.05)),2)</f>
        <v>#REF!</v>
      </c>
      <c r="F11" s="129" t="e">
        <f>ROUND(IF(D11=#REF!,0,IF($H11=$S$6,C11/1.14975*0.09975*0.5,C11/1.14975*0.09975)),2)</f>
        <v>#REF!</v>
      </c>
      <c r="G11" s="129" t="e">
        <f t="shared" si="0"/>
        <v>#REF!</v>
      </c>
      <c r="J11" s="130">
        <f t="shared" si="1"/>
        <v>0</v>
      </c>
      <c r="K11" s="130">
        <f t="shared" si="2"/>
        <v>0</v>
      </c>
      <c r="L11" s="130">
        <f t="shared" si="2"/>
        <v>0</v>
      </c>
      <c r="M11" s="130">
        <f t="shared" si="2"/>
        <v>0</v>
      </c>
      <c r="N11" s="130">
        <f t="shared" si="2"/>
        <v>0</v>
      </c>
      <c r="O11" s="130">
        <f t="shared" si="2"/>
        <v>0</v>
      </c>
      <c r="P11" s="130">
        <f t="shared" si="2"/>
        <v>0</v>
      </c>
      <c r="Q11" s="130">
        <f t="shared" si="2"/>
        <v>0</v>
      </c>
      <c r="R11" s="130">
        <f t="shared" si="2"/>
        <v>0</v>
      </c>
      <c r="S11" s="130">
        <f t="shared" si="2"/>
        <v>0</v>
      </c>
      <c r="T11" s="130">
        <f t="shared" si="2"/>
        <v>0</v>
      </c>
      <c r="U11" s="130">
        <f t="shared" si="3"/>
        <v>0</v>
      </c>
      <c r="V11" s="130">
        <f t="shared" si="3"/>
        <v>0</v>
      </c>
      <c r="W11" s="130">
        <f t="shared" si="3"/>
        <v>0</v>
      </c>
      <c r="X11" s="130">
        <f t="shared" si="3"/>
        <v>0</v>
      </c>
      <c r="Y11" s="130">
        <f t="shared" si="3"/>
        <v>0</v>
      </c>
      <c r="Z11" s="130">
        <f t="shared" si="3"/>
        <v>0</v>
      </c>
      <c r="AA11" s="130">
        <f t="shared" si="3"/>
        <v>0</v>
      </c>
      <c r="AB11" s="130">
        <f t="shared" si="3"/>
        <v>0</v>
      </c>
      <c r="AC11" s="130">
        <f t="shared" si="3"/>
        <v>0</v>
      </c>
      <c r="AD11" s="130">
        <f t="shared" si="3"/>
        <v>0</v>
      </c>
      <c r="AE11" s="130">
        <f t="shared" si="3"/>
        <v>0</v>
      </c>
      <c r="AF11" s="130">
        <f t="shared" si="3"/>
        <v>0</v>
      </c>
      <c r="AG11" s="130">
        <f t="shared" si="3"/>
        <v>0</v>
      </c>
      <c r="AH11" s="130">
        <f t="shared" si="4"/>
        <v>0</v>
      </c>
      <c r="AI11" s="130">
        <f t="shared" si="4"/>
        <v>0</v>
      </c>
      <c r="AJ11" s="130">
        <f t="shared" si="4"/>
        <v>0</v>
      </c>
      <c r="AK11" s="130">
        <f t="shared" si="5"/>
        <v>0</v>
      </c>
      <c r="AL11" s="130">
        <f t="shared" si="6"/>
        <v>0</v>
      </c>
      <c r="AM11" s="130">
        <f t="shared" si="7"/>
        <v>0</v>
      </c>
      <c r="AN11" s="130">
        <f t="shared" si="8"/>
        <v>0</v>
      </c>
      <c r="AO11" s="130">
        <f t="shared" si="9"/>
        <v>0</v>
      </c>
      <c r="AP11" s="130">
        <f t="shared" si="9"/>
        <v>0</v>
      </c>
      <c r="AQ11" s="130">
        <f t="shared" si="9"/>
        <v>0</v>
      </c>
      <c r="AR11" s="130">
        <f t="shared" si="9"/>
        <v>0</v>
      </c>
      <c r="AS11" s="130">
        <f t="shared" si="9"/>
        <v>0</v>
      </c>
      <c r="AT11" s="130">
        <f t="shared" si="9"/>
        <v>0</v>
      </c>
      <c r="AU11" s="130">
        <f t="shared" si="9"/>
        <v>0</v>
      </c>
      <c r="AV11" s="130">
        <f t="shared" si="9"/>
        <v>0</v>
      </c>
      <c r="AW11" s="130">
        <f t="shared" si="9"/>
        <v>0</v>
      </c>
      <c r="AX11" s="130">
        <f t="shared" si="9"/>
        <v>0</v>
      </c>
      <c r="AY11" s="130">
        <f t="shared" si="9"/>
        <v>0</v>
      </c>
      <c r="AZ11" s="130">
        <f t="shared" si="9"/>
        <v>0</v>
      </c>
      <c r="BA11" s="130">
        <f t="shared" si="9"/>
        <v>0</v>
      </c>
      <c r="BB11" s="130">
        <f t="shared" si="10"/>
        <v>0</v>
      </c>
      <c r="BC11" s="130">
        <f t="shared" si="10"/>
        <v>0</v>
      </c>
      <c r="BD11" s="130">
        <f t="shared" si="10"/>
        <v>0</v>
      </c>
      <c r="BE11" s="130">
        <f t="shared" si="10"/>
        <v>0</v>
      </c>
      <c r="BF11" s="130" t="e">
        <f>+IF($H11=#REF!,$C11,0)-IF($I11=#REF!,$C11,0)</f>
        <v>#REF!</v>
      </c>
      <c r="BG11" s="130" t="e">
        <f>+IF($H11=#REF!,$C11,0)-IF($I11=#REF!,$C11,0)</f>
        <v>#REF!</v>
      </c>
      <c r="BH11" s="130" t="e">
        <f>+IF($H11=#REF!,$C11,0)-IF($I11=#REF!,$C11,0)</f>
        <v>#REF!</v>
      </c>
      <c r="BI11" s="130">
        <f t="shared" si="11"/>
        <v>0</v>
      </c>
      <c r="BJ11" s="130">
        <f t="shared" si="11"/>
        <v>0</v>
      </c>
      <c r="BK11" s="130">
        <f t="shared" si="11"/>
        <v>0</v>
      </c>
      <c r="BL11" s="130">
        <f t="shared" si="11"/>
        <v>0</v>
      </c>
      <c r="BM11" s="130">
        <f t="shared" si="11"/>
        <v>0</v>
      </c>
      <c r="BN11" s="130">
        <f t="shared" si="11"/>
        <v>0</v>
      </c>
      <c r="BO11" s="130">
        <f t="shared" si="11"/>
        <v>0</v>
      </c>
      <c r="BP11" s="130">
        <f t="shared" si="11"/>
        <v>0</v>
      </c>
      <c r="BQ11" s="130">
        <f t="shared" si="11"/>
        <v>0</v>
      </c>
      <c r="BR11" s="130" t="e">
        <f t="shared" si="12"/>
        <v>#REF!</v>
      </c>
    </row>
    <row r="12" spans="1:70" s="119" customFormat="1" x14ac:dyDescent="0.2">
      <c r="B12" s="128"/>
      <c r="C12" s="129"/>
      <c r="D12" s="129"/>
      <c r="E12" s="129" t="e">
        <f>ROUND(IF(D12=#REF!,0,IF($H12=$S$6,(C12/1.14975*0.05*0.5),C12/1.14975*0.05)),2)</f>
        <v>#REF!</v>
      </c>
      <c r="F12" s="129" t="e">
        <f>ROUND(IF(D12=#REF!,0,IF($H12=$S$6,C12/1.14975*0.09975*0.5,C12/1.14975*0.09975)),2)</f>
        <v>#REF!</v>
      </c>
      <c r="G12" s="129" t="e">
        <f t="shared" si="0"/>
        <v>#REF!</v>
      </c>
      <c r="J12" s="130">
        <f t="shared" si="1"/>
        <v>0</v>
      </c>
      <c r="K12" s="130">
        <f t="shared" si="2"/>
        <v>0</v>
      </c>
      <c r="L12" s="130">
        <f t="shared" si="2"/>
        <v>0</v>
      </c>
      <c r="M12" s="130">
        <f t="shared" si="2"/>
        <v>0</v>
      </c>
      <c r="N12" s="130">
        <f t="shared" si="2"/>
        <v>0</v>
      </c>
      <c r="O12" s="130">
        <f t="shared" si="2"/>
        <v>0</v>
      </c>
      <c r="P12" s="130">
        <f t="shared" si="2"/>
        <v>0</v>
      </c>
      <c r="Q12" s="130">
        <f t="shared" si="2"/>
        <v>0</v>
      </c>
      <c r="R12" s="130">
        <f t="shared" si="2"/>
        <v>0</v>
      </c>
      <c r="S12" s="130">
        <f t="shared" si="2"/>
        <v>0</v>
      </c>
      <c r="T12" s="130">
        <f t="shared" si="2"/>
        <v>0</v>
      </c>
      <c r="U12" s="130">
        <f t="shared" si="3"/>
        <v>0</v>
      </c>
      <c r="V12" s="130">
        <f t="shared" si="3"/>
        <v>0</v>
      </c>
      <c r="W12" s="130">
        <f t="shared" si="3"/>
        <v>0</v>
      </c>
      <c r="X12" s="130">
        <f t="shared" si="3"/>
        <v>0</v>
      </c>
      <c r="Y12" s="130">
        <f t="shared" si="3"/>
        <v>0</v>
      </c>
      <c r="Z12" s="130">
        <f t="shared" si="3"/>
        <v>0</v>
      </c>
      <c r="AA12" s="130">
        <f t="shared" si="3"/>
        <v>0</v>
      </c>
      <c r="AB12" s="130">
        <f t="shared" si="3"/>
        <v>0</v>
      </c>
      <c r="AC12" s="130">
        <f t="shared" si="3"/>
        <v>0</v>
      </c>
      <c r="AD12" s="130">
        <f t="shared" si="3"/>
        <v>0</v>
      </c>
      <c r="AE12" s="130">
        <f t="shared" si="3"/>
        <v>0</v>
      </c>
      <c r="AF12" s="130">
        <f t="shared" si="3"/>
        <v>0</v>
      </c>
      <c r="AG12" s="130">
        <f t="shared" si="3"/>
        <v>0</v>
      </c>
      <c r="AH12" s="130">
        <f t="shared" si="4"/>
        <v>0</v>
      </c>
      <c r="AI12" s="130">
        <f t="shared" si="4"/>
        <v>0</v>
      </c>
      <c r="AJ12" s="130">
        <f t="shared" si="4"/>
        <v>0</v>
      </c>
      <c r="AK12" s="130">
        <f t="shared" si="5"/>
        <v>0</v>
      </c>
      <c r="AL12" s="130">
        <f t="shared" si="6"/>
        <v>0</v>
      </c>
      <c r="AM12" s="130">
        <f t="shared" si="7"/>
        <v>0</v>
      </c>
      <c r="AN12" s="130">
        <f t="shared" si="8"/>
        <v>0</v>
      </c>
      <c r="AO12" s="130">
        <f t="shared" si="9"/>
        <v>0</v>
      </c>
      <c r="AP12" s="130">
        <f t="shared" si="9"/>
        <v>0</v>
      </c>
      <c r="AQ12" s="130">
        <f t="shared" si="9"/>
        <v>0</v>
      </c>
      <c r="AR12" s="130">
        <f t="shared" si="9"/>
        <v>0</v>
      </c>
      <c r="AS12" s="130">
        <f t="shared" si="9"/>
        <v>0</v>
      </c>
      <c r="AT12" s="130">
        <f t="shared" si="9"/>
        <v>0</v>
      </c>
      <c r="AU12" s="130">
        <f t="shared" si="9"/>
        <v>0</v>
      </c>
      <c r="AV12" s="130">
        <f t="shared" si="9"/>
        <v>0</v>
      </c>
      <c r="AW12" s="130">
        <f t="shared" si="9"/>
        <v>0</v>
      </c>
      <c r="AX12" s="130">
        <f t="shared" si="9"/>
        <v>0</v>
      </c>
      <c r="AY12" s="130">
        <f t="shared" si="9"/>
        <v>0</v>
      </c>
      <c r="AZ12" s="130">
        <f t="shared" si="9"/>
        <v>0</v>
      </c>
      <c r="BA12" s="130">
        <f t="shared" si="9"/>
        <v>0</v>
      </c>
      <c r="BB12" s="130">
        <f t="shared" si="10"/>
        <v>0</v>
      </c>
      <c r="BC12" s="130">
        <f t="shared" si="10"/>
        <v>0</v>
      </c>
      <c r="BD12" s="130">
        <f t="shared" si="10"/>
        <v>0</v>
      </c>
      <c r="BE12" s="130">
        <f t="shared" si="10"/>
        <v>0</v>
      </c>
      <c r="BF12" s="130" t="e">
        <f>+IF($H12=#REF!,$C12,0)-IF($I12=#REF!,$C12,0)</f>
        <v>#REF!</v>
      </c>
      <c r="BG12" s="130" t="e">
        <f>+IF($H12=#REF!,$C12,0)-IF($I12=#REF!,$C12,0)</f>
        <v>#REF!</v>
      </c>
      <c r="BH12" s="130" t="e">
        <f>+IF($H12=#REF!,$C12,0)-IF($I12=#REF!,$C12,0)</f>
        <v>#REF!</v>
      </c>
      <c r="BI12" s="130">
        <f t="shared" si="11"/>
        <v>0</v>
      </c>
      <c r="BJ12" s="130">
        <f t="shared" si="11"/>
        <v>0</v>
      </c>
      <c r="BK12" s="130">
        <f t="shared" si="11"/>
        <v>0</v>
      </c>
      <c r="BL12" s="130">
        <f t="shared" si="11"/>
        <v>0</v>
      </c>
      <c r="BM12" s="130">
        <f t="shared" si="11"/>
        <v>0</v>
      </c>
      <c r="BN12" s="130">
        <f t="shared" si="11"/>
        <v>0</v>
      </c>
      <c r="BO12" s="130">
        <f t="shared" si="11"/>
        <v>0</v>
      </c>
      <c r="BP12" s="130">
        <f t="shared" si="11"/>
        <v>0</v>
      </c>
      <c r="BQ12" s="130">
        <f t="shared" si="11"/>
        <v>0</v>
      </c>
      <c r="BR12" s="130" t="e">
        <f t="shared" si="12"/>
        <v>#REF!</v>
      </c>
    </row>
    <row r="13" spans="1:70" s="119" customFormat="1" x14ac:dyDescent="0.2">
      <c r="B13" s="128"/>
      <c r="C13" s="129"/>
      <c r="D13" s="129"/>
      <c r="E13" s="129" t="e">
        <f>ROUND(IF(D13=#REF!,0,IF($H13=$S$6,(C13/1.14975*0.05*0.5),C13/1.14975*0.05)),2)</f>
        <v>#REF!</v>
      </c>
      <c r="F13" s="129" t="e">
        <f>ROUND(IF(D13=#REF!,0,IF($H13=$S$6,C13/1.14975*0.09975*0.5,C13/1.14975*0.09975)),2)</f>
        <v>#REF!</v>
      </c>
      <c r="G13" s="129" t="e">
        <f t="shared" ref="G13:G14" si="13">C13-E13-F13</f>
        <v>#REF!</v>
      </c>
      <c r="J13" s="130">
        <f t="shared" si="1"/>
        <v>0</v>
      </c>
      <c r="K13" s="130">
        <f t="shared" si="2"/>
        <v>0</v>
      </c>
      <c r="L13" s="130">
        <f t="shared" si="2"/>
        <v>0</v>
      </c>
      <c r="M13" s="130">
        <f t="shared" si="2"/>
        <v>0</v>
      </c>
      <c r="N13" s="130">
        <f t="shared" si="2"/>
        <v>0</v>
      </c>
      <c r="O13" s="130">
        <f t="shared" si="2"/>
        <v>0</v>
      </c>
      <c r="P13" s="130">
        <f t="shared" si="2"/>
        <v>0</v>
      </c>
      <c r="Q13" s="130">
        <f t="shared" si="2"/>
        <v>0</v>
      </c>
      <c r="R13" s="130">
        <f t="shared" si="2"/>
        <v>0</v>
      </c>
      <c r="S13" s="130">
        <f t="shared" si="2"/>
        <v>0</v>
      </c>
      <c r="T13" s="130">
        <f t="shared" si="2"/>
        <v>0</v>
      </c>
      <c r="U13" s="130">
        <f t="shared" si="3"/>
        <v>0</v>
      </c>
      <c r="V13" s="130">
        <f t="shared" si="3"/>
        <v>0</v>
      </c>
      <c r="W13" s="130">
        <f t="shared" si="3"/>
        <v>0</v>
      </c>
      <c r="X13" s="130">
        <f t="shared" si="3"/>
        <v>0</v>
      </c>
      <c r="Y13" s="130">
        <f t="shared" si="3"/>
        <v>0</v>
      </c>
      <c r="Z13" s="130">
        <f t="shared" si="3"/>
        <v>0</v>
      </c>
      <c r="AA13" s="130">
        <f t="shared" si="3"/>
        <v>0</v>
      </c>
      <c r="AB13" s="130">
        <f t="shared" si="3"/>
        <v>0</v>
      </c>
      <c r="AC13" s="130">
        <f t="shared" si="3"/>
        <v>0</v>
      </c>
      <c r="AD13" s="130">
        <f t="shared" si="3"/>
        <v>0</v>
      </c>
      <c r="AE13" s="130">
        <f t="shared" si="3"/>
        <v>0</v>
      </c>
      <c r="AF13" s="130">
        <f t="shared" si="3"/>
        <v>0</v>
      </c>
      <c r="AG13" s="130">
        <f t="shared" si="3"/>
        <v>0</v>
      </c>
      <c r="AH13" s="130">
        <f t="shared" si="4"/>
        <v>0</v>
      </c>
      <c r="AI13" s="130">
        <f t="shared" si="4"/>
        <v>0</v>
      </c>
      <c r="AJ13" s="130">
        <f t="shared" si="4"/>
        <v>0</v>
      </c>
      <c r="AK13" s="130">
        <f t="shared" si="5"/>
        <v>0</v>
      </c>
      <c r="AL13" s="130">
        <f t="shared" si="6"/>
        <v>0</v>
      </c>
      <c r="AM13" s="130">
        <f t="shared" si="7"/>
        <v>0</v>
      </c>
      <c r="AN13" s="130">
        <f t="shared" si="8"/>
        <v>0</v>
      </c>
      <c r="AO13" s="130">
        <f t="shared" si="9"/>
        <v>0</v>
      </c>
      <c r="AP13" s="130">
        <f t="shared" si="9"/>
        <v>0</v>
      </c>
      <c r="AQ13" s="130">
        <f t="shared" si="9"/>
        <v>0</v>
      </c>
      <c r="AR13" s="130">
        <f t="shared" si="9"/>
        <v>0</v>
      </c>
      <c r="AS13" s="130">
        <f t="shared" si="9"/>
        <v>0</v>
      </c>
      <c r="AT13" s="130">
        <f t="shared" si="9"/>
        <v>0</v>
      </c>
      <c r="AU13" s="130">
        <f t="shared" si="9"/>
        <v>0</v>
      </c>
      <c r="AV13" s="130">
        <f t="shared" si="9"/>
        <v>0</v>
      </c>
      <c r="AW13" s="130">
        <f t="shared" si="9"/>
        <v>0</v>
      </c>
      <c r="AX13" s="130">
        <f t="shared" si="9"/>
        <v>0</v>
      </c>
      <c r="AY13" s="130">
        <f t="shared" si="9"/>
        <v>0</v>
      </c>
      <c r="AZ13" s="130">
        <f t="shared" si="9"/>
        <v>0</v>
      </c>
      <c r="BA13" s="130">
        <f t="shared" si="9"/>
        <v>0</v>
      </c>
      <c r="BB13" s="130">
        <f t="shared" si="10"/>
        <v>0</v>
      </c>
      <c r="BC13" s="130">
        <f t="shared" si="10"/>
        <v>0</v>
      </c>
      <c r="BD13" s="130">
        <f t="shared" si="10"/>
        <v>0</v>
      </c>
      <c r="BE13" s="130">
        <f t="shared" si="10"/>
        <v>0</v>
      </c>
      <c r="BF13" s="130" t="e">
        <f>+IF($H13=#REF!,$C13,0)-IF($I13=#REF!,$C13,0)</f>
        <v>#REF!</v>
      </c>
      <c r="BG13" s="130" t="e">
        <f>+IF($H13=#REF!,$C13,0)-IF($I13=#REF!,$C13,0)</f>
        <v>#REF!</v>
      </c>
      <c r="BH13" s="130" t="e">
        <f>+IF($H13=#REF!,$C13,0)-IF($I13=#REF!,$C13,0)</f>
        <v>#REF!</v>
      </c>
      <c r="BI13" s="130">
        <f t="shared" si="11"/>
        <v>0</v>
      </c>
      <c r="BJ13" s="130">
        <f t="shared" si="11"/>
        <v>0</v>
      </c>
      <c r="BK13" s="130">
        <f t="shared" si="11"/>
        <v>0</v>
      </c>
      <c r="BL13" s="130">
        <f t="shared" si="11"/>
        <v>0</v>
      </c>
      <c r="BM13" s="130">
        <f t="shared" si="11"/>
        <v>0</v>
      </c>
      <c r="BN13" s="130">
        <f t="shared" si="11"/>
        <v>0</v>
      </c>
      <c r="BO13" s="130">
        <f t="shared" si="11"/>
        <v>0</v>
      </c>
      <c r="BP13" s="130">
        <f t="shared" si="11"/>
        <v>0</v>
      </c>
      <c r="BQ13" s="130">
        <f t="shared" si="11"/>
        <v>0</v>
      </c>
      <c r="BR13" s="130" t="e">
        <f t="shared" si="12"/>
        <v>#REF!</v>
      </c>
    </row>
    <row r="14" spans="1:70" s="119" customFormat="1" x14ac:dyDescent="0.2">
      <c r="B14" s="128"/>
      <c r="C14" s="129"/>
      <c r="D14" s="129"/>
      <c r="E14" s="129" t="e">
        <f>ROUND(IF(D14=#REF!,0,IF($H14=$S$6,(C14/1.14975*0.05*0.5),C14/1.14975*0.05)),2)</f>
        <v>#REF!</v>
      </c>
      <c r="F14" s="129" t="e">
        <f>ROUND(IF(D14=#REF!,0,IF($H14=$S$6,C14/1.14975*0.09975*0.5,C14/1.14975*0.09975)),2)</f>
        <v>#REF!</v>
      </c>
      <c r="G14" s="129" t="e">
        <f t="shared" si="13"/>
        <v>#REF!</v>
      </c>
      <c r="J14" s="130">
        <f t="shared" si="1"/>
        <v>0</v>
      </c>
      <c r="K14" s="130">
        <f t="shared" si="2"/>
        <v>0</v>
      </c>
      <c r="L14" s="130">
        <f t="shared" si="2"/>
        <v>0</v>
      </c>
      <c r="M14" s="130">
        <f t="shared" si="2"/>
        <v>0</v>
      </c>
      <c r="N14" s="130">
        <f t="shared" si="2"/>
        <v>0</v>
      </c>
      <c r="O14" s="130">
        <f t="shared" si="2"/>
        <v>0</v>
      </c>
      <c r="P14" s="130">
        <f t="shared" si="2"/>
        <v>0</v>
      </c>
      <c r="Q14" s="130">
        <f t="shared" si="2"/>
        <v>0</v>
      </c>
      <c r="R14" s="130">
        <f t="shared" si="2"/>
        <v>0</v>
      </c>
      <c r="S14" s="130">
        <f t="shared" si="2"/>
        <v>0</v>
      </c>
      <c r="T14" s="130">
        <f t="shared" si="2"/>
        <v>0</v>
      </c>
      <c r="U14" s="130">
        <f t="shared" si="3"/>
        <v>0</v>
      </c>
      <c r="V14" s="130">
        <f t="shared" si="3"/>
        <v>0</v>
      </c>
      <c r="W14" s="130">
        <f t="shared" si="3"/>
        <v>0</v>
      </c>
      <c r="X14" s="130">
        <f t="shared" si="3"/>
        <v>0</v>
      </c>
      <c r="Y14" s="130">
        <f t="shared" si="3"/>
        <v>0</v>
      </c>
      <c r="Z14" s="130">
        <f t="shared" si="3"/>
        <v>0</v>
      </c>
      <c r="AA14" s="130">
        <f t="shared" si="3"/>
        <v>0</v>
      </c>
      <c r="AB14" s="130">
        <f t="shared" si="3"/>
        <v>0</v>
      </c>
      <c r="AC14" s="130">
        <f t="shared" si="3"/>
        <v>0</v>
      </c>
      <c r="AD14" s="130">
        <f t="shared" si="3"/>
        <v>0</v>
      </c>
      <c r="AE14" s="130">
        <f t="shared" si="3"/>
        <v>0</v>
      </c>
      <c r="AF14" s="130">
        <f t="shared" si="3"/>
        <v>0</v>
      </c>
      <c r="AG14" s="130">
        <f t="shared" si="3"/>
        <v>0</v>
      </c>
      <c r="AH14" s="130">
        <f t="shared" si="4"/>
        <v>0</v>
      </c>
      <c r="AI14" s="130">
        <f t="shared" si="4"/>
        <v>0</v>
      </c>
      <c r="AJ14" s="130">
        <f t="shared" si="4"/>
        <v>0</v>
      </c>
      <c r="AK14" s="130">
        <f t="shared" si="5"/>
        <v>0</v>
      </c>
      <c r="AL14" s="130">
        <f t="shared" si="6"/>
        <v>0</v>
      </c>
      <c r="AM14" s="130">
        <f t="shared" si="7"/>
        <v>0</v>
      </c>
      <c r="AN14" s="130">
        <f t="shared" si="8"/>
        <v>0</v>
      </c>
      <c r="AO14" s="130">
        <f t="shared" si="9"/>
        <v>0</v>
      </c>
      <c r="AP14" s="130">
        <f t="shared" si="9"/>
        <v>0</v>
      </c>
      <c r="AQ14" s="130">
        <f t="shared" si="9"/>
        <v>0</v>
      </c>
      <c r="AR14" s="130">
        <f t="shared" si="9"/>
        <v>0</v>
      </c>
      <c r="AS14" s="130">
        <f t="shared" si="9"/>
        <v>0</v>
      </c>
      <c r="AT14" s="130">
        <f t="shared" si="9"/>
        <v>0</v>
      </c>
      <c r="AU14" s="130">
        <f t="shared" si="9"/>
        <v>0</v>
      </c>
      <c r="AV14" s="130">
        <f t="shared" si="9"/>
        <v>0</v>
      </c>
      <c r="AW14" s="130">
        <f t="shared" si="9"/>
        <v>0</v>
      </c>
      <c r="AX14" s="130">
        <f t="shared" si="9"/>
        <v>0</v>
      </c>
      <c r="AY14" s="130">
        <f t="shared" si="9"/>
        <v>0</v>
      </c>
      <c r="AZ14" s="130">
        <f t="shared" si="9"/>
        <v>0</v>
      </c>
      <c r="BA14" s="130">
        <f t="shared" si="9"/>
        <v>0</v>
      </c>
      <c r="BB14" s="130">
        <f t="shared" si="10"/>
        <v>0</v>
      </c>
      <c r="BC14" s="130">
        <f t="shared" si="10"/>
        <v>0</v>
      </c>
      <c r="BD14" s="130">
        <f t="shared" si="10"/>
        <v>0</v>
      </c>
      <c r="BE14" s="130">
        <f t="shared" si="10"/>
        <v>0</v>
      </c>
      <c r="BF14" s="130" t="e">
        <f>+IF($H14=#REF!,$C14,0)-IF($I14=#REF!,$C14,0)</f>
        <v>#REF!</v>
      </c>
      <c r="BG14" s="130" t="e">
        <f>+IF($H14=#REF!,$C14,0)-IF($I14=#REF!,$C14,0)</f>
        <v>#REF!</v>
      </c>
      <c r="BH14" s="130" t="e">
        <f>+IF($H14=#REF!,$C14,0)-IF($I14=#REF!,$C14,0)</f>
        <v>#REF!</v>
      </c>
      <c r="BI14" s="130">
        <f t="shared" si="11"/>
        <v>0</v>
      </c>
      <c r="BJ14" s="130">
        <f t="shared" si="11"/>
        <v>0</v>
      </c>
      <c r="BK14" s="130">
        <f t="shared" si="11"/>
        <v>0</v>
      </c>
      <c r="BL14" s="130">
        <f t="shared" si="11"/>
        <v>0</v>
      </c>
      <c r="BM14" s="130">
        <f t="shared" si="11"/>
        <v>0</v>
      </c>
      <c r="BN14" s="130">
        <f t="shared" si="11"/>
        <v>0</v>
      </c>
      <c r="BO14" s="130">
        <f t="shared" si="11"/>
        <v>0</v>
      </c>
      <c r="BP14" s="130">
        <f t="shared" si="11"/>
        <v>0</v>
      </c>
      <c r="BQ14" s="130">
        <f t="shared" si="11"/>
        <v>0</v>
      </c>
      <c r="BR14" s="130" t="e">
        <f t="shared" si="12"/>
        <v>#REF!</v>
      </c>
    </row>
    <row r="15" spans="1:70" s="119" customFormat="1" x14ac:dyDescent="0.2">
      <c r="B15" s="128"/>
      <c r="C15" s="129"/>
      <c r="D15" s="129"/>
      <c r="E15" s="129" t="e">
        <f>ROUND(IF(D15=#REF!,0,IF($H15=$S$6,(C15/1.14975*0.05*0.5),C15/1.14975*0.05)),2)</f>
        <v>#REF!</v>
      </c>
      <c r="F15" s="129" t="e">
        <f>ROUND(IF(D15=#REF!,0,IF($H15=$S$6,C15/1.14975*0.09975*0.5,C15/1.14975*0.09975)),2)</f>
        <v>#REF!</v>
      </c>
      <c r="G15" s="129" t="e">
        <f t="shared" si="0"/>
        <v>#REF!</v>
      </c>
      <c r="J15" s="130">
        <f t="shared" si="1"/>
        <v>0</v>
      </c>
      <c r="K15" s="130">
        <f t="shared" si="2"/>
        <v>0</v>
      </c>
      <c r="L15" s="130">
        <f t="shared" si="2"/>
        <v>0</v>
      </c>
      <c r="M15" s="130">
        <f t="shared" si="2"/>
        <v>0</v>
      </c>
      <c r="N15" s="130">
        <f t="shared" si="2"/>
        <v>0</v>
      </c>
      <c r="O15" s="130">
        <f t="shared" si="2"/>
        <v>0</v>
      </c>
      <c r="P15" s="130">
        <f t="shared" si="2"/>
        <v>0</v>
      </c>
      <c r="Q15" s="130">
        <f t="shared" si="2"/>
        <v>0</v>
      </c>
      <c r="R15" s="130">
        <f t="shared" si="2"/>
        <v>0</v>
      </c>
      <c r="S15" s="130">
        <f t="shared" si="2"/>
        <v>0</v>
      </c>
      <c r="T15" s="130">
        <f t="shared" si="2"/>
        <v>0</v>
      </c>
      <c r="U15" s="130">
        <f t="shared" si="3"/>
        <v>0</v>
      </c>
      <c r="V15" s="130">
        <f t="shared" si="3"/>
        <v>0</v>
      </c>
      <c r="W15" s="130">
        <f t="shared" si="3"/>
        <v>0</v>
      </c>
      <c r="X15" s="130">
        <f t="shared" si="3"/>
        <v>0</v>
      </c>
      <c r="Y15" s="130">
        <f t="shared" si="3"/>
        <v>0</v>
      </c>
      <c r="Z15" s="130">
        <f t="shared" si="3"/>
        <v>0</v>
      </c>
      <c r="AA15" s="130">
        <f t="shared" si="3"/>
        <v>0</v>
      </c>
      <c r="AB15" s="130">
        <f t="shared" si="3"/>
        <v>0</v>
      </c>
      <c r="AC15" s="130">
        <f t="shared" si="3"/>
        <v>0</v>
      </c>
      <c r="AD15" s="130">
        <f t="shared" si="3"/>
        <v>0</v>
      </c>
      <c r="AE15" s="130">
        <f t="shared" si="3"/>
        <v>0</v>
      </c>
      <c r="AF15" s="130">
        <f t="shared" si="3"/>
        <v>0</v>
      </c>
      <c r="AG15" s="130">
        <f t="shared" si="3"/>
        <v>0</v>
      </c>
      <c r="AH15" s="130">
        <f t="shared" si="4"/>
        <v>0</v>
      </c>
      <c r="AI15" s="130">
        <f t="shared" si="4"/>
        <v>0</v>
      </c>
      <c r="AJ15" s="130">
        <f t="shared" si="4"/>
        <v>0</v>
      </c>
      <c r="AK15" s="130">
        <f t="shared" si="5"/>
        <v>0</v>
      </c>
      <c r="AL15" s="130">
        <f t="shared" si="6"/>
        <v>0</v>
      </c>
      <c r="AM15" s="130">
        <f t="shared" si="7"/>
        <v>0</v>
      </c>
      <c r="AN15" s="130">
        <f t="shared" si="8"/>
        <v>0</v>
      </c>
      <c r="AO15" s="130">
        <f t="shared" si="9"/>
        <v>0</v>
      </c>
      <c r="AP15" s="130">
        <f t="shared" si="9"/>
        <v>0</v>
      </c>
      <c r="AQ15" s="130">
        <f t="shared" si="9"/>
        <v>0</v>
      </c>
      <c r="AR15" s="130">
        <f t="shared" si="9"/>
        <v>0</v>
      </c>
      <c r="AS15" s="130">
        <f t="shared" si="9"/>
        <v>0</v>
      </c>
      <c r="AT15" s="130">
        <f t="shared" si="9"/>
        <v>0</v>
      </c>
      <c r="AU15" s="130">
        <f t="shared" si="9"/>
        <v>0</v>
      </c>
      <c r="AV15" s="130">
        <f t="shared" si="9"/>
        <v>0</v>
      </c>
      <c r="AW15" s="130">
        <f t="shared" si="9"/>
        <v>0</v>
      </c>
      <c r="AX15" s="130">
        <f t="shared" si="9"/>
        <v>0</v>
      </c>
      <c r="AY15" s="130">
        <f t="shared" si="9"/>
        <v>0</v>
      </c>
      <c r="AZ15" s="130">
        <f t="shared" si="9"/>
        <v>0</v>
      </c>
      <c r="BA15" s="130">
        <f t="shared" si="9"/>
        <v>0</v>
      </c>
      <c r="BB15" s="130">
        <f t="shared" si="10"/>
        <v>0</v>
      </c>
      <c r="BC15" s="130">
        <f t="shared" si="10"/>
        <v>0</v>
      </c>
      <c r="BD15" s="130">
        <f t="shared" si="10"/>
        <v>0</v>
      </c>
      <c r="BE15" s="130">
        <f t="shared" si="10"/>
        <v>0</v>
      </c>
      <c r="BF15" s="130" t="e">
        <f>+IF($H15=#REF!,$C15,0)-IF($I15=#REF!,$C15,0)</f>
        <v>#REF!</v>
      </c>
      <c r="BG15" s="130" t="e">
        <f>+IF($H15=#REF!,$C15,0)-IF($I15=#REF!,$C15,0)</f>
        <v>#REF!</v>
      </c>
      <c r="BH15" s="130" t="e">
        <f>+IF($H15=#REF!,$C15,0)-IF($I15=#REF!,$C15,0)</f>
        <v>#REF!</v>
      </c>
      <c r="BI15" s="130">
        <f t="shared" si="11"/>
        <v>0</v>
      </c>
      <c r="BJ15" s="130">
        <f t="shared" si="11"/>
        <v>0</v>
      </c>
      <c r="BK15" s="130">
        <f t="shared" si="11"/>
        <v>0</v>
      </c>
      <c r="BL15" s="130">
        <f t="shared" si="11"/>
        <v>0</v>
      </c>
      <c r="BM15" s="130">
        <f t="shared" si="11"/>
        <v>0</v>
      </c>
      <c r="BN15" s="130">
        <f t="shared" si="11"/>
        <v>0</v>
      </c>
      <c r="BO15" s="130">
        <f t="shared" si="11"/>
        <v>0</v>
      </c>
      <c r="BP15" s="130">
        <f t="shared" si="11"/>
        <v>0</v>
      </c>
      <c r="BQ15" s="130">
        <f t="shared" si="11"/>
        <v>0</v>
      </c>
      <c r="BR15" s="130" t="e">
        <f t="shared" si="12"/>
        <v>#REF!</v>
      </c>
    </row>
    <row r="16" spans="1:70" s="119" customFormat="1" x14ac:dyDescent="0.2">
      <c r="B16" s="128"/>
      <c r="C16" s="129"/>
      <c r="D16" s="129"/>
      <c r="E16" s="129" t="e">
        <f>ROUND(IF(D16=#REF!,0,IF($H16=$S$6,(C16/1.14975*0.05*0.5),C16/1.14975*0.05)),2)</f>
        <v>#REF!</v>
      </c>
      <c r="F16" s="129" t="e">
        <f>ROUND(IF(D16=#REF!,0,IF($H16=$S$6,C16/1.14975*0.09975*0.5,C16/1.14975*0.09975)),2)</f>
        <v>#REF!</v>
      </c>
      <c r="G16" s="129" t="e">
        <f t="shared" si="0"/>
        <v>#REF!</v>
      </c>
      <c r="J16" s="130">
        <f t="shared" si="1"/>
        <v>0</v>
      </c>
      <c r="K16" s="130">
        <f t="shared" si="2"/>
        <v>0</v>
      </c>
      <c r="L16" s="130">
        <f t="shared" si="2"/>
        <v>0</v>
      </c>
      <c r="M16" s="130">
        <f t="shared" si="2"/>
        <v>0</v>
      </c>
      <c r="N16" s="130">
        <f t="shared" si="2"/>
        <v>0</v>
      </c>
      <c r="O16" s="130">
        <f t="shared" si="2"/>
        <v>0</v>
      </c>
      <c r="P16" s="130">
        <f t="shared" si="2"/>
        <v>0</v>
      </c>
      <c r="Q16" s="130">
        <f t="shared" si="2"/>
        <v>0</v>
      </c>
      <c r="R16" s="130">
        <f t="shared" si="2"/>
        <v>0</v>
      </c>
      <c r="S16" s="130">
        <f t="shared" si="2"/>
        <v>0</v>
      </c>
      <c r="T16" s="130">
        <f t="shared" si="2"/>
        <v>0</v>
      </c>
      <c r="U16" s="130">
        <f t="shared" si="3"/>
        <v>0</v>
      </c>
      <c r="V16" s="130">
        <f t="shared" si="3"/>
        <v>0</v>
      </c>
      <c r="W16" s="130">
        <f t="shared" si="3"/>
        <v>0</v>
      </c>
      <c r="X16" s="130">
        <f t="shared" si="3"/>
        <v>0</v>
      </c>
      <c r="Y16" s="130">
        <f t="shared" si="3"/>
        <v>0</v>
      </c>
      <c r="Z16" s="130">
        <f t="shared" si="3"/>
        <v>0</v>
      </c>
      <c r="AA16" s="130">
        <f t="shared" si="3"/>
        <v>0</v>
      </c>
      <c r="AB16" s="130">
        <f t="shared" si="3"/>
        <v>0</v>
      </c>
      <c r="AC16" s="130">
        <f t="shared" si="3"/>
        <v>0</v>
      </c>
      <c r="AD16" s="130">
        <f t="shared" si="3"/>
        <v>0</v>
      </c>
      <c r="AE16" s="130">
        <f t="shared" si="3"/>
        <v>0</v>
      </c>
      <c r="AF16" s="130">
        <f t="shared" si="3"/>
        <v>0</v>
      </c>
      <c r="AG16" s="130">
        <f t="shared" si="3"/>
        <v>0</v>
      </c>
      <c r="AH16" s="130">
        <f t="shared" si="4"/>
        <v>0</v>
      </c>
      <c r="AI16" s="130">
        <f t="shared" si="4"/>
        <v>0</v>
      </c>
      <c r="AJ16" s="130">
        <f t="shared" si="4"/>
        <v>0</v>
      </c>
      <c r="AK16" s="130">
        <f t="shared" si="5"/>
        <v>0</v>
      </c>
      <c r="AL16" s="130">
        <f t="shared" si="6"/>
        <v>0</v>
      </c>
      <c r="AM16" s="130">
        <f t="shared" si="7"/>
        <v>0</v>
      </c>
      <c r="AN16" s="130">
        <f t="shared" si="8"/>
        <v>0</v>
      </c>
      <c r="AO16" s="130">
        <f t="shared" si="9"/>
        <v>0</v>
      </c>
      <c r="AP16" s="130">
        <f t="shared" si="9"/>
        <v>0</v>
      </c>
      <c r="AQ16" s="130">
        <f t="shared" si="9"/>
        <v>0</v>
      </c>
      <c r="AR16" s="130">
        <f t="shared" si="9"/>
        <v>0</v>
      </c>
      <c r="AS16" s="130">
        <f t="shared" si="9"/>
        <v>0</v>
      </c>
      <c r="AT16" s="130">
        <f t="shared" si="9"/>
        <v>0</v>
      </c>
      <c r="AU16" s="130">
        <f t="shared" si="9"/>
        <v>0</v>
      </c>
      <c r="AV16" s="130">
        <f t="shared" si="9"/>
        <v>0</v>
      </c>
      <c r="AW16" s="130">
        <f t="shared" si="9"/>
        <v>0</v>
      </c>
      <c r="AX16" s="130">
        <f t="shared" si="9"/>
        <v>0</v>
      </c>
      <c r="AY16" s="130">
        <f t="shared" si="9"/>
        <v>0</v>
      </c>
      <c r="AZ16" s="130">
        <f t="shared" si="9"/>
        <v>0</v>
      </c>
      <c r="BA16" s="130">
        <f t="shared" si="9"/>
        <v>0</v>
      </c>
      <c r="BB16" s="130">
        <f t="shared" si="10"/>
        <v>0</v>
      </c>
      <c r="BC16" s="130">
        <f t="shared" si="10"/>
        <v>0</v>
      </c>
      <c r="BD16" s="130">
        <f t="shared" si="10"/>
        <v>0</v>
      </c>
      <c r="BE16" s="130">
        <f t="shared" si="10"/>
        <v>0</v>
      </c>
      <c r="BF16" s="130" t="e">
        <f>+IF($H16=#REF!,$C16,0)-IF($I16=#REF!,$C16,0)</f>
        <v>#REF!</v>
      </c>
      <c r="BG16" s="130" t="e">
        <f>+IF($H16=#REF!,$C16,0)-IF($I16=#REF!,$C16,0)</f>
        <v>#REF!</v>
      </c>
      <c r="BH16" s="130" t="e">
        <f>+IF($H16=#REF!,$C16,0)-IF($I16=#REF!,$C16,0)</f>
        <v>#REF!</v>
      </c>
      <c r="BI16" s="130">
        <f t="shared" si="11"/>
        <v>0</v>
      </c>
      <c r="BJ16" s="130">
        <f t="shared" si="11"/>
        <v>0</v>
      </c>
      <c r="BK16" s="130">
        <f t="shared" si="11"/>
        <v>0</v>
      </c>
      <c r="BL16" s="130">
        <f t="shared" si="11"/>
        <v>0</v>
      </c>
      <c r="BM16" s="130">
        <f t="shared" si="11"/>
        <v>0</v>
      </c>
      <c r="BN16" s="130">
        <f t="shared" si="11"/>
        <v>0</v>
      </c>
      <c r="BO16" s="130">
        <f t="shared" si="11"/>
        <v>0</v>
      </c>
      <c r="BP16" s="130">
        <f t="shared" si="11"/>
        <v>0</v>
      </c>
      <c r="BQ16" s="130">
        <f t="shared" si="11"/>
        <v>0</v>
      </c>
      <c r="BR16" s="130" t="e">
        <f t="shared" si="12"/>
        <v>#REF!</v>
      </c>
    </row>
    <row r="17" spans="2:70" s="119" customFormat="1" x14ac:dyDescent="0.2">
      <c r="B17" s="128"/>
      <c r="C17" s="129"/>
      <c r="D17" s="129"/>
      <c r="E17" s="129" t="e">
        <f>ROUND(IF(D17=#REF!,0,IF($H17=$S$6,(C17/1.14975*0.05*0.5),C17/1.14975*0.05)),2)</f>
        <v>#REF!</v>
      </c>
      <c r="F17" s="129" t="e">
        <f>ROUND(IF(D17=#REF!,0,IF($H17=$S$6,C17/1.14975*0.09975*0.5,C17/1.14975*0.09975)),2)</f>
        <v>#REF!</v>
      </c>
      <c r="G17" s="129" t="e">
        <f t="shared" si="0"/>
        <v>#REF!</v>
      </c>
      <c r="J17" s="130">
        <f t="shared" si="1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3"/>
        <v>0</v>
      </c>
      <c r="V17" s="130">
        <f t="shared" si="3"/>
        <v>0</v>
      </c>
      <c r="W17" s="130">
        <f t="shared" si="3"/>
        <v>0</v>
      </c>
      <c r="X17" s="130">
        <f t="shared" si="3"/>
        <v>0</v>
      </c>
      <c r="Y17" s="130">
        <f t="shared" si="3"/>
        <v>0</v>
      </c>
      <c r="Z17" s="130">
        <f t="shared" si="3"/>
        <v>0</v>
      </c>
      <c r="AA17" s="130">
        <f t="shared" si="3"/>
        <v>0</v>
      </c>
      <c r="AB17" s="130">
        <f t="shared" si="3"/>
        <v>0</v>
      </c>
      <c r="AC17" s="130">
        <f t="shared" si="3"/>
        <v>0</v>
      </c>
      <c r="AD17" s="130">
        <f t="shared" si="3"/>
        <v>0</v>
      </c>
      <c r="AE17" s="130">
        <f t="shared" si="3"/>
        <v>0</v>
      </c>
      <c r="AF17" s="130">
        <f t="shared" si="3"/>
        <v>0</v>
      </c>
      <c r="AG17" s="130">
        <f t="shared" si="3"/>
        <v>0</v>
      </c>
      <c r="AH17" s="130">
        <f t="shared" si="4"/>
        <v>0</v>
      </c>
      <c r="AI17" s="130">
        <f t="shared" si="4"/>
        <v>0</v>
      </c>
      <c r="AJ17" s="130">
        <f t="shared" si="4"/>
        <v>0</v>
      </c>
      <c r="AK17" s="130">
        <f t="shared" si="5"/>
        <v>0</v>
      </c>
      <c r="AL17" s="130">
        <f t="shared" si="6"/>
        <v>0</v>
      </c>
      <c r="AM17" s="130">
        <f t="shared" si="7"/>
        <v>0</v>
      </c>
      <c r="AN17" s="130">
        <f t="shared" si="8"/>
        <v>0</v>
      </c>
      <c r="AO17" s="130">
        <f t="shared" si="9"/>
        <v>0</v>
      </c>
      <c r="AP17" s="130">
        <f t="shared" si="9"/>
        <v>0</v>
      </c>
      <c r="AQ17" s="130">
        <f t="shared" si="9"/>
        <v>0</v>
      </c>
      <c r="AR17" s="130">
        <f t="shared" si="9"/>
        <v>0</v>
      </c>
      <c r="AS17" s="130">
        <f t="shared" si="9"/>
        <v>0</v>
      </c>
      <c r="AT17" s="130">
        <f t="shared" si="9"/>
        <v>0</v>
      </c>
      <c r="AU17" s="130">
        <f t="shared" si="9"/>
        <v>0</v>
      </c>
      <c r="AV17" s="130">
        <f t="shared" si="9"/>
        <v>0</v>
      </c>
      <c r="AW17" s="130">
        <f t="shared" si="9"/>
        <v>0</v>
      </c>
      <c r="AX17" s="130">
        <f t="shared" si="9"/>
        <v>0</v>
      </c>
      <c r="AY17" s="130">
        <f t="shared" si="9"/>
        <v>0</v>
      </c>
      <c r="AZ17" s="130">
        <f t="shared" si="9"/>
        <v>0</v>
      </c>
      <c r="BA17" s="130">
        <f t="shared" si="9"/>
        <v>0</v>
      </c>
      <c r="BB17" s="130">
        <f t="shared" si="10"/>
        <v>0</v>
      </c>
      <c r="BC17" s="130">
        <f t="shared" si="10"/>
        <v>0</v>
      </c>
      <c r="BD17" s="130">
        <f t="shared" si="10"/>
        <v>0</v>
      </c>
      <c r="BE17" s="130">
        <f t="shared" si="10"/>
        <v>0</v>
      </c>
      <c r="BF17" s="130" t="e">
        <f>+IF($H17=#REF!,$C17,0)-IF($I17=#REF!,$C17,0)</f>
        <v>#REF!</v>
      </c>
      <c r="BG17" s="130" t="e">
        <f>+IF($H17=#REF!,$C17,0)-IF($I17=#REF!,$C17,0)</f>
        <v>#REF!</v>
      </c>
      <c r="BH17" s="130" t="e">
        <f>+IF($H17=#REF!,$C17,0)-IF($I17=#REF!,$C17,0)</f>
        <v>#REF!</v>
      </c>
      <c r="BI17" s="130">
        <f t="shared" si="11"/>
        <v>0</v>
      </c>
      <c r="BJ17" s="130">
        <f t="shared" si="11"/>
        <v>0</v>
      </c>
      <c r="BK17" s="130">
        <f t="shared" si="11"/>
        <v>0</v>
      </c>
      <c r="BL17" s="130">
        <f t="shared" si="11"/>
        <v>0</v>
      </c>
      <c r="BM17" s="130">
        <f t="shared" si="11"/>
        <v>0</v>
      </c>
      <c r="BN17" s="130">
        <f t="shared" si="11"/>
        <v>0</v>
      </c>
      <c r="BO17" s="130">
        <f t="shared" si="11"/>
        <v>0</v>
      </c>
      <c r="BP17" s="130">
        <f t="shared" si="11"/>
        <v>0</v>
      </c>
      <c r="BQ17" s="130">
        <f t="shared" si="11"/>
        <v>0</v>
      </c>
      <c r="BR17" s="130" t="e">
        <f t="shared" si="12"/>
        <v>#REF!</v>
      </c>
    </row>
    <row r="18" spans="2:70" s="119" customFormat="1" x14ac:dyDescent="0.2">
      <c r="B18" s="128"/>
      <c r="C18" s="129"/>
      <c r="D18" s="129"/>
      <c r="E18" s="129" t="e">
        <f>ROUND(IF(D18=#REF!,0,IF($H18=$S$6,(C18/1.14975*0.05*0.5),C18/1.14975*0.05)),2)</f>
        <v>#REF!</v>
      </c>
      <c r="F18" s="129" t="e">
        <f>ROUND(IF(D18=#REF!,0,IF($H18=$S$6,C18/1.14975*0.09975*0.5,C18/1.14975*0.09975)),2)</f>
        <v>#REF!</v>
      </c>
      <c r="G18" s="129" t="e">
        <f t="shared" si="0"/>
        <v>#REF!</v>
      </c>
      <c r="J18" s="130">
        <f t="shared" si="1"/>
        <v>0</v>
      </c>
      <c r="K18" s="130">
        <f t="shared" si="2"/>
        <v>0</v>
      </c>
      <c r="L18" s="130">
        <f t="shared" si="2"/>
        <v>0</v>
      </c>
      <c r="M18" s="130">
        <f t="shared" si="2"/>
        <v>0</v>
      </c>
      <c r="N18" s="130">
        <f t="shared" si="2"/>
        <v>0</v>
      </c>
      <c r="O18" s="130">
        <f t="shared" si="2"/>
        <v>0</v>
      </c>
      <c r="P18" s="130">
        <f t="shared" si="2"/>
        <v>0</v>
      </c>
      <c r="Q18" s="130">
        <f t="shared" si="2"/>
        <v>0</v>
      </c>
      <c r="R18" s="130">
        <f t="shared" si="2"/>
        <v>0</v>
      </c>
      <c r="S18" s="130">
        <f t="shared" si="2"/>
        <v>0</v>
      </c>
      <c r="T18" s="130">
        <f t="shared" si="2"/>
        <v>0</v>
      </c>
      <c r="U18" s="130">
        <f t="shared" si="3"/>
        <v>0</v>
      </c>
      <c r="V18" s="130">
        <f t="shared" si="3"/>
        <v>0</v>
      </c>
      <c r="W18" s="130">
        <f t="shared" si="3"/>
        <v>0</v>
      </c>
      <c r="X18" s="130">
        <f t="shared" si="3"/>
        <v>0</v>
      </c>
      <c r="Y18" s="130">
        <f t="shared" si="3"/>
        <v>0</v>
      </c>
      <c r="Z18" s="130">
        <f t="shared" si="3"/>
        <v>0</v>
      </c>
      <c r="AA18" s="130">
        <f t="shared" si="3"/>
        <v>0</v>
      </c>
      <c r="AB18" s="130">
        <f t="shared" si="3"/>
        <v>0</v>
      </c>
      <c r="AC18" s="130">
        <f t="shared" si="3"/>
        <v>0</v>
      </c>
      <c r="AD18" s="130">
        <f t="shared" si="3"/>
        <v>0</v>
      </c>
      <c r="AE18" s="130">
        <f t="shared" si="3"/>
        <v>0</v>
      </c>
      <c r="AF18" s="130">
        <f t="shared" si="3"/>
        <v>0</v>
      </c>
      <c r="AG18" s="130">
        <f t="shared" si="3"/>
        <v>0</v>
      </c>
      <c r="AH18" s="130">
        <f t="shared" si="4"/>
        <v>0</v>
      </c>
      <c r="AI18" s="130">
        <f t="shared" si="4"/>
        <v>0</v>
      </c>
      <c r="AJ18" s="130">
        <f t="shared" si="4"/>
        <v>0</v>
      </c>
      <c r="AK18" s="130">
        <f t="shared" si="5"/>
        <v>0</v>
      </c>
      <c r="AL18" s="130">
        <f t="shared" si="6"/>
        <v>0</v>
      </c>
      <c r="AM18" s="130">
        <f t="shared" si="7"/>
        <v>0</v>
      </c>
      <c r="AN18" s="130">
        <f t="shared" si="8"/>
        <v>0</v>
      </c>
      <c r="AO18" s="130">
        <f t="shared" si="9"/>
        <v>0</v>
      </c>
      <c r="AP18" s="130">
        <f t="shared" si="9"/>
        <v>0</v>
      </c>
      <c r="AQ18" s="130">
        <f t="shared" si="9"/>
        <v>0</v>
      </c>
      <c r="AR18" s="130">
        <f t="shared" si="9"/>
        <v>0</v>
      </c>
      <c r="AS18" s="130">
        <f t="shared" si="9"/>
        <v>0</v>
      </c>
      <c r="AT18" s="130">
        <f t="shared" si="9"/>
        <v>0</v>
      </c>
      <c r="AU18" s="130">
        <f t="shared" si="9"/>
        <v>0</v>
      </c>
      <c r="AV18" s="130">
        <f t="shared" si="9"/>
        <v>0</v>
      </c>
      <c r="AW18" s="130">
        <f t="shared" si="9"/>
        <v>0</v>
      </c>
      <c r="AX18" s="130">
        <f t="shared" si="9"/>
        <v>0</v>
      </c>
      <c r="AY18" s="130">
        <f t="shared" si="9"/>
        <v>0</v>
      </c>
      <c r="AZ18" s="130">
        <f t="shared" si="9"/>
        <v>0</v>
      </c>
      <c r="BA18" s="130">
        <f t="shared" si="9"/>
        <v>0</v>
      </c>
      <c r="BB18" s="130">
        <f t="shared" si="10"/>
        <v>0</v>
      </c>
      <c r="BC18" s="130">
        <f t="shared" si="10"/>
        <v>0</v>
      </c>
      <c r="BD18" s="130">
        <f t="shared" si="10"/>
        <v>0</v>
      </c>
      <c r="BE18" s="130">
        <f t="shared" si="10"/>
        <v>0</v>
      </c>
      <c r="BF18" s="130" t="e">
        <f>+IF($H18=#REF!,$C18,0)-IF($I18=#REF!,$C18,0)</f>
        <v>#REF!</v>
      </c>
      <c r="BG18" s="130" t="e">
        <f>+IF($H18=#REF!,$C18,0)-IF($I18=#REF!,$C18,0)</f>
        <v>#REF!</v>
      </c>
      <c r="BH18" s="130" t="e">
        <f>+IF($H18=#REF!,$C18,0)-IF($I18=#REF!,$C18,0)</f>
        <v>#REF!</v>
      </c>
      <c r="BI18" s="130">
        <f t="shared" si="11"/>
        <v>0</v>
      </c>
      <c r="BJ18" s="130">
        <f t="shared" si="11"/>
        <v>0</v>
      </c>
      <c r="BK18" s="130">
        <f t="shared" si="11"/>
        <v>0</v>
      </c>
      <c r="BL18" s="130">
        <f t="shared" si="11"/>
        <v>0</v>
      </c>
      <c r="BM18" s="130">
        <f t="shared" si="11"/>
        <v>0</v>
      </c>
      <c r="BN18" s="130">
        <f t="shared" si="11"/>
        <v>0</v>
      </c>
      <c r="BO18" s="130">
        <f t="shared" si="11"/>
        <v>0</v>
      </c>
      <c r="BP18" s="130">
        <f t="shared" si="11"/>
        <v>0</v>
      </c>
      <c r="BQ18" s="130">
        <f t="shared" si="11"/>
        <v>0</v>
      </c>
      <c r="BR18" s="130" t="e">
        <f t="shared" si="12"/>
        <v>#REF!</v>
      </c>
    </row>
    <row r="19" spans="2:70" s="119" customFormat="1" x14ac:dyDescent="0.2">
      <c r="B19" s="128"/>
      <c r="C19" s="129"/>
      <c r="D19" s="129"/>
      <c r="E19" s="129" t="e">
        <f>ROUND(IF(D19=#REF!,0,IF($H19=$S$6,(C19/1.14975*0.05*0.5),C19/1.14975*0.05)),2)</f>
        <v>#REF!</v>
      </c>
      <c r="F19" s="129" t="e">
        <f>ROUND(IF(D19=#REF!,0,IF($H19=$S$6,C19/1.14975*0.09975*0.5,C19/1.14975*0.09975)),2)</f>
        <v>#REF!</v>
      </c>
      <c r="G19" s="129" t="e">
        <f t="shared" si="0"/>
        <v>#REF!</v>
      </c>
      <c r="J19" s="130">
        <f t="shared" si="1"/>
        <v>0</v>
      </c>
      <c r="K19" s="130">
        <f t="shared" ref="K19:T28" si="14">+IF($H19=K$6,$G19,0)-IF($I19=K$6,$G19,0)</f>
        <v>0</v>
      </c>
      <c r="L19" s="130">
        <f t="shared" si="14"/>
        <v>0</v>
      </c>
      <c r="M19" s="130">
        <f t="shared" si="14"/>
        <v>0</v>
      </c>
      <c r="N19" s="130">
        <f t="shared" si="14"/>
        <v>0</v>
      </c>
      <c r="O19" s="130">
        <f t="shared" si="14"/>
        <v>0</v>
      </c>
      <c r="P19" s="130">
        <f t="shared" si="14"/>
        <v>0</v>
      </c>
      <c r="Q19" s="130">
        <f t="shared" si="14"/>
        <v>0</v>
      </c>
      <c r="R19" s="130">
        <f t="shared" si="14"/>
        <v>0</v>
      </c>
      <c r="S19" s="130">
        <f t="shared" si="14"/>
        <v>0</v>
      </c>
      <c r="T19" s="130">
        <f t="shared" si="14"/>
        <v>0</v>
      </c>
      <c r="U19" s="130">
        <f t="shared" ref="U19:AG28" si="15">+IF($H19=U$6,$G19,0)-IF($I19=U$6,$G19,0)</f>
        <v>0</v>
      </c>
      <c r="V19" s="130">
        <f t="shared" si="15"/>
        <v>0</v>
      </c>
      <c r="W19" s="130">
        <f t="shared" si="15"/>
        <v>0</v>
      </c>
      <c r="X19" s="130">
        <f t="shared" si="15"/>
        <v>0</v>
      </c>
      <c r="Y19" s="130">
        <f t="shared" si="15"/>
        <v>0</v>
      </c>
      <c r="Z19" s="130">
        <f t="shared" si="15"/>
        <v>0</v>
      </c>
      <c r="AA19" s="130">
        <f t="shared" si="15"/>
        <v>0</v>
      </c>
      <c r="AB19" s="130">
        <f t="shared" si="15"/>
        <v>0</v>
      </c>
      <c r="AC19" s="130">
        <f t="shared" si="15"/>
        <v>0</v>
      </c>
      <c r="AD19" s="130">
        <f t="shared" si="15"/>
        <v>0</v>
      </c>
      <c r="AE19" s="130">
        <f t="shared" si="15"/>
        <v>0</v>
      </c>
      <c r="AF19" s="130">
        <f t="shared" si="15"/>
        <v>0</v>
      </c>
      <c r="AG19" s="130">
        <f t="shared" si="15"/>
        <v>0</v>
      </c>
      <c r="AH19" s="130">
        <f t="shared" si="4"/>
        <v>0</v>
      </c>
      <c r="AI19" s="130">
        <f t="shared" si="4"/>
        <v>0</v>
      </c>
      <c r="AJ19" s="130">
        <f t="shared" si="4"/>
        <v>0</v>
      </c>
      <c r="AK19" s="130">
        <f t="shared" si="5"/>
        <v>0</v>
      </c>
      <c r="AL19" s="130">
        <f t="shared" si="6"/>
        <v>0</v>
      </c>
      <c r="AM19" s="130">
        <f t="shared" si="7"/>
        <v>0</v>
      </c>
      <c r="AN19" s="130">
        <f t="shared" si="8"/>
        <v>0</v>
      </c>
      <c r="AO19" s="130">
        <f t="shared" ref="AO19:BA28" si="16">+IF($H19=AO$6,$G19,0)-IF($I19=AO$6,$G19,0)</f>
        <v>0</v>
      </c>
      <c r="AP19" s="130">
        <f t="shared" si="16"/>
        <v>0</v>
      </c>
      <c r="AQ19" s="130">
        <f t="shared" si="16"/>
        <v>0</v>
      </c>
      <c r="AR19" s="130">
        <f t="shared" si="16"/>
        <v>0</v>
      </c>
      <c r="AS19" s="130">
        <f t="shared" si="16"/>
        <v>0</v>
      </c>
      <c r="AT19" s="130">
        <f t="shared" si="16"/>
        <v>0</v>
      </c>
      <c r="AU19" s="130">
        <f t="shared" si="16"/>
        <v>0</v>
      </c>
      <c r="AV19" s="130">
        <f t="shared" si="16"/>
        <v>0</v>
      </c>
      <c r="AW19" s="130">
        <f t="shared" si="16"/>
        <v>0</v>
      </c>
      <c r="AX19" s="130">
        <f t="shared" si="16"/>
        <v>0</v>
      </c>
      <c r="AY19" s="130">
        <f t="shared" si="16"/>
        <v>0</v>
      </c>
      <c r="AZ19" s="130">
        <f t="shared" si="16"/>
        <v>0</v>
      </c>
      <c r="BA19" s="130">
        <f t="shared" si="16"/>
        <v>0</v>
      </c>
      <c r="BB19" s="130">
        <f t="shared" si="10"/>
        <v>0</v>
      </c>
      <c r="BC19" s="130">
        <f t="shared" si="10"/>
        <v>0</v>
      </c>
      <c r="BD19" s="130">
        <f t="shared" si="10"/>
        <v>0</v>
      </c>
      <c r="BE19" s="130">
        <f t="shared" si="10"/>
        <v>0</v>
      </c>
      <c r="BF19" s="130" t="e">
        <f>+IF($H19=#REF!,$C19,0)-IF($I19=#REF!,$C19,0)</f>
        <v>#REF!</v>
      </c>
      <c r="BG19" s="130" t="e">
        <f>+IF($H19=#REF!,$C19,0)-IF($I19=#REF!,$C19,0)</f>
        <v>#REF!</v>
      </c>
      <c r="BH19" s="130" t="e">
        <f>+IF($H19=#REF!,$C19,0)-IF($I19=#REF!,$C19,0)</f>
        <v>#REF!</v>
      </c>
      <c r="BI19" s="130">
        <f t="shared" ref="BI19:BQ28" si="17">+IF($H19=BI$6,$G19,0)-IF($I19=BI$6,$G19,0)</f>
        <v>0</v>
      </c>
      <c r="BJ19" s="130">
        <f t="shared" si="17"/>
        <v>0</v>
      </c>
      <c r="BK19" s="130">
        <f t="shared" si="17"/>
        <v>0</v>
      </c>
      <c r="BL19" s="130">
        <f t="shared" si="17"/>
        <v>0</v>
      </c>
      <c r="BM19" s="130">
        <f t="shared" si="17"/>
        <v>0</v>
      </c>
      <c r="BN19" s="130">
        <f t="shared" si="17"/>
        <v>0</v>
      </c>
      <c r="BO19" s="130">
        <f t="shared" si="17"/>
        <v>0</v>
      </c>
      <c r="BP19" s="130">
        <f t="shared" si="17"/>
        <v>0</v>
      </c>
      <c r="BQ19" s="130">
        <f t="shared" si="17"/>
        <v>0</v>
      </c>
      <c r="BR19" s="130" t="e">
        <f t="shared" si="12"/>
        <v>#REF!</v>
      </c>
    </row>
    <row r="20" spans="2:70" s="119" customFormat="1" x14ac:dyDescent="0.2">
      <c r="B20" s="128"/>
      <c r="C20" s="129"/>
      <c r="D20" s="129"/>
      <c r="E20" s="129" t="e">
        <f>ROUND(IF(D20=#REF!,0,IF($H20=$S$6,(C20/1.14975*0.05*0.5),C20/1.14975*0.05)),2)</f>
        <v>#REF!</v>
      </c>
      <c r="F20" s="129" t="e">
        <f>ROUND(IF(D20=#REF!,0,IF($H20=$S$6,C20/1.14975*0.09975*0.5,C20/1.14975*0.09975)),2)</f>
        <v>#REF!</v>
      </c>
      <c r="G20" s="129" t="e">
        <f t="shared" si="0"/>
        <v>#REF!</v>
      </c>
      <c r="J20" s="130">
        <f t="shared" si="1"/>
        <v>0</v>
      </c>
      <c r="K20" s="130">
        <f t="shared" si="14"/>
        <v>0</v>
      </c>
      <c r="L20" s="130">
        <f t="shared" si="14"/>
        <v>0</v>
      </c>
      <c r="M20" s="130">
        <f t="shared" si="14"/>
        <v>0</v>
      </c>
      <c r="N20" s="130">
        <f t="shared" si="14"/>
        <v>0</v>
      </c>
      <c r="O20" s="130">
        <f t="shared" si="14"/>
        <v>0</v>
      </c>
      <c r="P20" s="130">
        <f t="shared" si="14"/>
        <v>0</v>
      </c>
      <c r="Q20" s="130">
        <f t="shared" si="14"/>
        <v>0</v>
      </c>
      <c r="R20" s="130">
        <f t="shared" si="14"/>
        <v>0</v>
      </c>
      <c r="S20" s="130">
        <f t="shared" si="14"/>
        <v>0</v>
      </c>
      <c r="T20" s="130">
        <f t="shared" si="14"/>
        <v>0</v>
      </c>
      <c r="U20" s="130">
        <f t="shared" si="15"/>
        <v>0</v>
      </c>
      <c r="V20" s="130">
        <f t="shared" si="15"/>
        <v>0</v>
      </c>
      <c r="W20" s="130">
        <f t="shared" si="15"/>
        <v>0</v>
      </c>
      <c r="X20" s="130">
        <f t="shared" si="15"/>
        <v>0</v>
      </c>
      <c r="Y20" s="130">
        <f t="shared" si="15"/>
        <v>0</v>
      </c>
      <c r="Z20" s="130">
        <f t="shared" si="15"/>
        <v>0</v>
      </c>
      <c r="AA20" s="130">
        <f t="shared" si="15"/>
        <v>0</v>
      </c>
      <c r="AB20" s="130">
        <f t="shared" si="15"/>
        <v>0</v>
      </c>
      <c r="AC20" s="130">
        <f t="shared" si="15"/>
        <v>0</v>
      </c>
      <c r="AD20" s="130">
        <f t="shared" si="15"/>
        <v>0</v>
      </c>
      <c r="AE20" s="130">
        <f t="shared" si="15"/>
        <v>0</v>
      </c>
      <c r="AF20" s="130">
        <f t="shared" si="15"/>
        <v>0</v>
      </c>
      <c r="AG20" s="130">
        <f t="shared" si="15"/>
        <v>0</v>
      </c>
      <c r="AH20" s="130">
        <f t="shared" si="4"/>
        <v>0</v>
      </c>
      <c r="AI20" s="130">
        <f t="shared" si="4"/>
        <v>0</v>
      </c>
      <c r="AJ20" s="130">
        <f t="shared" si="4"/>
        <v>0</v>
      </c>
      <c r="AK20" s="130">
        <f t="shared" si="5"/>
        <v>0</v>
      </c>
      <c r="AL20" s="130">
        <f t="shared" si="6"/>
        <v>0</v>
      </c>
      <c r="AM20" s="130">
        <f t="shared" si="7"/>
        <v>0</v>
      </c>
      <c r="AN20" s="130">
        <f t="shared" si="8"/>
        <v>0</v>
      </c>
      <c r="AO20" s="130">
        <f t="shared" si="16"/>
        <v>0</v>
      </c>
      <c r="AP20" s="130">
        <f t="shared" si="16"/>
        <v>0</v>
      </c>
      <c r="AQ20" s="130">
        <f t="shared" si="16"/>
        <v>0</v>
      </c>
      <c r="AR20" s="130">
        <f t="shared" si="16"/>
        <v>0</v>
      </c>
      <c r="AS20" s="130">
        <f t="shared" si="16"/>
        <v>0</v>
      </c>
      <c r="AT20" s="130">
        <f t="shared" si="16"/>
        <v>0</v>
      </c>
      <c r="AU20" s="130">
        <f t="shared" si="16"/>
        <v>0</v>
      </c>
      <c r="AV20" s="130">
        <f t="shared" si="16"/>
        <v>0</v>
      </c>
      <c r="AW20" s="130">
        <f t="shared" si="16"/>
        <v>0</v>
      </c>
      <c r="AX20" s="130">
        <f t="shared" si="16"/>
        <v>0</v>
      </c>
      <c r="AY20" s="130">
        <f t="shared" si="16"/>
        <v>0</v>
      </c>
      <c r="AZ20" s="130">
        <f t="shared" si="16"/>
        <v>0</v>
      </c>
      <c r="BA20" s="130">
        <f t="shared" si="16"/>
        <v>0</v>
      </c>
      <c r="BB20" s="130">
        <f t="shared" si="10"/>
        <v>0</v>
      </c>
      <c r="BC20" s="130">
        <f t="shared" si="10"/>
        <v>0</v>
      </c>
      <c r="BD20" s="130">
        <f t="shared" si="10"/>
        <v>0</v>
      </c>
      <c r="BE20" s="130">
        <f t="shared" si="10"/>
        <v>0</v>
      </c>
      <c r="BF20" s="130" t="e">
        <f>+IF($H20=#REF!,$C20,0)-IF($I20=#REF!,$C20,0)</f>
        <v>#REF!</v>
      </c>
      <c r="BG20" s="130" t="e">
        <f>+IF($H20=#REF!,$C20,0)-IF($I20=#REF!,$C20,0)</f>
        <v>#REF!</v>
      </c>
      <c r="BH20" s="130" t="e">
        <f>+IF($H20=#REF!,$C20,0)-IF($I20=#REF!,$C20,0)</f>
        <v>#REF!</v>
      </c>
      <c r="BI20" s="130">
        <f t="shared" si="17"/>
        <v>0</v>
      </c>
      <c r="BJ20" s="130">
        <f t="shared" si="17"/>
        <v>0</v>
      </c>
      <c r="BK20" s="130">
        <f t="shared" si="17"/>
        <v>0</v>
      </c>
      <c r="BL20" s="130">
        <f t="shared" si="17"/>
        <v>0</v>
      </c>
      <c r="BM20" s="130">
        <f t="shared" si="17"/>
        <v>0</v>
      </c>
      <c r="BN20" s="130">
        <f t="shared" si="17"/>
        <v>0</v>
      </c>
      <c r="BO20" s="130">
        <f t="shared" si="17"/>
        <v>0</v>
      </c>
      <c r="BP20" s="130">
        <f t="shared" si="17"/>
        <v>0</v>
      </c>
      <c r="BQ20" s="130">
        <f t="shared" si="17"/>
        <v>0</v>
      </c>
      <c r="BR20" s="130" t="e">
        <f t="shared" si="12"/>
        <v>#REF!</v>
      </c>
    </row>
    <row r="21" spans="2:70" s="119" customFormat="1" x14ac:dyDescent="0.2">
      <c r="B21" s="128"/>
      <c r="C21" s="129"/>
      <c r="D21" s="129"/>
      <c r="E21" s="129" t="e">
        <f>ROUND(IF(D21=#REF!,0,IF($H21=$S$6,(C21/1.14975*0.05*0.5),C21/1.14975*0.05)),2)</f>
        <v>#REF!</v>
      </c>
      <c r="F21" s="129" t="e">
        <f>ROUND(IF(D21=#REF!,0,IF($H21=$S$6,C21/1.14975*0.09975*0.5,C21/1.14975*0.09975)),2)</f>
        <v>#REF!</v>
      </c>
      <c r="G21" s="129" t="e">
        <f t="shared" si="0"/>
        <v>#REF!</v>
      </c>
      <c r="J21" s="130">
        <f t="shared" si="1"/>
        <v>0</v>
      </c>
      <c r="K21" s="130">
        <f t="shared" si="14"/>
        <v>0</v>
      </c>
      <c r="L21" s="130">
        <f t="shared" si="14"/>
        <v>0</v>
      </c>
      <c r="M21" s="130">
        <f t="shared" si="14"/>
        <v>0</v>
      </c>
      <c r="N21" s="130">
        <f t="shared" si="14"/>
        <v>0</v>
      </c>
      <c r="O21" s="130">
        <f t="shared" si="14"/>
        <v>0</v>
      </c>
      <c r="P21" s="130">
        <f t="shared" si="14"/>
        <v>0</v>
      </c>
      <c r="Q21" s="130">
        <f t="shared" si="14"/>
        <v>0</v>
      </c>
      <c r="R21" s="130">
        <f t="shared" si="14"/>
        <v>0</v>
      </c>
      <c r="S21" s="130">
        <f t="shared" si="14"/>
        <v>0</v>
      </c>
      <c r="T21" s="130">
        <f t="shared" si="14"/>
        <v>0</v>
      </c>
      <c r="U21" s="130">
        <f t="shared" si="15"/>
        <v>0</v>
      </c>
      <c r="V21" s="130">
        <f t="shared" si="15"/>
        <v>0</v>
      </c>
      <c r="W21" s="130">
        <f t="shared" si="15"/>
        <v>0</v>
      </c>
      <c r="X21" s="130">
        <f t="shared" si="15"/>
        <v>0</v>
      </c>
      <c r="Y21" s="130">
        <f t="shared" si="15"/>
        <v>0</v>
      </c>
      <c r="Z21" s="130">
        <f t="shared" si="15"/>
        <v>0</v>
      </c>
      <c r="AA21" s="130">
        <f t="shared" si="15"/>
        <v>0</v>
      </c>
      <c r="AB21" s="130">
        <f t="shared" si="15"/>
        <v>0</v>
      </c>
      <c r="AC21" s="130">
        <f t="shared" si="15"/>
        <v>0</v>
      </c>
      <c r="AD21" s="130">
        <f t="shared" si="15"/>
        <v>0</v>
      </c>
      <c r="AE21" s="130">
        <f t="shared" si="15"/>
        <v>0</v>
      </c>
      <c r="AF21" s="130">
        <f t="shared" si="15"/>
        <v>0</v>
      </c>
      <c r="AG21" s="130">
        <f t="shared" si="15"/>
        <v>0</v>
      </c>
      <c r="AH21" s="130">
        <f t="shared" si="4"/>
        <v>0</v>
      </c>
      <c r="AI21" s="130">
        <f t="shared" si="4"/>
        <v>0</v>
      </c>
      <c r="AJ21" s="130">
        <f t="shared" si="4"/>
        <v>0</v>
      </c>
      <c r="AK21" s="130">
        <f t="shared" si="5"/>
        <v>0</v>
      </c>
      <c r="AL21" s="130">
        <f t="shared" si="6"/>
        <v>0</v>
      </c>
      <c r="AM21" s="130">
        <f t="shared" si="7"/>
        <v>0</v>
      </c>
      <c r="AN21" s="130">
        <f t="shared" si="8"/>
        <v>0</v>
      </c>
      <c r="AO21" s="130">
        <f t="shared" si="16"/>
        <v>0</v>
      </c>
      <c r="AP21" s="130">
        <f t="shared" si="16"/>
        <v>0</v>
      </c>
      <c r="AQ21" s="130">
        <f t="shared" si="16"/>
        <v>0</v>
      </c>
      <c r="AR21" s="130">
        <f t="shared" si="16"/>
        <v>0</v>
      </c>
      <c r="AS21" s="130">
        <f t="shared" si="16"/>
        <v>0</v>
      </c>
      <c r="AT21" s="130">
        <f t="shared" si="16"/>
        <v>0</v>
      </c>
      <c r="AU21" s="130">
        <f t="shared" si="16"/>
        <v>0</v>
      </c>
      <c r="AV21" s="130">
        <f t="shared" si="16"/>
        <v>0</v>
      </c>
      <c r="AW21" s="130">
        <f t="shared" si="16"/>
        <v>0</v>
      </c>
      <c r="AX21" s="130">
        <f t="shared" si="16"/>
        <v>0</v>
      </c>
      <c r="AY21" s="130">
        <f t="shared" si="16"/>
        <v>0</v>
      </c>
      <c r="AZ21" s="130">
        <f t="shared" si="16"/>
        <v>0</v>
      </c>
      <c r="BA21" s="130">
        <f t="shared" si="16"/>
        <v>0</v>
      </c>
      <c r="BB21" s="130">
        <f t="shared" si="10"/>
        <v>0</v>
      </c>
      <c r="BC21" s="130">
        <f t="shared" si="10"/>
        <v>0</v>
      </c>
      <c r="BD21" s="130">
        <f t="shared" si="10"/>
        <v>0</v>
      </c>
      <c r="BE21" s="130">
        <f t="shared" si="10"/>
        <v>0</v>
      </c>
      <c r="BF21" s="130" t="e">
        <f>+IF($H21=#REF!,$C21,0)-IF($I21=#REF!,$C21,0)</f>
        <v>#REF!</v>
      </c>
      <c r="BG21" s="130" t="e">
        <f>+IF($H21=#REF!,$C21,0)-IF($I21=#REF!,$C21,0)</f>
        <v>#REF!</v>
      </c>
      <c r="BH21" s="130" t="e">
        <f>+IF($H21=#REF!,$C21,0)-IF($I21=#REF!,$C21,0)</f>
        <v>#REF!</v>
      </c>
      <c r="BI21" s="130">
        <f t="shared" si="17"/>
        <v>0</v>
      </c>
      <c r="BJ21" s="130">
        <f t="shared" si="17"/>
        <v>0</v>
      </c>
      <c r="BK21" s="130">
        <f t="shared" si="17"/>
        <v>0</v>
      </c>
      <c r="BL21" s="130">
        <f t="shared" si="17"/>
        <v>0</v>
      </c>
      <c r="BM21" s="130">
        <f t="shared" si="17"/>
        <v>0</v>
      </c>
      <c r="BN21" s="130">
        <f t="shared" si="17"/>
        <v>0</v>
      </c>
      <c r="BO21" s="130">
        <f t="shared" si="17"/>
        <v>0</v>
      </c>
      <c r="BP21" s="130">
        <f t="shared" si="17"/>
        <v>0</v>
      </c>
      <c r="BQ21" s="130">
        <f t="shared" si="17"/>
        <v>0</v>
      </c>
      <c r="BR21" s="130" t="e">
        <f t="shared" si="12"/>
        <v>#REF!</v>
      </c>
    </row>
    <row r="22" spans="2:70" s="119" customFormat="1" x14ac:dyDescent="0.2">
      <c r="B22" s="128"/>
      <c r="C22" s="129"/>
      <c r="D22" s="129"/>
      <c r="E22" s="129" t="e">
        <f>ROUND(IF(D22=#REF!,0,IF($H22=$S$6,(C22/1.14975*0.05*0.5),C22/1.14975*0.05)),2)</f>
        <v>#REF!</v>
      </c>
      <c r="F22" s="129" t="e">
        <f>ROUND(IF(D22=#REF!,0,IF($H22=$S$6,C22/1.14975*0.09975*0.5,C22/1.14975*0.09975)),2)</f>
        <v>#REF!</v>
      </c>
      <c r="G22" s="129" t="e">
        <f t="shared" si="0"/>
        <v>#REF!</v>
      </c>
      <c r="J22" s="130">
        <f t="shared" si="1"/>
        <v>0</v>
      </c>
      <c r="K22" s="130">
        <f t="shared" si="14"/>
        <v>0</v>
      </c>
      <c r="L22" s="130">
        <f t="shared" si="14"/>
        <v>0</v>
      </c>
      <c r="M22" s="130">
        <f t="shared" si="14"/>
        <v>0</v>
      </c>
      <c r="N22" s="130">
        <f t="shared" si="14"/>
        <v>0</v>
      </c>
      <c r="O22" s="130">
        <f t="shared" si="14"/>
        <v>0</v>
      </c>
      <c r="P22" s="130">
        <f t="shared" si="14"/>
        <v>0</v>
      </c>
      <c r="Q22" s="130">
        <f t="shared" si="14"/>
        <v>0</v>
      </c>
      <c r="R22" s="130">
        <f t="shared" si="14"/>
        <v>0</v>
      </c>
      <c r="S22" s="130">
        <f t="shared" si="14"/>
        <v>0</v>
      </c>
      <c r="T22" s="130">
        <f t="shared" si="14"/>
        <v>0</v>
      </c>
      <c r="U22" s="130">
        <f t="shared" si="15"/>
        <v>0</v>
      </c>
      <c r="V22" s="130">
        <f t="shared" si="15"/>
        <v>0</v>
      </c>
      <c r="W22" s="130">
        <f t="shared" si="15"/>
        <v>0</v>
      </c>
      <c r="X22" s="130">
        <f t="shared" si="15"/>
        <v>0</v>
      </c>
      <c r="Y22" s="130">
        <f t="shared" si="15"/>
        <v>0</v>
      </c>
      <c r="Z22" s="130">
        <f t="shared" si="15"/>
        <v>0</v>
      </c>
      <c r="AA22" s="130">
        <f t="shared" si="15"/>
        <v>0</v>
      </c>
      <c r="AB22" s="130">
        <f t="shared" si="15"/>
        <v>0</v>
      </c>
      <c r="AC22" s="130">
        <f t="shared" si="15"/>
        <v>0</v>
      </c>
      <c r="AD22" s="130">
        <f t="shared" si="15"/>
        <v>0</v>
      </c>
      <c r="AE22" s="130">
        <f t="shared" si="15"/>
        <v>0</v>
      </c>
      <c r="AF22" s="130">
        <f t="shared" si="15"/>
        <v>0</v>
      </c>
      <c r="AG22" s="130">
        <f t="shared" si="15"/>
        <v>0</v>
      </c>
      <c r="AH22" s="130">
        <f t="shared" si="4"/>
        <v>0</v>
      </c>
      <c r="AI22" s="130">
        <f t="shared" si="4"/>
        <v>0</v>
      </c>
      <c r="AJ22" s="130">
        <f t="shared" si="4"/>
        <v>0</v>
      </c>
      <c r="AK22" s="130">
        <f t="shared" si="5"/>
        <v>0</v>
      </c>
      <c r="AL22" s="130">
        <f t="shared" si="6"/>
        <v>0</v>
      </c>
      <c r="AM22" s="130">
        <f t="shared" si="7"/>
        <v>0</v>
      </c>
      <c r="AN22" s="130">
        <f t="shared" si="8"/>
        <v>0</v>
      </c>
      <c r="AO22" s="130">
        <f t="shared" si="16"/>
        <v>0</v>
      </c>
      <c r="AP22" s="130">
        <f t="shared" si="16"/>
        <v>0</v>
      </c>
      <c r="AQ22" s="130">
        <f t="shared" si="16"/>
        <v>0</v>
      </c>
      <c r="AR22" s="130">
        <f t="shared" si="16"/>
        <v>0</v>
      </c>
      <c r="AS22" s="130">
        <f t="shared" si="16"/>
        <v>0</v>
      </c>
      <c r="AT22" s="130">
        <f t="shared" si="16"/>
        <v>0</v>
      </c>
      <c r="AU22" s="130">
        <f t="shared" si="16"/>
        <v>0</v>
      </c>
      <c r="AV22" s="130">
        <f t="shared" si="16"/>
        <v>0</v>
      </c>
      <c r="AW22" s="130">
        <f t="shared" si="16"/>
        <v>0</v>
      </c>
      <c r="AX22" s="130">
        <f t="shared" si="16"/>
        <v>0</v>
      </c>
      <c r="AY22" s="130">
        <f t="shared" si="16"/>
        <v>0</v>
      </c>
      <c r="AZ22" s="130">
        <f t="shared" si="16"/>
        <v>0</v>
      </c>
      <c r="BA22" s="130">
        <f t="shared" si="16"/>
        <v>0</v>
      </c>
      <c r="BB22" s="130">
        <f t="shared" si="10"/>
        <v>0</v>
      </c>
      <c r="BC22" s="130">
        <f t="shared" si="10"/>
        <v>0</v>
      </c>
      <c r="BD22" s="130">
        <f t="shared" si="10"/>
        <v>0</v>
      </c>
      <c r="BE22" s="130">
        <f t="shared" si="10"/>
        <v>0</v>
      </c>
      <c r="BF22" s="130" t="e">
        <f>+IF($H22=#REF!,$C22,0)-IF($I22=#REF!,$C22,0)</f>
        <v>#REF!</v>
      </c>
      <c r="BG22" s="130" t="e">
        <f>+IF($H22=#REF!,$C22,0)-IF($I22=#REF!,$C22,0)</f>
        <v>#REF!</v>
      </c>
      <c r="BH22" s="130" t="e">
        <f>+IF($H22=#REF!,$C22,0)-IF($I22=#REF!,$C22,0)</f>
        <v>#REF!</v>
      </c>
      <c r="BI22" s="130">
        <f t="shared" si="17"/>
        <v>0</v>
      </c>
      <c r="BJ22" s="130">
        <f t="shared" si="17"/>
        <v>0</v>
      </c>
      <c r="BK22" s="130">
        <f t="shared" si="17"/>
        <v>0</v>
      </c>
      <c r="BL22" s="130">
        <f t="shared" si="17"/>
        <v>0</v>
      </c>
      <c r="BM22" s="130">
        <f t="shared" si="17"/>
        <v>0</v>
      </c>
      <c r="BN22" s="130">
        <f t="shared" si="17"/>
        <v>0</v>
      </c>
      <c r="BO22" s="130">
        <f t="shared" si="17"/>
        <v>0</v>
      </c>
      <c r="BP22" s="130">
        <f t="shared" si="17"/>
        <v>0</v>
      </c>
      <c r="BQ22" s="130">
        <f t="shared" si="17"/>
        <v>0</v>
      </c>
      <c r="BR22" s="130" t="e">
        <f t="shared" si="12"/>
        <v>#REF!</v>
      </c>
    </row>
    <row r="23" spans="2:70" s="119" customFormat="1" x14ac:dyDescent="0.2">
      <c r="B23" s="128"/>
      <c r="C23" s="129"/>
      <c r="D23" s="129"/>
      <c r="E23" s="129" t="e">
        <f>ROUND(IF(D23=#REF!,0,IF($H23=$S$6,(C23/1.14975*0.05*0.5),C23/1.14975*0.05)),2)</f>
        <v>#REF!</v>
      </c>
      <c r="F23" s="129" t="e">
        <f>ROUND(IF(D23=#REF!,0,IF($H23=$S$6,C23/1.14975*0.09975*0.5,C23/1.14975*0.09975)),2)</f>
        <v>#REF!</v>
      </c>
      <c r="G23" s="129" t="e">
        <f t="shared" si="0"/>
        <v>#REF!</v>
      </c>
      <c r="J23" s="130">
        <f t="shared" si="1"/>
        <v>0</v>
      </c>
      <c r="K23" s="130">
        <f t="shared" si="14"/>
        <v>0</v>
      </c>
      <c r="L23" s="130">
        <f t="shared" si="14"/>
        <v>0</v>
      </c>
      <c r="M23" s="130">
        <f t="shared" si="14"/>
        <v>0</v>
      </c>
      <c r="N23" s="130">
        <f t="shared" si="14"/>
        <v>0</v>
      </c>
      <c r="O23" s="130">
        <f t="shared" si="14"/>
        <v>0</v>
      </c>
      <c r="P23" s="130">
        <f t="shared" si="14"/>
        <v>0</v>
      </c>
      <c r="Q23" s="130">
        <f t="shared" si="14"/>
        <v>0</v>
      </c>
      <c r="R23" s="130">
        <f t="shared" si="14"/>
        <v>0</v>
      </c>
      <c r="S23" s="130">
        <f t="shared" si="14"/>
        <v>0</v>
      </c>
      <c r="T23" s="130">
        <f t="shared" si="14"/>
        <v>0</v>
      </c>
      <c r="U23" s="130">
        <f t="shared" si="15"/>
        <v>0</v>
      </c>
      <c r="V23" s="130">
        <f t="shared" si="15"/>
        <v>0</v>
      </c>
      <c r="W23" s="130">
        <f t="shared" si="15"/>
        <v>0</v>
      </c>
      <c r="X23" s="130">
        <f t="shared" si="15"/>
        <v>0</v>
      </c>
      <c r="Y23" s="130">
        <f t="shared" si="15"/>
        <v>0</v>
      </c>
      <c r="Z23" s="130">
        <f t="shared" si="15"/>
        <v>0</v>
      </c>
      <c r="AA23" s="130">
        <f t="shared" si="15"/>
        <v>0</v>
      </c>
      <c r="AB23" s="130">
        <f t="shared" si="15"/>
        <v>0</v>
      </c>
      <c r="AC23" s="130">
        <f t="shared" si="15"/>
        <v>0</v>
      </c>
      <c r="AD23" s="130">
        <f t="shared" si="15"/>
        <v>0</v>
      </c>
      <c r="AE23" s="130">
        <f t="shared" si="15"/>
        <v>0</v>
      </c>
      <c r="AF23" s="130">
        <f t="shared" si="15"/>
        <v>0</v>
      </c>
      <c r="AG23" s="130">
        <f t="shared" si="15"/>
        <v>0</v>
      </c>
      <c r="AH23" s="130">
        <f t="shared" si="4"/>
        <v>0</v>
      </c>
      <c r="AI23" s="130">
        <f t="shared" si="4"/>
        <v>0</v>
      </c>
      <c r="AJ23" s="130">
        <f t="shared" si="4"/>
        <v>0</v>
      </c>
      <c r="AK23" s="130">
        <f t="shared" si="5"/>
        <v>0</v>
      </c>
      <c r="AL23" s="130">
        <f t="shared" si="6"/>
        <v>0</v>
      </c>
      <c r="AM23" s="130">
        <f t="shared" si="7"/>
        <v>0</v>
      </c>
      <c r="AN23" s="130">
        <f t="shared" si="8"/>
        <v>0</v>
      </c>
      <c r="AO23" s="130">
        <f t="shared" si="16"/>
        <v>0</v>
      </c>
      <c r="AP23" s="130">
        <f t="shared" si="16"/>
        <v>0</v>
      </c>
      <c r="AQ23" s="130">
        <f t="shared" si="16"/>
        <v>0</v>
      </c>
      <c r="AR23" s="130">
        <f t="shared" si="16"/>
        <v>0</v>
      </c>
      <c r="AS23" s="130">
        <f t="shared" si="16"/>
        <v>0</v>
      </c>
      <c r="AT23" s="130">
        <f t="shared" si="16"/>
        <v>0</v>
      </c>
      <c r="AU23" s="130">
        <f t="shared" si="16"/>
        <v>0</v>
      </c>
      <c r="AV23" s="130">
        <f t="shared" si="16"/>
        <v>0</v>
      </c>
      <c r="AW23" s="130">
        <f t="shared" si="16"/>
        <v>0</v>
      </c>
      <c r="AX23" s="130">
        <f t="shared" si="16"/>
        <v>0</v>
      </c>
      <c r="AY23" s="130">
        <f t="shared" si="16"/>
        <v>0</v>
      </c>
      <c r="AZ23" s="130">
        <f t="shared" si="16"/>
        <v>0</v>
      </c>
      <c r="BA23" s="130">
        <f t="shared" si="16"/>
        <v>0</v>
      </c>
      <c r="BB23" s="130">
        <f t="shared" si="10"/>
        <v>0</v>
      </c>
      <c r="BC23" s="130">
        <f t="shared" si="10"/>
        <v>0</v>
      </c>
      <c r="BD23" s="130">
        <f t="shared" si="10"/>
        <v>0</v>
      </c>
      <c r="BE23" s="130">
        <f t="shared" si="10"/>
        <v>0</v>
      </c>
      <c r="BF23" s="130" t="e">
        <f>+IF($H23=#REF!,$C23,0)-IF($I23=#REF!,$C23,0)</f>
        <v>#REF!</v>
      </c>
      <c r="BG23" s="130" t="e">
        <f>+IF($H23=#REF!,$C23,0)-IF($I23=#REF!,$C23,0)</f>
        <v>#REF!</v>
      </c>
      <c r="BH23" s="130" t="e">
        <f>+IF($H23=#REF!,$C23,0)-IF($I23=#REF!,$C23,0)</f>
        <v>#REF!</v>
      </c>
      <c r="BI23" s="130">
        <f t="shared" si="17"/>
        <v>0</v>
      </c>
      <c r="BJ23" s="130">
        <f t="shared" si="17"/>
        <v>0</v>
      </c>
      <c r="BK23" s="130">
        <f t="shared" si="17"/>
        <v>0</v>
      </c>
      <c r="BL23" s="130">
        <f t="shared" si="17"/>
        <v>0</v>
      </c>
      <c r="BM23" s="130">
        <f t="shared" si="17"/>
        <v>0</v>
      </c>
      <c r="BN23" s="130">
        <f t="shared" si="17"/>
        <v>0</v>
      </c>
      <c r="BO23" s="130">
        <f t="shared" si="17"/>
        <v>0</v>
      </c>
      <c r="BP23" s="130">
        <f t="shared" si="17"/>
        <v>0</v>
      </c>
      <c r="BQ23" s="130">
        <f t="shared" si="17"/>
        <v>0</v>
      </c>
      <c r="BR23" s="130" t="e">
        <f t="shared" si="12"/>
        <v>#REF!</v>
      </c>
    </row>
    <row r="24" spans="2:70" s="119" customFormat="1" x14ac:dyDescent="0.2">
      <c r="B24" s="128"/>
      <c r="C24" s="129"/>
      <c r="D24" s="129"/>
      <c r="E24" s="129" t="e">
        <f>ROUND(IF(D24=#REF!,0,IF($H24=$S$6,(C24/1.14975*0.05*0.5),C24/1.14975*0.05)),2)</f>
        <v>#REF!</v>
      </c>
      <c r="F24" s="129" t="e">
        <f>ROUND(IF(D24=#REF!,0,IF($H24=$S$6,C24/1.14975*0.09975*0.5,C24/1.14975*0.09975)),2)</f>
        <v>#REF!</v>
      </c>
      <c r="G24" s="129" t="e">
        <f t="shared" si="0"/>
        <v>#REF!</v>
      </c>
      <c r="J24" s="130">
        <f t="shared" si="1"/>
        <v>0</v>
      </c>
      <c r="K24" s="130">
        <f t="shared" si="14"/>
        <v>0</v>
      </c>
      <c r="L24" s="130">
        <f t="shared" si="14"/>
        <v>0</v>
      </c>
      <c r="M24" s="130">
        <f t="shared" si="14"/>
        <v>0</v>
      </c>
      <c r="N24" s="130">
        <f t="shared" si="14"/>
        <v>0</v>
      </c>
      <c r="O24" s="130">
        <f t="shared" si="14"/>
        <v>0</v>
      </c>
      <c r="P24" s="130">
        <f t="shared" si="14"/>
        <v>0</v>
      </c>
      <c r="Q24" s="130">
        <f t="shared" si="14"/>
        <v>0</v>
      </c>
      <c r="R24" s="130">
        <f t="shared" si="14"/>
        <v>0</v>
      </c>
      <c r="S24" s="130">
        <f t="shared" si="14"/>
        <v>0</v>
      </c>
      <c r="T24" s="130">
        <f t="shared" si="14"/>
        <v>0</v>
      </c>
      <c r="U24" s="130">
        <f t="shared" si="15"/>
        <v>0</v>
      </c>
      <c r="V24" s="130">
        <f t="shared" si="15"/>
        <v>0</v>
      </c>
      <c r="W24" s="130">
        <f t="shared" si="15"/>
        <v>0</v>
      </c>
      <c r="X24" s="130">
        <f t="shared" si="15"/>
        <v>0</v>
      </c>
      <c r="Y24" s="130">
        <f t="shared" si="15"/>
        <v>0</v>
      </c>
      <c r="Z24" s="130">
        <f t="shared" si="15"/>
        <v>0</v>
      </c>
      <c r="AA24" s="130">
        <f t="shared" si="15"/>
        <v>0</v>
      </c>
      <c r="AB24" s="130">
        <f t="shared" si="15"/>
        <v>0</v>
      </c>
      <c r="AC24" s="130">
        <f t="shared" si="15"/>
        <v>0</v>
      </c>
      <c r="AD24" s="130">
        <f t="shared" si="15"/>
        <v>0</v>
      </c>
      <c r="AE24" s="130">
        <f t="shared" si="15"/>
        <v>0</v>
      </c>
      <c r="AF24" s="130">
        <f t="shared" si="15"/>
        <v>0</v>
      </c>
      <c r="AG24" s="130">
        <f t="shared" si="15"/>
        <v>0</v>
      </c>
      <c r="AH24" s="130">
        <f t="shared" si="4"/>
        <v>0</v>
      </c>
      <c r="AI24" s="130">
        <f t="shared" si="4"/>
        <v>0</v>
      </c>
      <c r="AJ24" s="130">
        <f t="shared" si="4"/>
        <v>0</v>
      </c>
      <c r="AK24" s="130">
        <f t="shared" si="5"/>
        <v>0</v>
      </c>
      <c r="AL24" s="130">
        <f t="shared" si="6"/>
        <v>0</v>
      </c>
      <c r="AM24" s="130">
        <f t="shared" si="7"/>
        <v>0</v>
      </c>
      <c r="AN24" s="130">
        <f t="shared" si="8"/>
        <v>0</v>
      </c>
      <c r="AO24" s="130">
        <f t="shared" si="16"/>
        <v>0</v>
      </c>
      <c r="AP24" s="130">
        <f t="shared" si="16"/>
        <v>0</v>
      </c>
      <c r="AQ24" s="130">
        <f t="shared" si="16"/>
        <v>0</v>
      </c>
      <c r="AR24" s="130">
        <f t="shared" si="16"/>
        <v>0</v>
      </c>
      <c r="AS24" s="130">
        <f t="shared" si="16"/>
        <v>0</v>
      </c>
      <c r="AT24" s="130">
        <f t="shared" si="16"/>
        <v>0</v>
      </c>
      <c r="AU24" s="130">
        <f t="shared" si="16"/>
        <v>0</v>
      </c>
      <c r="AV24" s="130">
        <f t="shared" si="16"/>
        <v>0</v>
      </c>
      <c r="AW24" s="130">
        <f t="shared" si="16"/>
        <v>0</v>
      </c>
      <c r="AX24" s="130">
        <f t="shared" si="16"/>
        <v>0</v>
      </c>
      <c r="AY24" s="130">
        <f t="shared" si="16"/>
        <v>0</v>
      </c>
      <c r="AZ24" s="130">
        <f t="shared" si="16"/>
        <v>0</v>
      </c>
      <c r="BA24" s="130">
        <f t="shared" si="16"/>
        <v>0</v>
      </c>
      <c r="BB24" s="130">
        <f t="shared" si="10"/>
        <v>0</v>
      </c>
      <c r="BC24" s="130">
        <f t="shared" si="10"/>
        <v>0</v>
      </c>
      <c r="BD24" s="130">
        <f t="shared" si="10"/>
        <v>0</v>
      </c>
      <c r="BE24" s="130">
        <f t="shared" si="10"/>
        <v>0</v>
      </c>
      <c r="BF24" s="130" t="e">
        <f>+IF($H24=#REF!,$C24,0)-IF($I24=#REF!,$C24,0)</f>
        <v>#REF!</v>
      </c>
      <c r="BG24" s="130" t="e">
        <f>+IF($H24=#REF!,$C24,0)-IF($I24=#REF!,$C24,0)</f>
        <v>#REF!</v>
      </c>
      <c r="BH24" s="130" t="e">
        <f>+IF($H24=#REF!,$C24,0)-IF($I24=#REF!,$C24,0)</f>
        <v>#REF!</v>
      </c>
      <c r="BI24" s="130">
        <f t="shared" si="17"/>
        <v>0</v>
      </c>
      <c r="BJ24" s="130">
        <f t="shared" si="17"/>
        <v>0</v>
      </c>
      <c r="BK24" s="130">
        <f t="shared" si="17"/>
        <v>0</v>
      </c>
      <c r="BL24" s="130">
        <f t="shared" si="17"/>
        <v>0</v>
      </c>
      <c r="BM24" s="130">
        <f t="shared" si="17"/>
        <v>0</v>
      </c>
      <c r="BN24" s="130">
        <f t="shared" si="17"/>
        <v>0</v>
      </c>
      <c r="BO24" s="130">
        <f t="shared" si="17"/>
        <v>0</v>
      </c>
      <c r="BP24" s="130">
        <f t="shared" si="17"/>
        <v>0</v>
      </c>
      <c r="BQ24" s="130">
        <f t="shared" si="17"/>
        <v>0</v>
      </c>
      <c r="BR24" s="130" t="e">
        <f t="shared" si="12"/>
        <v>#REF!</v>
      </c>
    </row>
    <row r="25" spans="2:70" s="119" customFormat="1" x14ac:dyDescent="0.2">
      <c r="B25" s="128"/>
      <c r="C25" s="129"/>
      <c r="D25" s="129"/>
      <c r="E25" s="129" t="e">
        <f>ROUND(IF(D25=#REF!,0,IF($H25=$S$6,(C25/1.14975*0.05*0.5),C25/1.14975*0.05)),2)</f>
        <v>#REF!</v>
      </c>
      <c r="F25" s="129" t="e">
        <f>ROUND(IF(D25=#REF!,0,IF($H25=$S$6,C25/1.14975*0.09975*0.5,C25/1.14975*0.09975)),2)</f>
        <v>#REF!</v>
      </c>
      <c r="G25" s="129" t="e">
        <f t="shared" si="0"/>
        <v>#REF!</v>
      </c>
      <c r="J25" s="130">
        <f t="shared" si="1"/>
        <v>0</v>
      </c>
      <c r="K25" s="130">
        <f t="shared" si="14"/>
        <v>0</v>
      </c>
      <c r="L25" s="130">
        <f t="shared" si="14"/>
        <v>0</v>
      </c>
      <c r="M25" s="130">
        <f t="shared" si="14"/>
        <v>0</v>
      </c>
      <c r="N25" s="130">
        <f t="shared" si="14"/>
        <v>0</v>
      </c>
      <c r="O25" s="130">
        <f t="shared" si="14"/>
        <v>0</v>
      </c>
      <c r="P25" s="130">
        <f t="shared" si="14"/>
        <v>0</v>
      </c>
      <c r="Q25" s="130">
        <f t="shared" si="14"/>
        <v>0</v>
      </c>
      <c r="R25" s="130">
        <f t="shared" si="14"/>
        <v>0</v>
      </c>
      <c r="S25" s="130">
        <f t="shared" si="14"/>
        <v>0</v>
      </c>
      <c r="T25" s="130">
        <f t="shared" si="14"/>
        <v>0</v>
      </c>
      <c r="U25" s="130">
        <f t="shared" si="15"/>
        <v>0</v>
      </c>
      <c r="V25" s="130">
        <f t="shared" si="15"/>
        <v>0</v>
      </c>
      <c r="W25" s="130">
        <f t="shared" si="15"/>
        <v>0</v>
      </c>
      <c r="X25" s="130">
        <f t="shared" si="15"/>
        <v>0</v>
      </c>
      <c r="Y25" s="130">
        <f t="shared" si="15"/>
        <v>0</v>
      </c>
      <c r="Z25" s="130">
        <f t="shared" si="15"/>
        <v>0</v>
      </c>
      <c r="AA25" s="130">
        <f t="shared" si="15"/>
        <v>0</v>
      </c>
      <c r="AB25" s="130">
        <f t="shared" si="15"/>
        <v>0</v>
      </c>
      <c r="AC25" s="130">
        <f t="shared" si="15"/>
        <v>0</v>
      </c>
      <c r="AD25" s="130">
        <f t="shared" si="15"/>
        <v>0</v>
      </c>
      <c r="AE25" s="130">
        <f t="shared" si="15"/>
        <v>0</v>
      </c>
      <c r="AF25" s="130">
        <f t="shared" si="15"/>
        <v>0</v>
      </c>
      <c r="AG25" s="130">
        <f t="shared" si="15"/>
        <v>0</v>
      </c>
      <c r="AH25" s="130">
        <f t="shared" si="4"/>
        <v>0</v>
      </c>
      <c r="AI25" s="130">
        <f t="shared" si="4"/>
        <v>0</v>
      </c>
      <c r="AJ25" s="130">
        <f t="shared" si="4"/>
        <v>0</v>
      </c>
      <c r="AK25" s="130">
        <f t="shared" si="5"/>
        <v>0</v>
      </c>
      <c r="AL25" s="130">
        <f t="shared" si="6"/>
        <v>0</v>
      </c>
      <c r="AM25" s="130">
        <f t="shared" si="7"/>
        <v>0</v>
      </c>
      <c r="AN25" s="130">
        <f t="shared" si="8"/>
        <v>0</v>
      </c>
      <c r="AO25" s="130">
        <f t="shared" si="16"/>
        <v>0</v>
      </c>
      <c r="AP25" s="130">
        <f t="shared" si="16"/>
        <v>0</v>
      </c>
      <c r="AQ25" s="130">
        <f t="shared" si="16"/>
        <v>0</v>
      </c>
      <c r="AR25" s="130">
        <f t="shared" si="16"/>
        <v>0</v>
      </c>
      <c r="AS25" s="130">
        <f t="shared" si="16"/>
        <v>0</v>
      </c>
      <c r="AT25" s="130">
        <f t="shared" si="16"/>
        <v>0</v>
      </c>
      <c r="AU25" s="130">
        <f t="shared" si="16"/>
        <v>0</v>
      </c>
      <c r="AV25" s="130">
        <f t="shared" si="16"/>
        <v>0</v>
      </c>
      <c r="AW25" s="130">
        <f t="shared" si="16"/>
        <v>0</v>
      </c>
      <c r="AX25" s="130">
        <f t="shared" si="16"/>
        <v>0</v>
      </c>
      <c r="AY25" s="130">
        <f t="shared" si="16"/>
        <v>0</v>
      </c>
      <c r="AZ25" s="130">
        <f t="shared" si="16"/>
        <v>0</v>
      </c>
      <c r="BA25" s="130">
        <f t="shared" si="16"/>
        <v>0</v>
      </c>
      <c r="BB25" s="130">
        <f t="shared" si="10"/>
        <v>0</v>
      </c>
      <c r="BC25" s="130">
        <f t="shared" si="10"/>
        <v>0</v>
      </c>
      <c r="BD25" s="130">
        <f t="shared" si="10"/>
        <v>0</v>
      </c>
      <c r="BE25" s="130">
        <f t="shared" si="10"/>
        <v>0</v>
      </c>
      <c r="BF25" s="130" t="e">
        <f>+IF($H25=#REF!,$C25,0)-IF($I25=#REF!,$C25,0)</f>
        <v>#REF!</v>
      </c>
      <c r="BG25" s="130" t="e">
        <f>+IF($H25=#REF!,$C25,0)-IF($I25=#REF!,$C25,0)</f>
        <v>#REF!</v>
      </c>
      <c r="BH25" s="130" t="e">
        <f>+IF($H25=#REF!,$C25,0)-IF($I25=#REF!,$C25,0)</f>
        <v>#REF!</v>
      </c>
      <c r="BI25" s="130">
        <f t="shared" si="17"/>
        <v>0</v>
      </c>
      <c r="BJ25" s="130">
        <f t="shared" si="17"/>
        <v>0</v>
      </c>
      <c r="BK25" s="130">
        <f t="shared" si="17"/>
        <v>0</v>
      </c>
      <c r="BL25" s="130">
        <f t="shared" si="17"/>
        <v>0</v>
      </c>
      <c r="BM25" s="130">
        <f t="shared" si="17"/>
        <v>0</v>
      </c>
      <c r="BN25" s="130">
        <f t="shared" si="17"/>
        <v>0</v>
      </c>
      <c r="BO25" s="130">
        <f t="shared" si="17"/>
        <v>0</v>
      </c>
      <c r="BP25" s="130">
        <f t="shared" si="17"/>
        <v>0</v>
      </c>
      <c r="BQ25" s="130">
        <f t="shared" si="17"/>
        <v>0</v>
      </c>
      <c r="BR25" s="130" t="e">
        <f t="shared" si="12"/>
        <v>#REF!</v>
      </c>
    </row>
    <row r="26" spans="2:70" s="119" customFormat="1" x14ac:dyDescent="0.2">
      <c r="B26" s="128"/>
      <c r="C26" s="129"/>
      <c r="D26" s="129"/>
      <c r="E26" s="129" t="e">
        <f>ROUND(IF(D26=#REF!,0,IF($H26=$S$6,(C26/1.14975*0.05*0.5),C26/1.14975*0.05)),2)</f>
        <v>#REF!</v>
      </c>
      <c r="F26" s="129" t="e">
        <f>ROUND(IF(D26=#REF!,0,IF($H26=$S$6,C26/1.14975*0.09975*0.5,C26/1.14975*0.09975)),2)</f>
        <v>#REF!</v>
      </c>
      <c r="G26" s="129" t="e">
        <f t="shared" si="0"/>
        <v>#REF!</v>
      </c>
      <c r="J26" s="130">
        <f t="shared" si="1"/>
        <v>0</v>
      </c>
      <c r="K26" s="130">
        <f t="shared" si="14"/>
        <v>0</v>
      </c>
      <c r="L26" s="130">
        <f t="shared" si="14"/>
        <v>0</v>
      </c>
      <c r="M26" s="130">
        <f t="shared" si="14"/>
        <v>0</v>
      </c>
      <c r="N26" s="130">
        <f t="shared" si="14"/>
        <v>0</v>
      </c>
      <c r="O26" s="130">
        <f t="shared" si="14"/>
        <v>0</v>
      </c>
      <c r="P26" s="130">
        <f t="shared" si="14"/>
        <v>0</v>
      </c>
      <c r="Q26" s="130">
        <f t="shared" si="14"/>
        <v>0</v>
      </c>
      <c r="R26" s="130">
        <f t="shared" si="14"/>
        <v>0</v>
      </c>
      <c r="S26" s="130">
        <f t="shared" si="14"/>
        <v>0</v>
      </c>
      <c r="T26" s="130">
        <f t="shared" si="14"/>
        <v>0</v>
      </c>
      <c r="U26" s="130">
        <f t="shared" si="15"/>
        <v>0</v>
      </c>
      <c r="V26" s="130">
        <f t="shared" si="15"/>
        <v>0</v>
      </c>
      <c r="W26" s="130">
        <f t="shared" si="15"/>
        <v>0</v>
      </c>
      <c r="X26" s="130">
        <f t="shared" si="15"/>
        <v>0</v>
      </c>
      <c r="Y26" s="130">
        <f t="shared" si="15"/>
        <v>0</v>
      </c>
      <c r="Z26" s="130">
        <f t="shared" si="15"/>
        <v>0</v>
      </c>
      <c r="AA26" s="130">
        <f t="shared" si="15"/>
        <v>0</v>
      </c>
      <c r="AB26" s="130">
        <f t="shared" si="15"/>
        <v>0</v>
      </c>
      <c r="AC26" s="130">
        <f t="shared" si="15"/>
        <v>0</v>
      </c>
      <c r="AD26" s="130">
        <f t="shared" si="15"/>
        <v>0</v>
      </c>
      <c r="AE26" s="130">
        <f t="shared" si="15"/>
        <v>0</v>
      </c>
      <c r="AF26" s="130">
        <f t="shared" si="15"/>
        <v>0</v>
      </c>
      <c r="AG26" s="130">
        <f t="shared" si="15"/>
        <v>0</v>
      </c>
      <c r="AH26" s="130">
        <f t="shared" si="4"/>
        <v>0</v>
      </c>
      <c r="AI26" s="130">
        <f t="shared" si="4"/>
        <v>0</v>
      </c>
      <c r="AJ26" s="130">
        <f t="shared" si="4"/>
        <v>0</v>
      </c>
      <c r="AK26" s="130">
        <f t="shared" si="5"/>
        <v>0</v>
      </c>
      <c r="AL26" s="130">
        <f t="shared" si="6"/>
        <v>0</v>
      </c>
      <c r="AM26" s="130">
        <f t="shared" si="7"/>
        <v>0</v>
      </c>
      <c r="AN26" s="130">
        <f t="shared" si="8"/>
        <v>0</v>
      </c>
      <c r="AO26" s="130">
        <f t="shared" si="16"/>
        <v>0</v>
      </c>
      <c r="AP26" s="130">
        <f t="shared" si="16"/>
        <v>0</v>
      </c>
      <c r="AQ26" s="130">
        <f t="shared" si="16"/>
        <v>0</v>
      </c>
      <c r="AR26" s="130">
        <f t="shared" si="16"/>
        <v>0</v>
      </c>
      <c r="AS26" s="130">
        <f t="shared" si="16"/>
        <v>0</v>
      </c>
      <c r="AT26" s="130">
        <f t="shared" si="16"/>
        <v>0</v>
      </c>
      <c r="AU26" s="130">
        <f t="shared" si="16"/>
        <v>0</v>
      </c>
      <c r="AV26" s="130">
        <f t="shared" si="16"/>
        <v>0</v>
      </c>
      <c r="AW26" s="130">
        <f t="shared" si="16"/>
        <v>0</v>
      </c>
      <c r="AX26" s="130">
        <f t="shared" si="16"/>
        <v>0</v>
      </c>
      <c r="AY26" s="130">
        <f t="shared" si="16"/>
        <v>0</v>
      </c>
      <c r="AZ26" s="130">
        <f t="shared" si="16"/>
        <v>0</v>
      </c>
      <c r="BA26" s="130">
        <f t="shared" si="16"/>
        <v>0</v>
      </c>
      <c r="BB26" s="130">
        <f t="shared" si="10"/>
        <v>0</v>
      </c>
      <c r="BC26" s="130">
        <f t="shared" si="10"/>
        <v>0</v>
      </c>
      <c r="BD26" s="130">
        <f t="shared" si="10"/>
        <v>0</v>
      </c>
      <c r="BE26" s="130">
        <f t="shared" si="10"/>
        <v>0</v>
      </c>
      <c r="BF26" s="130" t="e">
        <f>+IF($H26=#REF!,$C26,0)-IF($I26=#REF!,$C26,0)</f>
        <v>#REF!</v>
      </c>
      <c r="BG26" s="130" t="e">
        <f>+IF($H26=#REF!,$C26,0)-IF($I26=#REF!,$C26,0)</f>
        <v>#REF!</v>
      </c>
      <c r="BH26" s="130" t="e">
        <f>+IF($H26=#REF!,$C26,0)-IF($I26=#REF!,$C26,0)</f>
        <v>#REF!</v>
      </c>
      <c r="BI26" s="130">
        <f t="shared" si="17"/>
        <v>0</v>
      </c>
      <c r="BJ26" s="130">
        <f t="shared" si="17"/>
        <v>0</v>
      </c>
      <c r="BK26" s="130">
        <f t="shared" si="17"/>
        <v>0</v>
      </c>
      <c r="BL26" s="130">
        <f t="shared" si="17"/>
        <v>0</v>
      </c>
      <c r="BM26" s="130">
        <f t="shared" si="17"/>
        <v>0</v>
      </c>
      <c r="BN26" s="130">
        <f t="shared" si="17"/>
        <v>0</v>
      </c>
      <c r="BO26" s="130">
        <f t="shared" si="17"/>
        <v>0</v>
      </c>
      <c r="BP26" s="130">
        <f t="shared" si="17"/>
        <v>0</v>
      </c>
      <c r="BQ26" s="130">
        <f t="shared" si="17"/>
        <v>0</v>
      </c>
      <c r="BR26" s="130" t="e">
        <f t="shared" si="12"/>
        <v>#REF!</v>
      </c>
    </row>
    <row r="27" spans="2:70" s="119" customFormat="1" x14ac:dyDescent="0.2">
      <c r="B27" s="128"/>
      <c r="C27" s="129"/>
      <c r="D27" s="129"/>
      <c r="E27" s="129" t="e">
        <f>ROUND(IF(D27=#REF!,0,IF($H27=$S$6,(C27/1.14975*0.05*0.5),C27/1.14975*0.05)),2)</f>
        <v>#REF!</v>
      </c>
      <c r="F27" s="129" t="e">
        <f>ROUND(IF(D27=#REF!,0,IF($H27=$S$6,C27/1.14975*0.09975*0.5,C27/1.14975*0.09975)),2)</f>
        <v>#REF!</v>
      </c>
      <c r="G27" s="129" t="e">
        <f t="shared" si="0"/>
        <v>#REF!</v>
      </c>
      <c r="J27" s="130">
        <f t="shared" si="1"/>
        <v>0</v>
      </c>
      <c r="K27" s="130">
        <f t="shared" si="14"/>
        <v>0</v>
      </c>
      <c r="L27" s="130">
        <f t="shared" si="14"/>
        <v>0</v>
      </c>
      <c r="M27" s="130">
        <f t="shared" si="14"/>
        <v>0</v>
      </c>
      <c r="N27" s="130">
        <f t="shared" si="14"/>
        <v>0</v>
      </c>
      <c r="O27" s="130">
        <f t="shared" si="14"/>
        <v>0</v>
      </c>
      <c r="P27" s="130">
        <f t="shared" si="14"/>
        <v>0</v>
      </c>
      <c r="Q27" s="130">
        <f t="shared" si="14"/>
        <v>0</v>
      </c>
      <c r="R27" s="130">
        <f t="shared" si="14"/>
        <v>0</v>
      </c>
      <c r="S27" s="130">
        <f t="shared" si="14"/>
        <v>0</v>
      </c>
      <c r="T27" s="130">
        <f t="shared" si="14"/>
        <v>0</v>
      </c>
      <c r="U27" s="130">
        <f t="shared" si="15"/>
        <v>0</v>
      </c>
      <c r="V27" s="130">
        <f t="shared" si="15"/>
        <v>0</v>
      </c>
      <c r="W27" s="130">
        <f t="shared" si="15"/>
        <v>0</v>
      </c>
      <c r="X27" s="130">
        <f t="shared" si="15"/>
        <v>0</v>
      </c>
      <c r="Y27" s="130">
        <f t="shared" si="15"/>
        <v>0</v>
      </c>
      <c r="Z27" s="130">
        <f t="shared" si="15"/>
        <v>0</v>
      </c>
      <c r="AA27" s="130">
        <f t="shared" si="15"/>
        <v>0</v>
      </c>
      <c r="AB27" s="130">
        <f t="shared" si="15"/>
        <v>0</v>
      </c>
      <c r="AC27" s="130">
        <f t="shared" si="15"/>
        <v>0</v>
      </c>
      <c r="AD27" s="130">
        <f t="shared" si="15"/>
        <v>0</v>
      </c>
      <c r="AE27" s="130">
        <f t="shared" si="15"/>
        <v>0</v>
      </c>
      <c r="AF27" s="130">
        <f t="shared" si="15"/>
        <v>0</v>
      </c>
      <c r="AG27" s="130">
        <f t="shared" si="15"/>
        <v>0</v>
      </c>
      <c r="AH27" s="130">
        <f t="shared" si="4"/>
        <v>0</v>
      </c>
      <c r="AI27" s="130">
        <f t="shared" si="4"/>
        <v>0</v>
      </c>
      <c r="AJ27" s="130">
        <f t="shared" si="4"/>
        <v>0</v>
      </c>
      <c r="AK27" s="130">
        <f t="shared" si="5"/>
        <v>0</v>
      </c>
      <c r="AL27" s="130">
        <f t="shared" si="6"/>
        <v>0</v>
      </c>
      <c r="AM27" s="130">
        <f t="shared" si="7"/>
        <v>0</v>
      </c>
      <c r="AN27" s="130">
        <f t="shared" si="8"/>
        <v>0</v>
      </c>
      <c r="AO27" s="130">
        <f t="shared" si="16"/>
        <v>0</v>
      </c>
      <c r="AP27" s="130">
        <f t="shared" si="16"/>
        <v>0</v>
      </c>
      <c r="AQ27" s="130">
        <f t="shared" si="16"/>
        <v>0</v>
      </c>
      <c r="AR27" s="130">
        <f t="shared" si="16"/>
        <v>0</v>
      </c>
      <c r="AS27" s="130">
        <f t="shared" si="16"/>
        <v>0</v>
      </c>
      <c r="AT27" s="130">
        <f t="shared" si="16"/>
        <v>0</v>
      </c>
      <c r="AU27" s="130">
        <f t="shared" si="16"/>
        <v>0</v>
      </c>
      <c r="AV27" s="130">
        <f t="shared" si="16"/>
        <v>0</v>
      </c>
      <c r="AW27" s="130">
        <f t="shared" si="16"/>
        <v>0</v>
      </c>
      <c r="AX27" s="130">
        <f t="shared" si="16"/>
        <v>0</v>
      </c>
      <c r="AY27" s="130">
        <f t="shared" si="16"/>
        <v>0</v>
      </c>
      <c r="AZ27" s="130">
        <f t="shared" si="16"/>
        <v>0</v>
      </c>
      <c r="BA27" s="130">
        <f t="shared" si="16"/>
        <v>0</v>
      </c>
      <c r="BB27" s="130">
        <f t="shared" si="10"/>
        <v>0</v>
      </c>
      <c r="BC27" s="130">
        <f t="shared" si="10"/>
        <v>0</v>
      </c>
      <c r="BD27" s="130">
        <f t="shared" si="10"/>
        <v>0</v>
      </c>
      <c r="BE27" s="130">
        <f t="shared" si="10"/>
        <v>0</v>
      </c>
      <c r="BF27" s="130" t="e">
        <f>+IF($H27=#REF!,$C27,0)-IF($I27=#REF!,$C27,0)</f>
        <v>#REF!</v>
      </c>
      <c r="BG27" s="130" t="e">
        <f>+IF($H27=#REF!,$C27,0)-IF($I27=#REF!,$C27,0)</f>
        <v>#REF!</v>
      </c>
      <c r="BH27" s="130" t="e">
        <f>+IF($H27=#REF!,$C27,0)-IF($I27=#REF!,$C27,0)</f>
        <v>#REF!</v>
      </c>
      <c r="BI27" s="130">
        <f t="shared" si="17"/>
        <v>0</v>
      </c>
      <c r="BJ27" s="130">
        <f t="shared" si="17"/>
        <v>0</v>
      </c>
      <c r="BK27" s="130">
        <f t="shared" si="17"/>
        <v>0</v>
      </c>
      <c r="BL27" s="130">
        <f t="shared" si="17"/>
        <v>0</v>
      </c>
      <c r="BM27" s="130">
        <f t="shared" si="17"/>
        <v>0</v>
      </c>
      <c r="BN27" s="130">
        <f t="shared" si="17"/>
        <v>0</v>
      </c>
      <c r="BO27" s="130">
        <f t="shared" si="17"/>
        <v>0</v>
      </c>
      <c r="BP27" s="130">
        <f t="shared" si="17"/>
        <v>0</v>
      </c>
      <c r="BQ27" s="130">
        <f t="shared" si="17"/>
        <v>0</v>
      </c>
      <c r="BR27" s="130" t="e">
        <f t="shared" si="12"/>
        <v>#REF!</v>
      </c>
    </row>
    <row r="28" spans="2:70" s="119" customFormat="1" x14ac:dyDescent="0.2">
      <c r="B28" s="128"/>
      <c r="C28" s="129"/>
      <c r="D28" s="129"/>
      <c r="E28" s="129" t="e">
        <f>ROUND(IF(D28=#REF!,0,IF($H28=$S$6,(C28/1.14975*0.05*0.5),C28/1.14975*0.05)),2)</f>
        <v>#REF!</v>
      </c>
      <c r="F28" s="129" t="e">
        <f>ROUND(IF(D28=#REF!,0,IF($H28=$S$6,C28/1.14975*0.09975*0.5,C28/1.14975*0.09975)),2)</f>
        <v>#REF!</v>
      </c>
      <c r="G28" s="129" t="e">
        <f t="shared" si="0"/>
        <v>#REF!</v>
      </c>
      <c r="J28" s="130">
        <f t="shared" si="1"/>
        <v>0</v>
      </c>
      <c r="K28" s="130">
        <f t="shared" si="14"/>
        <v>0</v>
      </c>
      <c r="L28" s="130">
        <f t="shared" si="14"/>
        <v>0</v>
      </c>
      <c r="M28" s="130">
        <f t="shared" si="14"/>
        <v>0</v>
      </c>
      <c r="N28" s="130">
        <f t="shared" si="14"/>
        <v>0</v>
      </c>
      <c r="O28" s="130">
        <f t="shared" si="14"/>
        <v>0</v>
      </c>
      <c r="P28" s="130">
        <f t="shared" si="14"/>
        <v>0</v>
      </c>
      <c r="Q28" s="130">
        <f t="shared" si="14"/>
        <v>0</v>
      </c>
      <c r="R28" s="130">
        <f t="shared" si="14"/>
        <v>0</v>
      </c>
      <c r="S28" s="130">
        <f t="shared" si="14"/>
        <v>0</v>
      </c>
      <c r="T28" s="130">
        <f t="shared" si="14"/>
        <v>0</v>
      </c>
      <c r="U28" s="130">
        <f t="shared" si="15"/>
        <v>0</v>
      </c>
      <c r="V28" s="130">
        <f t="shared" si="15"/>
        <v>0</v>
      </c>
      <c r="W28" s="130">
        <f t="shared" si="15"/>
        <v>0</v>
      </c>
      <c r="X28" s="130">
        <f t="shared" si="15"/>
        <v>0</v>
      </c>
      <c r="Y28" s="130">
        <f t="shared" si="15"/>
        <v>0</v>
      </c>
      <c r="Z28" s="130">
        <f t="shared" si="15"/>
        <v>0</v>
      </c>
      <c r="AA28" s="130">
        <f t="shared" si="15"/>
        <v>0</v>
      </c>
      <c r="AB28" s="130">
        <f t="shared" si="15"/>
        <v>0</v>
      </c>
      <c r="AC28" s="130">
        <f t="shared" si="15"/>
        <v>0</v>
      </c>
      <c r="AD28" s="130">
        <f t="shared" si="15"/>
        <v>0</v>
      </c>
      <c r="AE28" s="130">
        <f t="shared" si="15"/>
        <v>0</v>
      </c>
      <c r="AF28" s="130">
        <f t="shared" si="15"/>
        <v>0</v>
      </c>
      <c r="AG28" s="130">
        <f t="shared" si="15"/>
        <v>0</v>
      </c>
      <c r="AH28" s="130">
        <f t="shared" si="4"/>
        <v>0</v>
      </c>
      <c r="AI28" s="130">
        <f t="shared" si="4"/>
        <v>0</v>
      </c>
      <c r="AJ28" s="130">
        <f t="shared" si="4"/>
        <v>0</v>
      </c>
      <c r="AK28" s="130">
        <f t="shared" si="5"/>
        <v>0</v>
      </c>
      <c r="AL28" s="130">
        <f t="shared" si="6"/>
        <v>0</v>
      </c>
      <c r="AM28" s="130">
        <f t="shared" si="7"/>
        <v>0</v>
      </c>
      <c r="AN28" s="130">
        <f t="shared" si="8"/>
        <v>0</v>
      </c>
      <c r="AO28" s="130">
        <f t="shared" si="16"/>
        <v>0</v>
      </c>
      <c r="AP28" s="130">
        <f t="shared" si="16"/>
        <v>0</v>
      </c>
      <c r="AQ28" s="130">
        <f t="shared" si="16"/>
        <v>0</v>
      </c>
      <c r="AR28" s="130">
        <f t="shared" si="16"/>
        <v>0</v>
      </c>
      <c r="AS28" s="130">
        <f t="shared" si="16"/>
        <v>0</v>
      </c>
      <c r="AT28" s="130">
        <f t="shared" si="16"/>
        <v>0</v>
      </c>
      <c r="AU28" s="130">
        <f t="shared" si="16"/>
        <v>0</v>
      </c>
      <c r="AV28" s="130">
        <f t="shared" si="16"/>
        <v>0</v>
      </c>
      <c r="AW28" s="130">
        <f t="shared" si="16"/>
        <v>0</v>
      </c>
      <c r="AX28" s="130">
        <f t="shared" si="16"/>
        <v>0</v>
      </c>
      <c r="AY28" s="130">
        <f t="shared" si="16"/>
        <v>0</v>
      </c>
      <c r="AZ28" s="130">
        <f t="shared" si="16"/>
        <v>0</v>
      </c>
      <c r="BA28" s="130">
        <f t="shared" si="16"/>
        <v>0</v>
      </c>
      <c r="BB28" s="130">
        <f t="shared" si="10"/>
        <v>0</v>
      </c>
      <c r="BC28" s="130">
        <f t="shared" si="10"/>
        <v>0</v>
      </c>
      <c r="BD28" s="130">
        <f t="shared" si="10"/>
        <v>0</v>
      </c>
      <c r="BE28" s="130">
        <f t="shared" si="10"/>
        <v>0</v>
      </c>
      <c r="BF28" s="130" t="e">
        <f>+IF($H28=#REF!,$C28,0)-IF($I28=#REF!,$C28,0)</f>
        <v>#REF!</v>
      </c>
      <c r="BG28" s="130" t="e">
        <f>+IF($H28=#REF!,$C28,0)-IF($I28=#REF!,$C28,0)</f>
        <v>#REF!</v>
      </c>
      <c r="BH28" s="130" t="e">
        <f>+IF($H28=#REF!,$C28,0)-IF($I28=#REF!,$C28,0)</f>
        <v>#REF!</v>
      </c>
      <c r="BI28" s="130">
        <f t="shared" si="17"/>
        <v>0</v>
      </c>
      <c r="BJ28" s="130">
        <f t="shared" si="17"/>
        <v>0</v>
      </c>
      <c r="BK28" s="130">
        <f t="shared" si="17"/>
        <v>0</v>
      </c>
      <c r="BL28" s="130">
        <f t="shared" si="17"/>
        <v>0</v>
      </c>
      <c r="BM28" s="130">
        <f t="shared" si="17"/>
        <v>0</v>
      </c>
      <c r="BN28" s="130">
        <f t="shared" si="17"/>
        <v>0</v>
      </c>
      <c r="BO28" s="130">
        <f t="shared" si="17"/>
        <v>0</v>
      </c>
      <c r="BP28" s="130">
        <f t="shared" si="17"/>
        <v>0</v>
      </c>
      <c r="BQ28" s="130">
        <f t="shared" si="17"/>
        <v>0</v>
      </c>
      <c r="BR28" s="130" t="e">
        <f t="shared" si="12"/>
        <v>#REF!</v>
      </c>
    </row>
    <row r="29" spans="2:70" s="119" customFormat="1" x14ac:dyDescent="0.2">
      <c r="B29" s="128"/>
      <c r="C29" s="129"/>
      <c r="D29" s="129"/>
      <c r="E29" s="129" t="e">
        <f>ROUND(IF(D29=#REF!,0,IF($H29=$S$6,(C29/1.14975*0.05*0.5),C29/1.14975*0.05)),2)</f>
        <v>#REF!</v>
      </c>
      <c r="F29" s="129" t="e">
        <f>ROUND(IF(D29=#REF!,0,IF($H29=$S$6,C29/1.14975*0.09975*0.5,C29/1.14975*0.09975)),2)</f>
        <v>#REF!</v>
      </c>
      <c r="G29" s="129" t="e">
        <f t="shared" si="0"/>
        <v>#REF!</v>
      </c>
      <c r="J29" s="130">
        <f t="shared" si="1"/>
        <v>0</v>
      </c>
      <c r="K29" s="130">
        <f t="shared" ref="K29:T38" si="18">+IF($H29=K$6,$G29,0)-IF($I29=K$6,$G29,0)</f>
        <v>0</v>
      </c>
      <c r="L29" s="130">
        <f t="shared" si="18"/>
        <v>0</v>
      </c>
      <c r="M29" s="130">
        <f t="shared" si="18"/>
        <v>0</v>
      </c>
      <c r="N29" s="130">
        <f t="shared" si="18"/>
        <v>0</v>
      </c>
      <c r="O29" s="130">
        <f t="shared" si="18"/>
        <v>0</v>
      </c>
      <c r="P29" s="130">
        <f t="shared" si="18"/>
        <v>0</v>
      </c>
      <c r="Q29" s="130">
        <f t="shared" si="18"/>
        <v>0</v>
      </c>
      <c r="R29" s="130">
        <f t="shared" si="18"/>
        <v>0</v>
      </c>
      <c r="S29" s="130">
        <f t="shared" si="18"/>
        <v>0</v>
      </c>
      <c r="T29" s="130">
        <f t="shared" si="18"/>
        <v>0</v>
      </c>
      <c r="U29" s="130">
        <f t="shared" ref="U29:AG38" si="19">+IF($H29=U$6,$G29,0)-IF($I29=U$6,$G29,0)</f>
        <v>0</v>
      </c>
      <c r="V29" s="130">
        <f t="shared" si="19"/>
        <v>0</v>
      </c>
      <c r="W29" s="130">
        <f t="shared" si="19"/>
        <v>0</v>
      </c>
      <c r="X29" s="130">
        <f t="shared" si="19"/>
        <v>0</v>
      </c>
      <c r="Y29" s="130">
        <f t="shared" si="19"/>
        <v>0</v>
      </c>
      <c r="Z29" s="130">
        <f t="shared" si="19"/>
        <v>0</v>
      </c>
      <c r="AA29" s="130">
        <f t="shared" si="19"/>
        <v>0</v>
      </c>
      <c r="AB29" s="130">
        <f t="shared" si="19"/>
        <v>0</v>
      </c>
      <c r="AC29" s="130">
        <f t="shared" si="19"/>
        <v>0</v>
      </c>
      <c r="AD29" s="130">
        <f t="shared" si="19"/>
        <v>0</v>
      </c>
      <c r="AE29" s="130">
        <f t="shared" si="19"/>
        <v>0</v>
      </c>
      <c r="AF29" s="130">
        <f t="shared" si="19"/>
        <v>0</v>
      </c>
      <c r="AG29" s="130">
        <f t="shared" si="19"/>
        <v>0</v>
      </c>
      <c r="AH29" s="130">
        <f t="shared" ref="AH29:AJ48" si="20">+IF($H29=AH$6,$C29,0)-IF($I29=AH$6,$C29,0)</f>
        <v>0</v>
      </c>
      <c r="AI29" s="130">
        <f t="shared" si="20"/>
        <v>0</v>
      </c>
      <c r="AJ29" s="130">
        <f t="shared" si="20"/>
        <v>0</v>
      </c>
      <c r="AK29" s="130">
        <f t="shared" si="5"/>
        <v>0</v>
      </c>
      <c r="AL29" s="130">
        <f t="shared" si="6"/>
        <v>0</v>
      </c>
      <c r="AM29" s="130">
        <f t="shared" si="7"/>
        <v>0</v>
      </c>
      <c r="AN29" s="130">
        <f t="shared" si="8"/>
        <v>0</v>
      </c>
      <c r="AO29" s="130">
        <f t="shared" ref="AO29:BA38" si="21">+IF($H29=AO$6,$G29,0)-IF($I29=AO$6,$G29,0)</f>
        <v>0</v>
      </c>
      <c r="AP29" s="130">
        <f t="shared" si="21"/>
        <v>0</v>
      </c>
      <c r="AQ29" s="130">
        <f t="shared" si="21"/>
        <v>0</v>
      </c>
      <c r="AR29" s="130">
        <f t="shared" si="21"/>
        <v>0</v>
      </c>
      <c r="AS29" s="130">
        <f t="shared" si="21"/>
        <v>0</v>
      </c>
      <c r="AT29" s="130">
        <f t="shared" si="21"/>
        <v>0</v>
      </c>
      <c r="AU29" s="130">
        <f t="shared" si="21"/>
        <v>0</v>
      </c>
      <c r="AV29" s="130">
        <f t="shared" si="21"/>
        <v>0</v>
      </c>
      <c r="AW29" s="130">
        <f t="shared" si="21"/>
        <v>0</v>
      </c>
      <c r="AX29" s="130">
        <f t="shared" si="21"/>
        <v>0</v>
      </c>
      <c r="AY29" s="130">
        <f t="shared" si="21"/>
        <v>0</v>
      </c>
      <c r="AZ29" s="130">
        <f t="shared" si="21"/>
        <v>0</v>
      </c>
      <c r="BA29" s="130">
        <f t="shared" si="21"/>
        <v>0</v>
      </c>
      <c r="BB29" s="130">
        <f t="shared" ref="BB29:BE48" si="22">+IF($H29=BB$6,$C29,0)-IF($I29=BB$6,$C29,0)</f>
        <v>0</v>
      </c>
      <c r="BC29" s="130">
        <f t="shared" si="22"/>
        <v>0</v>
      </c>
      <c r="BD29" s="130">
        <f t="shared" si="22"/>
        <v>0</v>
      </c>
      <c r="BE29" s="130">
        <f t="shared" si="22"/>
        <v>0</v>
      </c>
      <c r="BF29" s="130" t="e">
        <f>+IF($H29=#REF!,$C29,0)-IF($I29=#REF!,$C29,0)</f>
        <v>#REF!</v>
      </c>
      <c r="BG29" s="130" t="e">
        <f>+IF($H29=#REF!,$C29,0)-IF($I29=#REF!,$C29,0)</f>
        <v>#REF!</v>
      </c>
      <c r="BH29" s="130" t="e">
        <f>+IF($H29=#REF!,$C29,0)-IF($I29=#REF!,$C29,0)</f>
        <v>#REF!</v>
      </c>
      <c r="BI29" s="130">
        <f t="shared" ref="BI29:BQ38" si="23">+IF($H29=BI$6,$G29,0)-IF($I29=BI$6,$G29,0)</f>
        <v>0</v>
      </c>
      <c r="BJ29" s="130">
        <f t="shared" si="23"/>
        <v>0</v>
      </c>
      <c r="BK29" s="130">
        <f t="shared" si="23"/>
        <v>0</v>
      </c>
      <c r="BL29" s="130">
        <f t="shared" si="23"/>
        <v>0</v>
      </c>
      <c r="BM29" s="130">
        <f t="shared" si="23"/>
        <v>0</v>
      </c>
      <c r="BN29" s="130">
        <f t="shared" si="23"/>
        <v>0</v>
      </c>
      <c r="BO29" s="130">
        <f t="shared" si="23"/>
        <v>0</v>
      </c>
      <c r="BP29" s="130">
        <f t="shared" si="23"/>
        <v>0</v>
      </c>
      <c r="BQ29" s="130">
        <f t="shared" si="23"/>
        <v>0</v>
      </c>
      <c r="BR29" s="130" t="e">
        <f t="shared" si="12"/>
        <v>#REF!</v>
      </c>
    </row>
    <row r="30" spans="2:70" s="119" customFormat="1" x14ac:dyDescent="0.2">
      <c r="B30" s="128"/>
      <c r="C30" s="129"/>
      <c r="D30" s="129"/>
      <c r="E30" s="129" t="e">
        <f>ROUND(IF(D30=#REF!,0,IF($H30=$S$6,(C30/1.14975*0.05*0.5),C30/1.14975*0.05)),2)</f>
        <v>#REF!</v>
      </c>
      <c r="F30" s="129" t="e">
        <f>ROUND(IF(D30=#REF!,0,IF($H30=$S$6,C30/1.14975*0.09975*0.5,C30/1.14975*0.09975)),2)</f>
        <v>#REF!</v>
      </c>
      <c r="G30" s="129" t="e">
        <f t="shared" si="0"/>
        <v>#REF!</v>
      </c>
      <c r="J30" s="130">
        <f t="shared" si="1"/>
        <v>0</v>
      </c>
      <c r="K30" s="130">
        <f t="shared" si="18"/>
        <v>0</v>
      </c>
      <c r="L30" s="130">
        <f t="shared" si="18"/>
        <v>0</v>
      </c>
      <c r="M30" s="130">
        <f t="shared" si="18"/>
        <v>0</v>
      </c>
      <c r="N30" s="130">
        <f t="shared" si="18"/>
        <v>0</v>
      </c>
      <c r="O30" s="130">
        <f t="shared" si="18"/>
        <v>0</v>
      </c>
      <c r="P30" s="130">
        <f t="shared" si="18"/>
        <v>0</v>
      </c>
      <c r="Q30" s="130">
        <f t="shared" si="18"/>
        <v>0</v>
      </c>
      <c r="R30" s="130">
        <f t="shared" si="18"/>
        <v>0</v>
      </c>
      <c r="S30" s="130">
        <f t="shared" si="18"/>
        <v>0</v>
      </c>
      <c r="T30" s="130">
        <f t="shared" si="18"/>
        <v>0</v>
      </c>
      <c r="U30" s="130">
        <f t="shared" si="19"/>
        <v>0</v>
      </c>
      <c r="V30" s="130">
        <f t="shared" si="19"/>
        <v>0</v>
      </c>
      <c r="W30" s="130">
        <f t="shared" si="19"/>
        <v>0</v>
      </c>
      <c r="X30" s="130">
        <f t="shared" si="19"/>
        <v>0</v>
      </c>
      <c r="Y30" s="130">
        <f t="shared" si="19"/>
        <v>0</v>
      </c>
      <c r="Z30" s="130">
        <f t="shared" si="19"/>
        <v>0</v>
      </c>
      <c r="AA30" s="130">
        <f t="shared" si="19"/>
        <v>0</v>
      </c>
      <c r="AB30" s="130">
        <f t="shared" si="19"/>
        <v>0</v>
      </c>
      <c r="AC30" s="130">
        <f t="shared" si="19"/>
        <v>0</v>
      </c>
      <c r="AD30" s="130">
        <f t="shared" si="19"/>
        <v>0</v>
      </c>
      <c r="AE30" s="130">
        <f t="shared" si="19"/>
        <v>0</v>
      </c>
      <c r="AF30" s="130">
        <f t="shared" si="19"/>
        <v>0</v>
      </c>
      <c r="AG30" s="130">
        <f t="shared" si="19"/>
        <v>0</v>
      </c>
      <c r="AH30" s="130">
        <f t="shared" si="20"/>
        <v>0</v>
      </c>
      <c r="AI30" s="130">
        <f t="shared" si="20"/>
        <v>0</v>
      </c>
      <c r="AJ30" s="130">
        <f t="shared" si="20"/>
        <v>0</v>
      </c>
      <c r="AK30" s="130">
        <f t="shared" si="5"/>
        <v>0</v>
      </c>
      <c r="AL30" s="130">
        <f t="shared" si="6"/>
        <v>0</v>
      </c>
      <c r="AM30" s="130">
        <f t="shared" si="7"/>
        <v>0</v>
      </c>
      <c r="AN30" s="130">
        <f t="shared" si="8"/>
        <v>0</v>
      </c>
      <c r="AO30" s="130">
        <f t="shared" si="21"/>
        <v>0</v>
      </c>
      <c r="AP30" s="130">
        <f t="shared" si="21"/>
        <v>0</v>
      </c>
      <c r="AQ30" s="130">
        <f t="shared" si="21"/>
        <v>0</v>
      </c>
      <c r="AR30" s="130">
        <f t="shared" si="21"/>
        <v>0</v>
      </c>
      <c r="AS30" s="130">
        <f t="shared" si="21"/>
        <v>0</v>
      </c>
      <c r="AT30" s="130">
        <f t="shared" si="21"/>
        <v>0</v>
      </c>
      <c r="AU30" s="130">
        <f t="shared" si="21"/>
        <v>0</v>
      </c>
      <c r="AV30" s="130">
        <f t="shared" si="21"/>
        <v>0</v>
      </c>
      <c r="AW30" s="130">
        <f t="shared" si="21"/>
        <v>0</v>
      </c>
      <c r="AX30" s="130">
        <f t="shared" si="21"/>
        <v>0</v>
      </c>
      <c r="AY30" s="130">
        <f t="shared" si="21"/>
        <v>0</v>
      </c>
      <c r="AZ30" s="130">
        <f t="shared" si="21"/>
        <v>0</v>
      </c>
      <c r="BA30" s="130">
        <f t="shared" si="21"/>
        <v>0</v>
      </c>
      <c r="BB30" s="130">
        <f t="shared" si="22"/>
        <v>0</v>
      </c>
      <c r="BC30" s="130">
        <f t="shared" si="22"/>
        <v>0</v>
      </c>
      <c r="BD30" s="130">
        <f t="shared" si="22"/>
        <v>0</v>
      </c>
      <c r="BE30" s="130">
        <f t="shared" si="22"/>
        <v>0</v>
      </c>
      <c r="BF30" s="130" t="e">
        <f>+IF($H30=#REF!,$C30,0)-IF($I30=#REF!,$C30,0)</f>
        <v>#REF!</v>
      </c>
      <c r="BG30" s="130" t="e">
        <f>+IF($H30=#REF!,$C30,0)-IF($I30=#REF!,$C30,0)</f>
        <v>#REF!</v>
      </c>
      <c r="BH30" s="130" t="e">
        <f>+IF($H30=#REF!,$C30,0)-IF($I30=#REF!,$C30,0)</f>
        <v>#REF!</v>
      </c>
      <c r="BI30" s="130">
        <f t="shared" si="23"/>
        <v>0</v>
      </c>
      <c r="BJ30" s="130">
        <f t="shared" si="23"/>
        <v>0</v>
      </c>
      <c r="BK30" s="130">
        <f t="shared" si="23"/>
        <v>0</v>
      </c>
      <c r="BL30" s="130">
        <f t="shared" si="23"/>
        <v>0</v>
      </c>
      <c r="BM30" s="130">
        <f t="shared" si="23"/>
        <v>0</v>
      </c>
      <c r="BN30" s="130">
        <f t="shared" si="23"/>
        <v>0</v>
      </c>
      <c r="BO30" s="130">
        <f t="shared" si="23"/>
        <v>0</v>
      </c>
      <c r="BP30" s="130">
        <f t="shared" si="23"/>
        <v>0</v>
      </c>
      <c r="BQ30" s="130">
        <f t="shared" si="23"/>
        <v>0</v>
      </c>
      <c r="BR30" s="130" t="e">
        <f t="shared" si="12"/>
        <v>#REF!</v>
      </c>
    </row>
    <row r="31" spans="2:70" s="119" customFormat="1" x14ac:dyDescent="0.2">
      <c r="B31" s="128"/>
      <c r="C31" s="129"/>
      <c r="D31" s="129"/>
      <c r="E31" s="129" t="e">
        <f>ROUND(IF(D31=#REF!,0,IF($H31=$S$6,(C31/1.14975*0.05*0.5),C31/1.14975*0.05)),2)</f>
        <v>#REF!</v>
      </c>
      <c r="F31" s="129" t="e">
        <f>ROUND(IF(D31=#REF!,0,IF($H31=$S$6,C31/1.14975*0.09975*0.5,C31/1.14975*0.09975)),2)</f>
        <v>#REF!</v>
      </c>
      <c r="G31" s="129" t="e">
        <f t="shared" si="0"/>
        <v>#REF!</v>
      </c>
      <c r="J31" s="130">
        <f t="shared" si="1"/>
        <v>0</v>
      </c>
      <c r="K31" s="130">
        <f t="shared" si="18"/>
        <v>0</v>
      </c>
      <c r="L31" s="130">
        <f t="shared" si="18"/>
        <v>0</v>
      </c>
      <c r="M31" s="130">
        <f t="shared" si="18"/>
        <v>0</v>
      </c>
      <c r="N31" s="130">
        <f t="shared" si="18"/>
        <v>0</v>
      </c>
      <c r="O31" s="130">
        <f t="shared" si="18"/>
        <v>0</v>
      </c>
      <c r="P31" s="130">
        <f t="shared" si="18"/>
        <v>0</v>
      </c>
      <c r="Q31" s="130">
        <f t="shared" si="18"/>
        <v>0</v>
      </c>
      <c r="R31" s="130">
        <f t="shared" si="18"/>
        <v>0</v>
      </c>
      <c r="S31" s="130">
        <f t="shared" si="18"/>
        <v>0</v>
      </c>
      <c r="T31" s="130">
        <f t="shared" si="18"/>
        <v>0</v>
      </c>
      <c r="U31" s="130">
        <f t="shared" si="19"/>
        <v>0</v>
      </c>
      <c r="V31" s="130">
        <f t="shared" si="19"/>
        <v>0</v>
      </c>
      <c r="W31" s="130">
        <f t="shared" si="19"/>
        <v>0</v>
      </c>
      <c r="X31" s="130">
        <f t="shared" si="19"/>
        <v>0</v>
      </c>
      <c r="Y31" s="130">
        <f t="shared" si="19"/>
        <v>0</v>
      </c>
      <c r="Z31" s="130">
        <f t="shared" si="19"/>
        <v>0</v>
      </c>
      <c r="AA31" s="130">
        <f t="shared" si="19"/>
        <v>0</v>
      </c>
      <c r="AB31" s="130">
        <f t="shared" si="19"/>
        <v>0</v>
      </c>
      <c r="AC31" s="130">
        <f t="shared" si="19"/>
        <v>0</v>
      </c>
      <c r="AD31" s="130">
        <f t="shared" si="19"/>
        <v>0</v>
      </c>
      <c r="AE31" s="130">
        <f t="shared" si="19"/>
        <v>0</v>
      </c>
      <c r="AF31" s="130">
        <f t="shared" si="19"/>
        <v>0</v>
      </c>
      <c r="AG31" s="130">
        <f t="shared" si="19"/>
        <v>0</v>
      </c>
      <c r="AH31" s="130">
        <f t="shared" si="20"/>
        <v>0</v>
      </c>
      <c r="AI31" s="130">
        <f t="shared" si="20"/>
        <v>0</v>
      </c>
      <c r="AJ31" s="130">
        <f t="shared" si="20"/>
        <v>0</v>
      </c>
      <c r="AK31" s="130">
        <f t="shared" si="5"/>
        <v>0</v>
      </c>
      <c r="AL31" s="130">
        <f t="shared" si="6"/>
        <v>0</v>
      </c>
      <c r="AM31" s="130">
        <f t="shared" si="7"/>
        <v>0</v>
      </c>
      <c r="AN31" s="130">
        <f t="shared" si="8"/>
        <v>0</v>
      </c>
      <c r="AO31" s="130">
        <f t="shared" si="21"/>
        <v>0</v>
      </c>
      <c r="AP31" s="130">
        <f t="shared" si="21"/>
        <v>0</v>
      </c>
      <c r="AQ31" s="130">
        <f t="shared" si="21"/>
        <v>0</v>
      </c>
      <c r="AR31" s="130">
        <f t="shared" si="21"/>
        <v>0</v>
      </c>
      <c r="AS31" s="130">
        <f t="shared" si="21"/>
        <v>0</v>
      </c>
      <c r="AT31" s="130">
        <f t="shared" si="21"/>
        <v>0</v>
      </c>
      <c r="AU31" s="130">
        <f t="shared" si="21"/>
        <v>0</v>
      </c>
      <c r="AV31" s="130">
        <f t="shared" si="21"/>
        <v>0</v>
      </c>
      <c r="AW31" s="130">
        <f t="shared" si="21"/>
        <v>0</v>
      </c>
      <c r="AX31" s="130">
        <f t="shared" si="21"/>
        <v>0</v>
      </c>
      <c r="AY31" s="130">
        <f t="shared" si="21"/>
        <v>0</v>
      </c>
      <c r="AZ31" s="130">
        <f t="shared" si="21"/>
        <v>0</v>
      </c>
      <c r="BA31" s="130">
        <f t="shared" si="21"/>
        <v>0</v>
      </c>
      <c r="BB31" s="130">
        <f t="shared" si="22"/>
        <v>0</v>
      </c>
      <c r="BC31" s="130">
        <f t="shared" si="22"/>
        <v>0</v>
      </c>
      <c r="BD31" s="130">
        <f t="shared" si="22"/>
        <v>0</v>
      </c>
      <c r="BE31" s="130">
        <f t="shared" si="22"/>
        <v>0</v>
      </c>
      <c r="BF31" s="130" t="e">
        <f>+IF($H31=#REF!,$C31,0)-IF($I31=#REF!,$C31,0)</f>
        <v>#REF!</v>
      </c>
      <c r="BG31" s="130" t="e">
        <f>+IF($H31=#REF!,$C31,0)-IF($I31=#REF!,$C31,0)</f>
        <v>#REF!</v>
      </c>
      <c r="BH31" s="130" t="e">
        <f>+IF($H31=#REF!,$C31,0)-IF($I31=#REF!,$C31,0)</f>
        <v>#REF!</v>
      </c>
      <c r="BI31" s="130">
        <f t="shared" si="23"/>
        <v>0</v>
      </c>
      <c r="BJ31" s="130">
        <f t="shared" si="23"/>
        <v>0</v>
      </c>
      <c r="BK31" s="130">
        <f t="shared" si="23"/>
        <v>0</v>
      </c>
      <c r="BL31" s="130">
        <f t="shared" si="23"/>
        <v>0</v>
      </c>
      <c r="BM31" s="130">
        <f t="shared" si="23"/>
        <v>0</v>
      </c>
      <c r="BN31" s="130">
        <f t="shared" si="23"/>
        <v>0</v>
      </c>
      <c r="BO31" s="130">
        <f t="shared" si="23"/>
        <v>0</v>
      </c>
      <c r="BP31" s="130">
        <f t="shared" si="23"/>
        <v>0</v>
      </c>
      <c r="BQ31" s="130">
        <f t="shared" si="23"/>
        <v>0</v>
      </c>
      <c r="BR31" s="130" t="e">
        <f t="shared" si="12"/>
        <v>#REF!</v>
      </c>
    </row>
    <row r="32" spans="2:70" s="119" customFormat="1" x14ac:dyDescent="0.2">
      <c r="B32" s="128"/>
      <c r="C32" s="129"/>
      <c r="D32" s="129"/>
      <c r="E32" s="129" t="e">
        <f>ROUND(IF(D32=#REF!,0,IF($H32=$S$6,(C32/1.14975*0.05*0.5),C32/1.14975*0.05)),2)</f>
        <v>#REF!</v>
      </c>
      <c r="F32" s="129" t="e">
        <f>ROUND(IF(D32=#REF!,0,IF($H32=$S$6,C32/1.14975*0.09975*0.5,C32/1.14975*0.09975)),2)</f>
        <v>#REF!</v>
      </c>
      <c r="G32" s="129" t="e">
        <f t="shared" si="0"/>
        <v>#REF!</v>
      </c>
      <c r="J32" s="130">
        <f t="shared" si="1"/>
        <v>0</v>
      </c>
      <c r="K32" s="130">
        <f t="shared" si="18"/>
        <v>0</v>
      </c>
      <c r="L32" s="130">
        <f t="shared" si="18"/>
        <v>0</v>
      </c>
      <c r="M32" s="130">
        <f t="shared" si="18"/>
        <v>0</v>
      </c>
      <c r="N32" s="130">
        <f t="shared" si="18"/>
        <v>0</v>
      </c>
      <c r="O32" s="130">
        <f t="shared" si="18"/>
        <v>0</v>
      </c>
      <c r="P32" s="130">
        <f t="shared" si="18"/>
        <v>0</v>
      </c>
      <c r="Q32" s="130">
        <f t="shared" si="18"/>
        <v>0</v>
      </c>
      <c r="R32" s="130">
        <f t="shared" si="18"/>
        <v>0</v>
      </c>
      <c r="S32" s="130">
        <f t="shared" si="18"/>
        <v>0</v>
      </c>
      <c r="T32" s="130">
        <f t="shared" si="18"/>
        <v>0</v>
      </c>
      <c r="U32" s="130">
        <f t="shared" si="19"/>
        <v>0</v>
      </c>
      <c r="V32" s="130">
        <f t="shared" si="19"/>
        <v>0</v>
      </c>
      <c r="W32" s="130">
        <f t="shared" si="19"/>
        <v>0</v>
      </c>
      <c r="X32" s="130">
        <f t="shared" si="19"/>
        <v>0</v>
      </c>
      <c r="Y32" s="130">
        <f t="shared" si="19"/>
        <v>0</v>
      </c>
      <c r="Z32" s="130">
        <f t="shared" si="19"/>
        <v>0</v>
      </c>
      <c r="AA32" s="130">
        <f t="shared" si="19"/>
        <v>0</v>
      </c>
      <c r="AB32" s="130">
        <f t="shared" si="19"/>
        <v>0</v>
      </c>
      <c r="AC32" s="130">
        <f t="shared" si="19"/>
        <v>0</v>
      </c>
      <c r="AD32" s="130">
        <f t="shared" si="19"/>
        <v>0</v>
      </c>
      <c r="AE32" s="130">
        <f t="shared" si="19"/>
        <v>0</v>
      </c>
      <c r="AF32" s="130">
        <f t="shared" si="19"/>
        <v>0</v>
      </c>
      <c r="AG32" s="130">
        <f t="shared" si="19"/>
        <v>0</v>
      </c>
      <c r="AH32" s="130">
        <f t="shared" si="20"/>
        <v>0</v>
      </c>
      <c r="AI32" s="130">
        <f t="shared" si="20"/>
        <v>0</v>
      </c>
      <c r="AJ32" s="130">
        <f t="shared" si="20"/>
        <v>0</v>
      </c>
      <c r="AK32" s="130">
        <f t="shared" si="5"/>
        <v>0</v>
      </c>
      <c r="AL32" s="130">
        <f t="shared" si="6"/>
        <v>0</v>
      </c>
      <c r="AM32" s="130">
        <f t="shared" si="7"/>
        <v>0</v>
      </c>
      <c r="AN32" s="130">
        <f t="shared" si="8"/>
        <v>0</v>
      </c>
      <c r="AO32" s="130">
        <f t="shared" si="21"/>
        <v>0</v>
      </c>
      <c r="AP32" s="130">
        <f t="shared" si="21"/>
        <v>0</v>
      </c>
      <c r="AQ32" s="130">
        <f t="shared" si="21"/>
        <v>0</v>
      </c>
      <c r="AR32" s="130">
        <f t="shared" si="21"/>
        <v>0</v>
      </c>
      <c r="AS32" s="130">
        <f t="shared" si="21"/>
        <v>0</v>
      </c>
      <c r="AT32" s="130">
        <f t="shared" si="21"/>
        <v>0</v>
      </c>
      <c r="AU32" s="130">
        <f t="shared" si="21"/>
        <v>0</v>
      </c>
      <c r="AV32" s="130">
        <f t="shared" si="21"/>
        <v>0</v>
      </c>
      <c r="AW32" s="130">
        <f t="shared" si="21"/>
        <v>0</v>
      </c>
      <c r="AX32" s="130">
        <f t="shared" si="21"/>
        <v>0</v>
      </c>
      <c r="AY32" s="130">
        <f t="shared" si="21"/>
        <v>0</v>
      </c>
      <c r="AZ32" s="130">
        <f t="shared" si="21"/>
        <v>0</v>
      </c>
      <c r="BA32" s="130">
        <f t="shared" si="21"/>
        <v>0</v>
      </c>
      <c r="BB32" s="130">
        <f t="shared" si="22"/>
        <v>0</v>
      </c>
      <c r="BC32" s="130">
        <f t="shared" si="22"/>
        <v>0</v>
      </c>
      <c r="BD32" s="130">
        <f t="shared" si="22"/>
        <v>0</v>
      </c>
      <c r="BE32" s="130">
        <f t="shared" si="22"/>
        <v>0</v>
      </c>
      <c r="BF32" s="130" t="e">
        <f>+IF($H32=#REF!,$C32,0)-IF($I32=#REF!,$C32,0)</f>
        <v>#REF!</v>
      </c>
      <c r="BG32" s="130" t="e">
        <f>+IF($H32=#REF!,$C32,0)-IF($I32=#REF!,$C32,0)</f>
        <v>#REF!</v>
      </c>
      <c r="BH32" s="130" t="e">
        <f>+IF($H32=#REF!,$C32,0)-IF($I32=#REF!,$C32,0)</f>
        <v>#REF!</v>
      </c>
      <c r="BI32" s="130">
        <f t="shared" si="23"/>
        <v>0</v>
      </c>
      <c r="BJ32" s="130">
        <f t="shared" si="23"/>
        <v>0</v>
      </c>
      <c r="BK32" s="130">
        <f t="shared" si="23"/>
        <v>0</v>
      </c>
      <c r="BL32" s="130">
        <f t="shared" si="23"/>
        <v>0</v>
      </c>
      <c r="BM32" s="130">
        <f t="shared" si="23"/>
        <v>0</v>
      </c>
      <c r="BN32" s="130">
        <f t="shared" si="23"/>
        <v>0</v>
      </c>
      <c r="BO32" s="130">
        <f t="shared" si="23"/>
        <v>0</v>
      </c>
      <c r="BP32" s="130">
        <f t="shared" si="23"/>
        <v>0</v>
      </c>
      <c r="BQ32" s="130">
        <f t="shared" si="23"/>
        <v>0</v>
      </c>
      <c r="BR32" s="130" t="e">
        <f t="shared" si="12"/>
        <v>#REF!</v>
      </c>
    </row>
    <row r="33" spans="2:70" s="119" customFormat="1" x14ac:dyDescent="0.2">
      <c r="B33" s="128"/>
      <c r="C33" s="129"/>
      <c r="D33" s="129"/>
      <c r="E33" s="129" t="e">
        <f>ROUND(IF(D33=#REF!,0,IF($H33=$S$6,(C33/1.14975*0.05*0.5),C33/1.14975*0.05)),2)</f>
        <v>#REF!</v>
      </c>
      <c r="F33" s="129" t="e">
        <f>ROUND(IF(D33=#REF!,0,IF($H33=$S$6,C33/1.14975*0.09975*0.5,C33/1.14975*0.09975)),2)</f>
        <v>#REF!</v>
      </c>
      <c r="G33" s="129" t="e">
        <f t="shared" si="0"/>
        <v>#REF!</v>
      </c>
      <c r="J33" s="130">
        <f t="shared" si="1"/>
        <v>0</v>
      </c>
      <c r="K33" s="130">
        <f t="shared" si="18"/>
        <v>0</v>
      </c>
      <c r="L33" s="130">
        <f t="shared" si="18"/>
        <v>0</v>
      </c>
      <c r="M33" s="130">
        <f t="shared" si="18"/>
        <v>0</v>
      </c>
      <c r="N33" s="130">
        <f t="shared" si="18"/>
        <v>0</v>
      </c>
      <c r="O33" s="130">
        <f t="shared" si="18"/>
        <v>0</v>
      </c>
      <c r="P33" s="130">
        <f t="shared" si="18"/>
        <v>0</v>
      </c>
      <c r="Q33" s="130">
        <f t="shared" si="18"/>
        <v>0</v>
      </c>
      <c r="R33" s="130">
        <f t="shared" si="18"/>
        <v>0</v>
      </c>
      <c r="S33" s="130">
        <f t="shared" si="18"/>
        <v>0</v>
      </c>
      <c r="T33" s="130">
        <f t="shared" si="18"/>
        <v>0</v>
      </c>
      <c r="U33" s="130">
        <f t="shared" si="19"/>
        <v>0</v>
      </c>
      <c r="V33" s="130">
        <f t="shared" si="19"/>
        <v>0</v>
      </c>
      <c r="W33" s="130">
        <f t="shared" si="19"/>
        <v>0</v>
      </c>
      <c r="X33" s="130">
        <f t="shared" si="19"/>
        <v>0</v>
      </c>
      <c r="Y33" s="130">
        <f t="shared" si="19"/>
        <v>0</v>
      </c>
      <c r="Z33" s="130">
        <f t="shared" si="19"/>
        <v>0</v>
      </c>
      <c r="AA33" s="130">
        <f t="shared" si="19"/>
        <v>0</v>
      </c>
      <c r="AB33" s="130">
        <f t="shared" si="19"/>
        <v>0</v>
      </c>
      <c r="AC33" s="130">
        <f t="shared" si="19"/>
        <v>0</v>
      </c>
      <c r="AD33" s="130">
        <f t="shared" si="19"/>
        <v>0</v>
      </c>
      <c r="AE33" s="130">
        <f t="shared" si="19"/>
        <v>0</v>
      </c>
      <c r="AF33" s="130">
        <f t="shared" si="19"/>
        <v>0</v>
      </c>
      <c r="AG33" s="130">
        <f t="shared" si="19"/>
        <v>0</v>
      </c>
      <c r="AH33" s="130">
        <f t="shared" si="20"/>
        <v>0</v>
      </c>
      <c r="AI33" s="130">
        <f t="shared" si="20"/>
        <v>0</v>
      </c>
      <c r="AJ33" s="130">
        <f t="shared" si="20"/>
        <v>0</v>
      </c>
      <c r="AK33" s="130">
        <f t="shared" si="5"/>
        <v>0</v>
      </c>
      <c r="AL33" s="130">
        <f t="shared" si="6"/>
        <v>0</v>
      </c>
      <c r="AM33" s="130">
        <f t="shared" si="7"/>
        <v>0</v>
      </c>
      <c r="AN33" s="130">
        <f t="shared" si="8"/>
        <v>0</v>
      </c>
      <c r="AO33" s="130">
        <f t="shared" si="21"/>
        <v>0</v>
      </c>
      <c r="AP33" s="130">
        <f t="shared" si="21"/>
        <v>0</v>
      </c>
      <c r="AQ33" s="130">
        <f t="shared" si="21"/>
        <v>0</v>
      </c>
      <c r="AR33" s="130">
        <f t="shared" si="21"/>
        <v>0</v>
      </c>
      <c r="AS33" s="130">
        <f t="shared" si="21"/>
        <v>0</v>
      </c>
      <c r="AT33" s="130">
        <f t="shared" si="21"/>
        <v>0</v>
      </c>
      <c r="AU33" s="130">
        <f t="shared" si="21"/>
        <v>0</v>
      </c>
      <c r="AV33" s="130">
        <f t="shared" si="21"/>
        <v>0</v>
      </c>
      <c r="AW33" s="130">
        <f t="shared" si="21"/>
        <v>0</v>
      </c>
      <c r="AX33" s="130">
        <f t="shared" si="21"/>
        <v>0</v>
      </c>
      <c r="AY33" s="130">
        <f t="shared" si="21"/>
        <v>0</v>
      </c>
      <c r="AZ33" s="130">
        <f t="shared" si="21"/>
        <v>0</v>
      </c>
      <c r="BA33" s="130">
        <f t="shared" si="21"/>
        <v>0</v>
      </c>
      <c r="BB33" s="130">
        <f t="shared" si="22"/>
        <v>0</v>
      </c>
      <c r="BC33" s="130">
        <f t="shared" si="22"/>
        <v>0</v>
      </c>
      <c r="BD33" s="130">
        <f t="shared" si="22"/>
        <v>0</v>
      </c>
      <c r="BE33" s="130">
        <f t="shared" si="22"/>
        <v>0</v>
      </c>
      <c r="BF33" s="130" t="e">
        <f>+IF($H33=#REF!,$C33,0)-IF($I33=#REF!,$C33,0)</f>
        <v>#REF!</v>
      </c>
      <c r="BG33" s="130" t="e">
        <f>+IF($H33=#REF!,$C33,0)-IF($I33=#REF!,$C33,0)</f>
        <v>#REF!</v>
      </c>
      <c r="BH33" s="130" t="e">
        <f>+IF($H33=#REF!,$C33,0)-IF($I33=#REF!,$C33,0)</f>
        <v>#REF!</v>
      </c>
      <c r="BI33" s="130">
        <f t="shared" si="23"/>
        <v>0</v>
      </c>
      <c r="BJ33" s="130">
        <f t="shared" si="23"/>
        <v>0</v>
      </c>
      <c r="BK33" s="130">
        <f t="shared" si="23"/>
        <v>0</v>
      </c>
      <c r="BL33" s="130">
        <f t="shared" si="23"/>
        <v>0</v>
      </c>
      <c r="BM33" s="130">
        <f t="shared" si="23"/>
        <v>0</v>
      </c>
      <c r="BN33" s="130">
        <f t="shared" si="23"/>
        <v>0</v>
      </c>
      <c r="BO33" s="130">
        <f t="shared" si="23"/>
        <v>0</v>
      </c>
      <c r="BP33" s="130">
        <f t="shared" si="23"/>
        <v>0</v>
      </c>
      <c r="BQ33" s="130">
        <f t="shared" si="23"/>
        <v>0</v>
      </c>
      <c r="BR33" s="130" t="e">
        <f t="shared" si="12"/>
        <v>#REF!</v>
      </c>
    </row>
    <row r="34" spans="2:70" s="119" customFormat="1" x14ac:dyDescent="0.2">
      <c r="B34" s="128"/>
      <c r="C34" s="129"/>
      <c r="D34" s="129"/>
      <c r="E34" s="129" t="e">
        <f>ROUND(IF(D34=#REF!,0,IF($H34=$S$6,(C34/1.14975*0.05*0.5),C34/1.14975*0.05)),2)</f>
        <v>#REF!</v>
      </c>
      <c r="F34" s="129" t="e">
        <f>ROUND(IF(D34=#REF!,0,IF($H34=$S$6,C34/1.14975*0.09975*0.5,C34/1.14975*0.09975)),2)</f>
        <v>#REF!</v>
      </c>
      <c r="G34" s="129" t="e">
        <f t="shared" si="0"/>
        <v>#REF!</v>
      </c>
      <c r="J34" s="130">
        <f t="shared" si="1"/>
        <v>0</v>
      </c>
      <c r="K34" s="130">
        <f t="shared" si="18"/>
        <v>0</v>
      </c>
      <c r="L34" s="130">
        <f t="shared" si="18"/>
        <v>0</v>
      </c>
      <c r="M34" s="130">
        <f t="shared" si="18"/>
        <v>0</v>
      </c>
      <c r="N34" s="130">
        <f t="shared" si="18"/>
        <v>0</v>
      </c>
      <c r="O34" s="130">
        <f t="shared" si="18"/>
        <v>0</v>
      </c>
      <c r="P34" s="130">
        <f t="shared" si="18"/>
        <v>0</v>
      </c>
      <c r="Q34" s="130">
        <f t="shared" si="18"/>
        <v>0</v>
      </c>
      <c r="R34" s="130">
        <f t="shared" si="18"/>
        <v>0</v>
      </c>
      <c r="S34" s="130">
        <f t="shared" si="18"/>
        <v>0</v>
      </c>
      <c r="T34" s="130">
        <f t="shared" si="18"/>
        <v>0</v>
      </c>
      <c r="U34" s="130">
        <f t="shared" si="19"/>
        <v>0</v>
      </c>
      <c r="V34" s="130">
        <f t="shared" si="19"/>
        <v>0</v>
      </c>
      <c r="W34" s="130">
        <f t="shared" si="19"/>
        <v>0</v>
      </c>
      <c r="X34" s="130">
        <f t="shared" si="19"/>
        <v>0</v>
      </c>
      <c r="Y34" s="130">
        <f t="shared" si="19"/>
        <v>0</v>
      </c>
      <c r="Z34" s="130">
        <f t="shared" si="19"/>
        <v>0</v>
      </c>
      <c r="AA34" s="130">
        <f t="shared" si="19"/>
        <v>0</v>
      </c>
      <c r="AB34" s="130">
        <f t="shared" si="19"/>
        <v>0</v>
      </c>
      <c r="AC34" s="130">
        <f t="shared" si="19"/>
        <v>0</v>
      </c>
      <c r="AD34" s="130">
        <f t="shared" si="19"/>
        <v>0</v>
      </c>
      <c r="AE34" s="130">
        <f t="shared" si="19"/>
        <v>0</v>
      </c>
      <c r="AF34" s="130">
        <f t="shared" si="19"/>
        <v>0</v>
      </c>
      <c r="AG34" s="130">
        <f t="shared" si="19"/>
        <v>0</v>
      </c>
      <c r="AH34" s="130">
        <f t="shared" si="20"/>
        <v>0</v>
      </c>
      <c r="AI34" s="130">
        <f t="shared" si="20"/>
        <v>0</v>
      </c>
      <c r="AJ34" s="130">
        <f t="shared" si="20"/>
        <v>0</v>
      </c>
      <c r="AK34" s="130">
        <f t="shared" si="5"/>
        <v>0</v>
      </c>
      <c r="AL34" s="130">
        <f t="shared" si="6"/>
        <v>0</v>
      </c>
      <c r="AM34" s="130">
        <f t="shared" si="7"/>
        <v>0</v>
      </c>
      <c r="AN34" s="130">
        <f t="shared" si="8"/>
        <v>0</v>
      </c>
      <c r="AO34" s="130">
        <f t="shared" si="21"/>
        <v>0</v>
      </c>
      <c r="AP34" s="130">
        <f t="shared" si="21"/>
        <v>0</v>
      </c>
      <c r="AQ34" s="130">
        <f t="shared" si="21"/>
        <v>0</v>
      </c>
      <c r="AR34" s="130">
        <f t="shared" si="21"/>
        <v>0</v>
      </c>
      <c r="AS34" s="130">
        <f t="shared" si="21"/>
        <v>0</v>
      </c>
      <c r="AT34" s="130">
        <f t="shared" si="21"/>
        <v>0</v>
      </c>
      <c r="AU34" s="130">
        <f t="shared" si="21"/>
        <v>0</v>
      </c>
      <c r="AV34" s="130">
        <f t="shared" si="21"/>
        <v>0</v>
      </c>
      <c r="AW34" s="130">
        <f t="shared" si="21"/>
        <v>0</v>
      </c>
      <c r="AX34" s="130">
        <f t="shared" si="21"/>
        <v>0</v>
      </c>
      <c r="AY34" s="130">
        <f t="shared" si="21"/>
        <v>0</v>
      </c>
      <c r="AZ34" s="130">
        <f t="shared" si="21"/>
        <v>0</v>
      </c>
      <c r="BA34" s="130">
        <f t="shared" si="21"/>
        <v>0</v>
      </c>
      <c r="BB34" s="130">
        <f t="shared" si="22"/>
        <v>0</v>
      </c>
      <c r="BC34" s="130">
        <f t="shared" si="22"/>
        <v>0</v>
      </c>
      <c r="BD34" s="130">
        <f t="shared" si="22"/>
        <v>0</v>
      </c>
      <c r="BE34" s="130">
        <f t="shared" si="22"/>
        <v>0</v>
      </c>
      <c r="BF34" s="130" t="e">
        <f>+IF($H34=#REF!,$C34,0)-IF($I34=#REF!,$C34,0)</f>
        <v>#REF!</v>
      </c>
      <c r="BG34" s="130" t="e">
        <f>+IF($H34=#REF!,$C34,0)-IF($I34=#REF!,$C34,0)</f>
        <v>#REF!</v>
      </c>
      <c r="BH34" s="130" t="e">
        <f>+IF($H34=#REF!,$C34,0)-IF($I34=#REF!,$C34,0)</f>
        <v>#REF!</v>
      </c>
      <c r="BI34" s="130">
        <f t="shared" si="23"/>
        <v>0</v>
      </c>
      <c r="BJ34" s="130">
        <f t="shared" si="23"/>
        <v>0</v>
      </c>
      <c r="BK34" s="130">
        <f t="shared" si="23"/>
        <v>0</v>
      </c>
      <c r="BL34" s="130">
        <f t="shared" si="23"/>
        <v>0</v>
      </c>
      <c r="BM34" s="130">
        <f t="shared" si="23"/>
        <v>0</v>
      </c>
      <c r="BN34" s="130">
        <f t="shared" si="23"/>
        <v>0</v>
      </c>
      <c r="BO34" s="130">
        <f t="shared" si="23"/>
        <v>0</v>
      </c>
      <c r="BP34" s="130">
        <f t="shared" si="23"/>
        <v>0</v>
      </c>
      <c r="BQ34" s="130">
        <f t="shared" si="23"/>
        <v>0</v>
      </c>
      <c r="BR34" s="130" t="e">
        <f t="shared" si="12"/>
        <v>#REF!</v>
      </c>
    </row>
    <row r="35" spans="2:70" s="119" customFormat="1" x14ac:dyDescent="0.2">
      <c r="B35" s="128"/>
      <c r="C35" s="129"/>
      <c r="D35" s="129"/>
      <c r="E35" s="129" t="e">
        <f>ROUND(IF(D35=#REF!,0,IF($H35=$S$6,(C35/1.14975*0.05*0.5),C35/1.14975*0.05)),2)</f>
        <v>#REF!</v>
      </c>
      <c r="F35" s="129" t="e">
        <f>ROUND(IF(D35=#REF!,0,IF($H35=$S$6,C35/1.14975*0.09975*0.5,C35/1.14975*0.09975)),2)</f>
        <v>#REF!</v>
      </c>
      <c r="G35" s="129" t="e">
        <f t="shared" si="0"/>
        <v>#REF!</v>
      </c>
      <c r="J35" s="130">
        <f t="shared" si="1"/>
        <v>0</v>
      </c>
      <c r="K35" s="130">
        <f t="shared" si="18"/>
        <v>0</v>
      </c>
      <c r="L35" s="130">
        <f t="shared" si="18"/>
        <v>0</v>
      </c>
      <c r="M35" s="130">
        <f t="shared" si="18"/>
        <v>0</v>
      </c>
      <c r="N35" s="130">
        <f t="shared" si="18"/>
        <v>0</v>
      </c>
      <c r="O35" s="130">
        <f t="shared" si="18"/>
        <v>0</v>
      </c>
      <c r="P35" s="130">
        <f t="shared" si="18"/>
        <v>0</v>
      </c>
      <c r="Q35" s="130">
        <f t="shared" si="18"/>
        <v>0</v>
      </c>
      <c r="R35" s="130">
        <f t="shared" si="18"/>
        <v>0</v>
      </c>
      <c r="S35" s="130">
        <f t="shared" si="18"/>
        <v>0</v>
      </c>
      <c r="T35" s="130">
        <f t="shared" si="18"/>
        <v>0</v>
      </c>
      <c r="U35" s="130">
        <f t="shared" si="19"/>
        <v>0</v>
      </c>
      <c r="V35" s="130">
        <f t="shared" si="19"/>
        <v>0</v>
      </c>
      <c r="W35" s="130">
        <f t="shared" si="19"/>
        <v>0</v>
      </c>
      <c r="X35" s="130">
        <f t="shared" si="19"/>
        <v>0</v>
      </c>
      <c r="Y35" s="130">
        <f t="shared" si="19"/>
        <v>0</v>
      </c>
      <c r="Z35" s="130">
        <f t="shared" si="19"/>
        <v>0</v>
      </c>
      <c r="AA35" s="130">
        <f t="shared" si="19"/>
        <v>0</v>
      </c>
      <c r="AB35" s="130">
        <f t="shared" si="19"/>
        <v>0</v>
      </c>
      <c r="AC35" s="130">
        <f t="shared" si="19"/>
        <v>0</v>
      </c>
      <c r="AD35" s="130">
        <f t="shared" si="19"/>
        <v>0</v>
      </c>
      <c r="AE35" s="130">
        <f t="shared" si="19"/>
        <v>0</v>
      </c>
      <c r="AF35" s="130">
        <f t="shared" si="19"/>
        <v>0</v>
      </c>
      <c r="AG35" s="130">
        <f t="shared" si="19"/>
        <v>0</v>
      </c>
      <c r="AH35" s="130">
        <f t="shared" si="20"/>
        <v>0</v>
      </c>
      <c r="AI35" s="130">
        <f t="shared" si="20"/>
        <v>0</v>
      </c>
      <c r="AJ35" s="130">
        <f t="shared" si="20"/>
        <v>0</v>
      </c>
      <c r="AK35" s="130">
        <f t="shared" si="5"/>
        <v>0</v>
      </c>
      <c r="AL35" s="130">
        <f t="shared" si="6"/>
        <v>0</v>
      </c>
      <c r="AM35" s="130">
        <f t="shared" si="7"/>
        <v>0</v>
      </c>
      <c r="AN35" s="130">
        <f t="shared" si="8"/>
        <v>0</v>
      </c>
      <c r="AO35" s="130">
        <f t="shared" si="21"/>
        <v>0</v>
      </c>
      <c r="AP35" s="130">
        <f t="shared" si="21"/>
        <v>0</v>
      </c>
      <c r="AQ35" s="130">
        <f t="shared" si="21"/>
        <v>0</v>
      </c>
      <c r="AR35" s="130">
        <f t="shared" si="21"/>
        <v>0</v>
      </c>
      <c r="AS35" s="130">
        <f t="shared" si="21"/>
        <v>0</v>
      </c>
      <c r="AT35" s="130">
        <f t="shared" si="21"/>
        <v>0</v>
      </c>
      <c r="AU35" s="130">
        <f t="shared" si="21"/>
        <v>0</v>
      </c>
      <c r="AV35" s="130">
        <f t="shared" si="21"/>
        <v>0</v>
      </c>
      <c r="AW35" s="130">
        <f t="shared" si="21"/>
        <v>0</v>
      </c>
      <c r="AX35" s="130">
        <f t="shared" si="21"/>
        <v>0</v>
      </c>
      <c r="AY35" s="130">
        <f t="shared" si="21"/>
        <v>0</v>
      </c>
      <c r="AZ35" s="130">
        <f t="shared" si="21"/>
        <v>0</v>
      </c>
      <c r="BA35" s="130">
        <f t="shared" si="21"/>
        <v>0</v>
      </c>
      <c r="BB35" s="130">
        <f t="shared" si="22"/>
        <v>0</v>
      </c>
      <c r="BC35" s="130">
        <f t="shared" si="22"/>
        <v>0</v>
      </c>
      <c r="BD35" s="130">
        <f t="shared" si="22"/>
        <v>0</v>
      </c>
      <c r="BE35" s="130">
        <f t="shared" si="22"/>
        <v>0</v>
      </c>
      <c r="BF35" s="130" t="e">
        <f>+IF($H35=#REF!,$C35,0)-IF($I35=#REF!,$C35,0)</f>
        <v>#REF!</v>
      </c>
      <c r="BG35" s="130" t="e">
        <f>+IF($H35=#REF!,$C35,0)-IF($I35=#REF!,$C35,0)</f>
        <v>#REF!</v>
      </c>
      <c r="BH35" s="130" t="e">
        <f>+IF($H35=#REF!,$C35,0)-IF($I35=#REF!,$C35,0)</f>
        <v>#REF!</v>
      </c>
      <c r="BI35" s="130">
        <f t="shared" si="23"/>
        <v>0</v>
      </c>
      <c r="BJ35" s="130">
        <f t="shared" si="23"/>
        <v>0</v>
      </c>
      <c r="BK35" s="130">
        <f t="shared" si="23"/>
        <v>0</v>
      </c>
      <c r="BL35" s="130">
        <f t="shared" si="23"/>
        <v>0</v>
      </c>
      <c r="BM35" s="130">
        <f t="shared" si="23"/>
        <v>0</v>
      </c>
      <c r="BN35" s="130">
        <f t="shared" si="23"/>
        <v>0</v>
      </c>
      <c r="BO35" s="130">
        <f t="shared" si="23"/>
        <v>0</v>
      </c>
      <c r="BP35" s="130">
        <f t="shared" si="23"/>
        <v>0</v>
      </c>
      <c r="BQ35" s="130">
        <f t="shared" si="23"/>
        <v>0</v>
      </c>
      <c r="BR35" s="130" t="e">
        <f t="shared" si="12"/>
        <v>#REF!</v>
      </c>
    </row>
    <row r="36" spans="2:70" s="119" customFormat="1" x14ac:dyDescent="0.2">
      <c r="B36" s="128"/>
      <c r="C36" s="129"/>
      <c r="D36" s="129"/>
      <c r="E36" s="129" t="e">
        <f>ROUND(IF(D36=#REF!,0,IF($H36=$S$6,(C36/1.14975*0.05*0.5),C36/1.14975*0.05)),2)</f>
        <v>#REF!</v>
      </c>
      <c r="F36" s="129" t="e">
        <f>ROUND(IF(D36=#REF!,0,IF($H36=$S$6,C36/1.14975*0.09975*0.5,C36/1.14975*0.09975)),2)</f>
        <v>#REF!</v>
      </c>
      <c r="G36" s="129" t="e">
        <f t="shared" si="0"/>
        <v>#REF!</v>
      </c>
      <c r="J36" s="130">
        <f t="shared" si="1"/>
        <v>0</v>
      </c>
      <c r="K36" s="130">
        <f t="shared" si="18"/>
        <v>0</v>
      </c>
      <c r="L36" s="130">
        <f t="shared" si="18"/>
        <v>0</v>
      </c>
      <c r="M36" s="130">
        <f t="shared" si="18"/>
        <v>0</v>
      </c>
      <c r="N36" s="130">
        <f t="shared" si="18"/>
        <v>0</v>
      </c>
      <c r="O36" s="130">
        <f t="shared" si="18"/>
        <v>0</v>
      </c>
      <c r="P36" s="130">
        <f t="shared" si="18"/>
        <v>0</v>
      </c>
      <c r="Q36" s="130">
        <f t="shared" si="18"/>
        <v>0</v>
      </c>
      <c r="R36" s="130">
        <f t="shared" si="18"/>
        <v>0</v>
      </c>
      <c r="S36" s="130">
        <f t="shared" si="18"/>
        <v>0</v>
      </c>
      <c r="T36" s="130">
        <f t="shared" si="18"/>
        <v>0</v>
      </c>
      <c r="U36" s="130">
        <f t="shared" si="19"/>
        <v>0</v>
      </c>
      <c r="V36" s="130">
        <f t="shared" si="19"/>
        <v>0</v>
      </c>
      <c r="W36" s="130">
        <f t="shared" si="19"/>
        <v>0</v>
      </c>
      <c r="X36" s="130">
        <f t="shared" si="19"/>
        <v>0</v>
      </c>
      <c r="Y36" s="130">
        <f t="shared" si="19"/>
        <v>0</v>
      </c>
      <c r="Z36" s="130">
        <f t="shared" si="19"/>
        <v>0</v>
      </c>
      <c r="AA36" s="130">
        <f t="shared" si="19"/>
        <v>0</v>
      </c>
      <c r="AB36" s="130">
        <f t="shared" si="19"/>
        <v>0</v>
      </c>
      <c r="AC36" s="130">
        <f t="shared" si="19"/>
        <v>0</v>
      </c>
      <c r="AD36" s="130">
        <f t="shared" si="19"/>
        <v>0</v>
      </c>
      <c r="AE36" s="130">
        <f t="shared" si="19"/>
        <v>0</v>
      </c>
      <c r="AF36" s="130">
        <f t="shared" si="19"/>
        <v>0</v>
      </c>
      <c r="AG36" s="130">
        <f t="shared" si="19"/>
        <v>0</v>
      </c>
      <c r="AH36" s="130">
        <f t="shared" si="20"/>
        <v>0</v>
      </c>
      <c r="AI36" s="130">
        <f t="shared" si="20"/>
        <v>0</v>
      </c>
      <c r="AJ36" s="130">
        <f t="shared" si="20"/>
        <v>0</v>
      </c>
      <c r="AK36" s="130">
        <f t="shared" si="5"/>
        <v>0</v>
      </c>
      <c r="AL36" s="130">
        <f t="shared" si="6"/>
        <v>0</v>
      </c>
      <c r="AM36" s="130">
        <f t="shared" si="7"/>
        <v>0</v>
      </c>
      <c r="AN36" s="130">
        <f t="shared" si="8"/>
        <v>0</v>
      </c>
      <c r="AO36" s="130">
        <f t="shared" si="21"/>
        <v>0</v>
      </c>
      <c r="AP36" s="130">
        <f t="shared" si="21"/>
        <v>0</v>
      </c>
      <c r="AQ36" s="130">
        <f t="shared" si="21"/>
        <v>0</v>
      </c>
      <c r="AR36" s="130">
        <f t="shared" si="21"/>
        <v>0</v>
      </c>
      <c r="AS36" s="130">
        <f t="shared" si="21"/>
        <v>0</v>
      </c>
      <c r="AT36" s="130">
        <f t="shared" si="21"/>
        <v>0</v>
      </c>
      <c r="AU36" s="130">
        <f t="shared" si="21"/>
        <v>0</v>
      </c>
      <c r="AV36" s="130">
        <f t="shared" si="21"/>
        <v>0</v>
      </c>
      <c r="AW36" s="130">
        <f t="shared" si="21"/>
        <v>0</v>
      </c>
      <c r="AX36" s="130">
        <f t="shared" si="21"/>
        <v>0</v>
      </c>
      <c r="AY36" s="130">
        <f t="shared" si="21"/>
        <v>0</v>
      </c>
      <c r="AZ36" s="130">
        <f t="shared" si="21"/>
        <v>0</v>
      </c>
      <c r="BA36" s="130">
        <f t="shared" si="21"/>
        <v>0</v>
      </c>
      <c r="BB36" s="130">
        <f t="shared" si="22"/>
        <v>0</v>
      </c>
      <c r="BC36" s="130">
        <f t="shared" si="22"/>
        <v>0</v>
      </c>
      <c r="BD36" s="130">
        <f t="shared" si="22"/>
        <v>0</v>
      </c>
      <c r="BE36" s="130">
        <f t="shared" si="22"/>
        <v>0</v>
      </c>
      <c r="BF36" s="130" t="e">
        <f>+IF($H36=#REF!,$C36,0)-IF($I36=#REF!,$C36,0)</f>
        <v>#REF!</v>
      </c>
      <c r="BG36" s="130" t="e">
        <f>+IF($H36=#REF!,$C36,0)-IF($I36=#REF!,$C36,0)</f>
        <v>#REF!</v>
      </c>
      <c r="BH36" s="130" t="e">
        <f>+IF($H36=#REF!,$C36,0)-IF($I36=#REF!,$C36,0)</f>
        <v>#REF!</v>
      </c>
      <c r="BI36" s="130">
        <f t="shared" si="23"/>
        <v>0</v>
      </c>
      <c r="BJ36" s="130">
        <f t="shared" si="23"/>
        <v>0</v>
      </c>
      <c r="BK36" s="130">
        <f t="shared" si="23"/>
        <v>0</v>
      </c>
      <c r="BL36" s="130">
        <f t="shared" si="23"/>
        <v>0</v>
      </c>
      <c r="BM36" s="130">
        <f t="shared" si="23"/>
        <v>0</v>
      </c>
      <c r="BN36" s="130">
        <f t="shared" si="23"/>
        <v>0</v>
      </c>
      <c r="BO36" s="130">
        <f t="shared" si="23"/>
        <v>0</v>
      </c>
      <c r="BP36" s="130">
        <f t="shared" si="23"/>
        <v>0</v>
      </c>
      <c r="BQ36" s="130">
        <f t="shared" si="23"/>
        <v>0</v>
      </c>
      <c r="BR36" s="130" t="e">
        <f t="shared" si="12"/>
        <v>#REF!</v>
      </c>
    </row>
    <row r="37" spans="2:70" s="119" customFormat="1" x14ac:dyDescent="0.2">
      <c r="B37" s="128"/>
      <c r="C37" s="129"/>
      <c r="D37" s="129"/>
      <c r="E37" s="129" t="e">
        <f>ROUND(IF(D37=#REF!,0,IF($H37=$S$6,(C37/1.14975*0.05*0.5),C37/1.14975*0.05)),2)</f>
        <v>#REF!</v>
      </c>
      <c r="F37" s="129" t="e">
        <f>ROUND(IF(D37=#REF!,0,IF($H37=$S$6,C37/1.14975*0.09975*0.5,C37/1.14975*0.09975)),2)</f>
        <v>#REF!</v>
      </c>
      <c r="G37" s="129" t="e">
        <f t="shared" si="0"/>
        <v>#REF!</v>
      </c>
      <c r="J37" s="130">
        <f t="shared" si="1"/>
        <v>0</v>
      </c>
      <c r="K37" s="130">
        <f t="shared" si="18"/>
        <v>0</v>
      </c>
      <c r="L37" s="130">
        <f t="shared" si="18"/>
        <v>0</v>
      </c>
      <c r="M37" s="130">
        <f t="shared" si="18"/>
        <v>0</v>
      </c>
      <c r="N37" s="130">
        <f t="shared" si="18"/>
        <v>0</v>
      </c>
      <c r="O37" s="130">
        <f t="shared" si="18"/>
        <v>0</v>
      </c>
      <c r="P37" s="130">
        <f t="shared" si="18"/>
        <v>0</v>
      </c>
      <c r="Q37" s="130">
        <f t="shared" si="18"/>
        <v>0</v>
      </c>
      <c r="R37" s="130">
        <f t="shared" si="18"/>
        <v>0</v>
      </c>
      <c r="S37" s="130">
        <f t="shared" si="18"/>
        <v>0</v>
      </c>
      <c r="T37" s="130">
        <f t="shared" si="18"/>
        <v>0</v>
      </c>
      <c r="U37" s="130">
        <f t="shared" si="19"/>
        <v>0</v>
      </c>
      <c r="V37" s="130">
        <f t="shared" si="19"/>
        <v>0</v>
      </c>
      <c r="W37" s="130">
        <f t="shared" si="19"/>
        <v>0</v>
      </c>
      <c r="X37" s="130">
        <f t="shared" si="19"/>
        <v>0</v>
      </c>
      <c r="Y37" s="130">
        <f t="shared" si="19"/>
        <v>0</v>
      </c>
      <c r="Z37" s="130">
        <f t="shared" si="19"/>
        <v>0</v>
      </c>
      <c r="AA37" s="130">
        <f t="shared" si="19"/>
        <v>0</v>
      </c>
      <c r="AB37" s="130">
        <f t="shared" si="19"/>
        <v>0</v>
      </c>
      <c r="AC37" s="130">
        <f t="shared" si="19"/>
        <v>0</v>
      </c>
      <c r="AD37" s="130">
        <f t="shared" si="19"/>
        <v>0</v>
      </c>
      <c r="AE37" s="130">
        <f t="shared" si="19"/>
        <v>0</v>
      </c>
      <c r="AF37" s="130">
        <f t="shared" si="19"/>
        <v>0</v>
      </c>
      <c r="AG37" s="130">
        <f t="shared" si="19"/>
        <v>0</v>
      </c>
      <c r="AH37" s="130">
        <f t="shared" si="20"/>
        <v>0</v>
      </c>
      <c r="AI37" s="130">
        <f t="shared" si="20"/>
        <v>0</v>
      </c>
      <c r="AJ37" s="130">
        <f t="shared" si="20"/>
        <v>0</v>
      </c>
      <c r="AK37" s="130">
        <f t="shared" si="5"/>
        <v>0</v>
      </c>
      <c r="AL37" s="130">
        <f t="shared" si="6"/>
        <v>0</v>
      </c>
      <c r="AM37" s="130">
        <f t="shared" si="7"/>
        <v>0</v>
      </c>
      <c r="AN37" s="130">
        <f t="shared" si="8"/>
        <v>0</v>
      </c>
      <c r="AO37" s="130">
        <f t="shared" si="21"/>
        <v>0</v>
      </c>
      <c r="AP37" s="130">
        <f t="shared" si="21"/>
        <v>0</v>
      </c>
      <c r="AQ37" s="130">
        <f t="shared" si="21"/>
        <v>0</v>
      </c>
      <c r="AR37" s="130">
        <f t="shared" si="21"/>
        <v>0</v>
      </c>
      <c r="AS37" s="130">
        <f t="shared" si="21"/>
        <v>0</v>
      </c>
      <c r="AT37" s="130">
        <f t="shared" si="21"/>
        <v>0</v>
      </c>
      <c r="AU37" s="130">
        <f t="shared" si="21"/>
        <v>0</v>
      </c>
      <c r="AV37" s="130">
        <f t="shared" si="21"/>
        <v>0</v>
      </c>
      <c r="AW37" s="130">
        <f t="shared" si="21"/>
        <v>0</v>
      </c>
      <c r="AX37" s="130">
        <f t="shared" si="21"/>
        <v>0</v>
      </c>
      <c r="AY37" s="130">
        <f t="shared" si="21"/>
        <v>0</v>
      </c>
      <c r="AZ37" s="130">
        <f t="shared" si="21"/>
        <v>0</v>
      </c>
      <c r="BA37" s="130">
        <f t="shared" si="21"/>
        <v>0</v>
      </c>
      <c r="BB37" s="130">
        <f t="shared" si="22"/>
        <v>0</v>
      </c>
      <c r="BC37" s="130">
        <f t="shared" si="22"/>
        <v>0</v>
      </c>
      <c r="BD37" s="130">
        <f t="shared" si="22"/>
        <v>0</v>
      </c>
      <c r="BE37" s="130">
        <f t="shared" si="22"/>
        <v>0</v>
      </c>
      <c r="BF37" s="130" t="e">
        <f>+IF($H37=#REF!,$C37,0)-IF($I37=#REF!,$C37,0)</f>
        <v>#REF!</v>
      </c>
      <c r="BG37" s="130" t="e">
        <f>+IF($H37=#REF!,$C37,0)-IF($I37=#REF!,$C37,0)</f>
        <v>#REF!</v>
      </c>
      <c r="BH37" s="130" t="e">
        <f>+IF($H37=#REF!,$C37,0)-IF($I37=#REF!,$C37,0)</f>
        <v>#REF!</v>
      </c>
      <c r="BI37" s="130">
        <f t="shared" si="23"/>
        <v>0</v>
      </c>
      <c r="BJ37" s="130">
        <f t="shared" si="23"/>
        <v>0</v>
      </c>
      <c r="BK37" s="130">
        <f t="shared" si="23"/>
        <v>0</v>
      </c>
      <c r="BL37" s="130">
        <f t="shared" si="23"/>
        <v>0</v>
      </c>
      <c r="BM37" s="130">
        <f t="shared" si="23"/>
        <v>0</v>
      </c>
      <c r="BN37" s="130">
        <f t="shared" si="23"/>
        <v>0</v>
      </c>
      <c r="BO37" s="130">
        <f t="shared" si="23"/>
        <v>0</v>
      </c>
      <c r="BP37" s="130">
        <f t="shared" si="23"/>
        <v>0</v>
      </c>
      <c r="BQ37" s="130">
        <f t="shared" si="23"/>
        <v>0</v>
      </c>
      <c r="BR37" s="130" t="e">
        <f t="shared" si="12"/>
        <v>#REF!</v>
      </c>
    </row>
    <row r="38" spans="2:70" s="119" customFormat="1" x14ac:dyDescent="0.2">
      <c r="B38" s="128"/>
      <c r="C38" s="129"/>
      <c r="D38" s="129"/>
      <c r="E38" s="129" t="e">
        <f>ROUND(IF(D38=#REF!,0,IF($H38=$S$6,(C38/1.14975*0.05*0.5),C38/1.14975*0.05)),2)</f>
        <v>#REF!</v>
      </c>
      <c r="F38" s="129" t="e">
        <f>ROUND(IF(D38=#REF!,0,IF($H38=$S$6,C38/1.14975*0.09975*0.5,C38/1.14975*0.09975)),2)</f>
        <v>#REF!</v>
      </c>
      <c r="G38" s="129" t="e">
        <f t="shared" si="0"/>
        <v>#REF!</v>
      </c>
      <c r="J38" s="130">
        <f t="shared" si="1"/>
        <v>0</v>
      </c>
      <c r="K38" s="130">
        <f t="shared" si="18"/>
        <v>0</v>
      </c>
      <c r="L38" s="130">
        <f t="shared" si="18"/>
        <v>0</v>
      </c>
      <c r="M38" s="130">
        <f t="shared" si="18"/>
        <v>0</v>
      </c>
      <c r="N38" s="130">
        <f t="shared" si="18"/>
        <v>0</v>
      </c>
      <c r="O38" s="130">
        <f t="shared" si="18"/>
        <v>0</v>
      </c>
      <c r="P38" s="130">
        <f t="shared" si="18"/>
        <v>0</v>
      </c>
      <c r="Q38" s="130">
        <f t="shared" si="18"/>
        <v>0</v>
      </c>
      <c r="R38" s="130">
        <f t="shared" si="18"/>
        <v>0</v>
      </c>
      <c r="S38" s="130">
        <f t="shared" si="18"/>
        <v>0</v>
      </c>
      <c r="T38" s="130">
        <f t="shared" si="18"/>
        <v>0</v>
      </c>
      <c r="U38" s="130">
        <f t="shared" si="19"/>
        <v>0</v>
      </c>
      <c r="V38" s="130">
        <f t="shared" si="19"/>
        <v>0</v>
      </c>
      <c r="W38" s="130">
        <f t="shared" si="19"/>
        <v>0</v>
      </c>
      <c r="X38" s="130">
        <f t="shared" si="19"/>
        <v>0</v>
      </c>
      <c r="Y38" s="130">
        <f t="shared" si="19"/>
        <v>0</v>
      </c>
      <c r="Z38" s="130">
        <f t="shared" si="19"/>
        <v>0</v>
      </c>
      <c r="AA38" s="130">
        <f t="shared" si="19"/>
        <v>0</v>
      </c>
      <c r="AB38" s="130">
        <f t="shared" si="19"/>
        <v>0</v>
      </c>
      <c r="AC38" s="130">
        <f t="shared" si="19"/>
        <v>0</v>
      </c>
      <c r="AD38" s="130">
        <f t="shared" si="19"/>
        <v>0</v>
      </c>
      <c r="AE38" s="130">
        <f t="shared" si="19"/>
        <v>0</v>
      </c>
      <c r="AF38" s="130">
        <f t="shared" si="19"/>
        <v>0</v>
      </c>
      <c r="AG38" s="130">
        <f t="shared" si="19"/>
        <v>0</v>
      </c>
      <c r="AH38" s="130">
        <f t="shared" si="20"/>
        <v>0</v>
      </c>
      <c r="AI38" s="130">
        <f t="shared" si="20"/>
        <v>0</v>
      </c>
      <c r="AJ38" s="130">
        <f t="shared" si="20"/>
        <v>0</v>
      </c>
      <c r="AK38" s="130">
        <f t="shared" si="5"/>
        <v>0</v>
      </c>
      <c r="AL38" s="130">
        <f t="shared" si="6"/>
        <v>0</v>
      </c>
      <c r="AM38" s="130">
        <f t="shared" si="7"/>
        <v>0</v>
      </c>
      <c r="AN38" s="130">
        <f t="shared" si="8"/>
        <v>0</v>
      </c>
      <c r="AO38" s="130">
        <f t="shared" si="21"/>
        <v>0</v>
      </c>
      <c r="AP38" s="130">
        <f t="shared" si="21"/>
        <v>0</v>
      </c>
      <c r="AQ38" s="130">
        <f t="shared" si="21"/>
        <v>0</v>
      </c>
      <c r="AR38" s="130">
        <f t="shared" si="21"/>
        <v>0</v>
      </c>
      <c r="AS38" s="130">
        <f t="shared" si="21"/>
        <v>0</v>
      </c>
      <c r="AT38" s="130">
        <f t="shared" si="21"/>
        <v>0</v>
      </c>
      <c r="AU38" s="130">
        <f t="shared" si="21"/>
        <v>0</v>
      </c>
      <c r="AV38" s="130">
        <f t="shared" si="21"/>
        <v>0</v>
      </c>
      <c r="AW38" s="130">
        <f t="shared" si="21"/>
        <v>0</v>
      </c>
      <c r="AX38" s="130">
        <f t="shared" si="21"/>
        <v>0</v>
      </c>
      <c r="AY38" s="130">
        <f t="shared" si="21"/>
        <v>0</v>
      </c>
      <c r="AZ38" s="130">
        <f t="shared" si="21"/>
        <v>0</v>
      </c>
      <c r="BA38" s="130">
        <f t="shared" si="21"/>
        <v>0</v>
      </c>
      <c r="BB38" s="130">
        <f t="shared" si="22"/>
        <v>0</v>
      </c>
      <c r="BC38" s="130">
        <f t="shared" si="22"/>
        <v>0</v>
      </c>
      <c r="BD38" s="130">
        <f t="shared" si="22"/>
        <v>0</v>
      </c>
      <c r="BE38" s="130">
        <f t="shared" si="22"/>
        <v>0</v>
      </c>
      <c r="BF38" s="130" t="e">
        <f>+IF($H38=#REF!,$C38,0)-IF($I38=#REF!,$C38,0)</f>
        <v>#REF!</v>
      </c>
      <c r="BG38" s="130" t="e">
        <f>+IF($H38=#REF!,$C38,0)-IF($I38=#REF!,$C38,0)</f>
        <v>#REF!</v>
      </c>
      <c r="BH38" s="130" t="e">
        <f>+IF($H38=#REF!,$C38,0)-IF($I38=#REF!,$C38,0)</f>
        <v>#REF!</v>
      </c>
      <c r="BI38" s="130">
        <f t="shared" si="23"/>
        <v>0</v>
      </c>
      <c r="BJ38" s="130">
        <f t="shared" si="23"/>
        <v>0</v>
      </c>
      <c r="BK38" s="130">
        <f t="shared" si="23"/>
        <v>0</v>
      </c>
      <c r="BL38" s="130">
        <f t="shared" si="23"/>
        <v>0</v>
      </c>
      <c r="BM38" s="130">
        <f t="shared" si="23"/>
        <v>0</v>
      </c>
      <c r="BN38" s="130">
        <f t="shared" si="23"/>
        <v>0</v>
      </c>
      <c r="BO38" s="130">
        <f t="shared" si="23"/>
        <v>0</v>
      </c>
      <c r="BP38" s="130">
        <f t="shared" si="23"/>
        <v>0</v>
      </c>
      <c r="BQ38" s="130">
        <f t="shared" si="23"/>
        <v>0</v>
      </c>
      <c r="BR38" s="130" t="e">
        <f t="shared" si="12"/>
        <v>#REF!</v>
      </c>
    </row>
    <row r="39" spans="2:70" s="119" customFormat="1" x14ac:dyDescent="0.2">
      <c r="B39" s="128"/>
      <c r="C39" s="129"/>
      <c r="D39" s="129"/>
      <c r="E39" s="129" t="e">
        <f>ROUND(IF(D39=#REF!,0,IF($H39=$S$6,(C39/1.14975*0.05*0.5),C39/1.14975*0.05)),2)</f>
        <v>#REF!</v>
      </c>
      <c r="F39" s="129" t="e">
        <f>ROUND(IF(D39=#REF!,0,IF($H39=$S$6,C39/1.14975*0.09975*0.5,C39/1.14975*0.09975)),2)</f>
        <v>#REF!</v>
      </c>
      <c r="G39" s="129" t="e">
        <f t="shared" si="0"/>
        <v>#REF!</v>
      </c>
      <c r="J39" s="130">
        <f t="shared" si="1"/>
        <v>0</v>
      </c>
      <c r="K39" s="130">
        <f t="shared" ref="K39:T48" si="24">+IF($H39=K$6,$G39,0)-IF($I39=K$6,$G39,0)</f>
        <v>0</v>
      </c>
      <c r="L39" s="130">
        <f t="shared" si="24"/>
        <v>0</v>
      </c>
      <c r="M39" s="130">
        <f t="shared" si="24"/>
        <v>0</v>
      </c>
      <c r="N39" s="130">
        <f t="shared" si="24"/>
        <v>0</v>
      </c>
      <c r="O39" s="130">
        <f t="shared" si="24"/>
        <v>0</v>
      </c>
      <c r="P39" s="130">
        <f t="shared" si="24"/>
        <v>0</v>
      </c>
      <c r="Q39" s="130">
        <f t="shared" si="24"/>
        <v>0</v>
      </c>
      <c r="R39" s="130">
        <f t="shared" si="24"/>
        <v>0</v>
      </c>
      <c r="S39" s="130">
        <f t="shared" si="24"/>
        <v>0</v>
      </c>
      <c r="T39" s="130">
        <f t="shared" si="24"/>
        <v>0</v>
      </c>
      <c r="U39" s="130">
        <f t="shared" ref="U39:AG48" si="25">+IF($H39=U$6,$G39,0)-IF($I39=U$6,$G39,0)</f>
        <v>0</v>
      </c>
      <c r="V39" s="130">
        <f t="shared" si="25"/>
        <v>0</v>
      </c>
      <c r="W39" s="130">
        <f t="shared" si="25"/>
        <v>0</v>
      </c>
      <c r="X39" s="130">
        <f t="shared" si="25"/>
        <v>0</v>
      </c>
      <c r="Y39" s="130">
        <f t="shared" si="25"/>
        <v>0</v>
      </c>
      <c r="Z39" s="130">
        <f t="shared" si="25"/>
        <v>0</v>
      </c>
      <c r="AA39" s="130">
        <f t="shared" si="25"/>
        <v>0</v>
      </c>
      <c r="AB39" s="130">
        <f t="shared" si="25"/>
        <v>0</v>
      </c>
      <c r="AC39" s="130">
        <f t="shared" si="25"/>
        <v>0</v>
      </c>
      <c r="AD39" s="130">
        <f t="shared" si="25"/>
        <v>0</v>
      </c>
      <c r="AE39" s="130">
        <f t="shared" si="25"/>
        <v>0</v>
      </c>
      <c r="AF39" s="130">
        <f t="shared" si="25"/>
        <v>0</v>
      </c>
      <c r="AG39" s="130">
        <f t="shared" si="25"/>
        <v>0</v>
      </c>
      <c r="AH39" s="130">
        <f t="shared" si="20"/>
        <v>0</v>
      </c>
      <c r="AI39" s="130">
        <f t="shared" si="20"/>
        <v>0</v>
      </c>
      <c r="AJ39" s="130">
        <f t="shared" si="20"/>
        <v>0</v>
      </c>
      <c r="AK39" s="130">
        <f t="shared" si="5"/>
        <v>0</v>
      </c>
      <c r="AL39" s="130">
        <f t="shared" si="6"/>
        <v>0</v>
      </c>
      <c r="AM39" s="130">
        <f t="shared" si="7"/>
        <v>0</v>
      </c>
      <c r="AN39" s="130">
        <f t="shared" si="8"/>
        <v>0</v>
      </c>
      <c r="AO39" s="130">
        <f t="shared" ref="AO39:BA48" si="26">+IF($H39=AO$6,$G39,0)-IF($I39=AO$6,$G39,0)</f>
        <v>0</v>
      </c>
      <c r="AP39" s="130">
        <f t="shared" si="26"/>
        <v>0</v>
      </c>
      <c r="AQ39" s="130">
        <f t="shared" si="26"/>
        <v>0</v>
      </c>
      <c r="AR39" s="130">
        <f t="shared" si="26"/>
        <v>0</v>
      </c>
      <c r="AS39" s="130">
        <f t="shared" si="26"/>
        <v>0</v>
      </c>
      <c r="AT39" s="130">
        <f t="shared" si="26"/>
        <v>0</v>
      </c>
      <c r="AU39" s="130">
        <f t="shared" si="26"/>
        <v>0</v>
      </c>
      <c r="AV39" s="130">
        <f t="shared" si="26"/>
        <v>0</v>
      </c>
      <c r="AW39" s="130">
        <f t="shared" si="26"/>
        <v>0</v>
      </c>
      <c r="AX39" s="130">
        <f t="shared" si="26"/>
        <v>0</v>
      </c>
      <c r="AY39" s="130">
        <f t="shared" si="26"/>
        <v>0</v>
      </c>
      <c r="AZ39" s="130">
        <f t="shared" si="26"/>
        <v>0</v>
      </c>
      <c r="BA39" s="130">
        <f t="shared" si="26"/>
        <v>0</v>
      </c>
      <c r="BB39" s="130">
        <f t="shared" si="22"/>
        <v>0</v>
      </c>
      <c r="BC39" s="130">
        <f t="shared" si="22"/>
        <v>0</v>
      </c>
      <c r="BD39" s="130">
        <f t="shared" si="22"/>
        <v>0</v>
      </c>
      <c r="BE39" s="130">
        <f t="shared" si="22"/>
        <v>0</v>
      </c>
      <c r="BF39" s="130" t="e">
        <f>+IF($H39=#REF!,$C39,0)-IF($I39=#REF!,$C39,0)</f>
        <v>#REF!</v>
      </c>
      <c r="BG39" s="130" t="e">
        <f>+IF($H39=#REF!,$C39,0)-IF($I39=#REF!,$C39,0)</f>
        <v>#REF!</v>
      </c>
      <c r="BH39" s="130" t="e">
        <f>+IF($H39=#REF!,$C39,0)-IF($I39=#REF!,$C39,0)</f>
        <v>#REF!</v>
      </c>
      <c r="BI39" s="130">
        <f t="shared" ref="BI39:BQ48" si="27">+IF($H39=BI$6,$G39,0)-IF($I39=BI$6,$G39,0)</f>
        <v>0</v>
      </c>
      <c r="BJ39" s="130">
        <f t="shared" si="27"/>
        <v>0</v>
      </c>
      <c r="BK39" s="130">
        <f t="shared" si="27"/>
        <v>0</v>
      </c>
      <c r="BL39" s="130">
        <f t="shared" si="27"/>
        <v>0</v>
      </c>
      <c r="BM39" s="130">
        <f t="shared" si="27"/>
        <v>0</v>
      </c>
      <c r="BN39" s="130">
        <f t="shared" si="27"/>
        <v>0</v>
      </c>
      <c r="BO39" s="130">
        <f t="shared" si="27"/>
        <v>0</v>
      </c>
      <c r="BP39" s="130">
        <f t="shared" si="27"/>
        <v>0</v>
      </c>
      <c r="BQ39" s="130">
        <f t="shared" si="27"/>
        <v>0</v>
      </c>
      <c r="BR39" s="130" t="e">
        <f t="shared" si="12"/>
        <v>#REF!</v>
      </c>
    </row>
    <row r="40" spans="2:70" s="119" customFormat="1" x14ac:dyDescent="0.2">
      <c r="B40" s="128"/>
      <c r="C40" s="129"/>
      <c r="D40" s="129"/>
      <c r="E40" s="129" t="e">
        <f>ROUND(IF(D40=#REF!,0,IF($H40=$S$6,(C40/1.14975*0.05*0.5),C40/1.14975*0.05)),2)</f>
        <v>#REF!</v>
      </c>
      <c r="F40" s="129" t="e">
        <f>ROUND(IF(D40=#REF!,0,IF($H40=$S$6,C40/1.14975*0.09975*0.5,C40/1.14975*0.09975)),2)</f>
        <v>#REF!</v>
      </c>
      <c r="G40" s="129" t="e">
        <f t="shared" si="0"/>
        <v>#REF!</v>
      </c>
      <c r="J40" s="130">
        <f t="shared" si="1"/>
        <v>0</v>
      </c>
      <c r="K40" s="130">
        <f t="shared" si="24"/>
        <v>0</v>
      </c>
      <c r="L40" s="130">
        <f t="shared" si="24"/>
        <v>0</v>
      </c>
      <c r="M40" s="130">
        <f t="shared" si="24"/>
        <v>0</v>
      </c>
      <c r="N40" s="130">
        <f t="shared" si="24"/>
        <v>0</v>
      </c>
      <c r="O40" s="130">
        <f t="shared" si="24"/>
        <v>0</v>
      </c>
      <c r="P40" s="130">
        <f t="shared" si="24"/>
        <v>0</v>
      </c>
      <c r="Q40" s="130">
        <f t="shared" si="24"/>
        <v>0</v>
      </c>
      <c r="R40" s="130">
        <f t="shared" si="24"/>
        <v>0</v>
      </c>
      <c r="S40" s="130">
        <f t="shared" si="24"/>
        <v>0</v>
      </c>
      <c r="T40" s="130">
        <f t="shared" si="24"/>
        <v>0</v>
      </c>
      <c r="U40" s="130">
        <f t="shared" si="25"/>
        <v>0</v>
      </c>
      <c r="V40" s="130">
        <f t="shared" si="25"/>
        <v>0</v>
      </c>
      <c r="W40" s="130">
        <f t="shared" si="25"/>
        <v>0</v>
      </c>
      <c r="X40" s="130">
        <f t="shared" si="25"/>
        <v>0</v>
      </c>
      <c r="Y40" s="130">
        <f t="shared" si="25"/>
        <v>0</v>
      </c>
      <c r="Z40" s="130">
        <f t="shared" si="25"/>
        <v>0</v>
      </c>
      <c r="AA40" s="130">
        <f t="shared" si="25"/>
        <v>0</v>
      </c>
      <c r="AB40" s="130">
        <f t="shared" si="25"/>
        <v>0</v>
      </c>
      <c r="AC40" s="130">
        <f t="shared" si="25"/>
        <v>0</v>
      </c>
      <c r="AD40" s="130">
        <f t="shared" si="25"/>
        <v>0</v>
      </c>
      <c r="AE40" s="130">
        <f t="shared" si="25"/>
        <v>0</v>
      </c>
      <c r="AF40" s="130">
        <f t="shared" si="25"/>
        <v>0</v>
      </c>
      <c r="AG40" s="130">
        <f t="shared" si="25"/>
        <v>0</v>
      </c>
      <c r="AH40" s="130">
        <f t="shared" si="20"/>
        <v>0</v>
      </c>
      <c r="AI40" s="130">
        <f t="shared" si="20"/>
        <v>0</v>
      </c>
      <c r="AJ40" s="130">
        <f t="shared" si="20"/>
        <v>0</v>
      </c>
      <c r="AK40" s="130">
        <f t="shared" si="5"/>
        <v>0</v>
      </c>
      <c r="AL40" s="130">
        <f t="shared" si="6"/>
        <v>0</v>
      </c>
      <c r="AM40" s="130">
        <f t="shared" si="7"/>
        <v>0</v>
      </c>
      <c r="AN40" s="130">
        <f t="shared" si="8"/>
        <v>0</v>
      </c>
      <c r="AO40" s="130">
        <f t="shared" si="26"/>
        <v>0</v>
      </c>
      <c r="AP40" s="130">
        <f t="shared" si="26"/>
        <v>0</v>
      </c>
      <c r="AQ40" s="130">
        <f t="shared" si="26"/>
        <v>0</v>
      </c>
      <c r="AR40" s="130">
        <f t="shared" si="26"/>
        <v>0</v>
      </c>
      <c r="AS40" s="130">
        <f t="shared" si="26"/>
        <v>0</v>
      </c>
      <c r="AT40" s="130">
        <f t="shared" si="26"/>
        <v>0</v>
      </c>
      <c r="AU40" s="130">
        <f t="shared" si="26"/>
        <v>0</v>
      </c>
      <c r="AV40" s="130">
        <f t="shared" si="26"/>
        <v>0</v>
      </c>
      <c r="AW40" s="130">
        <f t="shared" si="26"/>
        <v>0</v>
      </c>
      <c r="AX40" s="130">
        <f t="shared" si="26"/>
        <v>0</v>
      </c>
      <c r="AY40" s="130">
        <f t="shared" si="26"/>
        <v>0</v>
      </c>
      <c r="AZ40" s="130">
        <f t="shared" si="26"/>
        <v>0</v>
      </c>
      <c r="BA40" s="130">
        <f t="shared" si="26"/>
        <v>0</v>
      </c>
      <c r="BB40" s="130">
        <f t="shared" si="22"/>
        <v>0</v>
      </c>
      <c r="BC40" s="130">
        <f t="shared" si="22"/>
        <v>0</v>
      </c>
      <c r="BD40" s="130">
        <f t="shared" si="22"/>
        <v>0</v>
      </c>
      <c r="BE40" s="130">
        <f t="shared" si="22"/>
        <v>0</v>
      </c>
      <c r="BF40" s="130" t="e">
        <f>+IF($H40=#REF!,$C40,0)-IF($I40=#REF!,$C40,0)</f>
        <v>#REF!</v>
      </c>
      <c r="BG40" s="130" t="e">
        <f>+IF($H40=#REF!,$C40,0)-IF($I40=#REF!,$C40,0)</f>
        <v>#REF!</v>
      </c>
      <c r="BH40" s="130" t="e">
        <f>+IF($H40=#REF!,$C40,0)-IF($I40=#REF!,$C40,0)</f>
        <v>#REF!</v>
      </c>
      <c r="BI40" s="130">
        <f t="shared" si="27"/>
        <v>0</v>
      </c>
      <c r="BJ40" s="130">
        <f t="shared" si="27"/>
        <v>0</v>
      </c>
      <c r="BK40" s="130">
        <f t="shared" si="27"/>
        <v>0</v>
      </c>
      <c r="BL40" s="130">
        <f t="shared" si="27"/>
        <v>0</v>
      </c>
      <c r="BM40" s="130">
        <f t="shared" si="27"/>
        <v>0</v>
      </c>
      <c r="BN40" s="130">
        <f t="shared" si="27"/>
        <v>0</v>
      </c>
      <c r="BO40" s="130">
        <f t="shared" si="27"/>
        <v>0</v>
      </c>
      <c r="BP40" s="130">
        <f t="shared" si="27"/>
        <v>0</v>
      </c>
      <c r="BQ40" s="130">
        <f t="shared" si="27"/>
        <v>0</v>
      </c>
      <c r="BR40" s="130" t="e">
        <f t="shared" si="12"/>
        <v>#REF!</v>
      </c>
    </row>
    <row r="41" spans="2:70" s="119" customFormat="1" x14ac:dyDescent="0.2">
      <c r="B41" s="128"/>
      <c r="C41" s="129"/>
      <c r="D41" s="129"/>
      <c r="E41" s="129" t="e">
        <f>ROUND(IF(D41=#REF!,0,IF($H41=$S$6,(C41/1.14975*0.05*0.5),C41/1.14975*0.05)),2)</f>
        <v>#REF!</v>
      </c>
      <c r="F41" s="129" t="e">
        <f>ROUND(IF(D41=#REF!,0,IF($H41=$S$6,C41/1.14975*0.09975*0.5,C41/1.14975*0.09975)),2)</f>
        <v>#REF!</v>
      </c>
      <c r="G41" s="129" t="e">
        <f t="shared" ref="G41:G72" si="28">C41-E41-F41</f>
        <v>#REF!</v>
      </c>
      <c r="J41" s="130">
        <f t="shared" ref="J41:J72" si="29">+IF($H41=$J$6,$G41,0)-IF($I41=$J$6,$G41,0)</f>
        <v>0</v>
      </c>
      <c r="K41" s="130">
        <f t="shared" si="24"/>
        <v>0</v>
      </c>
      <c r="L41" s="130">
        <f t="shared" si="24"/>
        <v>0</v>
      </c>
      <c r="M41" s="130">
        <f t="shared" si="24"/>
        <v>0</v>
      </c>
      <c r="N41" s="130">
        <f t="shared" si="24"/>
        <v>0</v>
      </c>
      <c r="O41" s="130">
        <f t="shared" si="24"/>
        <v>0</v>
      </c>
      <c r="P41" s="130">
        <f t="shared" si="24"/>
        <v>0</v>
      </c>
      <c r="Q41" s="130">
        <f t="shared" si="24"/>
        <v>0</v>
      </c>
      <c r="R41" s="130">
        <f t="shared" si="24"/>
        <v>0</v>
      </c>
      <c r="S41" s="130">
        <f t="shared" si="24"/>
        <v>0</v>
      </c>
      <c r="T41" s="130">
        <f t="shared" si="24"/>
        <v>0</v>
      </c>
      <c r="U41" s="130">
        <f t="shared" si="25"/>
        <v>0</v>
      </c>
      <c r="V41" s="130">
        <f t="shared" si="25"/>
        <v>0</v>
      </c>
      <c r="W41" s="130">
        <f t="shared" si="25"/>
        <v>0</v>
      </c>
      <c r="X41" s="130">
        <f t="shared" si="25"/>
        <v>0</v>
      </c>
      <c r="Y41" s="130">
        <f t="shared" si="25"/>
        <v>0</v>
      </c>
      <c r="Z41" s="130">
        <f t="shared" si="25"/>
        <v>0</v>
      </c>
      <c r="AA41" s="130">
        <f t="shared" si="25"/>
        <v>0</v>
      </c>
      <c r="AB41" s="130">
        <f t="shared" si="25"/>
        <v>0</v>
      </c>
      <c r="AC41" s="130">
        <f t="shared" si="25"/>
        <v>0</v>
      </c>
      <c r="AD41" s="130">
        <f t="shared" si="25"/>
        <v>0</v>
      </c>
      <c r="AE41" s="130">
        <f t="shared" si="25"/>
        <v>0</v>
      </c>
      <c r="AF41" s="130">
        <f t="shared" si="25"/>
        <v>0</v>
      </c>
      <c r="AG41" s="130">
        <f t="shared" si="25"/>
        <v>0</v>
      </c>
      <c r="AH41" s="130">
        <f t="shared" si="20"/>
        <v>0</v>
      </c>
      <c r="AI41" s="130">
        <f t="shared" si="20"/>
        <v>0</v>
      </c>
      <c r="AJ41" s="130">
        <f t="shared" si="20"/>
        <v>0</v>
      </c>
      <c r="AK41" s="130">
        <f t="shared" ref="AK41:AK72" si="30">IF(D41="payée",$E41,0)</f>
        <v>0</v>
      </c>
      <c r="AL41" s="130">
        <f t="shared" ref="AL41:AL72" si="31">IF(D41="payée",$F41,0)</f>
        <v>0</v>
      </c>
      <c r="AM41" s="130">
        <f t="shared" ref="AM41:AM72" si="32">IF(D41="perçue",-$E41,0)</f>
        <v>0</v>
      </c>
      <c r="AN41" s="130">
        <f t="shared" ref="AN41:AN72" si="33">IF(D41="perçue",-$F41,0)</f>
        <v>0</v>
      </c>
      <c r="AO41" s="130">
        <f t="shared" si="26"/>
        <v>0</v>
      </c>
      <c r="AP41" s="130">
        <f t="shared" si="26"/>
        <v>0</v>
      </c>
      <c r="AQ41" s="130">
        <f t="shared" si="26"/>
        <v>0</v>
      </c>
      <c r="AR41" s="130">
        <f t="shared" si="26"/>
        <v>0</v>
      </c>
      <c r="AS41" s="130">
        <f t="shared" si="26"/>
        <v>0</v>
      </c>
      <c r="AT41" s="130">
        <f t="shared" si="26"/>
        <v>0</v>
      </c>
      <c r="AU41" s="130">
        <f t="shared" si="26"/>
        <v>0</v>
      </c>
      <c r="AV41" s="130">
        <f t="shared" si="26"/>
        <v>0</v>
      </c>
      <c r="AW41" s="130">
        <f t="shared" si="26"/>
        <v>0</v>
      </c>
      <c r="AX41" s="130">
        <f t="shared" si="26"/>
        <v>0</v>
      </c>
      <c r="AY41" s="130">
        <f t="shared" si="26"/>
        <v>0</v>
      </c>
      <c r="AZ41" s="130">
        <f t="shared" si="26"/>
        <v>0</v>
      </c>
      <c r="BA41" s="130">
        <f t="shared" si="26"/>
        <v>0</v>
      </c>
      <c r="BB41" s="130">
        <f t="shared" si="22"/>
        <v>0</v>
      </c>
      <c r="BC41" s="130">
        <f t="shared" si="22"/>
        <v>0</v>
      </c>
      <c r="BD41" s="130">
        <f t="shared" si="22"/>
        <v>0</v>
      </c>
      <c r="BE41" s="130">
        <f t="shared" si="22"/>
        <v>0</v>
      </c>
      <c r="BF41" s="130" t="e">
        <f>+IF($H41=#REF!,$C41,0)-IF($I41=#REF!,$C41,0)</f>
        <v>#REF!</v>
      </c>
      <c r="BG41" s="130" t="e">
        <f>+IF($H41=#REF!,$C41,0)-IF($I41=#REF!,$C41,0)</f>
        <v>#REF!</v>
      </c>
      <c r="BH41" s="130" t="e">
        <f>+IF($H41=#REF!,$C41,0)-IF($I41=#REF!,$C41,0)</f>
        <v>#REF!</v>
      </c>
      <c r="BI41" s="130">
        <f t="shared" si="27"/>
        <v>0</v>
      </c>
      <c r="BJ41" s="130">
        <f t="shared" si="27"/>
        <v>0</v>
      </c>
      <c r="BK41" s="130">
        <f t="shared" si="27"/>
        <v>0</v>
      </c>
      <c r="BL41" s="130">
        <f t="shared" si="27"/>
        <v>0</v>
      </c>
      <c r="BM41" s="130">
        <f t="shared" si="27"/>
        <v>0</v>
      </c>
      <c r="BN41" s="130">
        <f t="shared" si="27"/>
        <v>0</v>
      </c>
      <c r="BO41" s="130">
        <f t="shared" si="27"/>
        <v>0</v>
      </c>
      <c r="BP41" s="130">
        <f t="shared" si="27"/>
        <v>0</v>
      </c>
      <c r="BQ41" s="130">
        <f t="shared" si="27"/>
        <v>0</v>
      </c>
      <c r="BR41" s="130" t="e">
        <f t="shared" ref="BR41:BR72" si="34">SUM(J41:BQ41)</f>
        <v>#REF!</v>
      </c>
    </row>
    <row r="42" spans="2:70" s="119" customFormat="1" x14ac:dyDescent="0.2">
      <c r="B42" s="128"/>
      <c r="C42" s="129"/>
      <c r="D42" s="129"/>
      <c r="E42" s="129" t="e">
        <f>ROUND(IF(D42=#REF!,0,IF($H42=$S$6,(C42/1.14975*0.05*0.5),C42/1.14975*0.05)),2)</f>
        <v>#REF!</v>
      </c>
      <c r="F42" s="129" t="e">
        <f>ROUND(IF(D42=#REF!,0,IF($H42=$S$6,C42/1.14975*0.09975*0.5,C42/1.14975*0.09975)),2)</f>
        <v>#REF!</v>
      </c>
      <c r="G42" s="129" t="e">
        <f t="shared" si="28"/>
        <v>#REF!</v>
      </c>
      <c r="J42" s="130">
        <f t="shared" si="29"/>
        <v>0</v>
      </c>
      <c r="K42" s="130">
        <f t="shared" si="24"/>
        <v>0</v>
      </c>
      <c r="L42" s="130">
        <f t="shared" si="24"/>
        <v>0</v>
      </c>
      <c r="M42" s="130">
        <f t="shared" si="24"/>
        <v>0</v>
      </c>
      <c r="N42" s="130">
        <f t="shared" si="24"/>
        <v>0</v>
      </c>
      <c r="O42" s="130">
        <f t="shared" si="24"/>
        <v>0</v>
      </c>
      <c r="P42" s="130">
        <f t="shared" si="24"/>
        <v>0</v>
      </c>
      <c r="Q42" s="130">
        <f t="shared" si="24"/>
        <v>0</v>
      </c>
      <c r="R42" s="130">
        <f t="shared" si="24"/>
        <v>0</v>
      </c>
      <c r="S42" s="130">
        <f t="shared" si="24"/>
        <v>0</v>
      </c>
      <c r="T42" s="130">
        <f t="shared" si="24"/>
        <v>0</v>
      </c>
      <c r="U42" s="130">
        <f t="shared" si="25"/>
        <v>0</v>
      </c>
      <c r="V42" s="130">
        <f t="shared" si="25"/>
        <v>0</v>
      </c>
      <c r="W42" s="130">
        <f t="shared" si="25"/>
        <v>0</v>
      </c>
      <c r="X42" s="130">
        <f t="shared" si="25"/>
        <v>0</v>
      </c>
      <c r="Y42" s="130">
        <f t="shared" si="25"/>
        <v>0</v>
      </c>
      <c r="Z42" s="130">
        <f t="shared" si="25"/>
        <v>0</v>
      </c>
      <c r="AA42" s="130">
        <f t="shared" si="25"/>
        <v>0</v>
      </c>
      <c r="AB42" s="130">
        <f t="shared" si="25"/>
        <v>0</v>
      </c>
      <c r="AC42" s="130">
        <f t="shared" si="25"/>
        <v>0</v>
      </c>
      <c r="AD42" s="130">
        <f t="shared" si="25"/>
        <v>0</v>
      </c>
      <c r="AE42" s="130">
        <f t="shared" si="25"/>
        <v>0</v>
      </c>
      <c r="AF42" s="130">
        <f t="shared" si="25"/>
        <v>0</v>
      </c>
      <c r="AG42" s="130">
        <f t="shared" si="25"/>
        <v>0</v>
      </c>
      <c r="AH42" s="130">
        <f t="shared" si="20"/>
        <v>0</v>
      </c>
      <c r="AI42" s="130">
        <f t="shared" si="20"/>
        <v>0</v>
      </c>
      <c r="AJ42" s="130">
        <f t="shared" si="20"/>
        <v>0</v>
      </c>
      <c r="AK42" s="130">
        <f t="shared" si="30"/>
        <v>0</v>
      </c>
      <c r="AL42" s="130">
        <f t="shared" si="31"/>
        <v>0</v>
      </c>
      <c r="AM42" s="130">
        <f t="shared" si="32"/>
        <v>0</v>
      </c>
      <c r="AN42" s="130">
        <f t="shared" si="33"/>
        <v>0</v>
      </c>
      <c r="AO42" s="130">
        <f t="shared" si="26"/>
        <v>0</v>
      </c>
      <c r="AP42" s="130">
        <f t="shared" si="26"/>
        <v>0</v>
      </c>
      <c r="AQ42" s="130">
        <f t="shared" si="26"/>
        <v>0</v>
      </c>
      <c r="AR42" s="130">
        <f t="shared" si="26"/>
        <v>0</v>
      </c>
      <c r="AS42" s="130">
        <f t="shared" si="26"/>
        <v>0</v>
      </c>
      <c r="AT42" s="130">
        <f t="shared" si="26"/>
        <v>0</v>
      </c>
      <c r="AU42" s="130">
        <f t="shared" si="26"/>
        <v>0</v>
      </c>
      <c r="AV42" s="130">
        <f t="shared" si="26"/>
        <v>0</v>
      </c>
      <c r="AW42" s="130">
        <f t="shared" si="26"/>
        <v>0</v>
      </c>
      <c r="AX42" s="130">
        <f t="shared" si="26"/>
        <v>0</v>
      </c>
      <c r="AY42" s="130">
        <f t="shared" si="26"/>
        <v>0</v>
      </c>
      <c r="AZ42" s="130">
        <f t="shared" si="26"/>
        <v>0</v>
      </c>
      <c r="BA42" s="130">
        <f t="shared" si="26"/>
        <v>0</v>
      </c>
      <c r="BB42" s="130">
        <f t="shared" si="22"/>
        <v>0</v>
      </c>
      <c r="BC42" s="130">
        <f t="shared" si="22"/>
        <v>0</v>
      </c>
      <c r="BD42" s="130">
        <f t="shared" si="22"/>
        <v>0</v>
      </c>
      <c r="BE42" s="130">
        <f t="shared" si="22"/>
        <v>0</v>
      </c>
      <c r="BF42" s="130" t="e">
        <f>+IF($H42=#REF!,$C42,0)-IF($I42=#REF!,$C42,0)</f>
        <v>#REF!</v>
      </c>
      <c r="BG42" s="130" t="e">
        <f>+IF($H42=#REF!,$C42,0)-IF($I42=#REF!,$C42,0)</f>
        <v>#REF!</v>
      </c>
      <c r="BH42" s="130" t="e">
        <f>+IF($H42=#REF!,$C42,0)-IF($I42=#REF!,$C42,0)</f>
        <v>#REF!</v>
      </c>
      <c r="BI42" s="130">
        <f t="shared" si="27"/>
        <v>0</v>
      </c>
      <c r="BJ42" s="130">
        <f t="shared" si="27"/>
        <v>0</v>
      </c>
      <c r="BK42" s="130">
        <f t="shared" si="27"/>
        <v>0</v>
      </c>
      <c r="BL42" s="130">
        <f t="shared" si="27"/>
        <v>0</v>
      </c>
      <c r="BM42" s="130">
        <f t="shared" si="27"/>
        <v>0</v>
      </c>
      <c r="BN42" s="130">
        <f t="shared" si="27"/>
        <v>0</v>
      </c>
      <c r="BO42" s="130">
        <f t="shared" si="27"/>
        <v>0</v>
      </c>
      <c r="BP42" s="130">
        <f t="shared" si="27"/>
        <v>0</v>
      </c>
      <c r="BQ42" s="130">
        <f t="shared" si="27"/>
        <v>0</v>
      </c>
      <c r="BR42" s="130" t="e">
        <f t="shared" si="34"/>
        <v>#REF!</v>
      </c>
    </row>
    <row r="43" spans="2:70" s="119" customFormat="1" x14ac:dyDescent="0.2">
      <c r="B43" s="128"/>
      <c r="C43" s="129"/>
      <c r="D43" s="129"/>
      <c r="E43" s="129" t="e">
        <f>ROUND(IF(D43=#REF!,0,IF($H43=$S$6,(C43/1.14975*0.05*0.5),C43/1.14975*0.05)),2)</f>
        <v>#REF!</v>
      </c>
      <c r="F43" s="129" t="e">
        <f>ROUND(IF(D43=#REF!,0,IF($H43=$S$6,C43/1.14975*0.09975*0.5,C43/1.14975*0.09975)),2)</f>
        <v>#REF!</v>
      </c>
      <c r="G43" s="129" t="e">
        <f t="shared" si="28"/>
        <v>#REF!</v>
      </c>
      <c r="J43" s="130">
        <f t="shared" si="29"/>
        <v>0</v>
      </c>
      <c r="K43" s="130">
        <f t="shared" si="24"/>
        <v>0</v>
      </c>
      <c r="L43" s="130">
        <f t="shared" si="24"/>
        <v>0</v>
      </c>
      <c r="M43" s="130">
        <f t="shared" si="24"/>
        <v>0</v>
      </c>
      <c r="N43" s="130">
        <f t="shared" si="24"/>
        <v>0</v>
      </c>
      <c r="O43" s="130">
        <f t="shared" si="24"/>
        <v>0</v>
      </c>
      <c r="P43" s="130">
        <f t="shared" si="24"/>
        <v>0</v>
      </c>
      <c r="Q43" s="130">
        <f t="shared" si="24"/>
        <v>0</v>
      </c>
      <c r="R43" s="130">
        <f t="shared" si="24"/>
        <v>0</v>
      </c>
      <c r="S43" s="130">
        <f t="shared" si="24"/>
        <v>0</v>
      </c>
      <c r="T43" s="130">
        <f t="shared" si="24"/>
        <v>0</v>
      </c>
      <c r="U43" s="130">
        <f t="shared" si="25"/>
        <v>0</v>
      </c>
      <c r="V43" s="130">
        <f t="shared" si="25"/>
        <v>0</v>
      </c>
      <c r="W43" s="130">
        <f t="shared" si="25"/>
        <v>0</v>
      </c>
      <c r="X43" s="130">
        <f t="shared" si="25"/>
        <v>0</v>
      </c>
      <c r="Y43" s="130">
        <f t="shared" si="25"/>
        <v>0</v>
      </c>
      <c r="Z43" s="130">
        <f t="shared" si="25"/>
        <v>0</v>
      </c>
      <c r="AA43" s="130">
        <f t="shared" si="25"/>
        <v>0</v>
      </c>
      <c r="AB43" s="130">
        <f t="shared" si="25"/>
        <v>0</v>
      </c>
      <c r="AC43" s="130">
        <f t="shared" si="25"/>
        <v>0</v>
      </c>
      <c r="AD43" s="130">
        <f t="shared" si="25"/>
        <v>0</v>
      </c>
      <c r="AE43" s="130">
        <f t="shared" si="25"/>
        <v>0</v>
      </c>
      <c r="AF43" s="130">
        <f t="shared" si="25"/>
        <v>0</v>
      </c>
      <c r="AG43" s="130">
        <f t="shared" si="25"/>
        <v>0</v>
      </c>
      <c r="AH43" s="130">
        <f t="shared" si="20"/>
        <v>0</v>
      </c>
      <c r="AI43" s="130">
        <f t="shared" si="20"/>
        <v>0</v>
      </c>
      <c r="AJ43" s="130">
        <f t="shared" si="20"/>
        <v>0</v>
      </c>
      <c r="AK43" s="130">
        <f t="shared" si="30"/>
        <v>0</v>
      </c>
      <c r="AL43" s="130">
        <f t="shared" si="31"/>
        <v>0</v>
      </c>
      <c r="AM43" s="130">
        <f t="shared" si="32"/>
        <v>0</v>
      </c>
      <c r="AN43" s="130">
        <f t="shared" si="33"/>
        <v>0</v>
      </c>
      <c r="AO43" s="130">
        <f t="shared" si="26"/>
        <v>0</v>
      </c>
      <c r="AP43" s="130">
        <f t="shared" si="26"/>
        <v>0</v>
      </c>
      <c r="AQ43" s="130">
        <f t="shared" si="26"/>
        <v>0</v>
      </c>
      <c r="AR43" s="130">
        <f t="shared" si="26"/>
        <v>0</v>
      </c>
      <c r="AS43" s="130">
        <f t="shared" si="26"/>
        <v>0</v>
      </c>
      <c r="AT43" s="130">
        <f t="shared" si="26"/>
        <v>0</v>
      </c>
      <c r="AU43" s="130">
        <f t="shared" si="26"/>
        <v>0</v>
      </c>
      <c r="AV43" s="130">
        <f t="shared" si="26"/>
        <v>0</v>
      </c>
      <c r="AW43" s="130">
        <f t="shared" si="26"/>
        <v>0</v>
      </c>
      <c r="AX43" s="130">
        <f t="shared" si="26"/>
        <v>0</v>
      </c>
      <c r="AY43" s="130">
        <f t="shared" si="26"/>
        <v>0</v>
      </c>
      <c r="AZ43" s="130">
        <f t="shared" si="26"/>
        <v>0</v>
      </c>
      <c r="BA43" s="130">
        <f t="shared" si="26"/>
        <v>0</v>
      </c>
      <c r="BB43" s="130">
        <f t="shared" si="22"/>
        <v>0</v>
      </c>
      <c r="BC43" s="130">
        <f t="shared" si="22"/>
        <v>0</v>
      </c>
      <c r="BD43" s="130">
        <f t="shared" si="22"/>
        <v>0</v>
      </c>
      <c r="BE43" s="130">
        <f t="shared" si="22"/>
        <v>0</v>
      </c>
      <c r="BF43" s="130" t="e">
        <f>+IF($H43=#REF!,$C43,0)-IF($I43=#REF!,$C43,0)</f>
        <v>#REF!</v>
      </c>
      <c r="BG43" s="130" t="e">
        <f>+IF($H43=#REF!,$C43,0)-IF($I43=#REF!,$C43,0)</f>
        <v>#REF!</v>
      </c>
      <c r="BH43" s="130" t="e">
        <f>+IF($H43=#REF!,$C43,0)-IF($I43=#REF!,$C43,0)</f>
        <v>#REF!</v>
      </c>
      <c r="BI43" s="130">
        <f t="shared" si="27"/>
        <v>0</v>
      </c>
      <c r="BJ43" s="130">
        <f t="shared" si="27"/>
        <v>0</v>
      </c>
      <c r="BK43" s="130">
        <f t="shared" si="27"/>
        <v>0</v>
      </c>
      <c r="BL43" s="130">
        <f t="shared" si="27"/>
        <v>0</v>
      </c>
      <c r="BM43" s="130">
        <f t="shared" si="27"/>
        <v>0</v>
      </c>
      <c r="BN43" s="130">
        <f t="shared" si="27"/>
        <v>0</v>
      </c>
      <c r="BO43" s="130">
        <f t="shared" si="27"/>
        <v>0</v>
      </c>
      <c r="BP43" s="130">
        <f t="shared" si="27"/>
        <v>0</v>
      </c>
      <c r="BQ43" s="130">
        <f t="shared" si="27"/>
        <v>0</v>
      </c>
      <c r="BR43" s="130" t="e">
        <f t="shared" si="34"/>
        <v>#REF!</v>
      </c>
    </row>
    <row r="44" spans="2:70" s="119" customFormat="1" x14ac:dyDescent="0.2">
      <c r="B44" s="128"/>
      <c r="C44" s="129"/>
      <c r="D44" s="129"/>
      <c r="E44" s="129" t="e">
        <f>ROUND(IF(D44=#REF!,0,IF($H44=$S$6,(C44/1.14975*0.05*0.5),C44/1.14975*0.05)),2)</f>
        <v>#REF!</v>
      </c>
      <c r="F44" s="129" t="e">
        <f>ROUND(IF(D44=#REF!,0,IF($H44=$S$6,C44/1.14975*0.09975*0.5,C44/1.14975*0.09975)),2)</f>
        <v>#REF!</v>
      </c>
      <c r="G44" s="129" t="e">
        <f t="shared" si="28"/>
        <v>#REF!</v>
      </c>
      <c r="J44" s="130">
        <f t="shared" si="29"/>
        <v>0</v>
      </c>
      <c r="K44" s="130">
        <f t="shared" si="24"/>
        <v>0</v>
      </c>
      <c r="L44" s="130">
        <f t="shared" si="24"/>
        <v>0</v>
      </c>
      <c r="M44" s="130">
        <f t="shared" si="24"/>
        <v>0</v>
      </c>
      <c r="N44" s="130">
        <f t="shared" si="24"/>
        <v>0</v>
      </c>
      <c r="O44" s="130">
        <f t="shared" si="24"/>
        <v>0</v>
      </c>
      <c r="P44" s="130">
        <f t="shared" si="24"/>
        <v>0</v>
      </c>
      <c r="Q44" s="130">
        <f t="shared" si="24"/>
        <v>0</v>
      </c>
      <c r="R44" s="130">
        <f t="shared" si="24"/>
        <v>0</v>
      </c>
      <c r="S44" s="130">
        <f t="shared" si="24"/>
        <v>0</v>
      </c>
      <c r="T44" s="130">
        <f t="shared" si="24"/>
        <v>0</v>
      </c>
      <c r="U44" s="130">
        <f t="shared" si="25"/>
        <v>0</v>
      </c>
      <c r="V44" s="130">
        <f t="shared" si="25"/>
        <v>0</v>
      </c>
      <c r="W44" s="130">
        <f t="shared" si="25"/>
        <v>0</v>
      </c>
      <c r="X44" s="130">
        <f t="shared" si="25"/>
        <v>0</v>
      </c>
      <c r="Y44" s="130">
        <f t="shared" si="25"/>
        <v>0</v>
      </c>
      <c r="Z44" s="130">
        <f t="shared" si="25"/>
        <v>0</v>
      </c>
      <c r="AA44" s="130">
        <f t="shared" si="25"/>
        <v>0</v>
      </c>
      <c r="AB44" s="130">
        <f t="shared" si="25"/>
        <v>0</v>
      </c>
      <c r="AC44" s="130">
        <f t="shared" si="25"/>
        <v>0</v>
      </c>
      <c r="AD44" s="130">
        <f t="shared" si="25"/>
        <v>0</v>
      </c>
      <c r="AE44" s="130">
        <f t="shared" si="25"/>
        <v>0</v>
      </c>
      <c r="AF44" s="130">
        <f t="shared" si="25"/>
        <v>0</v>
      </c>
      <c r="AG44" s="130">
        <f t="shared" si="25"/>
        <v>0</v>
      </c>
      <c r="AH44" s="130">
        <f t="shared" si="20"/>
        <v>0</v>
      </c>
      <c r="AI44" s="130">
        <f t="shared" si="20"/>
        <v>0</v>
      </c>
      <c r="AJ44" s="130">
        <f t="shared" si="20"/>
        <v>0</v>
      </c>
      <c r="AK44" s="130">
        <f t="shared" si="30"/>
        <v>0</v>
      </c>
      <c r="AL44" s="130">
        <f t="shared" si="31"/>
        <v>0</v>
      </c>
      <c r="AM44" s="130">
        <f t="shared" si="32"/>
        <v>0</v>
      </c>
      <c r="AN44" s="130">
        <f t="shared" si="33"/>
        <v>0</v>
      </c>
      <c r="AO44" s="130">
        <f t="shared" si="26"/>
        <v>0</v>
      </c>
      <c r="AP44" s="130">
        <f t="shared" si="26"/>
        <v>0</v>
      </c>
      <c r="AQ44" s="130">
        <f t="shared" si="26"/>
        <v>0</v>
      </c>
      <c r="AR44" s="130">
        <f t="shared" si="26"/>
        <v>0</v>
      </c>
      <c r="AS44" s="130">
        <f t="shared" si="26"/>
        <v>0</v>
      </c>
      <c r="AT44" s="130">
        <f t="shared" si="26"/>
        <v>0</v>
      </c>
      <c r="AU44" s="130">
        <f t="shared" si="26"/>
        <v>0</v>
      </c>
      <c r="AV44" s="130">
        <f t="shared" si="26"/>
        <v>0</v>
      </c>
      <c r="AW44" s="130">
        <f t="shared" si="26"/>
        <v>0</v>
      </c>
      <c r="AX44" s="130">
        <f t="shared" si="26"/>
        <v>0</v>
      </c>
      <c r="AY44" s="130">
        <f t="shared" si="26"/>
        <v>0</v>
      </c>
      <c r="AZ44" s="130">
        <f t="shared" si="26"/>
        <v>0</v>
      </c>
      <c r="BA44" s="130">
        <f t="shared" si="26"/>
        <v>0</v>
      </c>
      <c r="BB44" s="130">
        <f t="shared" si="22"/>
        <v>0</v>
      </c>
      <c r="BC44" s="130">
        <f t="shared" si="22"/>
        <v>0</v>
      </c>
      <c r="BD44" s="130">
        <f t="shared" si="22"/>
        <v>0</v>
      </c>
      <c r="BE44" s="130">
        <f t="shared" si="22"/>
        <v>0</v>
      </c>
      <c r="BF44" s="130" t="e">
        <f>+IF($H44=#REF!,$C44,0)-IF($I44=#REF!,$C44,0)</f>
        <v>#REF!</v>
      </c>
      <c r="BG44" s="130" t="e">
        <f>+IF($H44=#REF!,$C44,0)-IF($I44=#REF!,$C44,0)</f>
        <v>#REF!</v>
      </c>
      <c r="BH44" s="130" t="e">
        <f>+IF($H44=#REF!,$C44,0)-IF($I44=#REF!,$C44,0)</f>
        <v>#REF!</v>
      </c>
      <c r="BI44" s="130">
        <f t="shared" si="27"/>
        <v>0</v>
      </c>
      <c r="BJ44" s="130">
        <f t="shared" si="27"/>
        <v>0</v>
      </c>
      <c r="BK44" s="130">
        <f t="shared" si="27"/>
        <v>0</v>
      </c>
      <c r="BL44" s="130">
        <f t="shared" si="27"/>
        <v>0</v>
      </c>
      <c r="BM44" s="130">
        <f t="shared" si="27"/>
        <v>0</v>
      </c>
      <c r="BN44" s="130">
        <f t="shared" si="27"/>
        <v>0</v>
      </c>
      <c r="BO44" s="130">
        <f t="shared" si="27"/>
        <v>0</v>
      </c>
      <c r="BP44" s="130">
        <f t="shared" si="27"/>
        <v>0</v>
      </c>
      <c r="BQ44" s="130">
        <f t="shared" si="27"/>
        <v>0</v>
      </c>
      <c r="BR44" s="130" t="e">
        <f t="shared" si="34"/>
        <v>#REF!</v>
      </c>
    </row>
    <row r="45" spans="2:70" s="119" customFormat="1" x14ac:dyDescent="0.2">
      <c r="B45" s="128"/>
      <c r="C45" s="129"/>
      <c r="D45" s="129"/>
      <c r="E45" s="129" t="e">
        <f>ROUND(IF(D45=#REF!,0,IF($H45=$S$6,(C45/1.14975*0.05*0.5),C45/1.14975*0.05)),2)</f>
        <v>#REF!</v>
      </c>
      <c r="F45" s="129" t="e">
        <f>ROUND(IF(D45=#REF!,0,IF($H45=$S$6,C45/1.14975*0.09975*0.5,C45/1.14975*0.09975)),2)</f>
        <v>#REF!</v>
      </c>
      <c r="G45" s="129" t="e">
        <f t="shared" si="28"/>
        <v>#REF!</v>
      </c>
      <c r="J45" s="130">
        <f t="shared" si="29"/>
        <v>0</v>
      </c>
      <c r="K45" s="130">
        <f t="shared" si="24"/>
        <v>0</v>
      </c>
      <c r="L45" s="130">
        <f t="shared" si="24"/>
        <v>0</v>
      </c>
      <c r="M45" s="130">
        <f t="shared" si="24"/>
        <v>0</v>
      </c>
      <c r="N45" s="130">
        <f t="shared" si="24"/>
        <v>0</v>
      </c>
      <c r="O45" s="130">
        <f t="shared" si="24"/>
        <v>0</v>
      </c>
      <c r="P45" s="130">
        <f t="shared" si="24"/>
        <v>0</v>
      </c>
      <c r="Q45" s="130">
        <f t="shared" si="24"/>
        <v>0</v>
      </c>
      <c r="R45" s="130">
        <f t="shared" si="24"/>
        <v>0</v>
      </c>
      <c r="S45" s="130">
        <f t="shared" si="24"/>
        <v>0</v>
      </c>
      <c r="T45" s="130">
        <f t="shared" si="24"/>
        <v>0</v>
      </c>
      <c r="U45" s="130">
        <f t="shared" si="25"/>
        <v>0</v>
      </c>
      <c r="V45" s="130">
        <f t="shared" si="25"/>
        <v>0</v>
      </c>
      <c r="W45" s="130">
        <f t="shared" si="25"/>
        <v>0</v>
      </c>
      <c r="X45" s="130">
        <f t="shared" si="25"/>
        <v>0</v>
      </c>
      <c r="Y45" s="130">
        <f t="shared" si="25"/>
        <v>0</v>
      </c>
      <c r="Z45" s="130">
        <f t="shared" si="25"/>
        <v>0</v>
      </c>
      <c r="AA45" s="130">
        <f t="shared" si="25"/>
        <v>0</v>
      </c>
      <c r="AB45" s="130">
        <f t="shared" si="25"/>
        <v>0</v>
      </c>
      <c r="AC45" s="130">
        <f t="shared" si="25"/>
        <v>0</v>
      </c>
      <c r="AD45" s="130">
        <f t="shared" si="25"/>
        <v>0</v>
      </c>
      <c r="AE45" s="130">
        <f t="shared" si="25"/>
        <v>0</v>
      </c>
      <c r="AF45" s="130">
        <f t="shared" si="25"/>
        <v>0</v>
      </c>
      <c r="AG45" s="130">
        <f t="shared" si="25"/>
        <v>0</v>
      </c>
      <c r="AH45" s="130">
        <f t="shared" si="20"/>
        <v>0</v>
      </c>
      <c r="AI45" s="130">
        <f t="shared" si="20"/>
        <v>0</v>
      </c>
      <c r="AJ45" s="130">
        <f t="shared" si="20"/>
        <v>0</v>
      </c>
      <c r="AK45" s="130">
        <f t="shared" si="30"/>
        <v>0</v>
      </c>
      <c r="AL45" s="130">
        <f t="shared" si="31"/>
        <v>0</v>
      </c>
      <c r="AM45" s="130">
        <f t="shared" si="32"/>
        <v>0</v>
      </c>
      <c r="AN45" s="130">
        <f t="shared" si="33"/>
        <v>0</v>
      </c>
      <c r="AO45" s="130">
        <f t="shared" si="26"/>
        <v>0</v>
      </c>
      <c r="AP45" s="130">
        <f t="shared" si="26"/>
        <v>0</v>
      </c>
      <c r="AQ45" s="130">
        <f t="shared" si="26"/>
        <v>0</v>
      </c>
      <c r="AR45" s="130">
        <f t="shared" si="26"/>
        <v>0</v>
      </c>
      <c r="AS45" s="130">
        <f t="shared" si="26"/>
        <v>0</v>
      </c>
      <c r="AT45" s="130">
        <f t="shared" si="26"/>
        <v>0</v>
      </c>
      <c r="AU45" s="130">
        <f t="shared" si="26"/>
        <v>0</v>
      </c>
      <c r="AV45" s="130">
        <f t="shared" si="26"/>
        <v>0</v>
      </c>
      <c r="AW45" s="130">
        <f t="shared" si="26"/>
        <v>0</v>
      </c>
      <c r="AX45" s="130">
        <f t="shared" si="26"/>
        <v>0</v>
      </c>
      <c r="AY45" s="130">
        <f t="shared" si="26"/>
        <v>0</v>
      </c>
      <c r="AZ45" s="130">
        <f t="shared" si="26"/>
        <v>0</v>
      </c>
      <c r="BA45" s="130">
        <f t="shared" si="26"/>
        <v>0</v>
      </c>
      <c r="BB45" s="130">
        <f t="shared" si="22"/>
        <v>0</v>
      </c>
      <c r="BC45" s="130">
        <f t="shared" si="22"/>
        <v>0</v>
      </c>
      <c r="BD45" s="130">
        <f t="shared" si="22"/>
        <v>0</v>
      </c>
      <c r="BE45" s="130">
        <f t="shared" si="22"/>
        <v>0</v>
      </c>
      <c r="BF45" s="130" t="e">
        <f>+IF($H45=#REF!,$C45,0)-IF($I45=#REF!,$C45,0)</f>
        <v>#REF!</v>
      </c>
      <c r="BG45" s="130" t="e">
        <f>+IF($H45=#REF!,$C45,0)-IF($I45=#REF!,$C45,0)</f>
        <v>#REF!</v>
      </c>
      <c r="BH45" s="130" t="e">
        <f>+IF($H45=#REF!,$C45,0)-IF($I45=#REF!,$C45,0)</f>
        <v>#REF!</v>
      </c>
      <c r="BI45" s="130">
        <f t="shared" si="27"/>
        <v>0</v>
      </c>
      <c r="BJ45" s="130">
        <f t="shared" si="27"/>
        <v>0</v>
      </c>
      <c r="BK45" s="130">
        <f t="shared" si="27"/>
        <v>0</v>
      </c>
      <c r="BL45" s="130">
        <f t="shared" si="27"/>
        <v>0</v>
      </c>
      <c r="BM45" s="130">
        <f t="shared" si="27"/>
        <v>0</v>
      </c>
      <c r="BN45" s="130">
        <f t="shared" si="27"/>
        <v>0</v>
      </c>
      <c r="BO45" s="130">
        <f t="shared" si="27"/>
        <v>0</v>
      </c>
      <c r="BP45" s="130">
        <f t="shared" si="27"/>
        <v>0</v>
      </c>
      <c r="BQ45" s="130">
        <f t="shared" si="27"/>
        <v>0</v>
      </c>
      <c r="BR45" s="130" t="e">
        <f t="shared" si="34"/>
        <v>#REF!</v>
      </c>
    </row>
    <row r="46" spans="2:70" s="119" customFormat="1" x14ac:dyDescent="0.2">
      <c r="B46" s="128"/>
      <c r="C46" s="129"/>
      <c r="D46" s="129"/>
      <c r="E46" s="129" t="e">
        <f>ROUND(IF(D46=#REF!,0,IF($H46=$S$6,(C46/1.14975*0.05*0.5),C46/1.14975*0.05)),2)</f>
        <v>#REF!</v>
      </c>
      <c r="F46" s="129" t="e">
        <f>ROUND(IF(D46=#REF!,0,IF($H46=$S$6,C46/1.14975*0.09975*0.5,C46/1.14975*0.09975)),2)</f>
        <v>#REF!</v>
      </c>
      <c r="G46" s="129" t="e">
        <f t="shared" si="28"/>
        <v>#REF!</v>
      </c>
      <c r="J46" s="130">
        <f t="shared" si="29"/>
        <v>0</v>
      </c>
      <c r="K46" s="130">
        <f t="shared" si="24"/>
        <v>0</v>
      </c>
      <c r="L46" s="130">
        <f t="shared" si="24"/>
        <v>0</v>
      </c>
      <c r="M46" s="130">
        <f t="shared" si="24"/>
        <v>0</v>
      </c>
      <c r="N46" s="130">
        <f t="shared" si="24"/>
        <v>0</v>
      </c>
      <c r="O46" s="130">
        <f t="shared" si="24"/>
        <v>0</v>
      </c>
      <c r="P46" s="130">
        <f t="shared" si="24"/>
        <v>0</v>
      </c>
      <c r="Q46" s="130">
        <f t="shared" si="24"/>
        <v>0</v>
      </c>
      <c r="R46" s="130">
        <f t="shared" si="24"/>
        <v>0</v>
      </c>
      <c r="S46" s="130">
        <f t="shared" si="24"/>
        <v>0</v>
      </c>
      <c r="T46" s="130">
        <f t="shared" si="24"/>
        <v>0</v>
      </c>
      <c r="U46" s="130">
        <f t="shared" si="25"/>
        <v>0</v>
      </c>
      <c r="V46" s="130">
        <f t="shared" si="25"/>
        <v>0</v>
      </c>
      <c r="W46" s="130">
        <f t="shared" si="25"/>
        <v>0</v>
      </c>
      <c r="X46" s="130">
        <f t="shared" si="25"/>
        <v>0</v>
      </c>
      <c r="Y46" s="130">
        <f t="shared" si="25"/>
        <v>0</v>
      </c>
      <c r="Z46" s="130">
        <f t="shared" si="25"/>
        <v>0</v>
      </c>
      <c r="AA46" s="130">
        <f t="shared" si="25"/>
        <v>0</v>
      </c>
      <c r="AB46" s="130">
        <f t="shared" si="25"/>
        <v>0</v>
      </c>
      <c r="AC46" s="130">
        <f t="shared" si="25"/>
        <v>0</v>
      </c>
      <c r="AD46" s="130">
        <f t="shared" si="25"/>
        <v>0</v>
      </c>
      <c r="AE46" s="130">
        <f t="shared" si="25"/>
        <v>0</v>
      </c>
      <c r="AF46" s="130">
        <f t="shared" si="25"/>
        <v>0</v>
      </c>
      <c r="AG46" s="130">
        <f t="shared" si="25"/>
        <v>0</v>
      </c>
      <c r="AH46" s="130">
        <f t="shared" si="20"/>
        <v>0</v>
      </c>
      <c r="AI46" s="130">
        <f t="shared" si="20"/>
        <v>0</v>
      </c>
      <c r="AJ46" s="130">
        <f t="shared" si="20"/>
        <v>0</v>
      </c>
      <c r="AK46" s="130">
        <f t="shared" si="30"/>
        <v>0</v>
      </c>
      <c r="AL46" s="130">
        <f t="shared" si="31"/>
        <v>0</v>
      </c>
      <c r="AM46" s="130">
        <f t="shared" si="32"/>
        <v>0</v>
      </c>
      <c r="AN46" s="130">
        <f t="shared" si="33"/>
        <v>0</v>
      </c>
      <c r="AO46" s="130">
        <f t="shared" si="26"/>
        <v>0</v>
      </c>
      <c r="AP46" s="130">
        <f t="shared" si="26"/>
        <v>0</v>
      </c>
      <c r="AQ46" s="130">
        <f t="shared" si="26"/>
        <v>0</v>
      </c>
      <c r="AR46" s="130">
        <f t="shared" si="26"/>
        <v>0</v>
      </c>
      <c r="AS46" s="130">
        <f t="shared" si="26"/>
        <v>0</v>
      </c>
      <c r="AT46" s="130">
        <f t="shared" si="26"/>
        <v>0</v>
      </c>
      <c r="AU46" s="130">
        <f t="shared" si="26"/>
        <v>0</v>
      </c>
      <c r="AV46" s="130">
        <f t="shared" si="26"/>
        <v>0</v>
      </c>
      <c r="AW46" s="130">
        <f t="shared" si="26"/>
        <v>0</v>
      </c>
      <c r="AX46" s="130">
        <f t="shared" si="26"/>
        <v>0</v>
      </c>
      <c r="AY46" s="130">
        <f t="shared" si="26"/>
        <v>0</v>
      </c>
      <c r="AZ46" s="130">
        <f t="shared" si="26"/>
        <v>0</v>
      </c>
      <c r="BA46" s="130">
        <f t="shared" si="26"/>
        <v>0</v>
      </c>
      <c r="BB46" s="130">
        <f t="shared" si="22"/>
        <v>0</v>
      </c>
      <c r="BC46" s="130">
        <f t="shared" si="22"/>
        <v>0</v>
      </c>
      <c r="BD46" s="130">
        <f t="shared" si="22"/>
        <v>0</v>
      </c>
      <c r="BE46" s="130">
        <f t="shared" si="22"/>
        <v>0</v>
      </c>
      <c r="BF46" s="130" t="e">
        <f>+IF($H46=#REF!,$C46,0)-IF($I46=#REF!,$C46,0)</f>
        <v>#REF!</v>
      </c>
      <c r="BG46" s="130" t="e">
        <f>+IF($H46=#REF!,$C46,0)-IF($I46=#REF!,$C46,0)</f>
        <v>#REF!</v>
      </c>
      <c r="BH46" s="130" t="e">
        <f>+IF($H46=#REF!,$C46,0)-IF($I46=#REF!,$C46,0)</f>
        <v>#REF!</v>
      </c>
      <c r="BI46" s="130">
        <f t="shared" si="27"/>
        <v>0</v>
      </c>
      <c r="BJ46" s="130">
        <f t="shared" si="27"/>
        <v>0</v>
      </c>
      <c r="BK46" s="130">
        <f t="shared" si="27"/>
        <v>0</v>
      </c>
      <c r="BL46" s="130">
        <f t="shared" si="27"/>
        <v>0</v>
      </c>
      <c r="BM46" s="130">
        <f t="shared" si="27"/>
        <v>0</v>
      </c>
      <c r="BN46" s="130">
        <f t="shared" si="27"/>
        <v>0</v>
      </c>
      <c r="BO46" s="130">
        <f t="shared" si="27"/>
        <v>0</v>
      </c>
      <c r="BP46" s="130">
        <f t="shared" si="27"/>
        <v>0</v>
      </c>
      <c r="BQ46" s="130">
        <f t="shared" si="27"/>
        <v>0</v>
      </c>
      <c r="BR46" s="130" t="e">
        <f t="shared" si="34"/>
        <v>#REF!</v>
      </c>
    </row>
    <row r="47" spans="2:70" s="119" customFormat="1" x14ac:dyDescent="0.2">
      <c r="B47" s="128"/>
      <c r="C47" s="129"/>
      <c r="D47" s="129"/>
      <c r="E47" s="129" t="e">
        <f>ROUND(IF(D47=#REF!,0,IF($H47=$S$6,(C47/1.14975*0.05*0.5),C47/1.14975*0.05)),2)</f>
        <v>#REF!</v>
      </c>
      <c r="F47" s="129" t="e">
        <f>ROUND(IF(D47=#REF!,0,IF($H47=$S$6,C47/1.14975*0.09975*0.5,C47/1.14975*0.09975)),2)</f>
        <v>#REF!</v>
      </c>
      <c r="G47" s="129" t="e">
        <f t="shared" si="28"/>
        <v>#REF!</v>
      </c>
      <c r="J47" s="130">
        <f t="shared" si="29"/>
        <v>0</v>
      </c>
      <c r="K47" s="130">
        <f t="shared" si="24"/>
        <v>0</v>
      </c>
      <c r="L47" s="130">
        <f t="shared" si="24"/>
        <v>0</v>
      </c>
      <c r="M47" s="130">
        <f t="shared" si="24"/>
        <v>0</v>
      </c>
      <c r="N47" s="130">
        <f t="shared" si="24"/>
        <v>0</v>
      </c>
      <c r="O47" s="130">
        <f t="shared" si="24"/>
        <v>0</v>
      </c>
      <c r="P47" s="130">
        <f t="shared" si="24"/>
        <v>0</v>
      </c>
      <c r="Q47" s="130">
        <f t="shared" si="24"/>
        <v>0</v>
      </c>
      <c r="R47" s="130">
        <f t="shared" si="24"/>
        <v>0</v>
      </c>
      <c r="S47" s="130">
        <f t="shared" si="24"/>
        <v>0</v>
      </c>
      <c r="T47" s="130">
        <f t="shared" si="24"/>
        <v>0</v>
      </c>
      <c r="U47" s="130">
        <f t="shared" si="25"/>
        <v>0</v>
      </c>
      <c r="V47" s="130">
        <f t="shared" si="25"/>
        <v>0</v>
      </c>
      <c r="W47" s="130">
        <f t="shared" si="25"/>
        <v>0</v>
      </c>
      <c r="X47" s="130">
        <f t="shared" si="25"/>
        <v>0</v>
      </c>
      <c r="Y47" s="130">
        <f t="shared" si="25"/>
        <v>0</v>
      </c>
      <c r="Z47" s="130">
        <f t="shared" si="25"/>
        <v>0</v>
      </c>
      <c r="AA47" s="130">
        <f t="shared" si="25"/>
        <v>0</v>
      </c>
      <c r="AB47" s="130">
        <f t="shared" si="25"/>
        <v>0</v>
      </c>
      <c r="AC47" s="130">
        <f t="shared" si="25"/>
        <v>0</v>
      </c>
      <c r="AD47" s="130">
        <f t="shared" si="25"/>
        <v>0</v>
      </c>
      <c r="AE47" s="130">
        <f t="shared" si="25"/>
        <v>0</v>
      </c>
      <c r="AF47" s="130">
        <f t="shared" si="25"/>
        <v>0</v>
      </c>
      <c r="AG47" s="130">
        <f t="shared" si="25"/>
        <v>0</v>
      </c>
      <c r="AH47" s="130">
        <f t="shared" si="20"/>
        <v>0</v>
      </c>
      <c r="AI47" s="130">
        <f t="shared" si="20"/>
        <v>0</v>
      </c>
      <c r="AJ47" s="130">
        <f t="shared" si="20"/>
        <v>0</v>
      </c>
      <c r="AK47" s="130">
        <f t="shared" si="30"/>
        <v>0</v>
      </c>
      <c r="AL47" s="130">
        <f t="shared" si="31"/>
        <v>0</v>
      </c>
      <c r="AM47" s="130">
        <f t="shared" si="32"/>
        <v>0</v>
      </c>
      <c r="AN47" s="130">
        <f t="shared" si="33"/>
        <v>0</v>
      </c>
      <c r="AO47" s="130">
        <f t="shared" si="26"/>
        <v>0</v>
      </c>
      <c r="AP47" s="130">
        <f t="shared" si="26"/>
        <v>0</v>
      </c>
      <c r="AQ47" s="130">
        <f t="shared" si="26"/>
        <v>0</v>
      </c>
      <c r="AR47" s="130">
        <f t="shared" si="26"/>
        <v>0</v>
      </c>
      <c r="AS47" s="130">
        <f t="shared" si="26"/>
        <v>0</v>
      </c>
      <c r="AT47" s="130">
        <f t="shared" si="26"/>
        <v>0</v>
      </c>
      <c r="AU47" s="130">
        <f t="shared" si="26"/>
        <v>0</v>
      </c>
      <c r="AV47" s="130">
        <f t="shared" si="26"/>
        <v>0</v>
      </c>
      <c r="AW47" s="130">
        <f t="shared" si="26"/>
        <v>0</v>
      </c>
      <c r="AX47" s="130">
        <f t="shared" si="26"/>
        <v>0</v>
      </c>
      <c r="AY47" s="130">
        <f t="shared" si="26"/>
        <v>0</v>
      </c>
      <c r="AZ47" s="130">
        <f t="shared" si="26"/>
        <v>0</v>
      </c>
      <c r="BA47" s="130">
        <f t="shared" si="26"/>
        <v>0</v>
      </c>
      <c r="BB47" s="130">
        <f t="shared" si="22"/>
        <v>0</v>
      </c>
      <c r="BC47" s="130">
        <f t="shared" si="22"/>
        <v>0</v>
      </c>
      <c r="BD47" s="130">
        <f t="shared" si="22"/>
        <v>0</v>
      </c>
      <c r="BE47" s="130">
        <f t="shared" si="22"/>
        <v>0</v>
      </c>
      <c r="BF47" s="130" t="e">
        <f>+IF($H47=#REF!,$C47,0)-IF($I47=#REF!,$C47,0)</f>
        <v>#REF!</v>
      </c>
      <c r="BG47" s="130" t="e">
        <f>+IF($H47=#REF!,$C47,0)-IF($I47=#REF!,$C47,0)</f>
        <v>#REF!</v>
      </c>
      <c r="BH47" s="130" t="e">
        <f>+IF($H47=#REF!,$C47,0)-IF($I47=#REF!,$C47,0)</f>
        <v>#REF!</v>
      </c>
      <c r="BI47" s="130">
        <f t="shared" si="27"/>
        <v>0</v>
      </c>
      <c r="BJ47" s="130">
        <f t="shared" si="27"/>
        <v>0</v>
      </c>
      <c r="BK47" s="130">
        <f t="shared" si="27"/>
        <v>0</v>
      </c>
      <c r="BL47" s="130">
        <f t="shared" si="27"/>
        <v>0</v>
      </c>
      <c r="BM47" s="130">
        <f t="shared" si="27"/>
        <v>0</v>
      </c>
      <c r="BN47" s="130">
        <f t="shared" si="27"/>
        <v>0</v>
      </c>
      <c r="BO47" s="130">
        <f t="shared" si="27"/>
        <v>0</v>
      </c>
      <c r="BP47" s="130">
        <f t="shared" si="27"/>
        <v>0</v>
      </c>
      <c r="BQ47" s="130">
        <f t="shared" si="27"/>
        <v>0</v>
      </c>
      <c r="BR47" s="130" t="e">
        <f t="shared" si="34"/>
        <v>#REF!</v>
      </c>
    </row>
    <row r="48" spans="2:70" s="119" customFormat="1" x14ac:dyDescent="0.2">
      <c r="B48" s="128"/>
      <c r="C48" s="129"/>
      <c r="D48" s="129"/>
      <c r="E48" s="129" t="e">
        <f>ROUND(IF(D48=#REF!,0,IF($H48=$S$6,(C48/1.14975*0.05*0.5),C48/1.14975*0.05)),2)</f>
        <v>#REF!</v>
      </c>
      <c r="F48" s="129" t="e">
        <f>ROUND(IF(D48=#REF!,0,IF($H48=$S$6,C48/1.14975*0.09975*0.5,C48/1.14975*0.09975)),2)</f>
        <v>#REF!</v>
      </c>
      <c r="G48" s="129" t="e">
        <f t="shared" si="28"/>
        <v>#REF!</v>
      </c>
      <c r="J48" s="130">
        <f t="shared" si="29"/>
        <v>0</v>
      </c>
      <c r="K48" s="130">
        <f t="shared" si="24"/>
        <v>0</v>
      </c>
      <c r="L48" s="130">
        <f t="shared" si="24"/>
        <v>0</v>
      </c>
      <c r="M48" s="130">
        <f t="shared" si="24"/>
        <v>0</v>
      </c>
      <c r="N48" s="130">
        <f t="shared" si="24"/>
        <v>0</v>
      </c>
      <c r="O48" s="130">
        <f t="shared" si="24"/>
        <v>0</v>
      </c>
      <c r="P48" s="130">
        <f t="shared" si="24"/>
        <v>0</v>
      </c>
      <c r="Q48" s="130">
        <f t="shared" si="24"/>
        <v>0</v>
      </c>
      <c r="R48" s="130">
        <f t="shared" si="24"/>
        <v>0</v>
      </c>
      <c r="S48" s="130">
        <f t="shared" si="24"/>
        <v>0</v>
      </c>
      <c r="T48" s="130">
        <f t="shared" si="24"/>
        <v>0</v>
      </c>
      <c r="U48" s="130">
        <f t="shared" si="25"/>
        <v>0</v>
      </c>
      <c r="V48" s="130">
        <f t="shared" si="25"/>
        <v>0</v>
      </c>
      <c r="W48" s="130">
        <f t="shared" si="25"/>
        <v>0</v>
      </c>
      <c r="X48" s="130">
        <f t="shared" si="25"/>
        <v>0</v>
      </c>
      <c r="Y48" s="130">
        <f t="shared" si="25"/>
        <v>0</v>
      </c>
      <c r="Z48" s="130">
        <f t="shared" si="25"/>
        <v>0</v>
      </c>
      <c r="AA48" s="130">
        <f t="shared" si="25"/>
        <v>0</v>
      </c>
      <c r="AB48" s="130">
        <f t="shared" si="25"/>
        <v>0</v>
      </c>
      <c r="AC48" s="130">
        <f t="shared" si="25"/>
        <v>0</v>
      </c>
      <c r="AD48" s="130">
        <f t="shared" si="25"/>
        <v>0</v>
      </c>
      <c r="AE48" s="130">
        <f t="shared" si="25"/>
        <v>0</v>
      </c>
      <c r="AF48" s="130">
        <f t="shared" si="25"/>
        <v>0</v>
      </c>
      <c r="AG48" s="130">
        <f t="shared" si="25"/>
        <v>0</v>
      </c>
      <c r="AH48" s="130">
        <f t="shared" si="20"/>
        <v>0</v>
      </c>
      <c r="AI48" s="130">
        <f t="shared" si="20"/>
        <v>0</v>
      </c>
      <c r="AJ48" s="130">
        <f t="shared" si="20"/>
        <v>0</v>
      </c>
      <c r="AK48" s="130">
        <f t="shared" si="30"/>
        <v>0</v>
      </c>
      <c r="AL48" s="130">
        <f t="shared" si="31"/>
        <v>0</v>
      </c>
      <c r="AM48" s="130">
        <f t="shared" si="32"/>
        <v>0</v>
      </c>
      <c r="AN48" s="130">
        <f t="shared" si="33"/>
        <v>0</v>
      </c>
      <c r="AO48" s="130">
        <f t="shared" si="26"/>
        <v>0</v>
      </c>
      <c r="AP48" s="130">
        <f t="shared" si="26"/>
        <v>0</v>
      </c>
      <c r="AQ48" s="130">
        <f t="shared" si="26"/>
        <v>0</v>
      </c>
      <c r="AR48" s="130">
        <f t="shared" si="26"/>
        <v>0</v>
      </c>
      <c r="AS48" s="130">
        <f t="shared" si="26"/>
        <v>0</v>
      </c>
      <c r="AT48" s="130">
        <f t="shared" si="26"/>
        <v>0</v>
      </c>
      <c r="AU48" s="130">
        <f t="shared" si="26"/>
        <v>0</v>
      </c>
      <c r="AV48" s="130">
        <f t="shared" si="26"/>
        <v>0</v>
      </c>
      <c r="AW48" s="130">
        <f t="shared" si="26"/>
        <v>0</v>
      </c>
      <c r="AX48" s="130">
        <f t="shared" si="26"/>
        <v>0</v>
      </c>
      <c r="AY48" s="130">
        <f t="shared" si="26"/>
        <v>0</v>
      </c>
      <c r="AZ48" s="130">
        <f t="shared" si="26"/>
        <v>0</v>
      </c>
      <c r="BA48" s="130">
        <f t="shared" si="26"/>
        <v>0</v>
      </c>
      <c r="BB48" s="130">
        <f t="shared" si="22"/>
        <v>0</v>
      </c>
      <c r="BC48" s="130">
        <f t="shared" si="22"/>
        <v>0</v>
      </c>
      <c r="BD48" s="130">
        <f t="shared" si="22"/>
        <v>0</v>
      </c>
      <c r="BE48" s="130">
        <f t="shared" si="22"/>
        <v>0</v>
      </c>
      <c r="BF48" s="130" t="e">
        <f>+IF($H48=#REF!,$C48,0)-IF($I48=#REF!,$C48,0)</f>
        <v>#REF!</v>
      </c>
      <c r="BG48" s="130" t="e">
        <f>+IF($H48=#REF!,$C48,0)-IF($I48=#REF!,$C48,0)</f>
        <v>#REF!</v>
      </c>
      <c r="BH48" s="130" t="e">
        <f>+IF($H48=#REF!,$C48,0)-IF($I48=#REF!,$C48,0)</f>
        <v>#REF!</v>
      </c>
      <c r="BI48" s="130">
        <f t="shared" si="27"/>
        <v>0</v>
      </c>
      <c r="BJ48" s="130">
        <f t="shared" si="27"/>
        <v>0</v>
      </c>
      <c r="BK48" s="130">
        <f t="shared" si="27"/>
        <v>0</v>
      </c>
      <c r="BL48" s="130">
        <f t="shared" si="27"/>
        <v>0</v>
      </c>
      <c r="BM48" s="130">
        <f t="shared" si="27"/>
        <v>0</v>
      </c>
      <c r="BN48" s="130">
        <f t="shared" si="27"/>
        <v>0</v>
      </c>
      <c r="BO48" s="130">
        <f t="shared" si="27"/>
        <v>0</v>
      </c>
      <c r="BP48" s="130">
        <f t="shared" si="27"/>
        <v>0</v>
      </c>
      <c r="BQ48" s="130">
        <f t="shared" si="27"/>
        <v>0</v>
      </c>
      <c r="BR48" s="130" t="e">
        <f t="shared" si="34"/>
        <v>#REF!</v>
      </c>
    </row>
    <row r="49" spans="2:70" s="119" customFormat="1" x14ac:dyDescent="0.2">
      <c r="B49" s="128"/>
      <c r="C49" s="129"/>
      <c r="D49" s="129"/>
      <c r="E49" s="129" t="e">
        <f>ROUND(IF(D49=#REF!,0,IF($H49=$S$6,(C49/1.14975*0.05*0.5),C49/1.14975*0.05)),2)</f>
        <v>#REF!</v>
      </c>
      <c r="F49" s="129" t="e">
        <f>ROUND(IF(D49=#REF!,0,IF($H49=$S$6,C49/1.14975*0.09975*0.5,C49/1.14975*0.09975)),2)</f>
        <v>#REF!</v>
      </c>
      <c r="G49" s="129" t="e">
        <f t="shared" si="28"/>
        <v>#REF!</v>
      </c>
      <c r="J49" s="130">
        <f t="shared" si="29"/>
        <v>0</v>
      </c>
      <c r="K49" s="130">
        <f t="shared" ref="K49:T58" si="35">+IF($H49=K$6,$G49,0)-IF($I49=K$6,$G49,0)</f>
        <v>0</v>
      </c>
      <c r="L49" s="130">
        <f t="shared" si="35"/>
        <v>0</v>
      </c>
      <c r="M49" s="130">
        <f t="shared" si="35"/>
        <v>0</v>
      </c>
      <c r="N49" s="130">
        <f t="shared" si="35"/>
        <v>0</v>
      </c>
      <c r="O49" s="130">
        <f t="shared" si="35"/>
        <v>0</v>
      </c>
      <c r="P49" s="130">
        <f t="shared" si="35"/>
        <v>0</v>
      </c>
      <c r="Q49" s="130">
        <f t="shared" si="35"/>
        <v>0</v>
      </c>
      <c r="R49" s="130">
        <f t="shared" si="35"/>
        <v>0</v>
      </c>
      <c r="S49" s="130">
        <f t="shared" si="35"/>
        <v>0</v>
      </c>
      <c r="T49" s="130">
        <f t="shared" si="35"/>
        <v>0</v>
      </c>
      <c r="U49" s="130">
        <f t="shared" ref="U49:AG58" si="36">+IF($H49=U$6,$G49,0)-IF($I49=U$6,$G49,0)</f>
        <v>0</v>
      </c>
      <c r="V49" s="130">
        <f t="shared" si="36"/>
        <v>0</v>
      </c>
      <c r="W49" s="130">
        <f t="shared" si="36"/>
        <v>0</v>
      </c>
      <c r="X49" s="130">
        <f t="shared" si="36"/>
        <v>0</v>
      </c>
      <c r="Y49" s="130">
        <f t="shared" si="36"/>
        <v>0</v>
      </c>
      <c r="Z49" s="130">
        <f t="shared" si="36"/>
        <v>0</v>
      </c>
      <c r="AA49" s="130">
        <f t="shared" si="36"/>
        <v>0</v>
      </c>
      <c r="AB49" s="130">
        <f t="shared" si="36"/>
        <v>0</v>
      </c>
      <c r="AC49" s="130">
        <f t="shared" si="36"/>
        <v>0</v>
      </c>
      <c r="AD49" s="130">
        <f t="shared" si="36"/>
        <v>0</v>
      </c>
      <c r="AE49" s="130">
        <f t="shared" si="36"/>
        <v>0</v>
      </c>
      <c r="AF49" s="130">
        <f t="shared" si="36"/>
        <v>0</v>
      </c>
      <c r="AG49" s="130">
        <f t="shared" si="36"/>
        <v>0</v>
      </c>
      <c r="AH49" s="130">
        <f t="shared" ref="AH49:AJ68" si="37">+IF($H49=AH$6,$C49,0)-IF($I49=AH$6,$C49,0)</f>
        <v>0</v>
      </c>
      <c r="AI49" s="130">
        <f t="shared" si="37"/>
        <v>0</v>
      </c>
      <c r="AJ49" s="130">
        <f t="shared" si="37"/>
        <v>0</v>
      </c>
      <c r="AK49" s="130">
        <f t="shared" si="30"/>
        <v>0</v>
      </c>
      <c r="AL49" s="130">
        <f t="shared" si="31"/>
        <v>0</v>
      </c>
      <c r="AM49" s="130">
        <f t="shared" si="32"/>
        <v>0</v>
      </c>
      <c r="AN49" s="130">
        <f t="shared" si="33"/>
        <v>0</v>
      </c>
      <c r="AO49" s="130">
        <f t="shared" ref="AO49:BA58" si="38">+IF($H49=AO$6,$G49,0)-IF($I49=AO$6,$G49,0)</f>
        <v>0</v>
      </c>
      <c r="AP49" s="130">
        <f t="shared" si="38"/>
        <v>0</v>
      </c>
      <c r="AQ49" s="130">
        <f t="shared" si="38"/>
        <v>0</v>
      </c>
      <c r="AR49" s="130">
        <f t="shared" si="38"/>
        <v>0</v>
      </c>
      <c r="AS49" s="130">
        <f t="shared" si="38"/>
        <v>0</v>
      </c>
      <c r="AT49" s="130">
        <f t="shared" si="38"/>
        <v>0</v>
      </c>
      <c r="AU49" s="130">
        <f t="shared" si="38"/>
        <v>0</v>
      </c>
      <c r="AV49" s="130">
        <f t="shared" si="38"/>
        <v>0</v>
      </c>
      <c r="AW49" s="130">
        <f t="shared" si="38"/>
        <v>0</v>
      </c>
      <c r="AX49" s="130">
        <f t="shared" si="38"/>
        <v>0</v>
      </c>
      <c r="AY49" s="130">
        <f t="shared" si="38"/>
        <v>0</v>
      </c>
      <c r="AZ49" s="130">
        <f t="shared" si="38"/>
        <v>0</v>
      </c>
      <c r="BA49" s="130">
        <f t="shared" si="38"/>
        <v>0</v>
      </c>
      <c r="BB49" s="130">
        <f t="shared" ref="BB49:BE68" si="39">+IF($H49=BB$6,$C49,0)-IF($I49=BB$6,$C49,0)</f>
        <v>0</v>
      </c>
      <c r="BC49" s="130">
        <f t="shared" si="39"/>
        <v>0</v>
      </c>
      <c r="BD49" s="130">
        <f t="shared" si="39"/>
        <v>0</v>
      </c>
      <c r="BE49" s="130">
        <f t="shared" si="39"/>
        <v>0</v>
      </c>
      <c r="BF49" s="130" t="e">
        <f>+IF($H49=#REF!,$C49,0)-IF($I49=#REF!,$C49,0)</f>
        <v>#REF!</v>
      </c>
      <c r="BG49" s="130" t="e">
        <f>+IF($H49=#REF!,$C49,0)-IF($I49=#REF!,$C49,0)</f>
        <v>#REF!</v>
      </c>
      <c r="BH49" s="130" t="e">
        <f>+IF($H49=#REF!,$C49,0)-IF($I49=#REF!,$C49,0)</f>
        <v>#REF!</v>
      </c>
      <c r="BI49" s="130">
        <f t="shared" ref="BI49:BQ58" si="40">+IF($H49=BI$6,$G49,0)-IF($I49=BI$6,$G49,0)</f>
        <v>0</v>
      </c>
      <c r="BJ49" s="130">
        <f t="shared" si="40"/>
        <v>0</v>
      </c>
      <c r="BK49" s="130">
        <f t="shared" si="40"/>
        <v>0</v>
      </c>
      <c r="BL49" s="130">
        <f t="shared" si="40"/>
        <v>0</v>
      </c>
      <c r="BM49" s="130">
        <f t="shared" si="40"/>
        <v>0</v>
      </c>
      <c r="BN49" s="130">
        <f t="shared" si="40"/>
        <v>0</v>
      </c>
      <c r="BO49" s="130">
        <f t="shared" si="40"/>
        <v>0</v>
      </c>
      <c r="BP49" s="130">
        <f t="shared" si="40"/>
        <v>0</v>
      </c>
      <c r="BQ49" s="130">
        <f t="shared" si="40"/>
        <v>0</v>
      </c>
      <c r="BR49" s="130" t="e">
        <f t="shared" si="34"/>
        <v>#REF!</v>
      </c>
    </row>
    <row r="50" spans="2:70" s="119" customFormat="1" x14ac:dyDescent="0.2">
      <c r="B50" s="128"/>
      <c r="C50" s="129"/>
      <c r="D50" s="129"/>
      <c r="E50" s="129" t="e">
        <f>ROUND(IF(D50=#REF!,0,IF($H50=$S$6,(C50/1.14975*0.05*0.5),C50/1.14975*0.05)),2)</f>
        <v>#REF!</v>
      </c>
      <c r="F50" s="129" t="e">
        <f>ROUND(IF(D50=#REF!,0,IF($H50=$S$6,C50/1.14975*0.09975*0.5,C50/1.14975*0.09975)),2)</f>
        <v>#REF!</v>
      </c>
      <c r="G50" s="129" t="e">
        <f t="shared" si="28"/>
        <v>#REF!</v>
      </c>
      <c r="J50" s="130">
        <f t="shared" si="29"/>
        <v>0</v>
      </c>
      <c r="K50" s="130">
        <f t="shared" si="35"/>
        <v>0</v>
      </c>
      <c r="L50" s="130">
        <f t="shared" si="35"/>
        <v>0</v>
      </c>
      <c r="M50" s="130">
        <f t="shared" si="35"/>
        <v>0</v>
      </c>
      <c r="N50" s="130">
        <f t="shared" si="35"/>
        <v>0</v>
      </c>
      <c r="O50" s="130">
        <f t="shared" si="35"/>
        <v>0</v>
      </c>
      <c r="P50" s="130">
        <f t="shared" si="35"/>
        <v>0</v>
      </c>
      <c r="Q50" s="130">
        <f t="shared" si="35"/>
        <v>0</v>
      </c>
      <c r="R50" s="130">
        <f t="shared" si="35"/>
        <v>0</v>
      </c>
      <c r="S50" s="130">
        <f t="shared" si="35"/>
        <v>0</v>
      </c>
      <c r="T50" s="130">
        <f t="shared" si="35"/>
        <v>0</v>
      </c>
      <c r="U50" s="130">
        <f t="shared" si="36"/>
        <v>0</v>
      </c>
      <c r="V50" s="130">
        <f t="shared" si="36"/>
        <v>0</v>
      </c>
      <c r="W50" s="130">
        <f t="shared" si="36"/>
        <v>0</v>
      </c>
      <c r="X50" s="130">
        <f t="shared" si="36"/>
        <v>0</v>
      </c>
      <c r="Y50" s="130">
        <f t="shared" si="36"/>
        <v>0</v>
      </c>
      <c r="Z50" s="130">
        <f t="shared" si="36"/>
        <v>0</v>
      </c>
      <c r="AA50" s="130">
        <f t="shared" si="36"/>
        <v>0</v>
      </c>
      <c r="AB50" s="130">
        <f t="shared" si="36"/>
        <v>0</v>
      </c>
      <c r="AC50" s="130">
        <f t="shared" si="36"/>
        <v>0</v>
      </c>
      <c r="AD50" s="130">
        <f t="shared" si="36"/>
        <v>0</v>
      </c>
      <c r="AE50" s="130">
        <f t="shared" si="36"/>
        <v>0</v>
      </c>
      <c r="AF50" s="130">
        <f t="shared" si="36"/>
        <v>0</v>
      </c>
      <c r="AG50" s="130">
        <f t="shared" si="36"/>
        <v>0</v>
      </c>
      <c r="AH50" s="130">
        <f t="shared" si="37"/>
        <v>0</v>
      </c>
      <c r="AI50" s="130">
        <f t="shared" si="37"/>
        <v>0</v>
      </c>
      <c r="AJ50" s="130">
        <f t="shared" si="37"/>
        <v>0</v>
      </c>
      <c r="AK50" s="130">
        <f t="shared" si="30"/>
        <v>0</v>
      </c>
      <c r="AL50" s="130">
        <f t="shared" si="31"/>
        <v>0</v>
      </c>
      <c r="AM50" s="130">
        <f t="shared" si="32"/>
        <v>0</v>
      </c>
      <c r="AN50" s="130">
        <f t="shared" si="33"/>
        <v>0</v>
      </c>
      <c r="AO50" s="130">
        <f t="shared" si="38"/>
        <v>0</v>
      </c>
      <c r="AP50" s="130">
        <f t="shared" si="38"/>
        <v>0</v>
      </c>
      <c r="AQ50" s="130">
        <f t="shared" si="38"/>
        <v>0</v>
      </c>
      <c r="AR50" s="130">
        <f t="shared" si="38"/>
        <v>0</v>
      </c>
      <c r="AS50" s="130">
        <f t="shared" si="38"/>
        <v>0</v>
      </c>
      <c r="AT50" s="130">
        <f t="shared" si="38"/>
        <v>0</v>
      </c>
      <c r="AU50" s="130">
        <f t="shared" si="38"/>
        <v>0</v>
      </c>
      <c r="AV50" s="130">
        <f t="shared" si="38"/>
        <v>0</v>
      </c>
      <c r="AW50" s="130">
        <f t="shared" si="38"/>
        <v>0</v>
      </c>
      <c r="AX50" s="130">
        <f t="shared" si="38"/>
        <v>0</v>
      </c>
      <c r="AY50" s="130">
        <f t="shared" si="38"/>
        <v>0</v>
      </c>
      <c r="AZ50" s="130">
        <f t="shared" si="38"/>
        <v>0</v>
      </c>
      <c r="BA50" s="130">
        <f t="shared" si="38"/>
        <v>0</v>
      </c>
      <c r="BB50" s="130">
        <f t="shared" si="39"/>
        <v>0</v>
      </c>
      <c r="BC50" s="130">
        <f t="shared" si="39"/>
        <v>0</v>
      </c>
      <c r="BD50" s="130">
        <f t="shared" si="39"/>
        <v>0</v>
      </c>
      <c r="BE50" s="130">
        <f t="shared" si="39"/>
        <v>0</v>
      </c>
      <c r="BF50" s="130" t="e">
        <f>+IF($H50=#REF!,$C50,0)-IF($I50=#REF!,$C50,0)</f>
        <v>#REF!</v>
      </c>
      <c r="BG50" s="130" t="e">
        <f>+IF($H50=#REF!,$C50,0)-IF($I50=#REF!,$C50,0)</f>
        <v>#REF!</v>
      </c>
      <c r="BH50" s="130" t="e">
        <f>+IF($H50=#REF!,$C50,0)-IF($I50=#REF!,$C50,0)</f>
        <v>#REF!</v>
      </c>
      <c r="BI50" s="130">
        <f t="shared" si="40"/>
        <v>0</v>
      </c>
      <c r="BJ50" s="130">
        <f t="shared" si="40"/>
        <v>0</v>
      </c>
      <c r="BK50" s="130">
        <f t="shared" si="40"/>
        <v>0</v>
      </c>
      <c r="BL50" s="130">
        <f t="shared" si="40"/>
        <v>0</v>
      </c>
      <c r="BM50" s="130">
        <f t="shared" si="40"/>
        <v>0</v>
      </c>
      <c r="BN50" s="130">
        <f t="shared" si="40"/>
        <v>0</v>
      </c>
      <c r="BO50" s="130">
        <f t="shared" si="40"/>
        <v>0</v>
      </c>
      <c r="BP50" s="130">
        <f t="shared" si="40"/>
        <v>0</v>
      </c>
      <c r="BQ50" s="130">
        <f t="shared" si="40"/>
        <v>0</v>
      </c>
      <c r="BR50" s="130" t="e">
        <f t="shared" si="34"/>
        <v>#REF!</v>
      </c>
    </row>
    <row r="51" spans="2:70" s="119" customFormat="1" x14ac:dyDescent="0.2">
      <c r="B51" s="128"/>
      <c r="C51" s="129"/>
      <c r="D51" s="129"/>
      <c r="E51" s="129" t="e">
        <f>ROUND(IF(D51=#REF!,0,IF($H51=$S$6,(C51/1.14975*0.05*0.5),C51/1.14975*0.05)),2)</f>
        <v>#REF!</v>
      </c>
      <c r="F51" s="129" t="e">
        <f>ROUND(IF(D51=#REF!,0,IF($H51=$S$6,C51/1.14975*0.09975*0.5,C51/1.14975*0.09975)),2)</f>
        <v>#REF!</v>
      </c>
      <c r="G51" s="129" t="e">
        <f t="shared" si="28"/>
        <v>#REF!</v>
      </c>
      <c r="J51" s="130">
        <f t="shared" si="29"/>
        <v>0</v>
      </c>
      <c r="K51" s="130">
        <f t="shared" si="35"/>
        <v>0</v>
      </c>
      <c r="L51" s="130">
        <f t="shared" si="35"/>
        <v>0</v>
      </c>
      <c r="M51" s="130">
        <f t="shared" si="35"/>
        <v>0</v>
      </c>
      <c r="N51" s="130">
        <f t="shared" si="35"/>
        <v>0</v>
      </c>
      <c r="O51" s="130">
        <f t="shared" si="35"/>
        <v>0</v>
      </c>
      <c r="P51" s="130">
        <f t="shared" si="35"/>
        <v>0</v>
      </c>
      <c r="Q51" s="130">
        <f t="shared" si="35"/>
        <v>0</v>
      </c>
      <c r="R51" s="130">
        <f t="shared" si="35"/>
        <v>0</v>
      </c>
      <c r="S51" s="130">
        <f t="shared" si="35"/>
        <v>0</v>
      </c>
      <c r="T51" s="130">
        <f t="shared" si="35"/>
        <v>0</v>
      </c>
      <c r="U51" s="130">
        <f t="shared" si="36"/>
        <v>0</v>
      </c>
      <c r="V51" s="130">
        <f t="shared" si="36"/>
        <v>0</v>
      </c>
      <c r="W51" s="130">
        <f t="shared" si="36"/>
        <v>0</v>
      </c>
      <c r="X51" s="130">
        <f t="shared" si="36"/>
        <v>0</v>
      </c>
      <c r="Y51" s="130">
        <f t="shared" si="36"/>
        <v>0</v>
      </c>
      <c r="Z51" s="130">
        <f t="shared" si="36"/>
        <v>0</v>
      </c>
      <c r="AA51" s="130">
        <f t="shared" si="36"/>
        <v>0</v>
      </c>
      <c r="AB51" s="130">
        <f t="shared" si="36"/>
        <v>0</v>
      </c>
      <c r="AC51" s="130">
        <f t="shared" si="36"/>
        <v>0</v>
      </c>
      <c r="AD51" s="130">
        <f t="shared" si="36"/>
        <v>0</v>
      </c>
      <c r="AE51" s="130">
        <f t="shared" si="36"/>
        <v>0</v>
      </c>
      <c r="AF51" s="130">
        <f t="shared" si="36"/>
        <v>0</v>
      </c>
      <c r="AG51" s="130">
        <f t="shared" si="36"/>
        <v>0</v>
      </c>
      <c r="AH51" s="130">
        <f t="shared" si="37"/>
        <v>0</v>
      </c>
      <c r="AI51" s="130">
        <f t="shared" si="37"/>
        <v>0</v>
      </c>
      <c r="AJ51" s="130">
        <f t="shared" si="37"/>
        <v>0</v>
      </c>
      <c r="AK51" s="130">
        <f t="shared" si="30"/>
        <v>0</v>
      </c>
      <c r="AL51" s="130">
        <f t="shared" si="31"/>
        <v>0</v>
      </c>
      <c r="AM51" s="130">
        <f t="shared" si="32"/>
        <v>0</v>
      </c>
      <c r="AN51" s="130">
        <f t="shared" si="33"/>
        <v>0</v>
      </c>
      <c r="AO51" s="130">
        <f t="shared" si="38"/>
        <v>0</v>
      </c>
      <c r="AP51" s="130">
        <f t="shared" si="38"/>
        <v>0</v>
      </c>
      <c r="AQ51" s="130">
        <f t="shared" si="38"/>
        <v>0</v>
      </c>
      <c r="AR51" s="130">
        <f t="shared" si="38"/>
        <v>0</v>
      </c>
      <c r="AS51" s="130">
        <f t="shared" si="38"/>
        <v>0</v>
      </c>
      <c r="AT51" s="130">
        <f t="shared" si="38"/>
        <v>0</v>
      </c>
      <c r="AU51" s="130">
        <f t="shared" si="38"/>
        <v>0</v>
      </c>
      <c r="AV51" s="130">
        <f t="shared" si="38"/>
        <v>0</v>
      </c>
      <c r="AW51" s="130">
        <f t="shared" si="38"/>
        <v>0</v>
      </c>
      <c r="AX51" s="130">
        <f t="shared" si="38"/>
        <v>0</v>
      </c>
      <c r="AY51" s="130">
        <f t="shared" si="38"/>
        <v>0</v>
      </c>
      <c r="AZ51" s="130">
        <f t="shared" si="38"/>
        <v>0</v>
      </c>
      <c r="BA51" s="130">
        <f t="shared" si="38"/>
        <v>0</v>
      </c>
      <c r="BB51" s="130">
        <f t="shared" si="39"/>
        <v>0</v>
      </c>
      <c r="BC51" s="130">
        <f t="shared" si="39"/>
        <v>0</v>
      </c>
      <c r="BD51" s="130">
        <f t="shared" si="39"/>
        <v>0</v>
      </c>
      <c r="BE51" s="130">
        <f t="shared" si="39"/>
        <v>0</v>
      </c>
      <c r="BF51" s="130" t="e">
        <f>+IF($H51=#REF!,$C51,0)-IF($I51=#REF!,$C51,0)</f>
        <v>#REF!</v>
      </c>
      <c r="BG51" s="130" t="e">
        <f>+IF($H51=#REF!,$C51,0)-IF($I51=#REF!,$C51,0)</f>
        <v>#REF!</v>
      </c>
      <c r="BH51" s="130" t="e">
        <f>+IF($H51=#REF!,$C51,0)-IF($I51=#REF!,$C51,0)</f>
        <v>#REF!</v>
      </c>
      <c r="BI51" s="130">
        <f t="shared" si="40"/>
        <v>0</v>
      </c>
      <c r="BJ51" s="130">
        <f t="shared" si="40"/>
        <v>0</v>
      </c>
      <c r="BK51" s="130">
        <f t="shared" si="40"/>
        <v>0</v>
      </c>
      <c r="BL51" s="130">
        <f t="shared" si="40"/>
        <v>0</v>
      </c>
      <c r="BM51" s="130">
        <f t="shared" si="40"/>
        <v>0</v>
      </c>
      <c r="BN51" s="130">
        <f t="shared" si="40"/>
        <v>0</v>
      </c>
      <c r="BO51" s="130">
        <f t="shared" si="40"/>
        <v>0</v>
      </c>
      <c r="BP51" s="130">
        <f t="shared" si="40"/>
        <v>0</v>
      </c>
      <c r="BQ51" s="130">
        <f t="shared" si="40"/>
        <v>0</v>
      </c>
      <c r="BR51" s="130" t="e">
        <f t="shared" si="34"/>
        <v>#REF!</v>
      </c>
    </row>
    <row r="52" spans="2:70" s="119" customFormat="1" x14ac:dyDescent="0.2">
      <c r="B52" s="128"/>
      <c r="C52" s="129"/>
      <c r="D52" s="129"/>
      <c r="E52" s="129" t="e">
        <f>ROUND(IF(D52=#REF!,0,IF($H52=$S$6,(C52/1.14975*0.05*0.5),C52/1.14975*0.05)),2)</f>
        <v>#REF!</v>
      </c>
      <c r="F52" s="129" t="e">
        <f>ROUND(IF(D52=#REF!,0,IF($H52=$S$6,C52/1.14975*0.09975*0.5,C52/1.14975*0.09975)),2)</f>
        <v>#REF!</v>
      </c>
      <c r="G52" s="129" t="e">
        <f t="shared" si="28"/>
        <v>#REF!</v>
      </c>
      <c r="J52" s="130">
        <f t="shared" si="29"/>
        <v>0</v>
      </c>
      <c r="K52" s="130">
        <f t="shared" si="35"/>
        <v>0</v>
      </c>
      <c r="L52" s="130">
        <f t="shared" si="35"/>
        <v>0</v>
      </c>
      <c r="M52" s="130">
        <f t="shared" si="35"/>
        <v>0</v>
      </c>
      <c r="N52" s="130">
        <f t="shared" si="35"/>
        <v>0</v>
      </c>
      <c r="O52" s="130">
        <f t="shared" si="35"/>
        <v>0</v>
      </c>
      <c r="P52" s="130">
        <f t="shared" si="35"/>
        <v>0</v>
      </c>
      <c r="Q52" s="130">
        <f t="shared" si="35"/>
        <v>0</v>
      </c>
      <c r="R52" s="130">
        <f t="shared" si="35"/>
        <v>0</v>
      </c>
      <c r="S52" s="130">
        <f t="shared" si="35"/>
        <v>0</v>
      </c>
      <c r="T52" s="130">
        <f t="shared" si="35"/>
        <v>0</v>
      </c>
      <c r="U52" s="130">
        <f t="shared" si="36"/>
        <v>0</v>
      </c>
      <c r="V52" s="130">
        <f t="shared" si="36"/>
        <v>0</v>
      </c>
      <c r="W52" s="130">
        <f t="shared" si="36"/>
        <v>0</v>
      </c>
      <c r="X52" s="130">
        <f t="shared" si="36"/>
        <v>0</v>
      </c>
      <c r="Y52" s="130">
        <f t="shared" si="36"/>
        <v>0</v>
      </c>
      <c r="Z52" s="130">
        <f t="shared" si="36"/>
        <v>0</v>
      </c>
      <c r="AA52" s="130">
        <f t="shared" si="36"/>
        <v>0</v>
      </c>
      <c r="AB52" s="130">
        <f t="shared" si="36"/>
        <v>0</v>
      </c>
      <c r="AC52" s="130">
        <f t="shared" si="36"/>
        <v>0</v>
      </c>
      <c r="AD52" s="130">
        <f t="shared" si="36"/>
        <v>0</v>
      </c>
      <c r="AE52" s="130">
        <f t="shared" si="36"/>
        <v>0</v>
      </c>
      <c r="AF52" s="130">
        <f t="shared" si="36"/>
        <v>0</v>
      </c>
      <c r="AG52" s="130">
        <f t="shared" si="36"/>
        <v>0</v>
      </c>
      <c r="AH52" s="130">
        <f t="shared" si="37"/>
        <v>0</v>
      </c>
      <c r="AI52" s="130">
        <f t="shared" si="37"/>
        <v>0</v>
      </c>
      <c r="AJ52" s="130">
        <f t="shared" si="37"/>
        <v>0</v>
      </c>
      <c r="AK52" s="130">
        <f t="shared" si="30"/>
        <v>0</v>
      </c>
      <c r="AL52" s="130">
        <f t="shared" si="31"/>
        <v>0</v>
      </c>
      <c r="AM52" s="130">
        <f t="shared" si="32"/>
        <v>0</v>
      </c>
      <c r="AN52" s="130">
        <f t="shared" si="33"/>
        <v>0</v>
      </c>
      <c r="AO52" s="130">
        <f t="shared" si="38"/>
        <v>0</v>
      </c>
      <c r="AP52" s="130">
        <f t="shared" si="38"/>
        <v>0</v>
      </c>
      <c r="AQ52" s="130">
        <f t="shared" si="38"/>
        <v>0</v>
      </c>
      <c r="AR52" s="130">
        <f t="shared" si="38"/>
        <v>0</v>
      </c>
      <c r="AS52" s="130">
        <f t="shared" si="38"/>
        <v>0</v>
      </c>
      <c r="AT52" s="130">
        <f t="shared" si="38"/>
        <v>0</v>
      </c>
      <c r="AU52" s="130">
        <f t="shared" si="38"/>
        <v>0</v>
      </c>
      <c r="AV52" s="130">
        <f t="shared" si="38"/>
        <v>0</v>
      </c>
      <c r="AW52" s="130">
        <f t="shared" si="38"/>
        <v>0</v>
      </c>
      <c r="AX52" s="130">
        <f t="shared" si="38"/>
        <v>0</v>
      </c>
      <c r="AY52" s="130">
        <f t="shared" si="38"/>
        <v>0</v>
      </c>
      <c r="AZ52" s="130">
        <f t="shared" si="38"/>
        <v>0</v>
      </c>
      <c r="BA52" s="130">
        <f t="shared" si="38"/>
        <v>0</v>
      </c>
      <c r="BB52" s="130">
        <f t="shared" si="39"/>
        <v>0</v>
      </c>
      <c r="BC52" s="130">
        <f t="shared" si="39"/>
        <v>0</v>
      </c>
      <c r="BD52" s="130">
        <f t="shared" si="39"/>
        <v>0</v>
      </c>
      <c r="BE52" s="130">
        <f t="shared" si="39"/>
        <v>0</v>
      </c>
      <c r="BF52" s="130">
        <f>+IF($H52=BF$6,$C52,0)-IF($I52=BF$6,$C52,0)</f>
        <v>0</v>
      </c>
      <c r="BG52" s="130">
        <f>+IF($H52=BG$6,$C52,0)-IF($I52=BG$6,$C52,0)</f>
        <v>0</v>
      </c>
      <c r="BH52" s="130">
        <f>+IF($H52=BH$6,$C52,0)-IF($I52=BH$6,$C52,0)</f>
        <v>0</v>
      </c>
      <c r="BI52" s="130">
        <f t="shared" si="40"/>
        <v>0</v>
      </c>
      <c r="BJ52" s="130">
        <f t="shared" si="40"/>
        <v>0</v>
      </c>
      <c r="BK52" s="130">
        <f t="shared" si="40"/>
        <v>0</v>
      </c>
      <c r="BL52" s="130">
        <f t="shared" si="40"/>
        <v>0</v>
      </c>
      <c r="BM52" s="130">
        <f t="shared" si="40"/>
        <v>0</v>
      </c>
      <c r="BN52" s="130">
        <f t="shared" si="40"/>
        <v>0</v>
      </c>
      <c r="BO52" s="130">
        <f t="shared" si="40"/>
        <v>0</v>
      </c>
      <c r="BP52" s="130">
        <f t="shared" si="40"/>
        <v>0</v>
      </c>
      <c r="BQ52" s="130">
        <f t="shared" si="40"/>
        <v>0</v>
      </c>
      <c r="BR52" s="130">
        <f t="shared" si="34"/>
        <v>0</v>
      </c>
    </row>
    <row r="53" spans="2:70" s="119" customFormat="1" x14ac:dyDescent="0.2">
      <c r="B53" s="128"/>
      <c r="C53" s="129"/>
      <c r="D53" s="129"/>
      <c r="E53" s="129" t="e">
        <f>ROUND(IF(D53=#REF!,0,IF($H53=$S$6,(C53/1.14975*0.05*0.5),C53/1.14975*0.05)),2)</f>
        <v>#REF!</v>
      </c>
      <c r="F53" s="129" t="e">
        <f>ROUND(IF(D53=#REF!,0,IF($H53=$S$6,C53/1.14975*0.09975*0.5,C53/1.14975*0.09975)),2)</f>
        <v>#REF!</v>
      </c>
      <c r="G53" s="129" t="e">
        <f t="shared" si="28"/>
        <v>#REF!</v>
      </c>
      <c r="J53" s="130">
        <f t="shared" si="29"/>
        <v>0</v>
      </c>
      <c r="K53" s="130">
        <f t="shared" si="35"/>
        <v>0</v>
      </c>
      <c r="L53" s="130">
        <f t="shared" si="35"/>
        <v>0</v>
      </c>
      <c r="M53" s="130">
        <f t="shared" si="35"/>
        <v>0</v>
      </c>
      <c r="N53" s="130">
        <f t="shared" si="35"/>
        <v>0</v>
      </c>
      <c r="O53" s="130">
        <f t="shared" si="35"/>
        <v>0</v>
      </c>
      <c r="P53" s="130">
        <f t="shared" si="35"/>
        <v>0</v>
      </c>
      <c r="Q53" s="130">
        <f t="shared" si="35"/>
        <v>0</v>
      </c>
      <c r="R53" s="130">
        <f t="shared" si="35"/>
        <v>0</v>
      </c>
      <c r="S53" s="130">
        <f t="shared" si="35"/>
        <v>0</v>
      </c>
      <c r="T53" s="130">
        <f t="shared" si="35"/>
        <v>0</v>
      </c>
      <c r="U53" s="130">
        <f t="shared" si="36"/>
        <v>0</v>
      </c>
      <c r="V53" s="130">
        <f t="shared" si="36"/>
        <v>0</v>
      </c>
      <c r="W53" s="130">
        <f t="shared" si="36"/>
        <v>0</v>
      </c>
      <c r="X53" s="130">
        <f t="shared" si="36"/>
        <v>0</v>
      </c>
      <c r="Y53" s="130">
        <f t="shared" si="36"/>
        <v>0</v>
      </c>
      <c r="Z53" s="130">
        <f t="shared" si="36"/>
        <v>0</v>
      </c>
      <c r="AA53" s="130">
        <f t="shared" si="36"/>
        <v>0</v>
      </c>
      <c r="AB53" s="130">
        <f t="shared" si="36"/>
        <v>0</v>
      </c>
      <c r="AC53" s="130">
        <f t="shared" si="36"/>
        <v>0</v>
      </c>
      <c r="AD53" s="130">
        <f t="shared" si="36"/>
        <v>0</v>
      </c>
      <c r="AE53" s="130">
        <f t="shared" si="36"/>
        <v>0</v>
      </c>
      <c r="AF53" s="130">
        <f t="shared" si="36"/>
        <v>0</v>
      </c>
      <c r="AG53" s="130">
        <f t="shared" si="36"/>
        <v>0</v>
      </c>
      <c r="AH53" s="130">
        <f t="shared" si="37"/>
        <v>0</v>
      </c>
      <c r="AI53" s="130">
        <f t="shared" si="37"/>
        <v>0</v>
      </c>
      <c r="AJ53" s="130">
        <f t="shared" si="37"/>
        <v>0</v>
      </c>
      <c r="AK53" s="130">
        <f t="shared" si="30"/>
        <v>0</v>
      </c>
      <c r="AL53" s="130">
        <f t="shared" si="31"/>
        <v>0</v>
      </c>
      <c r="AM53" s="130">
        <f t="shared" si="32"/>
        <v>0</v>
      </c>
      <c r="AN53" s="130">
        <f t="shared" si="33"/>
        <v>0</v>
      </c>
      <c r="AO53" s="130">
        <f t="shared" si="38"/>
        <v>0</v>
      </c>
      <c r="AP53" s="130">
        <f t="shared" si="38"/>
        <v>0</v>
      </c>
      <c r="AQ53" s="130">
        <f t="shared" si="38"/>
        <v>0</v>
      </c>
      <c r="AR53" s="130">
        <f t="shared" si="38"/>
        <v>0</v>
      </c>
      <c r="AS53" s="130">
        <f t="shared" si="38"/>
        <v>0</v>
      </c>
      <c r="AT53" s="130">
        <f t="shared" si="38"/>
        <v>0</v>
      </c>
      <c r="AU53" s="130">
        <f t="shared" si="38"/>
        <v>0</v>
      </c>
      <c r="AV53" s="130">
        <f t="shared" si="38"/>
        <v>0</v>
      </c>
      <c r="AW53" s="130">
        <f t="shared" si="38"/>
        <v>0</v>
      </c>
      <c r="AX53" s="130">
        <f t="shared" si="38"/>
        <v>0</v>
      </c>
      <c r="AY53" s="130">
        <f t="shared" si="38"/>
        <v>0</v>
      </c>
      <c r="AZ53" s="130">
        <f t="shared" si="38"/>
        <v>0</v>
      </c>
      <c r="BA53" s="130">
        <f t="shared" si="38"/>
        <v>0</v>
      </c>
      <c r="BB53" s="130">
        <f t="shared" si="39"/>
        <v>0</v>
      </c>
      <c r="BC53" s="130">
        <f t="shared" si="39"/>
        <v>0</v>
      </c>
      <c r="BD53" s="130">
        <f t="shared" si="39"/>
        <v>0</v>
      </c>
      <c r="BE53" s="130">
        <f t="shared" si="39"/>
        <v>0</v>
      </c>
      <c r="BF53" s="130" t="e">
        <f>+IF($H53=#REF!,$C53,0)-IF($I53=#REF!,$C53,0)</f>
        <v>#REF!</v>
      </c>
      <c r="BG53" s="130" t="e">
        <f>+IF($H53=#REF!,$C53,0)-IF($I53=#REF!,$C53,0)</f>
        <v>#REF!</v>
      </c>
      <c r="BH53" s="130" t="e">
        <f>+IF($H53=#REF!,$C53,0)-IF($I53=#REF!,$C53,0)</f>
        <v>#REF!</v>
      </c>
      <c r="BI53" s="130">
        <f t="shared" si="40"/>
        <v>0</v>
      </c>
      <c r="BJ53" s="130">
        <f t="shared" si="40"/>
        <v>0</v>
      </c>
      <c r="BK53" s="130">
        <f t="shared" si="40"/>
        <v>0</v>
      </c>
      <c r="BL53" s="130">
        <f t="shared" si="40"/>
        <v>0</v>
      </c>
      <c r="BM53" s="130">
        <f t="shared" si="40"/>
        <v>0</v>
      </c>
      <c r="BN53" s="130">
        <f t="shared" si="40"/>
        <v>0</v>
      </c>
      <c r="BO53" s="130">
        <f t="shared" si="40"/>
        <v>0</v>
      </c>
      <c r="BP53" s="130">
        <f t="shared" si="40"/>
        <v>0</v>
      </c>
      <c r="BQ53" s="130">
        <f t="shared" si="40"/>
        <v>0</v>
      </c>
      <c r="BR53" s="130" t="e">
        <f t="shared" si="34"/>
        <v>#REF!</v>
      </c>
    </row>
    <row r="54" spans="2:70" s="119" customFormat="1" x14ac:dyDescent="0.2">
      <c r="B54" s="128"/>
      <c r="C54" s="129"/>
      <c r="D54" s="129"/>
      <c r="E54" s="129" t="e">
        <f>ROUND(IF(D54=#REF!,0,IF($H54=$S$6,(C54/1.14975*0.05*0.5),C54/1.14975*0.05)),2)</f>
        <v>#REF!</v>
      </c>
      <c r="F54" s="129" t="e">
        <f>ROUND(IF(D54=#REF!,0,IF($H54=$S$6,C54/1.14975*0.09975*0.5,C54/1.14975*0.09975)),2)</f>
        <v>#REF!</v>
      </c>
      <c r="G54" s="129" t="e">
        <f t="shared" si="28"/>
        <v>#REF!</v>
      </c>
      <c r="J54" s="130">
        <f t="shared" si="29"/>
        <v>0</v>
      </c>
      <c r="K54" s="130">
        <f t="shared" si="35"/>
        <v>0</v>
      </c>
      <c r="L54" s="130">
        <f t="shared" si="35"/>
        <v>0</v>
      </c>
      <c r="M54" s="130">
        <f t="shared" si="35"/>
        <v>0</v>
      </c>
      <c r="N54" s="130">
        <f t="shared" si="35"/>
        <v>0</v>
      </c>
      <c r="O54" s="130">
        <f t="shared" si="35"/>
        <v>0</v>
      </c>
      <c r="P54" s="130">
        <f t="shared" si="35"/>
        <v>0</v>
      </c>
      <c r="Q54" s="130">
        <f t="shared" si="35"/>
        <v>0</v>
      </c>
      <c r="R54" s="130">
        <f t="shared" si="35"/>
        <v>0</v>
      </c>
      <c r="S54" s="130">
        <f t="shared" si="35"/>
        <v>0</v>
      </c>
      <c r="T54" s="130">
        <f t="shared" si="35"/>
        <v>0</v>
      </c>
      <c r="U54" s="130">
        <f t="shared" si="36"/>
        <v>0</v>
      </c>
      <c r="V54" s="130">
        <f t="shared" si="36"/>
        <v>0</v>
      </c>
      <c r="W54" s="130">
        <f t="shared" si="36"/>
        <v>0</v>
      </c>
      <c r="X54" s="130">
        <f t="shared" si="36"/>
        <v>0</v>
      </c>
      <c r="Y54" s="130">
        <f t="shared" si="36"/>
        <v>0</v>
      </c>
      <c r="Z54" s="130">
        <f t="shared" si="36"/>
        <v>0</v>
      </c>
      <c r="AA54" s="130">
        <f t="shared" si="36"/>
        <v>0</v>
      </c>
      <c r="AB54" s="130">
        <f t="shared" si="36"/>
        <v>0</v>
      </c>
      <c r="AC54" s="130">
        <f t="shared" si="36"/>
        <v>0</v>
      </c>
      <c r="AD54" s="130">
        <f t="shared" si="36"/>
        <v>0</v>
      </c>
      <c r="AE54" s="130">
        <f t="shared" si="36"/>
        <v>0</v>
      </c>
      <c r="AF54" s="130">
        <f t="shared" si="36"/>
        <v>0</v>
      </c>
      <c r="AG54" s="130">
        <f t="shared" si="36"/>
        <v>0</v>
      </c>
      <c r="AH54" s="130">
        <f t="shared" si="37"/>
        <v>0</v>
      </c>
      <c r="AI54" s="130">
        <f t="shared" si="37"/>
        <v>0</v>
      </c>
      <c r="AJ54" s="130">
        <f t="shared" si="37"/>
        <v>0</v>
      </c>
      <c r="AK54" s="130">
        <f t="shared" si="30"/>
        <v>0</v>
      </c>
      <c r="AL54" s="130">
        <f t="shared" si="31"/>
        <v>0</v>
      </c>
      <c r="AM54" s="130">
        <f t="shared" si="32"/>
        <v>0</v>
      </c>
      <c r="AN54" s="130">
        <f t="shared" si="33"/>
        <v>0</v>
      </c>
      <c r="AO54" s="130">
        <f t="shared" si="38"/>
        <v>0</v>
      </c>
      <c r="AP54" s="130">
        <f t="shared" si="38"/>
        <v>0</v>
      </c>
      <c r="AQ54" s="130">
        <f t="shared" si="38"/>
        <v>0</v>
      </c>
      <c r="AR54" s="130">
        <f t="shared" si="38"/>
        <v>0</v>
      </c>
      <c r="AS54" s="130">
        <f t="shared" si="38"/>
        <v>0</v>
      </c>
      <c r="AT54" s="130">
        <f t="shared" si="38"/>
        <v>0</v>
      </c>
      <c r="AU54" s="130">
        <f t="shared" si="38"/>
        <v>0</v>
      </c>
      <c r="AV54" s="130">
        <f t="shared" si="38"/>
        <v>0</v>
      </c>
      <c r="AW54" s="130">
        <f t="shared" si="38"/>
        <v>0</v>
      </c>
      <c r="AX54" s="130">
        <f t="shared" si="38"/>
        <v>0</v>
      </c>
      <c r="AY54" s="130">
        <f t="shared" si="38"/>
        <v>0</v>
      </c>
      <c r="AZ54" s="130">
        <f t="shared" si="38"/>
        <v>0</v>
      </c>
      <c r="BA54" s="130">
        <f t="shared" si="38"/>
        <v>0</v>
      </c>
      <c r="BB54" s="130">
        <f t="shared" si="39"/>
        <v>0</v>
      </c>
      <c r="BC54" s="130">
        <f t="shared" si="39"/>
        <v>0</v>
      </c>
      <c r="BD54" s="130">
        <f t="shared" si="39"/>
        <v>0</v>
      </c>
      <c r="BE54" s="130">
        <f t="shared" si="39"/>
        <v>0</v>
      </c>
      <c r="BF54" s="130" t="e">
        <f>+IF($H54=#REF!,$C54,0)-IF($I54=#REF!,$C54,0)</f>
        <v>#REF!</v>
      </c>
      <c r="BG54" s="130" t="e">
        <f>+IF($H54=#REF!,$C54,0)-IF($I54=#REF!,$C54,0)</f>
        <v>#REF!</v>
      </c>
      <c r="BH54" s="130" t="e">
        <f>+IF($H54=#REF!,$C54,0)-IF($I54=#REF!,$C54,0)</f>
        <v>#REF!</v>
      </c>
      <c r="BI54" s="130">
        <f t="shared" si="40"/>
        <v>0</v>
      </c>
      <c r="BJ54" s="130">
        <f t="shared" si="40"/>
        <v>0</v>
      </c>
      <c r="BK54" s="130">
        <f t="shared" si="40"/>
        <v>0</v>
      </c>
      <c r="BL54" s="130">
        <f t="shared" si="40"/>
        <v>0</v>
      </c>
      <c r="BM54" s="130">
        <f t="shared" si="40"/>
        <v>0</v>
      </c>
      <c r="BN54" s="130">
        <f t="shared" si="40"/>
        <v>0</v>
      </c>
      <c r="BO54" s="130">
        <f t="shared" si="40"/>
        <v>0</v>
      </c>
      <c r="BP54" s="130">
        <f t="shared" si="40"/>
        <v>0</v>
      </c>
      <c r="BQ54" s="130">
        <f t="shared" si="40"/>
        <v>0</v>
      </c>
      <c r="BR54" s="130" t="e">
        <f t="shared" si="34"/>
        <v>#REF!</v>
      </c>
    </row>
    <row r="55" spans="2:70" s="119" customFormat="1" x14ac:dyDescent="0.2">
      <c r="B55" s="128"/>
      <c r="C55" s="129"/>
      <c r="D55" s="129"/>
      <c r="E55" s="129" t="e">
        <f>ROUND(IF(D55=#REF!,0,IF($H55=$S$6,(C55/1.14975*0.05*0.5),C55/1.14975*0.05)),2)</f>
        <v>#REF!</v>
      </c>
      <c r="F55" s="129" t="e">
        <f>ROUND(IF(D55=#REF!,0,IF($H55=$S$6,C55/1.14975*0.09975*0.5,C55/1.14975*0.09975)),2)</f>
        <v>#REF!</v>
      </c>
      <c r="G55" s="129" t="e">
        <f t="shared" si="28"/>
        <v>#REF!</v>
      </c>
      <c r="J55" s="130">
        <f t="shared" si="29"/>
        <v>0</v>
      </c>
      <c r="K55" s="130">
        <f t="shared" si="35"/>
        <v>0</v>
      </c>
      <c r="L55" s="130">
        <f t="shared" si="35"/>
        <v>0</v>
      </c>
      <c r="M55" s="130">
        <f t="shared" si="35"/>
        <v>0</v>
      </c>
      <c r="N55" s="130">
        <f t="shared" si="35"/>
        <v>0</v>
      </c>
      <c r="O55" s="130">
        <f t="shared" si="35"/>
        <v>0</v>
      </c>
      <c r="P55" s="130">
        <f t="shared" si="35"/>
        <v>0</v>
      </c>
      <c r="Q55" s="130">
        <f t="shared" si="35"/>
        <v>0</v>
      </c>
      <c r="R55" s="130">
        <f t="shared" si="35"/>
        <v>0</v>
      </c>
      <c r="S55" s="130">
        <f t="shared" si="35"/>
        <v>0</v>
      </c>
      <c r="T55" s="130">
        <f t="shared" si="35"/>
        <v>0</v>
      </c>
      <c r="U55" s="130">
        <f t="shared" si="36"/>
        <v>0</v>
      </c>
      <c r="V55" s="130">
        <f t="shared" si="36"/>
        <v>0</v>
      </c>
      <c r="W55" s="130">
        <f t="shared" si="36"/>
        <v>0</v>
      </c>
      <c r="X55" s="130">
        <f t="shared" si="36"/>
        <v>0</v>
      </c>
      <c r="Y55" s="130">
        <f t="shared" si="36"/>
        <v>0</v>
      </c>
      <c r="Z55" s="130">
        <f t="shared" si="36"/>
        <v>0</v>
      </c>
      <c r="AA55" s="130">
        <f t="shared" si="36"/>
        <v>0</v>
      </c>
      <c r="AB55" s="130">
        <f t="shared" si="36"/>
        <v>0</v>
      </c>
      <c r="AC55" s="130">
        <f t="shared" si="36"/>
        <v>0</v>
      </c>
      <c r="AD55" s="130">
        <f t="shared" si="36"/>
        <v>0</v>
      </c>
      <c r="AE55" s="130">
        <f t="shared" si="36"/>
        <v>0</v>
      </c>
      <c r="AF55" s="130">
        <f t="shared" si="36"/>
        <v>0</v>
      </c>
      <c r="AG55" s="130">
        <f t="shared" si="36"/>
        <v>0</v>
      </c>
      <c r="AH55" s="130">
        <f t="shared" si="37"/>
        <v>0</v>
      </c>
      <c r="AI55" s="130">
        <f t="shared" si="37"/>
        <v>0</v>
      </c>
      <c r="AJ55" s="130">
        <f t="shared" si="37"/>
        <v>0</v>
      </c>
      <c r="AK55" s="130">
        <f t="shared" si="30"/>
        <v>0</v>
      </c>
      <c r="AL55" s="130">
        <f t="shared" si="31"/>
        <v>0</v>
      </c>
      <c r="AM55" s="130">
        <f t="shared" si="32"/>
        <v>0</v>
      </c>
      <c r="AN55" s="130">
        <f t="shared" si="33"/>
        <v>0</v>
      </c>
      <c r="AO55" s="130">
        <f t="shared" si="38"/>
        <v>0</v>
      </c>
      <c r="AP55" s="130">
        <f t="shared" si="38"/>
        <v>0</v>
      </c>
      <c r="AQ55" s="130">
        <f t="shared" si="38"/>
        <v>0</v>
      </c>
      <c r="AR55" s="130">
        <f t="shared" si="38"/>
        <v>0</v>
      </c>
      <c r="AS55" s="130">
        <f t="shared" si="38"/>
        <v>0</v>
      </c>
      <c r="AT55" s="130">
        <f t="shared" si="38"/>
        <v>0</v>
      </c>
      <c r="AU55" s="130">
        <f t="shared" si="38"/>
        <v>0</v>
      </c>
      <c r="AV55" s="130">
        <f t="shared" si="38"/>
        <v>0</v>
      </c>
      <c r="AW55" s="130">
        <f t="shared" si="38"/>
        <v>0</v>
      </c>
      <c r="AX55" s="130">
        <f t="shared" si="38"/>
        <v>0</v>
      </c>
      <c r="AY55" s="130">
        <f t="shared" si="38"/>
        <v>0</v>
      </c>
      <c r="AZ55" s="130">
        <f t="shared" si="38"/>
        <v>0</v>
      </c>
      <c r="BA55" s="130">
        <f t="shared" si="38"/>
        <v>0</v>
      </c>
      <c r="BB55" s="130">
        <f t="shared" si="39"/>
        <v>0</v>
      </c>
      <c r="BC55" s="130">
        <f t="shared" si="39"/>
        <v>0</v>
      </c>
      <c r="BD55" s="130">
        <f t="shared" si="39"/>
        <v>0</v>
      </c>
      <c r="BE55" s="130">
        <f t="shared" si="39"/>
        <v>0</v>
      </c>
      <c r="BF55" s="130" t="e">
        <f>+IF($H55=#REF!,$C55,0)-IF($I55=#REF!,$C55,0)</f>
        <v>#REF!</v>
      </c>
      <c r="BG55" s="130" t="e">
        <f>+IF($H55=#REF!,$C55,0)-IF($I55=#REF!,$C55,0)</f>
        <v>#REF!</v>
      </c>
      <c r="BH55" s="130" t="e">
        <f>+IF($H55=#REF!,$C55,0)-IF($I55=#REF!,$C55,0)</f>
        <v>#REF!</v>
      </c>
      <c r="BI55" s="130">
        <f t="shared" si="40"/>
        <v>0</v>
      </c>
      <c r="BJ55" s="130">
        <f t="shared" si="40"/>
        <v>0</v>
      </c>
      <c r="BK55" s="130">
        <f t="shared" si="40"/>
        <v>0</v>
      </c>
      <c r="BL55" s="130">
        <f t="shared" si="40"/>
        <v>0</v>
      </c>
      <c r="BM55" s="130">
        <f t="shared" si="40"/>
        <v>0</v>
      </c>
      <c r="BN55" s="130">
        <f t="shared" si="40"/>
        <v>0</v>
      </c>
      <c r="BO55" s="130">
        <f t="shared" si="40"/>
        <v>0</v>
      </c>
      <c r="BP55" s="130">
        <f t="shared" si="40"/>
        <v>0</v>
      </c>
      <c r="BQ55" s="130">
        <f t="shared" si="40"/>
        <v>0</v>
      </c>
      <c r="BR55" s="130" t="e">
        <f t="shared" si="34"/>
        <v>#REF!</v>
      </c>
    </row>
    <row r="56" spans="2:70" s="119" customFormat="1" x14ac:dyDescent="0.2">
      <c r="B56" s="128"/>
      <c r="C56" s="129"/>
      <c r="D56" s="129"/>
      <c r="E56" s="129" t="e">
        <f>ROUND(IF(D56=#REF!,0,IF($H56=$S$6,(C56/1.14975*0.05*0.5),C56/1.14975*0.05)),2)</f>
        <v>#REF!</v>
      </c>
      <c r="F56" s="129" t="e">
        <f>ROUND(IF(D56=#REF!,0,IF($H56=$S$6,C56/1.14975*0.09975*0.5,C56/1.14975*0.09975)),2)</f>
        <v>#REF!</v>
      </c>
      <c r="G56" s="129" t="e">
        <f t="shared" si="28"/>
        <v>#REF!</v>
      </c>
      <c r="J56" s="130">
        <f t="shared" si="29"/>
        <v>0</v>
      </c>
      <c r="K56" s="130">
        <f t="shared" si="35"/>
        <v>0</v>
      </c>
      <c r="L56" s="130">
        <f t="shared" si="35"/>
        <v>0</v>
      </c>
      <c r="M56" s="130">
        <f t="shared" si="35"/>
        <v>0</v>
      </c>
      <c r="N56" s="130">
        <f t="shared" si="35"/>
        <v>0</v>
      </c>
      <c r="O56" s="130">
        <f t="shared" si="35"/>
        <v>0</v>
      </c>
      <c r="P56" s="130">
        <f t="shared" si="35"/>
        <v>0</v>
      </c>
      <c r="Q56" s="130">
        <f t="shared" si="35"/>
        <v>0</v>
      </c>
      <c r="R56" s="130">
        <f t="shared" si="35"/>
        <v>0</v>
      </c>
      <c r="S56" s="130">
        <f t="shared" si="35"/>
        <v>0</v>
      </c>
      <c r="T56" s="130">
        <f t="shared" si="35"/>
        <v>0</v>
      </c>
      <c r="U56" s="130">
        <f t="shared" si="36"/>
        <v>0</v>
      </c>
      <c r="V56" s="130">
        <f t="shared" si="36"/>
        <v>0</v>
      </c>
      <c r="W56" s="130">
        <f t="shared" si="36"/>
        <v>0</v>
      </c>
      <c r="X56" s="130">
        <f t="shared" si="36"/>
        <v>0</v>
      </c>
      <c r="Y56" s="130">
        <f t="shared" si="36"/>
        <v>0</v>
      </c>
      <c r="Z56" s="130">
        <f t="shared" si="36"/>
        <v>0</v>
      </c>
      <c r="AA56" s="130">
        <f t="shared" si="36"/>
        <v>0</v>
      </c>
      <c r="AB56" s="130">
        <f t="shared" si="36"/>
        <v>0</v>
      </c>
      <c r="AC56" s="130">
        <f t="shared" si="36"/>
        <v>0</v>
      </c>
      <c r="AD56" s="130">
        <f t="shared" si="36"/>
        <v>0</v>
      </c>
      <c r="AE56" s="130">
        <f t="shared" si="36"/>
        <v>0</v>
      </c>
      <c r="AF56" s="130">
        <f t="shared" si="36"/>
        <v>0</v>
      </c>
      <c r="AG56" s="130">
        <f t="shared" si="36"/>
        <v>0</v>
      </c>
      <c r="AH56" s="130">
        <f t="shared" si="37"/>
        <v>0</v>
      </c>
      <c r="AI56" s="130">
        <f t="shared" si="37"/>
        <v>0</v>
      </c>
      <c r="AJ56" s="130">
        <f t="shared" si="37"/>
        <v>0</v>
      </c>
      <c r="AK56" s="130">
        <f t="shared" si="30"/>
        <v>0</v>
      </c>
      <c r="AL56" s="130">
        <f t="shared" si="31"/>
        <v>0</v>
      </c>
      <c r="AM56" s="130">
        <f t="shared" si="32"/>
        <v>0</v>
      </c>
      <c r="AN56" s="130">
        <f t="shared" si="33"/>
        <v>0</v>
      </c>
      <c r="AO56" s="130">
        <f t="shared" si="38"/>
        <v>0</v>
      </c>
      <c r="AP56" s="130">
        <f t="shared" si="38"/>
        <v>0</v>
      </c>
      <c r="AQ56" s="130">
        <f t="shared" si="38"/>
        <v>0</v>
      </c>
      <c r="AR56" s="130">
        <f t="shared" si="38"/>
        <v>0</v>
      </c>
      <c r="AS56" s="130">
        <f t="shared" si="38"/>
        <v>0</v>
      </c>
      <c r="AT56" s="130">
        <f t="shared" si="38"/>
        <v>0</v>
      </c>
      <c r="AU56" s="130">
        <f t="shared" si="38"/>
        <v>0</v>
      </c>
      <c r="AV56" s="130">
        <f t="shared" si="38"/>
        <v>0</v>
      </c>
      <c r="AW56" s="130">
        <f t="shared" si="38"/>
        <v>0</v>
      </c>
      <c r="AX56" s="130">
        <f t="shared" si="38"/>
        <v>0</v>
      </c>
      <c r="AY56" s="130">
        <f t="shared" si="38"/>
        <v>0</v>
      </c>
      <c r="AZ56" s="130">
        <f t="shared" si="38"/>
        <v>0</v>
      </c>
      <c r="BA56" s="130">
        <f t="shared" si="38"/>
        <v>0</v>
      </c>
      <c r="BB56" s="130">
        <f t="shared" si="39"/>
        <v>0</v>
      </c>
      <c r="BC56" s="130">
        <f t="shared" si="39"/>
        <v>0</v>
      </c>
      <c r="BD56" s="130">
        <f t="shared" si="39"/>
        <v>0</v>
      </c>
      <c r="BE56" s="130">
        <f t="shared" si="39"/>
        <v>0</v>
      </c>
      <c r="BF56" s="130" t="e">
        <f>+IF($H56=#REF!,$C56,0)-IF($I56=#REF!,$C56,0)</f>
        <v>#REF!</v>
      </c>
      <c r="BG56" s="130" t="e">
        <f>+IF($H56=#REF!,$C56,0)-IF($I56=#REF!,$C56,0)</f>
        <v>#REF!</v>
      </c>
      <c r="BH56" s="130" t="e">
        <f>+IF($H56=#REF!,$C56,0)-IF($I56=#REF!,$C56,0)</f>
        <v>#REF!</v>
      </c>
      <c r="BI56" s="130">
        <f t="shared" si="40"/>
        <v>0</v>
      </c>
      <c r="BJ56" s="130">
        <f t="shared" si="40"/>
        <v>0</v>
      </c>
      <c r="BK56" s="130">
        <f t="shared" si="40"/>
        <v>0</v>
      </c>
      <c r="BL56" s="130">
        <f t="shared" si="40"/>
        <v>0</v>
      </c>
      <c r="BM56" s="130">
        <f t="shared" si="40"/>
        <v>0</v>
      </c>
      <c r="BN56" s="130">
        <f t="shared" si="40"/>
        <v>0</v>
      </c>
      <c r="BO56" s="130">
        <f t="shared" si="40"/>
        <v>0</v>
      </c>
      <c r="BP56" s="130">
        <f t="shared" si="40"/>
        <v>0</v>
      </c>
      <c r="BQ56" s="130">
        <f t="shared" si="40"/>
        <v>0</v>
      </c>
      <c r="BR56" s="130" t="e">
        <f t="shared" si="34"/>
        <v>#REF!</v>
      </c>
    </row>
    <row r="57" spans="2:70" s="119" customFormat="1" x14ac:dyDescent="0.2">
      <c r="B57" s="128"/>
      <c r="C57" s="129"/>
      <c r="D57" s="129"/>
      <c r="E57" s="129" t="e">
        <f>ROUND(IF(D57=#REF!,0,IF($H57=$S$6,(C57/1.14975*0.05*0.5),C57/1.14975*0.05)),2)</f>
        <v>#REF!</v>
      </c>
      <c r="F57" s="129" t="e">
        <f>ROUND(IF(D57=#REF!,0,IF($H57=$S$6,C57/1.14975*0.09975*0.5,C57/1.14975*0.09975)),2)</f>
        <v>#REF!</v>
      </c>
      <c r="G57" s="129" t="e">
        <f t="shared" si="28"/>
        <v>#REF!</v>
      </c>
      <c r="J57" s="130">
        <f t="shared" si="29"/>
        <v>0</v>
      </c>
      <c r="K57" s="130">
        <f t="shared" si="35"/>
        <v>0</v>
      </c>
      <c r="L57" s="130">
        <f t="shared" si="35"/>
        <v>0</v>
      </c>
      <c r="M57" s="130">
        <f t="shared" si="35"/>
        <v>0</v>
      </c>
      <c r="N57" s="130">
        <f t="shared" si="35"/>
        <v>0</v>
      </c>
      <c r="O57" s="130">
        <f t="shared" si="35"/>
        <v>0</v>
      </c>
      <c r="P57" s="130">
        <f t="shared" si="35"/>
        <v>0</v>
      </c>
      <c r="Q57" s="130">
        <f t="shared" si="35"/>
        <v>0</v>
      </c>
      <c r="R57" s="130">
        <f t="shared" si="35"/>
        <v>0</v>
      </c>
      <c r="S57" s="130">
        <f t="shared" si="35"/>
        <v>0</v>
      </c>
      <c r="T57" s="130">
        <f t="shared" si="35"/>
        <v>0</v>
      </c>
      <c r="U57" s="130">
        <f t="shared" si="36"/>
        <v>0</v>
      </c>
      <c r="V57" s="130">
        <f t="shared" si="36"/>
        <v>0</v>
      </c>
      <c r="W57" s="130">
        <f t="shared" si="36"/>
        <v>0</v>
      </c>
      <c r="X57" s="130">
        <f t="shared" si="36"/>
        <v>0</v>
      </c>
      <c r="Y57" s="130">
        <f t="shared" si="36"/>
        <v>0</v>
      </c>
      <c r="Z57" s="130">
        <f t="shared" si="36"/>
        <v>0</v>
      </c>
      <c r="AA57" s="130">
        <f t="shared" si="36"/>
        <v>0</v>
      </c>
      <c r="AB57" s="130">
        <f t="shared" si="36"/>
        <v>0</v>
      </c>
      <c r="AC57" s="130">
        <f t="shared" si="36"/>
        <v>0</v>
      </c>
      <c r="AD57" s="130">
        <f t="shared" si="36"/>
        <v>0</v>
      </c>
      <c r="AE57" s="130">
        <f t="shared" si="36"/>
        <v>0</v>
      </c>
      <c r="AF57" s="130">
        <f t="shared" si="36"/>
        <v>0</v>
      </c>
      <c r="AG57" s="130">
        <f t="shared" si="36"/>
        <v>0</v>
      </c>
      <c r="AH57" s="130">
        <f t="shared" si="37"/>
        <v>0</v>
      </c>
      <c r="AI57" s="130">
        <f t="shared" si="37"/>
        <v>0</v>
      </c>
      <c r="AJ57" s="130">
        <f t="shared" si="37"/>
        <v>0</v>
      </c>
      <c r="AK57" s="130">
        <f t="shared" si="30"/>
        <v>0</v>
      </c>
      <c r="AL57" s="130">
        <f t="shared" si="31"/>
        <v>0</v>
      </c>
      <c r="AM57" s="130">
        <f t="shared" si="32"/>
        <v>0</v>
      </c>
      <c r="AN57" s="130">
        <f t="shared" si="33"/>
        <v>0</v>
      </c>
      <c r="AO57" s="130">
        <f t="shared" si="38"/>
        <v>0</v>
      </c>
      <c r="AP57" s="130">
        <f t="shared" si="38"/>
        <v>0</v>
      </c>
      <c r="AQ57" s="130">
        <f t="shared" si="38"/>
        <v>0</v>
      </c>
      <c r="AR57" s="130">
        <f t="shared" si="38"/>
        <v>0</v>
      </c>
      <c r="AS57" s="130">
        <f t="shared" si="38"/>
        <v>0</v>
      </c>
      <c r="AT57" s="130">
        <f t="shared" si="38"/>
        <v>0</v>
      </c>
      <c r="AU57" s="130">
        <f t="shared" si="38"/>
        <v>0</v>
      </c>
      <c r="AV57" s="130">
        <f t="shared" si="38"/>
        <v>0</v>
      </c>
      <c r="AW57" s="130">
        <f t="shared" si="38"/>
        <v>0</v>
      </c>
      <c r="AX57" s="130">
        <f t="shared" si="38"/>
        <v>0</v>
      </c>
      <c r="AY57" s="130">
        <f t="shared" si="38"/>
        <v>0</v>
      </c>
      <c r="AZ57" s="130">
        <f t="shared" si="38"/>
        <v>0</v>
      </c>
      <c r="BA57" s="130">
        <f t="shared" si="38"/>
        <v>0</v>
      </c>
      <c r="BB57" s="130">
        <f t="shared" si="39"/>
        <v>0</v>
      </c>
      <c r="BC57" s="130">
        <f t="shared" si="39"/>
        <v>0</v>
      </c>
      <c r="BD57" s="130">
        <f t="shared" si="39"/>
        <v>0</v>
      </c>
      <c r="BE57" s="130">
        <f t="shared" si="39"/>
        <v>0</v>
      </c>
      <c r="BF57" s="130" t="e">
        <f>+IF($H57=#REF!,$C57,0)-IF($I57=#REF!,$C57,0)</f>
        <v>#REF!</v>
      </c>
      <c r="BG57" s="130" t="e">
        <f>+IF($H57=#REF!,$C57,0)-IF($I57=#REF!,$C57,0)</f>
        <v>#REF!</v>
      </c>
      <c r="BH57" s="130" t="e">
        <f>+IF($H57=#REF!,$C57,0)-IF($I57=#REF!,$C57,0)</f>
        <v>#REF!</v>
      </c>
      <c r="BI57" s="130">
        <f t="shared" si="40"/>
        <v>0</v>
      </c>
      <c r="BJ57" s="130">
        <f t="shared" si="40"/>
        <v>0</v>
      </c>
      <c r="BK57" s="130">
        <f t="shared" si="40"/>
        <v>0</v>
      </c>
      <c r="BL57" s="130">
        <f t="shared" si="40"/>
        <v>0</v>
      </c>
      <c r="BM57" s="130">
        <f t="shared" si="40"/>
        <v>0</v>
      </c>
      <c r="BN57" s="130">
        <f t="shared" si="40"/>
        <v>0</v>
      </c>
      <c r="BO57" s="130">
        <f t="shared" si="40"/>
        <v>0</v>
      </c>
      <c r="BP57" s="130">
        <f t="shared" si="40"/>
        <v>0</v>
      </c>
      <c r="BQ57" s="130">
        <f t="shared" si="40"/>
        <v>0</v>
      </c>
      <c r="BR57" s="130" t="e">
        <f t="shared" si="34"/>
        <v>#REF!</v>
      </c>
    </row>
    <row r="58" spans="2:70" s="119" customFormat="1" x14ac:dyDescent="0.2">
      <c r="B58" s="128"/>
      <c r="C58" s="129"/>
      <c r="D58" s="129"/>
      <c r="E58" s="129" t="e">
        <f>ROUND(IF(D58=#REF!,0,IF($H58=$S$6,(C58/1.14975*0.05*0.5),C58/1.14975*0.05)),2)</f>
        <v>#REF!</v>
      </c>
      <c r="F58" s="129" t="e">
        <f>ROUND(IF(D58=#REF!,0,IF($H58=$S$6,C58/1.14975*0.09975*0.5,C58/1.14975*0.09975)),2)</f>
        <v>#REF!</v>
      </c>
      <c r="G58" s="129" t="e">
        <f t="shared" si="28"/>
        <v>#REF!</v>
      </c>
      <c r="J58" s="130">
        <f t="shared" si="29"/>
        <v>0</v>
      </c>
      <c r="K58" s="130">
        <f t="shared" si="35"/>
        <v>0</v>
      </c>
      <c r="L58" s="130">
        <f t="shared" si="35"/>
        <v>0</v>
      </c>
      <c r="M58" s="130">
        <f t="shared" si="35"/>
        <v>0</v>
      </c>
      <c r="N58" s="130">
        <f t="shared" si="35"/>
        <v>0</v>
      </c>
      <c r="O58" s="130">
        <f t="shared" si="35"/>
        <v>0</v>
      </c>
      <c r="P58" s="130">
        <f t="shared" si="35"/>
        <v>0</v>
      </c>
      <c r="Q58" s="130">
        <f t="shared" si="35"/>
        <v>0</v>
      </c>
      <c r="R58" s="130">
        <f t="shared" si="35"/>
        <v>0</v>
      </c>
      <c r="S58" s="130">
        <f t="shared" si="35"/>
        <v>0</v>
      </c>
      <c r="T58" s="130">
        <f t="shared" si="35"/>
        <v>0</v>
      </c>
      <c r="U58" s="130">
        <f t="shared" si="36"/>
        <v>0</v>
      </c>
      <c r="V58" s="130">
        <f t="shared" si="36"/>
        <v>0</v>
      </c>
      <c r="W58" s="130">
        <f t="shared" si="36"/>
        <v>0</v>
      </c>
      <c r="X58" s="130">
        <f t="shared" si="36"/>
        <v>0</v>
      </c>
      <c r="Y58" s="130">
        <f t="shared" si="36"/>
        <v>0</v>
      </c>
      <c r="Z58" s="130">
        <f t="shared" si="36"/>
        <v>0</v>
      </c>
      <c r="AA58" s="130">
        <f t="shared" si="36"/>
        <v>0</v>
      </c>
      <c r="AB58" s="130">
        <f t="shared" si="36"/>
        <v>0</v>
      </c>
      <c r="AC58" s="130">
        <f t="shared" si="36"/>
        <v>0</v>
      </c>
      <c r="AD58" s="130">
        <f t="shared" si="36"/>
        <v>0</v>
      </c>
      <c r="AE58" s="130">
        <f t="shared" si="36"/>
        <v>0</v>
      </c>
      <c r="AF58" s="130">
        <f t="shared" si="36"/>
        <v>0</v>
      </c>
      <c r="AG58" s="130">
        <f t="shared" si="36"/>
        <v>0</v>
      </c>
      <c r="AH58" s="130">
        <f t="shared" si="37"/>
        <v>0</v>
      </c>
      <c r="AI58" s="130">
        <f t="shared" si="37"/>
        <v>0</v>
      </c>
      <c r="AJ58" s="130">
        <f t="shared" si="37"/>
        <v>0</v>
      </c>
      <c r="AK58" s="130">
        <f t="shared" si="30"/>
        <v>0</v>
      </c>
      <c r="AL58" s="130">
        <f t="shared" si="31"/>
        <v>0</v>
      </c>
      <c r="AM58" s="130">
        <f t="shared" si="32"/>
        <v>0</v>
      </c>
      <c r="AN58" s="130">
        <f t="shared" si="33"/>
        <v>0</v>
      </c>
      <c r="AO58" s="130">
        <f t="shared" si="38"/>
        <v>0</v>
      </c>
      <c r="AP58" s="130">
        <f t="shared" si="38"/>
        <v>0</v>
      </c>
      <c r="AQ58" s="130">
        <f t="shared" si="38"/>
        <v>0</v>
      </c>
      <c r="AR58" s="130">
        <f t="shared" si="38"/>
        <v>0</v>
      </c>
      <c r="AS58" s="130">
        <f t="shared" si="38"/>
        <v>0</v>
      </c>
      <c r="AT58" s="130">
        <f t="shared" si="38"/>
        <v>0</v>
      </c>
      <c r="AU58" s="130">
        <f t="shared" si="38"/>
        <v>0</v>
      </c>
      <c r="AV58" s="130">
        <f t="shared" si="38"/>
        <v>0</v>
      </c>
      <c r="AW58" s="130">
        <f t="shared" si="38"/>
        <v>0</v>
      </c>
      <c r="AX58" s="130">
        <f t="shared" si="38"/>
        <v>0</v>
      </c>
      <c r="AY58" s="130">
        <f t="shared" si="38"/>
        <v>0</v>
      </c>
      <c r="AZ58" s="130">
        <f t="shared" si="38"/>
        <v>0</v>
      </c>
      <c r="BA58" s="130">
        <f t="shared" si="38"/>
        <v>0</v>
      </c>
      <c r="BB58" s="130">
        <f t="shared" si="39"/>
        <v>0</v>
      </c>
      <c r="BC58" s="130">
        <f t="shared" si="39"/>
        <v>0</v>
      </c>
      <c r="BD58" s="130">
        <f t="shared" si="39"/>
        <v>0</v>
      </c>
      <c r="BE58" s="130">
        <f t="shared" si="39"/>
        <v>0</v>
      </c>
      <c r="BF58" s="130" t="e">
        <f>+IF($H58=#REF!,$C58,0)-IF($I58=#REF!,$C58,0)</f>
        <v>#REF!</v>
      </c>
      <c r="BG58" s="130" t="e">
        <f>+IF($H58=#REF!,$C58,0)-IF($I58=#REF!,$C58,0)</f>
        <v>#REF!</v>
      </c>
      <c r="BH58" s="130" t="e">
        <f>+IF($H58=#REF!,$C58,0)-IF($I58=#REF!,$C58,0)</f>
        <v>#REF!</v>
      </c>
      <c r="BI58" s="130">
        <f t="shared" si="40"/>
        <v>0</v>
      </c>
      <c r="BJ58" s="130">
        <f t="shared" si="40"/>
        <v>0</v>
      </c>
      <c r="BK58" s="130">
        <f t="shared" si="40"/>
        <v>0</v>
      </c>
      <c r="BL58" s="130">
        <f t="shared" si="40"/>
        <v>0</v>
      </c>
      <c r="BM58" s="130">
        <f t="shared" si="40"/>
        <v>0</v>
      </c>
      <c r="BN58" s="130">
        <f t="shared" si="40"/>
        <v>0</v>
      </c>
      <c r="BO58" s="130">
        <f t="shared" si="40"/>
        <v>0</v>
      </c>
      <c r="BP58" s="130">
        <f t="shared" si="40"/>
        <v>0</v>
      </c>
      <c r="BQ58" s="130">
        <f t="shared" si="40"/>
        <v>0</v>
      </c>
      <c r="BR58" s="130" t="e">
        <f t="shared" si="34"/>
        <v>#REF!</v>
      </c>
    </row>
    <row r="59" spans="2:70" s="119" customFormat="1" x14ac:dyDescent="0.2">
      <c r="B59" s="128"/>
      <c r="C59" s="129"/>
      <c r="D59" s="129"/>
      <c r="E59" s="129" t="e">
        <f>ROUND(IF(D59=#REF!,0,IF($H59=$S$6,(C59/1.14975*0.05*0.5),C59/1.14975*0.05)),2)</f>
        <v>#REF!</v>
      </c>
      <c r="F59" s="129" t="e">
        <f>ROUND(IF(D59=#REF!,0,IF($H59=$S$6,C59/1.14975*0.09975*0.5,C59/1.14975*0.09975)),2)</f>
        <v>#REF!</v>
      </c>
      <c r="G59" s="129" t="e">
        <f t="shared" si="28"/>
        <v>#REF!</v>
      </c>
      <c r="J59" s="130">
        <f t="shared" si="29"/>
        <v>0</v>
      </c>
      <c r="K59" s="130">
        <f t="shared" ref="K59:T68" si="41">+IF($H59=K$6,$G59,0)-IF($I59=K$6,$G59,0)</f>
        <v>0</v>
      </c>
      <c r="L59" s="130">
        <f t="shared" si="41"/>
        <v>0</v>
      </c>
      <c r="M59" s="130">
        <f t="shared" si="41"/>
        <v>0</v>
      </c>
      <c r="N59" s="130">
        <f t="shared" si="41"/>
        <v>0</v>
      </c>
      <c r="O59" s="130">
        <f t="shared" si="41"/>
        <v>0</v>
      </c>
      <c r="P59" s="130">
        <f t="shared" si="41"/>
        <v>0</v>
      </c>
      <c r="Q59" s="130">
        <f t="shared" si="41"/>
        <v>0</v>
      </c>
      <c r="R59" s="130">
        <f t="shared" si="41"/>
        <v>0</v>
      </c>
      <c r="S59" s="130">
        <f t="shared" si="41"/>
        <v>0</v>
      </c>
      <c r="T59" s="130">
        <f t="shared" si="41"/>
        <v>0</v>
      </c>
      <c r="U59" s="130">
        <f t="shared" ref="U59:AG68" si="42">+IF($H59=U$6,$G59,0)-IF($I59=U$6,$G59,0)</f>
        <v>0</v>
      </c>
      <c r="V59" s="130">
        <f t="shared" si="42"/>
        <v>0</v>
      </c>
      <c r="W59" s="130">
        <f t="shared" si="42"/>
        <v>0</v>
      </c>
      <c r="X59" s="130">
        <f t="shared" si="42"/>
        <v>0</v>
      </c>
      <c r="Y59" s="130">
        <f t="shared" si="42"/>
        <v>0</v>
      </c>
      <c r="Z59" s="130">
        <f t="shared" si="42"/>
        <v>0</v>
      </c>
      <c r="AA59" s="130">
        <f t="shared" si="42"/>
        <v>0</v>
      </c>
      <c r="AB59" s="130">
        <f t="shared" si="42"/>
        <v>0</v>
      </c>
      <c r="AC59" s="130">
        <f t="shared" si="42"/>
        <v>0</v>
      </c>
      <c r="AD59" s="130">
        <f t="shared" si="42"/>
        <v>0</v>
      </c>
      <c r="AE59" s="130">
        <f t="shared" si="42"/>
        <v>0</v>
      </c>
      <c r="AF59" s="130">
        <f t="shared" si="42"/>
        <v>0</v>
      </c>
      <c r="AG59" s="130">
        <f t="shared" si="42"/>
        <v>0</v>
      </c>
      <c r="AH59" s="130">
        <f t="shared" si="37"/>
        <v>0</v>
      </c>
      <c r="AI59" s="130">
        <f t="shared" si="37"/>
        <v>0</v>
      </c>
      <c r="AJ59" s="130">
        <f t="shared" si="37"/>
        <v>0</v>
      </c>
      <c r="AK59" s="130">
        <f t="shared" si="30"/>
        <v>0</v>
      </c>
      <c r="AL59" s="130">
        <f t="shared" si="31"/>
        <v>0</v>
      </c>
      <c r="AM59" s="130">
        <f t="shared" si="32"/>
        <v>0</v>
      </c>
      <c r="AN59" s="130">
        <f t="shared" si="33"/>
        <v>0</v>
      </c>
      <c r="AO59" s="130">
        <f t="shared" ref="AO59:BA68" si="43">+IF($H59=AO$6,$G59,0)-IF($I59=AO$6,$G59,0)</f>
        <v>0</v>
      </c>
      <c r="AP59" s="130">
        <f t="shared" si="43"/>
        <v>0</v>
      </c>
      <c r="AQ59" s="130">
        <f t="shared" si="43"/>
        <v>0</v>
      </c>
      <c r="AR59" s="130">
        <f t="shared" si="43"/>
        <v>0</v>
      </c>
      <c r="AS59" s="130">
        <f t="shared" si="43"/>
        <v>0</v>
      </c>
      <c r="AT59" s="130">
        <f t="shared" si="43"/>
        <v>0</v>
      </c>
      <c r="AU59" s="130">
        <f t="shared" si="43"/>
        <v>0</v>
      </c>
      <c r="AV59" s="130">
        <f t="shared" si="43"/>
        <v>0</v>
      </c>
      <c r="AW59" s="130">
        <f t="shared" si="43"/>
        <v>0</v>
      </c>
      <c r="AX59" s="130">
        <f t="shared" si="43"/>
        <v>0</v>
      </c>
      <c r="AY59" s="130">
        <f t="shared" si="43"/>
        <v>0</v>
      </c>
      <c r="AZ59" s="130">
        <f t="shared" si="43"/>
        <v>0</v>
      </c>
      <c r="BA59" s="130">
        <f t="shared" si="43"/>
        <v>0</v>
      </c>
      <c r="BB59" s="130">
        <f t="shared" si="39"/>
        <v>0</v>
      </c>
      <c r="BC59" s="130">
        <f t="shared" si="39"/>
        <v>0</v>
      </c>
      <c r="BD59" s="130">
        <f t="shared" si="39"/>
        <v>0</v>
      </c>
      <c r="BE59" s="130">
        <f t="shared" si="39"/>
        <v>0</v>
      </c>
      <c r="BF59" s="130" t="e">
        <f>+IF($H59=#REF!,$C59,0)-IF($I59=#REF!,$C59,0)</f>
        <v>#REF!</v>
      </c>
      <c r="BG59" s="130" t="e">
        <f>+IF($H59=#REF!,$C59,0)-IF($I59=#REF!,$C59,0)</f>
        <v>#REF!</v>
      </c>
      <c r="BH59" s="130" t="e">
        <f>+IF($H59=#REF!,$C59,0)-IF($I59=#REF!,$C59,0)</f>
        <v>#REF!</v>
      </c>
      <c r="BI59" s="130">
        <f t="shared" ref="BI59:BQ68" si="44">+IF($H59=BI$6,$G59,0)-IF($I59=BI$6,$G59,0)</f>
        <v>0</v>
      </c>
      <c r="BJ59" s="130">
        <f t="shared" si="44"/>
        <v>0</v>
      </c>
      <c r="BK59" s="130">
        <f t="shared" si="44"/>
        <v>0</v>
      </c>
      <c r="BL59" s="130">
        <f t="shared" si="44"/>
        <v>0</v>
      </c>
      <c r="BM59" s="130">
        <f t="shared" si="44"/>
        <v>0</v>
      </c>
      <c r="BN59" s="130">
        <f t="shared" si="44"/>
        <v>0</v>
      </c>
      <c r="BO59" s="130">
        <f t="shared" si="44"/>
        <v>0</v>
      </c>
      <c r="BP59" s="130">
        <f t="shared" si="44"/>
        <v>0</v>
      </c>
      <c r="BQ59" s="130">
        <f t="shared" si="44"/>
        <v>0</v>
      </c>
      <c r="BR59" s="130" t="e">
        <f t="shared" si="34"/>
        <v>#REF!</v>
      </c>
    </row>
    <row r="60" spans="2:70" s="119" customFormat="1" x14ac:dyDescent="0.2">
      <c r="B60" s="128"/>
      <c r="C60" s="129"/>
      <c r="D60" s="129"/>
      <c r="E60" s="129" t="e">
        <f>ROUND(IF(D60=#REF!,0,IF($H60=$S$6,(C60/1.14975*0.05*0.5),C60/1.14975*0.05)),2)</f>
        <v>#REF!</v>
      </c>
      <c r="F60" s="129" t="e">
        <f>ROUND(IF(D60=#REF!,0,IF($H60=$S$6,C60/1.14975*0.09975*0.5,C60/1.14975*0.09975)),2)</f>
        <v>#REF!</v>
      </c>
      <c r="G60" s="129" t="e">
        <f t="shared" si="28"/>
        <v>#REF!</v>
      </c>
      <c r="J60" s="130">
        <f t="shared" si="29"/>
        <v>0</v>
      </c>
      <c r="K60" s="130">
        <f t="shared" si="41"/>
        <v>0</v>
      </c>
      <c r="L60" s="130">
        <f t="shared" si="41"/>
        <v>0</v>
      </c>
      <c r="M60" s="130">
        <f t="shared" si="41"/>
        <v>0</v>
      </c>
      <c r="N60" s="130">
        <f t="shared" si="41"/>
        <v>0</v>
      </c>
      <c r="O60" s="130">
        <f t="shared" si="41"/>
        <v>0</v>
      </c>
      <c r="P60" s="130">
        <f t="shared" si="41"/>
        <v>0</v>
      </c>
      <c r="Q60" s="130">
        <f t="shared" si="41"/>
        <v>0</v>
      </c>
      <c r="R60" s="130">
        <f t="shared" si="41"/>
        <v>0</v>
      </c>
      <c r="S60" s="130">
        <f t="shared" si="41"/>
        <v>0</v>
      </c>
      <c r="T60" s="130">
        <f t="shared" si="41"/>
        <v>0</v>
      </c>
      <c r="U60" s="130">
        <f t="shared" si="42"/>
        <v>0</v>
      </c>
      <c r="V60" s="130">
        <f t="shared" si="42"/>
        <v>0</v>
      </c>
      <c r="W60" s="130">
        <f t="shared" si="42"/>
        <v>0</v>
      </c>
      <c r="X60" s="130">
        <f t="shared" si="42"/>
        <v>0</v>
      </c>
      <c r="Y60" s="130">
        <f t="shared" si="42"/>
        <v>0</v>
      </c>
      <c r="Z60" s="130">
        <f t="shared" si="42"/>
        <v>0</v>
      </c>
      <c r="AA60" s="130">
        <f t="shared" si="42"/>
        <v>0</v>
      </c>
      <c r="AB60" s="130">
        <f t="shared" si="42"/>
        <v>0</v>
      </c>
      <c r="AC60" s="130">
        <f t="shared" si="42"/>
        <v>0</v>
      </c>
      <c r="AD60" s="130">
        <f t="shared" si="42"/>
        <v>0</v>
      </c>
      <c r="AE60" s="130">
        <f t="shared" si="42"/>
        <v>0</v>
      </c>
      <c r="AF60" s="130">
        <f t="shared" si="42"/>
        <v>0</v>
      </c>
      <c r="AG60" s="130">
        <f t="shared" si="42"/>
        <v>0</v>
      </c>
      <c r="AH60" s="130">
        <f t="shared" si="37"/>
        <v>0</v>
      </c>
      <c r="AI60" s="130">
        <f t="shared" si="37"/>
        <v>0</v>
      </c>
      <c r="AJ60" s="130">
        <f t="shared" si="37"/>
        <v>0</v>
      </c>
      <c r="AK60" s="130">
        <f t="shared" si="30"/>
        <v>0</v>
      </c>
      <c r="AL60" s="130">
        <f t="shared" si="31"/>
        <v>0</v>
      </c>
      <c r="AM60" s="130">
        <f t="shared" si="32"/>
        <v>0</v>
      </c>
      <c r="AN60" s="130">
        <f t="shared" si="33"/>
        <v>0</v>
      </c>
      <c r="AO60" s="130">
        <f t="shared" si="43"/>
        <v>0</v>
      </c>
      <c r="AP60" s="130">
        <f t="shared" si="43"/>
        <v>0</v>
      </c>
      <c r="AQ60" s="130">
        <f t="shared" si="43"/>
        <v>0</v>
      </c>
      <c r="AR60" s="130">
        <f t="shared" si="43"/>
        <v>0</v>
      </c>
      <c r="AS60" s="130">
        <f t="shared" si="43"/>
        <v>0</v>
      </c>
      <c r="AT60" s="130">
        <f t="shared" si="43"/>
        <v>0</v>
      </c>
      <c r="AU60" s="130">
        <f t="shared" si="43"/>
        <v>0</v>
      </c>
      <c r="AV60" s="130">
        <f t="shared" si="43"/>
        <v>0</v>
      </c>
      <c r="AW60" s="130">
        <f t="shared" si="43"/>
        <v>0</v>
      </c>
      <c r="AX60" s="130">
        <f t="shared" si="43"/>
        <v>0</v>
      </c>
      <c r="AY60" s="130">
        <f t="shared" si="43"/>
        <v>0</v>
      </c>
      <c r="AZ60" s="130">
        <f t="shared" si="43"/>
        <v>0</v>
      </c>
      <c r="BA60" s="130">
        <f t="shared" si="43"/>
        <v>0</v>
      </c>
      <c r="BB60" s="130">
        <f t="shared" si="39"/>
        <v>0</v>
      </c>
      <c r="BC60" s="130">
        <f t="shared" si="39"/>
        <v>0</v>
      </c>
      <c r="BD60" s="130">
        <f t="shared" si="39"/>
        <v>0</v>
      </c>
      <c r="BE60" s="130">
        <f t="shared" si="39"/>
        <v>0</v>
      </c>
      <c r="BF60" s="130" t="e">
        <f>+IF($H60=#REF!,$C60,0)-IF($I60=#REF!,$C60,0)</f>
        <v>#REF!</v>
      </c>
      <c r="BG60" s="130" t="e">
        <f>+IF($H60=#REF!,$C60,0)-IF($I60=#REF!,$C60,0)</f>
        <v>#REF!</v>
      </c>
      <c r="BH60" s="130" t="e">
        <f>+IF($H60=#REF!,$C60,0)-IF($I60=#REF!,$C60,0)</f>
        <v>#REF!</v>
      </c>
      <c r="BI60" s="130">
        <f t="shared" si="44"/>
        <v>0</v>
      </c>
      <c r="BJ60" s="130">
        <f t="shared" si="44"/>
        <v>0</v>
      </c>
      <c r="BK60" s="130">
        <f t="shared" si="44"/>
        <v>0</v>
      </c>
      <c r="BL60" s="130">
        <f t="shared" si="44"/>
        <v>0</v>
      </c>
      <c r="BM60" s="130">
        <f t="shared" si="44"/>
        <v>0</v>
      </c>
      <c r="BN60" s="130">
        <f t="shared" si="44"/>
        <v>0</v>
      </c>
      <c r="BO60" s="130">
        <f t="shared" si="44"/>
        <v>0</v>
      </c>
      <c r="BP60" s="130">
        <f t="shared" si="44"/>
        <v>0</v>
      </c>
      <c r="BQ60" s="130">
        <f t="shared" si="44"/>
        <v>0</v>
      </c>
      <c r="BR60" s="130" t="e">
        <f t="shared" si="34"/>
        <v>#REF!</v>
      </c>
    </row>
    <row r="61" spans="2:70" s="119" customFormat="1" x14ac:dyDescent="0.2">
      <c r="B61" s="128"/>
      <c r="C61" s="129"/>
      <c r="D61" s="129"/>
      <c r="E61" s="129" t="e">
        <f>ROUND(IF(D61=#REF!,0,IF($H61=$S$6,(C61/1.14975*0.05*0.5),C61/1.14975*0.05)),2)</f>
        <v>#REF!</v>
      </c>
      <c r="F61" s="129" t="e">
        <f>ROUND(IF(D61=#REF!,0,IF($H61=$S$6,C61/1.14975*0.09975*0.5,C61/1.14975*0.09975)),2)</f>
        <v>#REF!</v>
      </c>
      <c r="G61" s="129" t="e">
        <f t="shared" si="28"/>
        <v>#REF!</v>
      </c>
      <c r="J61" s="130">
        <f t="shared" si="29"/>
        <v>0</v>
      </c>
      <c r="K61" s="130">
        <f t="shared" si="41"/>
        <v>0</v>
      </c>
      <c r="L61" s="130">
        <f t="shared" si="41"/>
        <v>0</v>
      </c>
      <c r="M61" s="130">
        <f t="shared" si="41"/>
        <v>0</v>
      </c>
      <c r="N61" s="130">
        <f t="shared" si="41"/>
        <v>0</v>
      </c>
      <c r="O61" s="130">
        <f t="shared" si="41"/>
        <v>0</v>
      </c>
      <c r="P61" s="130">
        <f t="shared" si="41"/>
        <v>0</v>
      </c>
      <c r="Q61" s="130">
        <f t="shared" si="41"/>
        <v>0</v>
      </c>
      <c r="R61" s="130">
        <f t="shared" si="41"/>
        <v>0</v>
      </c>
      <c r="S61" s="130">
        <f t="shared" si="41"/>
        <v>0</v>
      </c>
      <c r="T61" s="130">
        <f t="shared" si="41"/>
        <v>0</v>
      </c>
      <c r="U61" s="130">
        <f t="shared" si="42"/>
        <v>0</v>
      </c>
      <c r="V61" s="130">
        <f t="shared" si="42"/>
        <v>0</v>
      </c>
      <c r="W61" s="130">
        <f t="shared" si="42"/>
        <v>0</v>
      </c>
      <c r="X61" s="130">
        <f t="shared" si="42"/>
        <v>0</v>
      </c>
      <c r="Y61" s="130">
        <f t="shared" si="42"/>
        <v>0</v>
      </c>
      <c r="Z61" s="130">
        <f t="shared" si="42"/>
        <v>0</v>
      </c>
      <c r="AA61" s="130">
        <f t="shared" si="42"/>
        <v>0</v>
      </c>
      <c r="AB61" s="130">
        <f t="shared" si="42"/>
        <v>0</v>
      </c>
      <c r="AC61" s="130">
        <f t="shared" si="42"/>
        <v>0</v>
      </c>
      <c r="AD61" s="130">
        <f t="shared" si="42"/>
        <v>0</v>
      </c>
      <c r="AE61" s="130">
        <f t="shared" si="42"/>
        <v>0</v>
      </c>
      <c r="AF61" s="130">
        <f t="shared" si="42"/>
        <v>0</v>
      </c>
      <c r="AG61" s="130">
        <f t="shared" si="42"/>
        <v>0</v>
      </c>
      <c r="AH61" s="130">
        <f t="shared" si="37"/>
        <v>0</v>
      </c>
      <c r="AI61" s="130">
        <f t="shared" si="37"/>
        <v>0</v>
      </c>
      <c r="AJ61" s="130">
        <f t="shared" si="37"/>
        <v>0</v>
      </c>
      <c r="AK61" s="130">
        <f t="shared" si="30"/>
        <v>0</v>
      </c>
      <c r="AL61" s="130">
        <f t="shared" si="31"/>
        <v>0</v>
      </c>
      <c r="AM61" s="130">
        <f t="shared" si="32"/>
        <v>0</v>
      </c>
      <c r="AN61" s="130">
        <f t="shared" si="33"/>
        <v>0</v>
      </c>
      <c r="AO61" s="130">
        <f t="shared" si="43"/>
        <v>0</v>
      </c>
      <c r="AP61" s="130">
        <f t="shared" si="43"/>
        <v>0</v>
      </c>
      <c r="AQ61" s="130">
        <f t="shared" si="43"/>
        <v>0</v>
      </c>
      <c r="AR61" s="130">
        <f t="shared" si="43"/>
        <v>0</v>
      </c>
      <c r="AS61" s="130">
        <f t="shared" si="43"/>
        <v>0</v>
      </c>
      <c r="AT61" s="130">
        <f t="shared" si="43"/>
        <v>0</v>
      </c>
      <c r="AU61" s="130">
        <f t="shared" si="43"/>
        <v>0</v>
      </c>
      <c r="AV61" s="130">
        <f t="shared" si="43"/>
        <v>0</v>
      </c>
      <c r="AW61" s="130">
        <f t="shared" si="43"/>
        <v>0</v>
      </c>
      <c r="AX61" s="130">
        <f t="shared" si="43"/>
        <v>0</v>
      </c>
      <c r="AY61" s="130">
        <f t="shared" si="43"/>
        <v>0</v>
      </c>
      <c r="AZ61" s="130">
        <f t="shared" si="43"/>
        <v>0</v>
      </c>
      <c r="BA61" s="130">
        <f t="shared" si="43"/>
        <v>0</v>
      </c>
      <c r="BB61" s="130">
        <f t="shared" si="39"/>
        <v>0</v>
      </c>
      <c r="BC61" s="130">
        <f t="shared" si="39"/>
        <v>0</v>
      </c>
      <c r="BD61" s="130">
        <f t="shared" si="39"/>
        <v>0</v>
      </c>
      <c r="BE61" s="130">
        <f t="shared" si="39"/>
        <v>0</v>
      </c>
      <c r="BF61" s="130" t="e">
        <f>+IF($H61=#REF!,$C61,0)-IF($I61=#REF!,$C61,0)</f>
        <v>#REF!</v>
      </c>
      <c r="BG61" s="130" t="e">
        <f>+IF($H61=#REF!,$C61,0)-IF($I61=#REF!,$C61,0)</f>
        <v>#REF!</v>
      </c>
      <c r="BH61" s="130" t="e">
        <f>+IF($H61=#REF!,$C61,0)-IF($I61=#REF!,$C61,0)</f>
        <v>#REF!</v>
      </c>
      <c r="BI61" s="130">
        <f t="shared" si="44"/>
        <v>0</v>
      </c>
      <c r="BJ61" s="130">
        <f t="shared" si="44"/>
        <v>0</v>
      </c>
      <c r="BK61" s="130">
        <f t="shared" si="44"/>
        <v>0</v>
      </c>
      <c r="BL61" s="130">
        <f t="shared" si="44"/>
        <v>0</v>
      </c>
      <c r="BM61" s="130">
        <f t="shared" si="44"/>
        <v>0</v>
      </c>
      <c r="BN61" s="130">
        <f t="shared" si="44"/>
        <v>0</v>
      </c>
      <c r="BO61" s="130">
        <f t="shared" si="44"/>
        <v>0</v>
      </c>
      <c r="BP61" s="130">
        <f t="shared" si="44"/>
        <v>0</v>
      </c>
      <c r="BQ61" s="130">
        <f t="shared" si="44"/>
        <v>0</v>
      </c>
      <c r="BR61" s="130" t="e">
        <f t="shared" si="34"/>
        <v>#REF!</v>
      </c>
    </row>
    <row r="62" spans="2:70" s="119" customFormat="1" x14ac:dyDescent="0.2">
      <c r="B62" s="128"/>
      <c r="C62" s="129"/>
      <c r="D62" s="129"/>
      <c r="E62" s="129" t="e">
        <f>ROUND(IF(D62=#REF!,0,IF($H62=$S$6,(C62/1.14975*0.05*0.5),C62/1.14975*0.05)),2)</f>
        <v>#REF!</v>
      </c>
      <c r="F62" s="129" t="e">
        <f>ROUND(IF(D62=#REF!,0,IF($H62=$S$6,C62/1.14975*0.09975*0.5,C62/1.14975*0.09975)),2)</f>
        <v>#REF!</v>
      </c>
      <c r="G62" s="129" t="e">
        <f t="shared" si="28"/>
        <v>#REF!</v>
      </c>
      <c r="J62" s="130">
        <f t="shared" si="29"/>
        <v>0</v>
      </c>
      <c r="K62" s="130">
        <f t="shared" si="41"/>
        <v>0</v>
      </c>
      <c r="L62" s="130">
        <f t="shared" si="41"/>
        <v>0</v>
      </c>
      <c r="M62" s="130">
        <f t="shared" si="41"/>
        <v>0</v>
      </c>
      <c r="N62" s="130">
        <f t="shared" si="41"/>
        <v>0</v>
      </c>
      <c r="O62" s="130">
        <f t="shared" si="41"/>
        <v>0</v>
      </c>
      <c r="P62" s="130">
        <f t="shared" si="41"/>
        <v>0</v>
      </c>
      <c r="Q62" s="130">
        <f t="shared" si="41"/>
        <v>0</v>
      </c>
      <c r="R62" s="130">
        <f t="shared" si="41"/>
        <v>0</v>
      </c>
      <c r="S62" s="130">
        <f t="shared" si="41"/>
        <v>0</v>
      </c>
      <c r="T62" s="130">
        <f t="shared" si="41"/>
        <v>0</v>
      </c>
      <c r="U62" s="130">
        <f t="shared" si="42"/>
        <v>0</v>
      </c>
      <c r="V62" s="130">
        <f t="shared" si="42"/>
        <v>0</v>
      </c>
      <c r="W62" s="130">
        <f t="shared" si="42"/>
        <v>0</v>
      </c>
      <c r="X62" s="130">
        <f t="shared" si="42"/>
        <v>0</v>
      </c>
      <c r="Y62" s="130">
        <f t="shared" si="42"/>
        <v>0</v>
      </c>
      <c r="Z62" s="130">
        <f t="shared" si="42"/>
        <v>0</v>
      </c>
      <c r="AA62" s="130">
        <f t="shared" si="42"/>
        <v>0</v>
      </c>
      <c r="AB62" s="130">
        <f t="shared" si="42"/>
        <v>0</v>
      </c>
      <c r="AC62" s="130">
        <f t="shared" si="42"/>
        <v>0</v>
      </c>
      <c r="AD62" s="130">
        <f t="shared" si="42"/>
        <v>0</v>
      </c>
      <c r="AE62" s="130">
        <f t="shared" si="42"/>
        <v>0</v>
      </c>
      <c r="AF62" s="130">
        <f t="shared" si="42"/>
        <v>0</v>
      </c>
      <c r="AG62" s="130">
        <f t="shared" si="42"/>
        <v>0</v>
      </c>
      <c r="AH62" s="130">
        <f t="shared" si="37"/>
        <v>0</v>
      </c>
      <c r="AI62" s="130">
        <f t="shared" si="37"/>
        <v>0</v>
      </c>
      <c r="AJ62" s="130">
        <f t="shared" si="37"/>
        <v>0</v>
      </c>
      <c r="AK62" s="130">
        <f t="shared" si="30"/>
        <v>0</v>
      </c>
      <c r="AL62" s="130">
        <f t="shared" si="31"/>
        <v>0</v>
      </c>
      <c r="AM62" s="130">
        <f t="shared" si="32"/>
        <v>0</v>
      </c>
      <c r="AN62" s="130">
        <f t="shared" si="33"/>
        <v>0</v>
      </c>
      <c r="AO62" s="130">
        <f t="shared" si="43"/>
        <v>0</v>
      </c>
      <c r="AP62" s="130">
        <f t="shared" si="43"/>
        <v>0</v>
      </c>
      <c r="AQ62" s="130">
        <f t="shared" si="43"/>
        <v>0</v>
      </c>
      <c r="AR62" s="130">
        <f t="shared" si="43"/>
        <v>0</v>
      </c>
      <c r="AS62" s="130">
        <f t="shared" si="43"/>
        <v>0</v>
      </c>
      <c r="AT62" s="130">
        <f t="shared" si="43"/>
        <v>0</v>
      </c>
      <c r="AU62" s="130">
        <f t="shared" si="43"/>
        <v>0</v>
      </c>
      <c r="AV62" s="130">
        <f t="shared" si="43"/>
        <v>0</v>
      </c>
      <c r="AW62" s="130">
        <f t="shared" si="43"/>
        <v>0</v>
      </c>
      <c r="AX62" s="130">
        <f t="shared" si="43"/>
        <v>0</v>
      </c>
      <c r="AY62" s="130">
        <f t="shared" si="43"/>
        <v>0</v>
      </c>
      <c r="AZ62" s="130">
        <f t="shared" si="43"/>
        <v>0</v>
      </c>
      <c r="BA62" s="130">
        <f t="shared" si="43"/>
        <v>0</v>
      </c>
      <c r="BB62" s="130">
        <f t="shared" si="39"/>
        <v>0</v>
      </c>
      <c r="BC62" s="130">
        <f t="shared" si="39"/>
        <v>0</v>
      </c>
      <c r="BD62" s="130">
        <f t="shared" si="39"/>
        <v>0</v>
      </c>
      <c r="BE62" s="130">
        <f t="shared" si="39"/>
        <v>0</v>
      </c>
      <c r="BF62" s="130" t="e">
        <f>+IF($H62=#REF!,$C62,0)-IF($I62=#REF!,$C62,0)</f>
        <v>#REF!</v>
      </c>
      <c r="BG62" s="130" t="e">
        <f>+IF($H62=#REF!,$C62,0)-IF($I62=#REF!,$C62,0)</f>
        <v>#REF!</v>
      </c>
      <c r="BH62" s="130" t="e">
        <f>+IF($H62=#REF!,$C62,0)-IF($I62=#REF!,$C62,0)</f>
        <v>#REF!</v>
      </c>
      <c r="BI62" s="130">
        <f t="shared" si="44"/>
        <v>0</v>
      </c>
      <c r="BJ62" s="130">
        <f t="shared" si="44"/>
        <v>0</v>
      </c>
      <c r="BK62" s="130">
        <f t="shared" si="44"/>
        <v>0</v>
      </c>
      <c r="BL62" s="130">
        <f t="shared" si="44"/>
        <v>0</v>
      </c>
      <c r="BM62" s="130">
        <f t="shared" si="44"/>
        <v>0</v>
      </c>
      <c r="BN62" s="130">
        <f t="shared" si="44"/>
        <v>0</v>
      </c>
      <c r="BO62" s="130">
        <f t="shared" si="44"/>
        <v>0</v>
      </c>
      <c r="BP62" s="130">
        <f t="shared" si="44"/>
        <v>0</v>
      </c>
      <c r="BQ62" s="130">
        <f t="shared" si="44"/>
        <v>0</v>
      </c>
      <c r="BR62" s="130" t="e">
        <f t="shared" si="34"/>
        <v>#REF!</v>
      </c>
    </row>
    <row r="63" spans="2:70" s="119" customFormat="1" x14ac:dyDescent="0.2">
      <c r="B63" s="128"/>
      <c r="C63" s="129"/>
      <c r="D63" s="129"/>
      <c r="E63" s="129" t="e">
        <f>ROUND(IF(D63=#REF!,0,IF($H63=$S$6,(C63/1.14975*0.05*0.5),C63/1.14975*0.05)),2)</f>
        <v>#REF!</v>
      </c>
      <c r="F63" s="129" t="e">
        <f>ROUND(IF(D63=#REF!,0,IF($H63=$S$6,C63/1.14975*0.09975*0.5,C63/1.14975*0.09975)),2)</f>
        <v>#REF!</v>
      </c>
      <c r="G63" s="129" t="e">
        <f t="shared" si="28"/>
        <v>#REF!</v>
      </c>
      <c r="J63" s="130">
        <f t="shared" si="29"/>
        <v>0</v>
      </c>
      <c r="K63" s="130">
        <f t="shared" si="41"/>
        <v>0</v>
      </c>
      <c r="L63" s="130">
        <f t="shared" si="41"/>
        <v>0</v>
      </c>
      <c r="M63" s="130">
        <f t="shared" si="41"/>
        <v>0</v>
      </c>
      <c r="N63" s="130">
        <f t="shared" si="41"/>
        <v>0</v>
      </c>
      <c r="O63" s="130">
        <f t="shared" si="41"/>
        <v>0</v>
      </c>
      <c r="P63" s="130">
        <f t="shared" si="41"/>
        <v>0</v>
      </c>
      <c r="Q63" s="130">
        <f t="shared" si="41"/>
        <v>0</v>
      </c>
      <c r="R63" s="130">
        <f t="shared" si="41"/>
        <v>0</v>
      </c>
      <c r="S63" s="130">
        <f t="shared" si="41"/>
        <v>0</v>
      </c>
      <c r="T63" s="130">
        <f t="shared" si="41"/>
        <v>0</v>
      </c>
      <c r="U63" s="130">
        <f t="shared" si="42"/>
        <v>0</v>
      </c>
      <c r="V63" s="130">
        <f t="shared" si="42"/>
        <v>0</v>
      </c>
      <c r="W63" s="130">
        <f t="shared" si="42"/>
        <v>0</v>
      </c>
      <c r="X63" s="130">
        <f t="shared" si="42"/>
        <v>0</v>
      </c>
      <c r="Y63" s="130">
        <f t="shared" si="42"/>
        <v>0</v>
      </c>
      <c r="Z63" s="130">
        <f t="shared" si="42"/>
        <v>0</v>
      </c>
      <c r="AA63" s="130">
        <f t="shared" si="42"/>
        <v>0</v>
      </c>
      <c r="AB63" s="130">
        <f t="shared" si="42"/>
        <v>0</v>
      </c>
      <c r="AC63" s="130">
        <f t="shared" si="42"/>
        <v>0</v>
      </c>
      <c r="AD63" s="130">
        <f t="shared" si="42"/>
        <v>0</v>
      </c>
      <c r="AE63" s="130">
        <f t="shared" si="42"/>
        <v>0</v>
      </c>
      <c r="AF63" s="130">
        <f t="shared" si="42"/>
        <v>0</v>
      </c>
      <c r="AG63" s="130">
        <f t="shared" si="42"/>
        <v>0</v>
      </c>
      <c r="AH63" s="130">
        <f t="shared" si="37"/>
        <v>0</v>
      </c>
      <c r="AI63" s="130">
        <f t="shared" si="37"/>
        <v>0</v>
      </c>
      <c r="AJ63" s="130">
        <f t="shared" si="37"/>
        <v>0</v>
      </c>
      <c r="AK63" s="130">
        <f t="shared" si="30"/>
        <v>0</v>
      </c>
      <c r="AL63" s="130">
        <f t="shared" si="31"/>
        <v>0</v>
      </c>
      <c r="AM63" s="130">
        <f t="shared" si="32"/>
        <v>0</v>
      </c>
      <c r="AN63" s="130">
        <f t="shared" si="33"/>
        <v>0</v>
      </c>
      <c r="AO63" s="130">
        <f t="shared" si="43"/>
        <v>0</v>
      </c>
      <c r="AP63" s="130">
        <f t="shared" si="43"/>
        <v>0</v>
      </c>
      <c r="AQ63" s="130">
        <f t="shared" si="43"/>
        <v>0</v>
      </c>
      <c r="AR63" s="130">
        <f t="shared" si="43"/>
        <v>0</v>
      </c>
      <c r="AS63" s="130">
        <f t="shared" si="43"/>
        <v>0</v>
      </c>
      <c r="AT63" s="130">
        <f t="shared" si="43"/>
        <v>0</v>
      </c>
      <c r="AU63" s="130">
        <f t="shared" si="43"/>
        <v>0</v>
      </c>
      <c r="AV63" s="130">
        <f t="shared" si="43"/>
        <v>0</v>
      </c>
      <c r="AW63" s="130">
        <f t="shared" si="43"/>
        <v>0</v>
      </c>
      <c r="AX63" s="130">
        <f t="shared" si="43"/>
        <v>0</v>
      </c>
      <c r="AY63" s="130">
        <f t="shared" si="43"/>
        <v>0</v>
      </c>
      <c r="AZ63" s="130">
        <f t="shared" si="43"/>
        <v>0</v>
      </c>
      <c r="BA63" s="130">
        <f t="shared" si="43"/>
        <v>0</v>
      </c>
      <c r="BB63" s="130">
        <f t="shared" si="39"/>
        <v>0</v>
      </c>
      <c r="BC63" s="130">
        <f t="shared" si="39"/>
        <v>0</v>
      </c>
      <c r="BD63" s="130">
        <f t="shared" si="39"/>
        <v>0</v>
      </c>
      <c r="BE63" s="130">
        <f t="shared" si="39"/>
        <v>0</v>
      </c>
      <c r="BF63" s="130" t="e">
        <f>+IF($H63=#REF!,$C63,0)-IF($I63=#REF!,$C63,0)</f>
        <v>#REF!</v>
      </c>
      <c r="BG63" s="130" t="e">
        <f>+IF($H63=#REF!,$C63,0)-IF($I63=#REF!,$C63,0)</f>
        <v>#REF!</v>
      </c>
      <c r="BH63" s="130" t="e">
        <f>+IF($H63=#REF!,$C63,0)-IF($I63=#REF!,$C63,0)</f>
        <v>#REF!</v>
      </c>
      <c r="BI63" s="130">
        <f t="shared" si="44"/>
        <v>0</v>
      </c>
      <c r="BJ63" s="130">
        <f t="shared" si="44"/>
        <v>0</v>
      </c>
      <c r="BK63" s="130">
        <f t="shared" si="44"/>
        <v>0</v>
      </c>
      <c r="BL63" s="130">
        <f t="shared" si="44"/>
        <v>0</v>
      </c>
      <c r="BM63" s="130">
        <f t="shared" si="44"/>
        <v>0</v>
      </c>
      <c r="BN63" s="130">
        <f t="shared" si="44"/>
        <v>0</v>
      </c>
      <c r="BO63" s="130">
        <f t="shared" si="44"/>
        <v>0</v>
      </c>
      <c r="BP63" s="130">
        <f t="shared" si="44"/>
        <v>0</v>
      </c>
      <c r="BQ63" s="130">
        <f t="shared" si="44"/>
        <v>0</v>
      </c>
      <c r="BR63" s="130" t="e">
        <f t="shared" si="34"/>
        <v>#REF!</v>
      </c>
    </row>
    <row r="64" spans="2:70" s="119" customFormat="1" x14ac:dyDescent="0.2">
      <c r="B64" s="128"/>
      <c r="C64" s="129"/>
      <c r="D64" s="129"/>
      <c r="E64" s="129" t="e">
        <f>ROUND(IF(D64=#REF!,0,IF($H64=$S$6,(C64/1.14975*0.05*0.5),C64/1.14975*0.05)),2)</f>
        <v>#REF!</v>
      </c>
      <c r="F64" s="129" t="e">
        <f>ROUND(IF(D64=#REF!,0,IF($H64=$S$6,C64/1.14975*0.09975*0.5,C64/1.14975*0.09975)),2)</f>
        <v>#REF!</v>
      </c>
      <c r="G64" s="129" t="e">
        <f t="shared" si="28"/>
        <v>#REF!</v>
      </c>
      <c r="J64" s="130">
        <f t="shared" si="29"/>
        <v>0</v>
      </c>
      <c r="K64" s="130">
        <f t="shared" si="41"/>
        <v>0</v>
      </c>
      <c r="L64" s="130">
        <f t="shared" si="41"/>
        <v>0</v>
      </c>
      <c r="M64" s="130">
        <f t="shared" si="41"/>
        <v>0</v>
      </c>
      <c r="N64" s="130">
        <f t="shared" si="41"/>
        <v>0</v>
      </c>
      <c r="O64" s="130">
        <f t="shared" si="41"/>
        <v>0</v>
      </c>
      <c r="P64" s="130">
        <f t="shared" si="41"/>
        <v>0</v>
      </c>
      <c r="Q64" s="130">
        <f t="shared" si="41"/>
        <v>0</v>
      </c>
      <c r="R64" s="130">
        <f t="shared" si="41"/>
        <v>0</v>
      </c>
      <c r="S64" s="130">
        <f t="shared" si="41"/>
        <v>0</v>
      </c>
      <c r="T64" s="130">
        <f t="shared" si="41"/>
        <v>0</v>
      </c>
      <c r="U64" s="130">
        <f t="shared" si="42"/>
        <v>0</v>
      </c>
      <c r="V64" s="130">
        <f t="shared" si="42"/>
        <v>0</v>
      </c>
      <c r="W64" s="130">
        <f t="shared" si="42"/>
        <v>0</v>
      </c>
      <c r="X64" s="130">
        <f t="shared" si="42"/>
        <v>0</v>
      </c>
      <c r="Y64" s="130">
        <f t="shared" si="42"/>
        <v>0</v>
      </c>
      <c r="Z64" s="130">
        <f t="shared" si="42"/>
        <v>0</v>
      </c>
      <c r="AA64" s="130">
        <f t="shared" si="42"/>
        <v>0</v>
      </c>
      <c r="AB64" s="130">
        <f t="shared" si="42"/>
        <v>0</v>
      </c>
      <c r="AC64" s="130">
        <f t="shared" si="42"/>
        <v>0</v>
      </c>
      <c r="AD64" s="130">
        <f t="shared" si="42"/>
        <v>0</v>
      </c>
      <c r="AE64" s="130">
        <f t="shared" si="42"/>
        <v>0</v>
      </c>
      <c r="AF64" s="130">
        <f t="shared" si="42"/>
        <v>0</v>
      </c>
      <c r="AG64" s="130">
        <f t="shared" si="42"/>
        <v>0</v>
      </c>
      <c r="AH64" s="130">
        <f t="shared" si="37"/>
        <v>0</v>
      </c>
      <c r="AI64" s="130">
        <f t="shared" si="37"/>
        <v>0</v>
      </c>
      <c r="AJ64" s="130">
        <f t="shared" si="37"/>
        <v>0</v>
      </c>
      <c r="AK64" s="130">
        <f t="shared" si="30"/>
        <v>0</v>
      </c>
      <c r="AL64" s="130">
        <f t="shared" si="31"/>
        <v>0</v>
      </c>
      <c r="AM64" s="130">
        <f t="shared" si="32"/>
        <v>0</v>
      </c>
      <c r="AN64" s="130">
        <f t="shared" si="33"/>
        <v>0</v>
      </c>
      <c r="AO64" s="130">
        <f t="shared" si="43"/>
        <v>0</v>
      </c>
      <c r="AP64" s="130">
        <f t="shared" si="43"/>
        <v>0</v>
      </c>
      <c r="AQ64" s="130">
        <f t="shared" si="43"/>
        <v>0</v>
      </c>
      <c r="AR64" s="130">
        <f t="shared" si="43"/>
        <v>0</v>
      </c>
      <c r="AS64" s="130">
        <f t="shared" si="43"/>
        <v>0</v>
      </c>
      <c r="AT64" s="130">
        <f t="shared" si="43"/>
        <v>0</v>
      </c>
      <c r="AU64" s="130">
        <f t="shared" si="43"/>
        <v>0</v>
      </c>
      <c r="AV64" s="130">
        <f t="shared" si="43"/>
        <v>0</v>
      </c>
      <c r="AW64" s="130">
        <f t="shared" si="43"/>
        <v>0</v>
      </c>
      <c r="AX64" s="130">
        <f t="shared" si="43"/>
        <v>0</v>
      </c>
      <c r="AY64" s="130">
        <f t="shared" si="43"/>
        <v>0</v>
      </c>
      <c r="AZ64" s="130">
        <f t="shared" si="43"/>
        <v>0</v>
      </c>
      <c r="BA64" s="130">
        <f t="shared" si="43"/>
        <v>0</v>
      </c>
      <c r="BB64" s="130">
        <f t="shared" si="39"/>
        <v>0</v>
      </c>
      <c r="BC64" s="130">
        <f t="shared" si="39"/>
        <v>0</v>
      </c>
      <c r="BD64" s="130">
        <f t="shared" si="39"/>
        <v>0</v>
      </c>
      <c r="BE64" s="130">
        <f t="shared" si="39"/>
        <v>0</v>
      </c>
      <c r="BF64" s="130" t="e">
        <f>+IF($H64=#REF!,$C64,0)-IF($I64=#REF!,$C64,0)</f>
        <v>#REF!</v>
      </c>
      <c r="BG64" s="130" t="e">
        <f>+IF($H64=#REF!,$C64,0)-IF($I64=#REF!,$C64,0)</f>
        <v>#REF!</v>
      </c>
      <c r="BH64" s="130" t="e">
        <f>+IF($H64=#REF!,$C64,0)-IF($I64=#REF!,$C64,0)</f>
        <v>#REF!</v>
      </c>
      <c r="BI64" s="130">
        <f t="shared" si="44"/>
        <v>0</v>
      </c>
      <c r="BJ64" s="130">
        <f t="shared" si="44"/>
        <v>0</v>
      </c>
      <c r="BK64" s="130">
        <f t="shared" si="44"/>
        <v>0</v>
      </c>
      <c r="BL64" s="130">
        <f t="shared" si="44"/>
        <v>0</v>
      </c>
      <c r="BM64" s="130">
        <f t="shared" si="44"/>
        <v>0</v>
      </c>
      <c r="BN64" s="130">
        <f t="shared" si="44"/>
        <v>0</v>
      </c>
      <c r="BO64" s="130">
        <f t="shared" si="44"/>
        <v>0</v>
      </c>
      <c r="BP64" s="130">
        <f t="shared" si="44"/>
        <v>0</v>
      </c>
      <c r="BQ64" s="130">
        <f t="shared" si="44"/>
        <v>0</v>
      </c>
      <c r="BR64" s="130" t="e">
        <f t="shared" si="34"/>
        <v>#REF!</v>
      </c>
    </row>
    <row r="65" spans="2:70" s="119" customFormat="1" x14ac:dyDescent="0.2">
      <c r="B65" s="128"/>
      <c r="C65" s="129"/>
      <c r="D65" s="129"/>
      <c r="E65" s="129" t="e">
        <f>ROUND(IF(D65=#REF!,0,IF($H65=$S$6,(C65/1.14975*0.05*0.5),C65/1.14975*0.05)),2)</f>
        <v>#REF!</v>
      </c>
      <c r="F65" s="129" t="e">
        <f>ROUND(IF(D65=#REF!,0,IF($H65=$S$6,C65/1.14975*0.09975*0.5,C65/1.14975*0.09975)),2)</f>
        <v>#REF!</v>
      </c>
      <c r="G65" s="129" t="e">
        <f t="shared" si="28"/>
        <v>#REF!</v>
      </c>
      <c r="J65" s="130">
        <f t="shared" si="29"/>
        <v>0</v>
      </c>
      <c r="K65" s="130">
        <f t="shared" si="41"/>
        <v>0</v>
      </c>
      <c r="L65" s="130">
        <f t="shared" si="41"/>
        <v>0</v>
      </c>
      <c r="M65" s="130">
        <f t="shared" si="41"/>
        <v>0</v>
      </c>
      <c r="N65" s="130">
        <f t="shared" si="41"/>
        <v>0</v>
      </c>
      <c r="O65" s="130">
        <f t="shared" si="41"/>
        <v>0</v>
      </c>
      <c r="P65" s="130">
        <f t="shared" si="41"/>
        <v>0</v>
      </c>
      <c r="Q65" s="130">
        <f t="shared" si="41"/>
        <v>0</v>
      </c>
      <c r="R65" s="130">
        <f t="shared" si="41"/>
        <v>0</v>
      </c>
      <c r="S65" s="130">
        <f t="shared" si="41"/>
        <v>0</v>
      </c>
      <c r="T65" s="130">
        <f t="shared" si="41"/>
        <v>0</v>
      </c>
      <c r="U65" s="130">
        <f t="shared" si="42"/>
        <v>0</v>
      </c>
      <c r="V65" s="130">
        <f t="shared" si="42"/>
        <v>0</v>
      </c>
      <c r="W65" s="130">
        <f t="shared" si="42"/>
        <v>0</v>
      </c>
      <c r="X65" s="130">
        <f t="shared" si="42"/>
        <v>0</v>
      </c>
      <c r="Y65" s="130">
        <f t="shared" si="42"/>
        <v>0</v>
      </c>
      <c r="Z65" s="130">
        <f t="shared" si="42"/>
        <v>0</v>
      </c>
      <c r="AA65" s="130">
        <f t="shared" si="42"/>
        <v>0</v>
      </c>
      <c r="AB65" s="130">
        <f t="shared" si="42"/>
        <v>0</v>
      </c>
      <c r="AC65" s="130">
        <f t="shared" si="42"/>
        <v>0</v>
      </c>
      <c r="AD65" s="130">
        <f t="shared" si="42"/>
        <v>0</v>
      </c>
      <c r="AE65" s="130">
        <f t="shared" si="42"/>
        <v>0</v>
      </c>
      <c r="AF65" s="130">
        <f t="shared" si="42"/>
        <v>0</v>
      </c>
      <c r="AG65" s="130">
        <f t="shared" si="42"/>
        <v>0</v>
      </c>
      <c r="AH65" s="130">
        <f t="shared" si="37"/>
        <v>0</v>
      </c>
      <c r="AI65" s="130">
        <f t="shared" si="37"/>
        <v>0</v>
      </c>
      <c r="AJ65" s="130">
        <f t="shared" si="37"/>
        <v>0</v>
      </c>
      <c r="AK65" s="130">
        <f t="shared" si="30"/>
        <v>0</v>
      </c>
      <c r="AL65" s="130">
        <f t="shared" si="31"/>
        <v>0</v>
      </c>
      <c r="AM65" s="130">
        <f t="shared" si="32"/>
        <v>0</v>
      </c>
      <c r="AN65" s="130">
        <f t="shared" si="33"/>
        <v>0</v>
      </c>
      <c r="AO65" s="130">
        <f t="shared" si="43"/>
        <v>0</v>
      </c>
      <c r="AP65" s="130">
        <f t="shared" si="43"/>
        <v>0</v>
      </c>
      <c r="AQ65" s="130">
        <f t="shared" si="43"/>
        <v>0</v>
      </c>
      <c r="AR65" s="130">
        <f t="shared" si="43"/>
        <v>0</v>
      </c>
      <c r="AS65" s="130">
        <f t="shared" si="43"/>
        <v>0</v>
      </c>
      <c r="AT65" s="130">
        <f t="shared" si="43"/>
        <v>0</v>
      </c>
      <c r="AU65" s="130">
        <f t="shared" si="43"/>
        <v>0</v>
      </c>
      <c r="AV65" s="130">
        <f t="shared" si="43"/>
        <v>0</v>
      </c>
      <c r="AW65" s="130">
        <f t="shared" si="43"/>
        <v>0</v>
      </c>
      <c r="AX65" s="130">
        <f t="shared" si="43"/>
        <v>0</v>
      </c>
      <c r="AY65" s="130">
        <f t="shared" si="43"/>
        <v>0</v>
      </c>
      <c r="AZ65" s="130">
        <f t="shared" si="43"/>
        <v>0</v>
      </c>
      <c r="BA65" s="130">
        <f t="shared" si="43"/>
        <v>0</v>
      </c>
      <c r="BB65" s="130">
        <f t="shared" si="39"/>
        <v>0</v>
      </c>
      <c r="BC65" s="130">
        <f t="shared" si="39"/>
        <v>0</v>
      </c>
      <c r="BD65" s="130">
        <f t="shared" si="39"/>
        <v>0</v>
      </c>
      <c r="BE65" s="130">
        <f t="shared" si="39"/>
        <v>0</v>
      </c>
      <c r="BF65" s="130" t="e">
        <f>+IF($H65=#REF!,$C65,0)-IF($I65=#REF!,$C65,0)</f>
        <v>#REF!</v>
      </c>
      <c r="BG65" s="130" t="e">
        <f>+IF($H65=#REF!,$C65,0)-IF($I65=#REF!,$C65,0)</f>
        <v>#REF!</v>
      </c>
      <c r="BH65" s="130" t="e">
        <f>+IF($H65=#REF!,$C65,0)-IF($I65=#REF!,$C65,0)</f>
        <v>#REF!</v>
      </c>
      <c r="BI65" s="130">
        <f t="shared" si="44"/>
        <v>0</v>
      </c>
      <c r="BJ65" s="130">
        <f t="shared" si="44"/>
        <v>0</v>
      </c>
      <c r="BK65" s="130">
        <f t="shared" si="44"/>
        <v>0</v>
      </c>
      <c r="BL65" s="130">
        <f t="shared" si="44"/>
        <v>0</v>
      </c>
      <c r="BM65" s="130">
        <f t="shared" si="44"/>
        <v>0</v>
      </c>
      <c r="BN65" s="130">
        <f t="shared" si="44"/>
        <v>0</v>
      </c>
      <c r="BO65" s="130">
        <f t="shared" si="44"/>
        <v>0</v>
      </c>
      <c r="BP65" s="130">
        <f t="shared" si="44"/>
        <v>0</v>
      </c>
      <c r="BQ65" s="130">
        <f t="shared" si="44"/>
        <v>0</v>
      </c>
      <c r="BR65" s="130" t="e">
        <f t="shared" si="34"/>
        <v>#REF!</v>
      </c>
    </row>
    <row r="66" spans="2:70" s="119" customFormat="1" x14ac:dyDescent="0.2">
      <c r="B66" s="128"/>
      <c r="C66" s="129"/>
      <c r="D66" s="129"/>
      <c r="E66" s="129" t="e">
        <f>ROUND(IF(D66=#REF!,0,IF($H66=$S$6,(C66/1.14975*0.05*0.5),C66/1.14975*0.05)),2)</f>
        <v>#REF!</v>
      </c>
      <c r="F66" s="129" t="e">
        <f>ROUND(IF(D66=#REF!,0,IF($H66=$S$6,C66/1.14975*0.09975*0.5,C66/1.14975*0.09975)),2)</f>
        <v>#REF!</v>
      </c>
      <c r="G66" s="129" t="e">
        <f t="shared" si="28"/>
        <v>#REF!</v>
      </c>
      <c r="J66" s="130">
        <f t="shared" si="29"/>
        <v>0</v>
      </c>
      <c r="K66" s="130">
        <f t="shared" si="41"/>
        <v>0</v>
      </c>
      <c r="L66" s="130">
        <f t="shared" si="41"/>
        <v>0</v>
      </c>
      <c r="M66" s="130">
        <f t="shared" si="41"/>
        <v>0</v>
      </c>
      <c r="N66" s="130">
        <f t="shared" si="41"/>
        <v>0</v>
      </c>
      <c r="O66" s="130">
        <f t="shared" si="41"/>
        <v>0</v>
      </c>
      <c r="P66" s="130">
        <f t="shared" si="41"/>
        <v>0</v>
      </c>
      <c r="Q66" s="130">
        <f t="shared" si="41"/>
        <v>0</v>
      </c>
      <c r="R66" s="130">
        <f t="shared" si="41"/>
        <v>0</v>
      </c>
      <c r="S66" s="130">
        <f t="shared" si="41"/>
        <v>0</v>
      </c>
      <c r="T66" s="130">
        <f t="shared" si="41"/>
        <v>0</v>
      </c>
      <c r="U66" s="130">
        <f t="shared" si="42"/>
        <v>0</v>
      </c>
      <c r="V66" s="130">
        <f t="shared" si="42"/>
        <v>0</v>
      </c>
      <c r="W66" s="130">
        <f t="shared" si="42"/>
        <v>0</v>
      </c>
      <c r="X66" s="130">
        <f t="shared" si="42"/>
        <v>0</v>
      </c>
      <c r="Y66" s="130">
        <f t="shared" si="42"/>
        <v>0</v>
      </c>
      <c r="Z66" s="130">
        <f t="shared" si="42"/>
        <v>0</v>
      </c>
      <c r="AA66" s="130">
        <f t="shared" si="42"/>
        <v>0</v>
      </c>
      <c r="AB66" s="130">
        <f t="shared" si="42"/>
        <v>0</v>
      </c>
      <c r="AC66" s="130">
        <f t="shared" si="42"/>
        <v>0</v>
      </c>
      <c r="AD66" s="130">
        <f t="shared" si="42"/>
        <v>0</v>
      </c>
      <c r="AE66" s="130">
        <f t="shared" si="42"/>
        <v>0</v>
      </c>
      <c r="AF66" s="130">
        <f t="shared" si="42"/>
        <v>0</v>
      </c>
      <c r="AG66" s="130">
        <f t="shared" si="42"/>
        <v>0</v>
      </c>
      <c r="AH66" s="130">
        <f t="shared" si="37"/>
        <v>0</v>
      </c>
      <c r="AI66" s="130">
        <f t="shared" si="37"/>
        <v>0</v>
      </c>
      <c r="AJ66" s="130">
        <f t="shared" si="37"/>
        <v>0</v>
      </c>
      <c r="AK66" s="130">
        <f t="shared" si="30"/>
        <v>0</v>
      </c>
      <c r="AL66" s="130">
        <f t="shared" si="31"/>
        <v>0</v>
      </c>
      <c r="AM66" s="130">
        <f t="shared" si="32"/>
        <v>0</v>
      </c>
      <c r="AN66" s="130">
        <f t="shared" si="33"/>
        <v>0</v>
      </c>
      <c r="AO66" s="130">
        <f t="shared" si="43"/>
        <v>0</v>
      </c>
      <c r="AP66" s="130">
        <f t="shared" si="43"/>
        <v>0</v>
      </c>
      <c r="AQ66" s="130">
        <f t="shared" si="43"/>
        <v>0</v>
      </c>
      <c r="AR66" s="130">
        <f t="shared" si="43"/>
        <v>0</v>
      </c>
      <c r="AS66" s="130">
        <f t="shared" si="43"/>
        <v>0</v>
      </c>
      <c r="AT66" s="130">
        <f t="shared" si="43"/>
        <v>0</v>
      </c>
      <c r="AU66" s="130">
        <f t="shared" si="43"/>
        <v>0</v>
      </c>
      <c r="AV66" s="130">
        <f t="shared" si="43"/>
        <v>0</v>
      </c>
      <c r="AW66" s="130">
        <f t="shared" si="43"/>
        <v>0</v>
      </c>
      <c r="AX66" s="130">
        <f t="shared" si="43"/>
        <v>0</v>
      </c>
      <c r="AY66" s="130">
        <f t="shared" si="43"/>
        <v>0</v>
      </c>
      <c r="AZ66" s="130">
        <f t="shared" si="43"/>
        <v>0</v>
      </c>
      <c r="BA66" s="130">
        <f t="shared" si="43"/>
        <v>0</v>
      </c>
      <c r="BB66" s="130">
        <f t="shared" si="39"/>
        <v>0</v>
      </c>
      <c r="BC66" s="130">
        <f t="shared" si="39"/>
        <v>0</v>
      </c>
      <c r="BD66" s="130">
        <f t="shared" si="39"/>
        <v>0</v>
      </c>
      <c r="BE66" s="130">
        <f t="shared" si="39"/>
        <v>0</v>
      </c>
      <c r="BF66" s="130" t="e">
        <f>+IF($H66=#REF!,$C66,0)-IF($I66=#REF!,$C66,0)</f>
        <v>#REF!</v>
      </c>
      <c r="BG66" s="130" t="e">
        <f>+IF($H66=#REF!,$C66,0)-IF($I66=#REF!,$C66,0)</f>
        <v>#REF!</v>
      </c>
      <c r="BH66" s="130" t="e">
        <f>+IF($H66=#REF!,$C66,0)-IF($I66=#REF!,$C66,0)</f>
        <v>#REF!</v>
      </c>
      <c r="BI66" s="130">
        <f t="shared" si="44"/>
        <v>0</v>
      </c>
      <c r="BJ66" s="130">
        <f t="shared" si="44"/>
        <v>0</v>
      </c>
      <c r="BK66" s="130">
        <f t="shared" si="44"/>
        <v>0</v>
      </c>
      <c r="BL66" s="130">
        <f t="shared" si="44"/>
        <v>0</v>
      </c>
      <c r="BM66" s="130">
        <f t="shared" si="44"/>
        <v>0</v>
      </c>
      <c r="BN66" s="130">
        <f t="shared" si="44"/>
        <v>0</v>
      </c>
      <c r="BO66" s="130">
        <f t="shared" si="44"/>
        <v>0</v>
      </c>
      <c r="BP66" s="130">
        <f t="shared" si="44"/>
        <v>0</v>
      </c>
      <c r="BQ66" s="130">
        <f t="shared" si="44"/>
        <v>0</v>
      </c>
      <c r="BR66" s="130" t="e">
        <f t="shared" si="34"/>
        <v>#REF!</v>
      </c>
    </row>
    <row r="67" spans="2:70" s="119" customFormat="1" x14ac:dyDescent="0.2">
      <c r="B67" s="128"/>
      <c r="C67" s="129"/>
      <c r="D67" s="129"/>
      <c r="E67" s="129" t="e">
        <f>ROUND(IF(D67=#REF!,0,IF($H67=$S$6,(C67/1.14975*0.05*0.5),C67/1.14975*0.05)),2)</f>
        <v>#REF!</v>
      </c>
      <c r="F67" s="129" t="e">
        <f>ROUND(IF(D67=#REF!,0,IF($H67=$S$6,C67/1.14975*0.09975*0.5,C67/1.14975*0.09975)),2)</f>
        <v>#REF!</v>
      </c>
      <c r="G67" s="129" t="e">
        <f t="shared" si="28"/>
        <v>#REF!</v>
      </c>
      <c r="J67" s="130">
        <f t="shared" si="29"/>
        <v>0</v>
      </c>
      <c r="K67" s="130">
        <f t="shared" si="41"/>
        <v>0</v>
      </c>
      <c r="L67" s="130">
        <f t="shared" si="41"/>
        <v>0</v>
      </c>
      <c r="M67" s="130">
        <f t="shared" si="41"/>
        <v>0</v>
      </c>
      <c r="N67" s="130">
        <f t="shared" si="41"/>
        <v>0</v>
      </c>
      <c r="O67" s="130">
        <f t="shared" si="41"/>
        <v>0</v>
      </c>
      <c r="P67" s="130">
        <f t="shared" si="41"/>
        <v>0</v>
      </c>
      <c r="Q67" s="130">
        <f t="shared" si="41"/>
        <v>0</v>
      </c>
      <c r="R67" s="130">
        <f t="shared" si="41"/>
        <v>0</v>
      </c>
      <c r="S67" s="130">
        <f t="shared" si="41"/>
        <v>0</v>
      </c>
      <c r="T67" s="130">
        <f t="shared" si="41"/>
        <v>0</v>
      </c>
      <c r="U67" s="130">
        <f t="shared" si="42"/>
        <v>0</v>
      </c>
      <c r="V67" s="130">
        <f t="shared" si="42"/>
        <v>0</v>
      </c>
      <c r="W67" s="130">
        <f t="shared" si="42"/>
        <v>0</v>
      </c>
      <c r="X67" s="130">
        <f t="shared" si="42"/>
        <v>0</v>
      </c>
      <c r="Y67" s="130">
        <f t="shared" si="42"/>
        <v>0</v>
      </c>
      <c r="Z67" s="130">
        <f t="shared" si="42"/>
        <v>0</v>
      </c>
      <c r="AA67" s="130">
        <f t="shared" si="42"/>
        <v>0</v>
      </c>
      <c r="AB67" s="130">
        <f t="shared" si="42"/>
        <v>0</v>
      </c>
      <c r="AC67" s="130">
        <f t="shared" si="42"/>
        <v>0</v>
      </c>
      <c r="AD67" s="130">
        <f t="shared" si="42"/>
        <v>0</v>
      </c>
      <c r="AE67" s="130">
        <f t="shared" si="42"/>
        <v>0</v>
      </c>
      <c r="AF67" s="130">
        <f t="shared" si="42"/>
        <v>0</v>
      </c>
      <c r="AG67" s="130">
        <f t="shared" si="42"/>
        <v>0</v>
      </c>
      <c r="AH67" s="130">
        <f t="shared" si="37"/>
        <v>0</v>
      </c>
      <c r="AI67" s="130">
        <f t="shared" si="37"/>
        <v>0</v>
      </c>
      <c r="AJ67" s="130">
        <f t="shared" si="37"/>
        <v>0</v>
      </c>
      <c r="AK67" s="130">
        <f t="shared" si="30"/>
        <v>0</v>
      </c>
      <c r="AL67" s="130">
        <f t="shared" si="31"/>
        <v>0</v>
      </c>
      <c r="AM67" s="130">
        <f t="shared" si="32"/>
        <v>0</v>
      </c>
      <c r="AN67" s="130">
        <f t="shared" si="33"/>
        <v>0</v>
      </c>
      <c r="AO67" s="130">
        <f t="shared" si="43"/>
        <v>0</v>
      </c>
      <c r="AP67" s="130">
        <f t="shared" si="43"/>
        <v>0</v>
      </c>
      <c r="AQ67" s="130">
        <f t="shared" si="43"/>
        <v>0</v>
      </c>
      <c r="AR67" s="130">
        <f t="shared" si="43"/>
        <v>0</v>
      </c>
      <c r="AS67" s="130">
        <f t="shared" si="43"/>
        <v>0</v>
      </c>
      <c r="AT67" s="130">
        <f t="shared" si="43"/>
        <v>0</v>
      </c>
      <c r="AU67" s="130">
        <f t="shared" si="43"/>
        <v>0</v>
      </c>
      <c r="AV67" s="130">
        <f t="shared" si="43"/>
        <v>0</v>
      </c>
      <c r="AW67" s="130">
        <f t="shared" si="43"/>
        <v>0</v>
      </c>
      <c r="AX67" s="130">
        <f t="shared" si="43"/>
        <v>0</v>
      </c>
      <c r="AY67" s="130">
        <f t="shared" si="43"/>
        <v>0</v>
      </c>
      <c r="AZ67" s="130">
        <f t="shared" si="43"/>
        <v>0</v>
      </c>
      <c r="BA67" s="130">
        <f t="shared" si="43"/>
        <v>0</v>
      </c>
      <c r="BB67" s="130">
        <f t="shared" si="39"/>
        <v>0</v>
      </c>
      <c r="BC67" s="130">
        <f t="shared" si="39"/>
        <v>0</v>
      </c>
      <c r="BD67" s="130">
        <f t="shared" si="39"/>
        <v>0</v>
      </c>
      <c r="BE67" s="130">
        <f t="shared" si="39"/>
        <v>0</v>
      </c>
      <c r="BF67" s="130" t="e">
        <f>+IF($H67=#REF!,$C67,0)-IF($I67=#REF!,$C67,0)</f>
        <v>#REF!</v>
      </c>
      <c r="BG67" s="130" t="e">
        <f>+IF($H67=#REF!,$C67,0)-IF($I67=#REF!,$C67,0)</f>
        <v>#REF!</v>
      </c>
      <c r="BH67" s="130" t="e">
        <f>+IF($H67=#REF!,$C67,0)-IF($I67=#REF!,$C67,0)</f>
        <v>#REF!</v>
      </c>
      <c r="BI67" s="130">
        <f t="shared" si="44"/>
        <v>0</v>
      </c>
      <c r="BJ67" s="130">
        <f t="shared" si="44"/>
        <v>0</v>
      </c>
      <c r="BK67" s="130">
        <f t="shared" si="44"/>
        <v>0</v>
      </c>
      <c r="BL67" s="130">
        <f t="shared" si="44"/>
        <v>0</v>
      </c>
      <c r="BM67" s="130">
        <f t="shared" si="44"/>
        <v>0</v>
      </c>
      <c r="BN67" s="130">
        <f t="shared" si="44"/>
        <v>0</v>
      </c>
      <c r="BO67" s="130">
        <f t="shared" si="44"/>
        <v>0</v>
      </c>
      <c r="BP67" s="130">
        <f t="shared" si="44"/>
        <v>0</v>
      </c>
      <c r="BQ67" s="130">
        <f t="shared" si="44"/>
        <v>0</v>
      </c>
      <c r="BR67" s="130" t="e">
        <f t="shared" si="34"/>
        <v>#REF!</v>
      </c>
    </row>
    <row r="68" spans="2:70" s="119" customFormat="1" x14ac:dyDescent="0.2">
      <c r="B68" s="128"/>
      <c r="C68" s="129"/>
      <c r="D68" s="129"/>
      <c r="E68" s="129" t="e">
        <f>ROUND(IF(D68=#REF!,0,IF($H68=$S$6,(C68/1.14975*0.05*0.5),C68/1.14975*0.05)),2)</f>
        <v>#REF!</v>
      </c>
      <c r="F68" s="129" t="e">
        <f>ROUND(IF(D68=#REF!,0,IF($H68=$S$6,C68/1.14975*0.09975*0.5,C68/1.14975*0.09975)),2)</f>
        <v>#REF!</v>
      </c>
      <c r="G68" s="129" t="e">
        <f t="shared" si="28"/>
        <v>#REF!</v>
      </c>
      <c r="J68" s="130">
        <f t="shared" si="29"/>
        <v>0</v>
      </c>
      <c r="K68" s="130">
        <f t="shared" si="41"/>
        <v>0</v>
      </c>
      <c r="L68" s="130">
        <f t="shared" si="41"/>
        <v>0</v>
      </c>
      <c r="M68" s="130">
        <f t="shared" si="41"/>
        <v>0</v>
      </c>
      <c r="N68" s="130">
        <f t="shared" si="41"/>
        <v>0</v>
      </c>
      <c r="O68" s="130">
        <f t="shared" si="41"/>
        <v>0</v>
      </c>
      <c r="P68" s="130">
        <f t="shared" si="41"/>
        <v>0</v>
      </c>
      <c r="Q68" s="130">
        <f t="shared" si="41"/>
        <v>0</v>
      </c>
      <c r="R68" s="130">
        <f t="shared" si="41"/>
        <v>0</v>
      </c>
      <c r="S68" s="130">
        <f t="shared" si="41"/>
        <v>0</v>
      </c>
      <c r="T68" s="130">
        <f t="shared" si="41"/>
        <v>0</v>
      </c>
      <c r="U68" s="130">
        <f t="shared" si="42"/>
        <v>0</v>
      </c>
      <c r="V68" s="130">
        <f t="shared" si="42"/>
        <v>0</v>
      </c>
      <c r="W68" s="130">
        <f t="shared" si="42"/>
        <v>0</v>
      </c>
      <c r="X68" s="130">
        <f t="shared" si="42"/>
        <v>0</v>
      </c>
      <c r="Y68" s="130">
        <f t="shared" si="42"/>
        <v>0</v>
      </c>
      <c r="Z68" s="130">
        <f t="shared" si="42"/>
        <v>0</v>
      </c>
      <c r="AA68" s="130">
        <f t="shared" si="42"/>
        <v>0</v>
      </c>
      <c r="AB68" s="130">
        <f t="shared" si="42"/>
        <v>0</v>
      </c>
      <c r="AC68" s="130">
        <f t="shared" si="42"/>
        <v>0</v>
      </c>
      <c r="AD68" s="130">
        <f t="shared" si="42"/>
        <v>0</v>
      </c>
      <c r="AE68" s="130">
        <f t="shared" si="42"/>
        <v>0</v>
      </c>
      <c r="AF68" s="130">
        <f t="shared" si="42"/>
        <v>0</v>
      </c>
      <c r="AG68" s="130">
        <f t="shared" si="42"/>
        <v>0</v>
      </c>
      <c r="AH68" s="130">
        <f t="shared" si="37"/>
        <v>0</v>
      </c>
      <c r="AI68" s="130">
        <f t="shared" si="37"/>
        <v>0</v>
      </c>
      <c r="AJ68" s="130">
        <f t="shared" si="37"/>
        <v>0</v>
      </c>
      <c r="AK68" s="130">
        <f t="shared" si="30"/>
        <v>0</v>
      </c>
      <c r="AL68" s="130">
        <f t="shared" si="31"/>
        <v>0</v>
      </c>
      <c r="AM68" s="130">
        <f t="shared" si="32"/>
        <v>0</v>
      </c>
      <c r="AN68" s="130">
        <f t="shared" si="33"/>
        <v>0</v>
      </c>
      <c r="AO68" s="130">
        <f t="shared" si="43"/>
        <v>0</v>
      </c>
      <c r="AP68" s="130">
        <f t="shared" si="43"/>
        <v>0</v>
      </c>
      <c r="AQ68" s="130">
        <f t="shared" si="43"/>
        <v>0</v>
      </c>
      <c r="AR68" s="130">
        <f t="shared" si="43"/>
        <v>0</v>
      </c>
      <c r="AS68" s="130">
        <f t="shared" si="43"/>
        <v>0</v>
      </c>
      <c r="AT68" s="130">
        <f t="shared" si="43"/>
        <v>0</v>
      </c>
      <c r="AU68" s="130">
        <f t="shared" si="43"/>
        <v>0</v>
      </c>
      <c r="AV68" s="130">
        <f t="shared" si="43"/>
        <v>0</v>
      </c>
      <c r="AW68" s="130">
        <f t="shared" si="43"/>
        <v>0</v>
      </c>
      <c r="AX68" s="130">
        <f t="shared" si="43"/>
        <v>0</v>
      </c>
      <c r="AY68" s="130">
        <f t="shared" si="43"/>
        <v>0</v>
      </c>
      <c r="AZ68" s="130">
        <f t="shared" si="43"/>
        <v>0</v>
      </c>
      <c r="BA68" s="130">
        <f t="shared" si="43"/>
        <v>0</v>
      </c>
      <c r="BB68" s="130">
        <f t="shared" si="39"/>
        <v>0</v>
      </c>
      <c r="BC68" s="130">
        <f t="shared" si="39"/>
        <v>0</v>
      </c>
      <c r="BD68" s="130">
        <f t="shared" si="39"/>
        <v>0</v>
      </c>
      <c r="BE68" s="130">
        <f t="shared" si="39"/>
        <v>0</v>
      </c>
      <c r="BF68" s="130" t="e">
        <f>+IF($H68=#REF!,$C68,0)-IF($I68=#REF!,$C68,0)</f>
        <v>#REF!</v>
      </c>
      <c r="BG68" s="130" t="e">
        <f>+IF($H68=#REF!,$C68,0)-IF($I68=#REF!,$C68,0)</f>
        <v>#REF!</v>
      </c>
      <c r="BH68" s="130" t="e">
        <f>+IF($H68=#REF!,$C68,0)-IF($I68=#REF!,$C68,0)</f>
        <v>#REF!</v>
      </c>
      <c r="BI68" s="130">
        <f t="shared" si="44"/>
        <v>0</v>
      </c>
      <c r="BJ68" s="130">
        <f t="shared" si="44"/>
        <v>0</v>
      </c>
      <c r="BK68" s="130">
        <f t="shared" si="44"/>
        <v>0</v>
      </c>
      <c r="BL68" s="130">
        <f t="shared" si="44"/>
        <v>0</v>
      </c>
      <c r="BM68" s="130">
        <f t="shared" si="44"/>
        <v>0</v>
      </c>
      <c r="BN68" s="130">
        <f t="shared" si="44"/>
        <v>0</v>
      </c>
      <c r="BO68" s="130">
        <f t="shared" si="44"/>
        <v>0</v>
      </c>
      <c r="BP68" s="130">
        <f t="shared" si="44"/>
        <v>0</v>
      </c>
      <c r="BQ68" s="130">
        <f t="shared" si="44"/>
        <v>0</v>
      </c>
      <c r="BR68" s="130" t="e">
        <f t="shared" si="34"/>
        <v>#REF!</v>
      </c>
    </row>
    <row r="69" spans="2:70" s="119" customFormat="1" x14ac:dyDescent="0.2">
      <c r="B69" s="128"/>
      <c r="C69" s="129"/>
      <c r="D69" s="129"/>
      <c r="E69" s="129" t="e">
        <f>ROUND(IF(D69=#REF!,0,IF($H69=$S$6,(C69/1.14975*0.05*0.5),C69/1.14975*0.05)),2)</f>
        <v>#REF!</v>
      </c>
      <c r="F69" s="129" t="e">
        <f>ROUND(IF(D69=#REF!,0,IF($H69=$S$6,C69/1.14975*0.09975*0.5,C69/1.14975*0.09975)),2)</f>
        <v>#REF!</v>
      </c>
      <c r="G69" s="129" t="e">
        <f t="shared" si="28"/>
        <v>#REF!</v>
      </c>
      <c r="J69" s="130">
        <f t="shared" si="29"/>
        <v>0</v>
      </c>
      <c r="K69" s="130">
        <f t="shared" ref="K69:T78" si="45">+IF($H69=K$6,$G69,0)-IF($I69=K$6,$G69,0)</f>
        <v>0</v>
      </c>
      <c r="L69" s="130">
        <f t="shared" si="45"/>
        <v>0</v>
      </c>
      <c r="M69" s="130">
        <f t="shared" si="45"/>
        <v>0</v>
      </c>
      <c r="N69" s="130">
        <f t="shared" si="45"/>
        <v>0</v>
      </c>
      <c r="O69" s="130">
        <f t="shared" si="45"/>
        <v>0</v>
      </c>
      <c r="P69" s="130">
        <f t="shared" si="45"/>
        <v>0</v>
      </c>
      <c r="Q69" s="130">
        <f t="shared" si="45"/>
        <v>0</v>
      </c>
      <c r="R69" s="130">
        <f t="shared" si="45"/>
        <v>0</v>
      </c>
      <c r="S69" s="130">
        <f t="shared" si="45"/>
        <v>0</v>
      </c>
      <c r="T69" s="130">
        <f t="shared" si="45"/>
        <v>0</v>
      </c>
      <c r="U69" s="130">
        <f t="shared" ref="U69:AG78" si="46">+IF($H69=U$6,$G69,0)-IF($I69=U$6,$G69,0)</f>
        <v>0</v>
      </c>
      <c r="V69" s="130">
        <f t="shared" si="46"/>
        <v>0</v>
      </c>
      <c r="W69" s="130">
        <f t="shared" si="46"/>
        <v>0</v>
      </c>
      <c r="X69" s="130">
        <f t="shared" si="46"/>
        <v>0</v>
      </c>
      <c r="Y69" s="130">
        <f t="shared" si="46"/>
        <v>0</v>
      </c>
      <c r="Z69" s="130">
        <f t="shared" si="46"/>
        <v>0</v>
      </c>
      <c r="AA69" s="130">
        <f t="shared" si="46"/>
        <v>0</v>
      </c>
      <c r="AB69" s="130">
        <f t="shared" si="46"/>
        <v>0</v>
      </c>
      <c r="AC69" s="130">
        <f t="shared" si="46"/>
        <v>0</v>
      </c>
      <c r="AD69" s="130">
        <f t="shared" si="46"/>
        <v>0</v>
      </c>
      <c r="AE69" s="130">
        <f t="shared" si="46"/>
        <v>0</v>
      </c>
      <c r="AF69" s="130">
        <f t="shared" si="46"/>
        <v>0</v>
      </c>
      <c r="AG69" s="130">
        <f t="shared" si="46"/>
        <v>0</v>
      </c>
      <c r="AH69" s="130">
        <f t="shared" ref="AH69:AJ88" si="47">+IF($H69=AH$6,$C69,0)-IF($I69=AH$6,$C69,0)</f>
        <v>0</v>
      </c>
      <c r="AI69" s="130">
        <f t="shared" si="47"/>
        <v>0</v>
      </c>
      <c r="AJ69" s="130">
        <f t="shared" si="47"/>
        <v>0</v>
      </c>
      <c r="AK69" s="130">
        <f t="shared" si="30"/>
        <v>0</v>
      </c>
      <c r="AL69" s="130">
        <f t="shared" si="31"/>
        <v>0</v>
      </c>
      <c r="AM69" s="130">
        <f t="shared" si="32"/>
        <v>0</v>
      </c>
      <c r="AN69" s="130">
        <f t="shared" si="33"/>
        <v>0</v>
      </c>
      <c r="AO69" s="130">
        <f t="shared" ref="AO69:BA78" si="48">+IF($H69=AO$6,$G69,0)-IF($I69=AO$6,$G69,0)</f>
        <v>0</v>
      </c>
      <c r="AP69" s="130">
        <f t="shared" si="48"/>
        <v>0</v>
      </c>
      <c r="AQ69" s="130">
        <f t="shared" si="48"/>
        <v>0</v>
      </c>
      <c r="AR69" s="130">
        <f t="shared" si="48"/>
        <v>0</v>
      </c>
      <c r="AS69" s="130">
        <f t="shared" si="48"/>
        <v>0</v>
      </c>
      <c r="AT69" s="130">
        <f t="shared" si="48"/>
        <v>0</v>
      </c>
      <c r="AU69" s="130">
        <f t="shared" si="48"/>
        <v>0</v>
      </c>
      <c r="AV69" s="130">
        <f t="shared" si="48"/>
        <v>0</v>
      </c>
      <c r="AW69" s="130">
        <f t="shared" si="48"/>
        <v>0</v>
      </c>
      <c r="AX69" s="130">
        <f t="shared" si="48"/>
        <v>0</v>
      </c>
      <c r="AY69" s="130">
        <f t="shared" si="48"/>
        <v>0</v>
      </c>
      <c r="AZ69" s="130">
        <f t="shared" si="48"/>
        <v>0</v>
      </c>
      <c r="BA69" s="130">
        <f t="shared" si="48"/>
        <v>0</v>
      </c>
      <c r="BB69" s="130">
        <f t="shared" ref="BB69:BE88" si="49">+IF($H69=BB$6,$C69,0)-IF($I69=BB$6,$C69,0)</f>
        <v>0</v>
      </c>
      <c r="BC69" s="130">
        <f t="shared" si="49"/>
        <v>0</v>
      </c>
      <c r="BD69" s="130">
        <f t="shared" si="49"/>
        <v>0</v>
      </c>
      <c r="BE69" s="130">
        <f t="shared" si="49"/>
        <v>0</v>
      </c>
      <c r="BF69" s="130" t="e">
        <f>+IF($H69=#REF!,$C69,0)-IF($I69=#REF!,$C69,0)</f>
        <v>#REF!</v>
      </c>
      <c r="BG69" s="130" t="e">
        <f>+IF($H69=#REF!,$C69,0)-IF($I69=#REF!,$C69,0)</f>
        <v>#REF!</v>
      </c>
      <c r="BH69" s="130" t="e">
        <f>+IF($H69=#REF!,$C69,0)-IF($I69=#REF!,$C69,0)</f>
        <v>#REF!</v>
      </c>
      <c r="BI69" s="130">
        <f t="shared" ref="BI69:BQ78" si="50">+IF($H69=BI$6,$G69,0)-IF($I69=BI$6,$G69,0)</f>
        <v>0</v>
      </c>
      <c r="BJ69" s="130">
        <f t="shared" si="50"/>
        <v>0</v>
      </c>
      <c r="BK69" s="130">
        <f t="shared" si="50"/>
        <v>0</v>
      </c>
      <c r="BL69" s="130">
        <f t="shared" si="50"/>
        <v>0</v>
      </c>
      <c r="BM69" s="130">
        <f t="shared" si="50"/>
        <v>0</v>
      </c>
      <c r="BN69" s="130">
        <f t="shared" si="50"/>
        <v>0</v>
      </c>
      <c r="BO69" s="130">
        <f t="shared" si="50"/>
        <v>0</v>
      </c>
      <c r="BP69" s="130">
        <f t="shared" si="50"/>
        <v>0</v>
      </c>
      <c r="BQ69" s="130">
        <f t="shared" si="50"/>
        <v>0</v>
      </c>
      <c r="BR69" s="130" t="e">
        <f t="shared" si="34"/>
        <v>#REF!</v>
      </c>
    </row>
    <row r="70" spans="2:70" s="119" customFormat="1" x14ac:dyDescent="0.2">
      <c r="B70" s="128"/>
      <c r="C70" s="129"/>
      <c r="D70" s="129"/>
      <c r="E70" s="129" t="e">
        <f>ROUND(IF(D70=#REF!,0,IF($H70=$S$6,(C70/1.14975*0.05*0.5),C70/1.14975*0.05)),2)</f>
        <v>#REF!</v>
      </c>
      <c r="F70" s="129" t="e">
        <f>ROUND(IF(D70=#REF!,0,IF($H70=$S$6,C70/1.14975*0.09975*0.5,C70/1.14975*0.09975)),2)</f>
        <v>#REF!</v>
      </c>
      <c r="G70" s="129" t="e">
        <f t="shared" si="28"/>
        <v>#REF!</v>
      </c>
      <c r="J70" s="130">
        <f t="shared" si="29"/>
        <v>0</v>
      </c>
      <c r="K70" s="130">
        <f t="shared" si="45"/>
        <v>0</v>
      </c>
      <c r="L70" s="130">
        <f t="shared" si="45"/>
        <v>0</v>
      </c>
      <c r="M70" s="130">
        <f t="shared" si="45"/>
        <v>0</v>
      </c>
      <c r="N70" s="130">
        <f t="shared" si="45"/>
        <v>0</v>
      </c>
      <c r="O70" s="130">
        <f t="shared" si="45"/>
        <v>0</v>
      </c>
      <c r="P70" s="130">
        <f t="shared" si="45"/>
        <v>0</v>
      </c>
      <c r="Q70" s="130">
        <f t="shared" si="45"/>
        <v>0</v>
      </c>
      <c r="R70" s="130">
        <f t="shared" si="45"/>
        <v>0</v>
      </c>
      <c r="S70" s="130">
        <f t="shared" si="45"/>
        <v>0</v>
      </c>
      <c r="T70" s="130">
        <f t="shared" si="45"/>
        <v>0</v>
      </c>
      <c r="U70" s="130">
        <f t="shared" si="46"/>
        <v>0</v>
      </c>
      <c r="V70" s="130">
        <f t="shared" si="46"/>
        <v>0</v>
      </c>
      <c r="W70" s="130">
        <f t="shared" si="46"/>
        <v>0</v>
      </c>
      <c r="X70" s="130">
        <f t="shared" si="46"/>
        <v>0</v>
      </c>
      <c r="Y70" s="130">
        <f t="shared" si="46"/>
        <v>0</v>
      </c>
      <c r="Z70" s="130">
        <f t="shared" si="46"/>
        <v>0</v>
      </c>
      <c r="AA70" s="130">
        <f t="shared" si="46"/>
        <v>0</v>
      </c>
      <c r="AB70" s="130">
        <f t="shared" si="46"/>
        <v>0</v>
      </c>
      <c r="AC70" s="130">
        <f t="shared" si="46"/>
        <v>0</v>
      </c>
      <c r="AD70" s="130">
        <f t="shared" si="46"/>
        <v>0</v>
      </c>
      <c r="AE70" s="130">
        <f t="shared" si="46"/>
        <v>0</v>
      </c>
      <c r="AF70" s="130">
        <f t="shared" si="46"/>
        <v>0</v>
      </c>
      <c r="AG70" s="130">
        <f t="shared" si="46"/>
        <v>0</v>
      </c>
      <c r="AH70" s="130">
        <f t="shared" si="47"/>
        <v>0</v>
      </c>
      <c r="AI70" s="130">
        <f t="shared" si="47"/>
        <v>0</v>
      </c>
      <c r="AJ70" s="130">
        <f t="shared" si="47"/>
        <v>0</v>
      </c>
      <c r="AK70" s="130">
        <f t="shared" si="30"/>
        <v>0</v>
      </c>
      <c r="AL70" s="130">
        <f t="shared" si="31"/>
        <v>0</v>
      </c>
      <c r="AM70" s="130">
        <f t="shared" si="32"/>
        <v>0</v>
      </c>
      <c r="AN70" s="130">
        <f t="shared" si="33"/>
        <v>0</v>
      </c>
      <c r="AO70" s="130">
        <f t="shared" si="48"/>
        <v>0</v>
      </c>
      <c r="AP70" s="130">
        <f t="shared" si="48"/>
        <v>0</v>
      </c>
      <c r="AQ70" s="130">
        <f t="shared" si="48"/>
        <v>0</v>
      </c>
      <c r="AR70" s="130">
        <f t="shared" si="48"/>
        <v>0</v>
      </c>
      <c r="AS70" s="130">
        <f t="shared" si="48"/>
        <v>0</v>
      </c>
      <c r="AT70" s="130">
        <f t="shared" si="48"/>
        <v>0</v>
      </c>
      <c r="AU70" s="130">
        <f t="shared" si="48"/>
        <v>0</v>
      </c>
      <c r="AV70" s="130">
        <f t="shared" si="48"/>
        <v>0</v>
      </c>
      <c r="AW70" s="130">
        <f t="shared" si="48"/>
        <v>0</v>
      </c>
      <c r="AX70" s="130">
        <f t="shared" si="48"/>
        <v>0</v>
      </c>
      <c r="AY70" s="130">
        <f t="shared" si="48"/>
        <v>0</v>
      </c>
      <c r="AZ70" s="130">
        <f t="shared" si="48"/>
        <v>0</v>
      </c>
      <c r="BA70" s="130">
        <f t="shared" si="48"/>
        <v>0</v>
      </c>
      <c r="BB70" s="130">
        <f t="shared" si="49"/>
        <v>0</v>
      </c>
      <c r="BC70" s="130">
        <f t="shared" si="49"/>
        <v>0</v>
      </c>
      <c r="BD70" s="130">
        <f t="shared" si="49"/>
        <v>0</v>
      </c>
      <c r="BE70" s="130">
        <f t="shared" si="49"/>
        <v>0</v>
      </c>
      <c r="BF70" s="130" t="e">
        <f>+IF($H70=#REF!,$C70,0)-IF($I70=#REF!,$C70,0)</f>
        <v>#REF!</v>
      </c>
      <c r="BG70" s="130" t="e">
        <f>+IF($H70=#REF!,$C70,0)-IF($I70=#REF!,$C70,0)</f>
        <v>#REF!</v>
      </c>
      <c r="BH70" s="130" t="e">
        <f>+IF($H70=#REF!,$C70,0)-IF($I70=#REF!,$C70,0)</f>
        <v>#REF!</v>
      </c>
      <c r="BI70" s="130">
        <f t="shared" si="50"/>
        <v>0</v>
      </c>
      <c r="BJ70" s="130">
        <f t="shared" si="50"/>
        <v>0</v>
      </c>
      <c r="BK70" s="130">
        <f t="shared" si="50"/>
        <v>0</v>
      </c>
      <c r="BL70" s="130">
        <f t="shared" si="50"/>
        <v>0</v>
      </c>
      <c r="BM70" s="130">
        <f t="shared" si="50"/>
        <v>0</v>
      </c>
      <c r="BN70" s="130">
        <f t="shared" si="50"/>
        <v>0</v>
      </c>
      <c r="BO70" s="130">
        <f t="shared" si="50"/>
        <v>0</v>
      </c>
      <c r="BP70" s="130">
        <f t="shared" si="50"/>
        <v>0</v>
      </c>
      <c r="BQ70" s="130">
        <f t="shared" si="50"/>
        <v>0</v>
      </c>
      <c r="BR70" s="130" t="e">
        <f t="shared" si="34"/>
        <v>#REF!</v>
      </c>
    </row>
    <row r="71" spans="2:70" s="119" customFormat="1" x14ac:dyDescent="0.2">
      <c r="B71" s="128"/>
      <c r="C71" s="129"/>
      <c r="D71" s="129"/>
      <c r="E71" s="129" t="e">
        <f>ROUND(IF(D71=#REF!,0,IF($H71=$S$6,(C71/1.14975*0.05*0.5),C71/1.14975*0.05)),2)</f>
        <v>#REF!</v>
      </c>
      <c r="F71" s="129" t="e">
        <f>ROUND(IF(D71=#REF!,0,IF($H71=$S$6,C71/1.14975*0.09975*0.5,C71/1.14975*0.09975)),2)</f>
        <v>#REF!</v>
      </c>
      <c r="G71" s="129" t="e">
        <f t="shared" si="28"/>
        <v>#REF!</v>
      </c>
      <c r="J71" s="130">
        <f t="shared" si="29"/>
        <v>0</v>
      </c>
      <c r="K71" s="130">
        <f t="shared" si="45"/>
        <v>0</v>
      </c>
      <c r="L71" s="130">
        <f t="shared" si="45"/>
        <v>0</v>
      </c>
      <c r="M71" s="130">
        <f t="shared" si="45"/>
        <v>0</v>
      </c>
      <c r="N71" s="130">
        <f t="shared" si="45"/>
        <v>0</v>
      </c>
      <c r="O71" s="130">
        <f t="shared" si="45"/>
        <v>0</v>
      </c>
      <c r="P71" s="130">
        <f t="shared" si="45"/>
        <v>0</v>
      </c>
      <c r="Q71" s="130">
        <f t="shared" si="45"/>
        <v>0</v>
      </c>
      <c r="R71" s="130">
        <f t="shared" si="45"/>
        <v>0</v>
      </c>
      <c r="S71" s="130">
        <f t="shared" si="45"/>
        <v>0</v>
      </c>
      <c r="T71" s="130">
        <f t="shared" si="45"/>
        <v>0</v>
      </c>
      <c r="U71" s="130">
        <f t="shared" si="46"/>
        <v>0</v>
      </c>
      <c r="V71" s="130">
        <f t="shared" si="46"/>
        <v>0</v>
      </c>
      <c r="W71" s="130">
        <f t="shared" si="46"/>
        <v>0</v>
      </c>
      <c r="X71" s="130">
        <f t="shared" si="46"/>
        <v>0</v>
      </c>
      <c r="Y71" s="130">
        <f t="shared" si="46"/>
        <v>0</v>
      </c>
      <c r="Z71" s="130">
        <f t="shared" si="46"/>
        <v>0</v>
      </c>
      <c r="AA71" s="130">
        <f t="shared" si="46"/>
        <v>0</v>
      </c>
      <c r="AB71" s="130">
        <f t="shared" si="46"/>
        <v>0</v>
      </c>
      <c r="AC71" s="130">
        <f t="shared" si="46"/>
        <v>0</v>
      </c>
      <c r="AD71" s="130">
        <f t="shared" si="46"/>
        <v>0</v>
      </c>
      <c r="AE71" s="130">
        <f t="shared" si="46"/>
        <v>0</v>
      </c>
      <c r="AF71" s="130">
        <f t="shared" si="46"/>
        <v>0</v>
      </c>
      <c r="AG71" s="130">
        <f t="shared" si="46"/>
        <v>0</v>
      </c>
      <c r="AH71" s="130">
        <f t="shared" si="47"/>
        <v>0</v>
      </c>
      <c r="AI71" s="130">
        <f t="shared" si="47"/>
        <v>0</v>
      </c>
      <c r="AJ71" s="130">
        <f t="shared" si="47"/>
        <v>0</v>
      </c>
      <c r="AK71" s="130">
        <f t="shared" si="30"/>
        <v>0</v>
      </c>
      <c r="AL71" s="130">
        <f t="shared" si="31"/>
        <v>0</v>
      </c>
      <c r="AM71" s="130">
        <f t="shared" si="32"/>
        <v>0</v>
      </c>
      <c r="AN71" s="130">
        <f t="shared" si="33"/>
        <v>0</v>
      </c>
      <c r="AO71" s="130">
        <f t="shared" si="48"/>
        <v>0</v>
      </c>
      <c r="AP71" s="130">
        <f t="shared" si="48"/>
        <v>0</v>
      </c>
      <c r="AQ71" s="130">
        <f t="shared" si="48"/>
        <v>0</v>
      </c>
      <c r="AR71" s="130">
        <f t="shared" si="48"/>
        <v>0</v>
      </c>
      <c r="AS71" s="130">
        <f t="shared" si="48"/>
        <v>0</v>
      </c>
      <c r="AT71" s="130">
        <f t="shared" si="48"/>
        <v>0</v>
      </c>
      <c r="AU71" s="130">
        <f t="shared" si="48"/>
        <v>0</v>
      </c>
      <c r="AV71" s="130">
        <f t="shared" si="48"/>
        <v>0</v>
      </c>
      <c r="AW71" s="130">
        <f t="shared" si="48"/>
        <v>0</v>
      </c>
      <c r="AX71" s="130">
        <f t="shared" si="48"/>
        <v>0</v>
      </c>
      <c r="AY71" s="130">
        <f t="shared" si="48"/>
        <v>0</v>
      </c>
      <c r="AZ71" s="130">
        <f t="shared" si="48"/>
        <v>0</v>
      </c>
      <c r="BA71" s="130">
        <f t="shared" si="48"/>
        <v>0</v>
      </c>
      <c r="BB71" s="130">
        <f t="shared" si="49"/>
        <v>0</v>
      </c>
      <c r="BC71" s="130">
        <f t="shared" si="49"/>
        <v>0</v>
      </c>
      <c r="BD71" s="130">
        <f t="shared" si="49"/>
        <v>0</v>
      </c>
      <c r="BE71" s="130">
        <f t="shared" si="49"/>
        <v>0</v>
      </c>
      <c r="BF71" s="130" t="e">
        <f>+IF($H71=#REF!,$C71,0)-IF($I71=#REF!,$C71,0)</f>
        <v>#REF!</v>
      </c>
      <c r="BG71" s="130" t="e">
        <f>+IF($H71=#REF!,$C71,0)-IF($I71=#REF!,$C71,0)</f>
        <v>#REF!</v>
      </c>
      <c r="BH71" s="130" t="e">
        <f>+IF($H71=#REF!,$C71,0)-IF($I71=#REF!,$C71,0)</f>
        <v>#REF!</v>
      </c>
      <c r="BI71" s="130">
        <f t="shared" si="50"/>
        <v>0</v>
      </c>
      <c r="BJ71" s="130">
        <f t="shared" si="50"/>
        <v>0</v>
      </c>
      <c r="BK71" s="130">
        <f t="shared" si="50"/>
        <v>0</v>
      </c>
      <c r="BL71" s="130">
        <f t="shared" si="50"/>
        <v>0</v>
      </c>
      <c r="BM71" s="130">
        <f t="shared" si="50"/>
        <v>0</v>
      </c>
      <c r="BN71" s="130">
        <f t="shared" si="50"/>
        <v>0</v>
      </c>
      <c r="BO71" s="130">
        <f t="shared" si="50"/>
        <v>0</v>
      </c>
      <c r="BP71" s="130">
        <f t="shared" si="50"/>
        <v>0</v>
      </c>
      <c r="BQ71" s="130">
        <f t="shared" si="50"/>
        <v>0</v>
      </c>
      <c r="BR71" s="130" t="e">
        <f t="shared" si="34"/>
        <v>#REF!</v>
      </c>
    </row>
    <row r="72" spans="2:70" s="119" customFormat="1" x14ac:dyDescent="0.2">
      <c r="B72" s="128"/>
      <c r="C72" s="129"/>
      <c r="D72" s="129"/>
      <c r="E72" s="129" t="e">
        <f>ROUND(IF(D72=#REF!,0,IF($H72=$S$6,(C72/1.14975*0.05*0.5),C72/1.14975*0.05)),2)</f>
        <v>#REF!</v>
      </c>
      <c r="F72" s="129" t="e">
        <f>ROUND(IF(D72=#REF!,0,IF($H72=$S$6,C72/1.14975*0.09975*0.5,C72/1.14975*0.09975)),2)</f>
        <v>#REF!</v>
      </c>
      <c r="G72" s="129" t="e">
        <f t="shared" si="28"/>
        <v>#REF!</v>
      </c>
      <c r="J72" s="130">
        <f t="shared" si="29"/>
        <v>0</v>
      </c>
      <c r="K72" s="130">
        <f t="shared" si="45"/>
        <v>0</v>
      </c>
      <c r="L72" s="130">
        <f t="shared" si="45"/>
        <v>0</v>
      </c>
      <c r="M72" s="130">
        <f t="shared" si="45"/>
        <v>0</v>
      </c>
      <c r="N72" s="130">
        <f t="shared" si="45"/>
        <v>0</v>
      </c>
      <c r="O72" s="130">
        <f t="shared" si="45"/>
        <v>0</v>
      </c>
      <c r="P72" s="130">
        <f t="shared" si="45"/>
        <v>0</v>
      </c>
      <c r="Q72" s="130">
        <f t="shared" si="45"/>
        <v>0</v>
      </c>
      <c r="R72" s="130">
        <f t="shared" si="45"/>
        <v>0</v>
      </c>
      <c r="S72" s="130">
        <f t="shared" si="45"/>
        <v>0</v>
      </c>
      <c r="T72" s="130">
        <f t="shared" si="45"/>
        <v>0</v>
      </c>
      <c r="U72" s="130">
        <f t="shared" si="46"/>
        <v>0</v>
      </c>
      <c r="V72" s="130">
        <f t="shared" si="46"/>
        <v>0</v>
      </c>
      <c r="W72" s="130">
        <f t="shared" si="46"/>
        <v>0</v>
      </c>
      <c r="X72" s="130">
        <f t="shared" si="46"/>
        <v>0</v>
      </c>
      <c r="Y72" s="130">
        <f t="shared" si="46"/>
        <v>0</v>
      </c>
      <c r="Z72" s="130">
        <f t="shared" si="46"/>
        <v>0</v>
      </c>
      <c r="AA72" s="130">
        <f t="shared" si="46"/>
        <v>0</v>
      </c>
      <c r="AB72" s="130">
        <f t="shared" si="46"/>
        <v>0</v>
      </c>
      <c r="AC72" s="130">
        <f t="shared" si="46"/>
        <v>0</v>
      </c>
      <c r="AD72" s="130">
        <f t="shared" si="46"/>
        <v>0</v>
      </c>
      <c r="AE72" s="130">
        <f t="shared" si="46"/>
        <v>0</v>
      </c>
      <c r="AF72" s="130">
        <f t="shared" si="46"/>
        <v>0</v>
      </c>
      <c r="AG72" s="130">
        <f t="shared" si="46"/>
        <v>0</v>
      </c>
      <c r="AH72" s="130">
        <f t="shared" si="47"/>
        <v>0</v>
      </c>
      <c r="AI72" s="130">
        <f t="shared" si="47"/>
        <v>0</v>
      </c>
      <c r="AJ72" s="130">
        <f t="shared" si="47"/>
        <v>0</v>
      </c>
      <c r="AK72" s="130">
        <f t="shared" si="30"/>
        <v>0</v>
      </c>
      <c r="AL72" s="130">
        <f t="shared" si="31"/>
        <v>0</v>
      </c>
      <c r="AM72" s="130">
        <f t="shared" si="32"/>
        <v>0</v>
      </c>
      <c r="AN72" s="130">
        <f t="shared" si="33"/>
        <v>0</v>
      </c>
      <c r="AO72" s="130">
        <f t="shared" si="48"/>
        <v>0</v>
      </c>
      <c r="AP72" s="130">
        <f t="shared" si="48"/>
        <v>0</v>
      </c>
      <c r="AQ72" s="130">
        <f t="shared" si="48"/>
        <v>0</v>
      </c>
      <c r="AR72" s="130">
        <f t="shared" si="48"/>
        <v>0</v>
      </c>
      <c r="AS72" s="130">
        <f t="shared" si="48"/>
        <v>0</v>
      </c>
      <c r="AT72" s="130">
        <f t="shared" si="48"/>
        <v>0</v>
      </c>
      <c r="AU72" s="130">
        <f t="shared" si="48"/>
        <v>0</v>
      </c>
      <c r="AV72" s="130">
        <f t="shared" si="48"/>
        <v>0</v>
      </c>
      <c r="AW72" s="130">
        <f t="shared" si="48"/>
        <v>0</v>
      </c>
      <c r="AX72" s="130">
        <f t="shared" si="48"/>
        <v>0</v>
      </c>
      <c r="AY72" s="130">
        <f t="shared" si="48"/>
        <v>0</v>
      </c>
      <c r="AZ72" s="130">
        <f t="shared" si="48"/>
        <v>0</v>
      </c>
      <c r="BA72" s="130">
        <f t="shared" si="48"/>
        <v>0</v>
      </c>
      <c r="BB72" s="130">
        <f t="shared" si="49"/>
        <v>0</v>
      </c>
      <c r="BC72" s="130">
        <f t="shared" si="49"/>
        <v>0</v>
      </c>
      <c r="BD72" s="130">
        <f t="shared" si="49"/>
        <v>0</v>
      </c>
      <c r="BE72" s="130">
        <f t="shared" si="49"/>
        <v>0</v>
      </c>
      <c r="BF72" s="130" t="e">
        <f>+IF($H72=#REF!,$C72,0)-IF($I72=#REF!,$C72,0)</f>
        <v>#REF!</v>
      </c>
      <c r="BG72" s="130" t="e">
        <f>+IF($H72=#REF!,$C72,0)-IF($I72=#REF!,$C72,0)</f>
        <v>#REF!</v>
      </c>
      <c r="BH72" s="130" t="e">
        <f>+IF($H72=#REF!,$C72,0)-IF($I72=#REF!,$C72,0)</f>
        <v>#REF!</v>
      </c>
      <c r="BI72" s="130">
        <f t="shared" si="50"/>
        <v>0</v>
      </c>
      <c r="BJ72" s="130">
        <f t="shared" si="50"/>
        <v>0</v>
      </c>
      <c r="BK72" s="130">
        <f t="shared" si="50"/>
        <v>0</v>
      </c>
      <c r="BL72" s="130">
        <f t="shared" si="50"/>
        <v>0</v>
      </c>
      <c r="BM72" s="130">
        <f t="shared" si="50"/>
        <v>0</v>
      </c>
      <c r="BN72" s="130">
        <f t="shared" si="50"/>
        <v>0</v>
      </c>
      <c r="BO72" s="130">
        <f t="shared" si="50"/>
        <v>0</v>
      </c>
      <c r="BP72" s="130">
        <f t="shared" si="50"/>
        <v>0</v>
      </c>
      <c r="BQ72" s="130">
        <f t="shared" si="50"/>
        <v>0</v>
      </c>
      <c r="BR72" s="130" t="e">
        <f t="shared" si="34"/>
        <v>#REF!</v>
      </c>
    </row>
    <row r="73" spans="2:70" s="119" customFormat="1" x14ac:dyDescent="0.2">
      <c r="B73" s="128"/>
      <c r="C73" s="129"/>
      <c r="D73" s="129"/>
      <c r="E73" s="129" t="e">
        <f>ROUND(IF(D73=#REF!,0,IF($H73=$S$6,(C73/1.14975*0.05*0.5),C73/1.14975*0.05)),2)</f>
        <v>#REF!</v>
      </c>
      <c r="F73" s="129" t="e">
        <f>ROUND(IF(D73=#REF!,0,IF($H73=$S$6,C73/1.14975*0.09975*0.5,C73/1.14975*0.09975)),2)</f>
        <v>#REF!</v>
      </c>
      <c r="G73" s="129" t="e">
        <f t="shared" ref="G73:G104" si="51">C73-E73-F73</f>
        <v>#REF!</v>
      </c>
      <c r="J73" s="130">
        <f t="shared" ref="J73:J104" si="52">+IF($H73=$J$6,$G73,0)-IF($I73=$J$6,$G73,0)</f>
        <v>0</v>
      </c>
      <c r="K73" s="130">
        <f t="shared" si="45"/>
        <v>0</v>
      </c>
      <c r="L73" s="130">
        <f t="shared" si="45"/>
        <v>0</v>
      </c>
      <c r="M73" s="130">
        <f t="shared" si="45"/>
        <v>0</v>
      </c>
      <c r="N73" s="130">
        <f t="shared" si="45"/>
        <v>0</v>
      </c>
      <c r="O73" s="130">
        <f t="shared" si="45"/>
        <v>0</v>
      </c>
      <c r="P73" s="130">
        <f t="shared" si="45"/>
        <v>0</v>
      </c>
      <c r="Q73" s="130">
        <f t="shared" si="45"/>
        <v>0</v>
      </c>
      <c r="R73" s="130">
        <f t="shared" si="45"/>
        <v>0</v>
      </c>
      <c r="S73" s="130">
        <f t="shared" si="45"/>
        <v>0</v>
      </c>
      <c r="T73" s="130">
        <f t="shared" si="45"/>
        <v>0</v>
      </c>
      <c r="U73" s="130">
        <f t="shared" si="46"/>
        <v>0</v>
      </c>
      <c r="V73" s="130">
        <f t="shared" si="46"/>
        <v>0</v>
      </c>
      <c r="W73" s="130">
        <f t="shared" si="46"/>
        <v>0</v>
      </c>
      <c r="X73" s="130">
        <f t="shared" si="46"/>
        <v>0</v>
      </c>
      <c r="Y73" s="130">
        <f t="shared" si="46"/>
        <v>0</v>
      </c>
      <c r="Z73" s="130">
        <f t="shared" si="46"/>
        <v>0</v>
      </c>
      <c r="AA73" s="130">
        <f t="shared" si="46"/>
        <v>0</v>
      </c>
      <c r="AB73" s="130">
        <f t="shared" si="46"/>
        <v>0</v>
      </c>
      <c r="AC73" s="130">
        <f t="shared" si="46"/>
        <v>0</v>
      </c>
      <c r="AD73" s="130">
        <f t="shared" si="46"/>
        <v>0</v>
      </c>
      <c r="AE73" s="130">
        <f t="shared" si="46"/>
        <v>0</v>
      </c>
      <c r="AF73" s="130">
        <f t="shared" si="46"/>
        <v>0</v>
      </c>
      <c r="AG73" s="130">
        <f t="shared" si="46"/>
        <v>0</v>
      </c>
      <c r="AH73" s="130">
        <f t="shared" si="47"/>
        <v>0</v>
      </c>
      <c r="AI73" s="130">
        <f t="shared" si="47"/>
        <v>0</v>
      </c>
      <c r="AJ73" s="130">
        <f t="shared" si="47"/>
        <v>0</v>
      </c>
      <c r="AK73" s="130">
        <f t="shared" ref="AK73:AK104" si="53">IF(D73="payée",$E73,0)</f>
        <v>0</v>
      </c>
      <c r="AL73" s="130">
        <f t="shared" ref="AL73:AL104" si="54">IF(D73="payée",$F73,0)</f>
        <v>0</v>
      </c>
      <c r="AM73" s="130">
        <f t="shared" ref="AM73:AM104" si="55">IF(D73="perçue",-$E73,0)</f>
        <v>0</v>
      </c>
      <c r="AN73" s="130">
        <f t="shared" ref="AN73:AN104" si="56">IF(D73="perçue",-$F73,0)</f>
        <v>0</v>
      </c>
      <c r="AO73" s="130">
        <f t="shared" si="48"/>
        <v>0</v>
      </c>
      <c r="AP73" s="130">
        <f t="shared" si="48"/>
        <v>0</v>
      </c>
      <c r="AQ73" s="130">
        <f t="shared" si="48"/>
        <v>0</v>
      </c>
      <c r="AR73" s="130">
        <f t="shared" si="48"/>
        <v>0</v>
      </c>
      <c r="AS73" s="130">
        <f t="shared" si="48"/>
        <v>0</v>
      </c>
      <c r="AT73" s="130">
        <f t="shared" si="48"/>
        <v>0</v>
      </c>
      <c r="AU73" s="130">
        <f t="shared" si="48"/>
        <v>0</v>
      </c>
      <c r="AV73" s="130">
        <f t="shared" si="48"/>
        <v>0</v>
      </c>
      <c r="AW73" s="130">
        <f t="shared" si="48"/>
        <v>0</v>
      </c>
      <c r="AX73" s="130">
        <f t="shared" si="48"/>
        <v>0</v>
      </c>
      <c r="AY73" s="130">
        <f t="shared" si="48"/>
        <v>0</v>
      </c>
      <c r="AZ73" s="130">
        <f t="shared" si="48"/>
        <v>0</v>
      </c>
      <c r="BA73" s="130">
        <f t="shared" si="48"/>
        <v>0</v>
      </c>
      <c r="BB73" s="130">
        <f t="shared" si="49"/>
        <v>0</v>
      </c>
      <c r="BC73" s="130">
        <f t="shared" si="49"/>
        <v>0</v>
      </c>
      <c r="BD73" s="130">
        <f t="shared" si="49"/>
        <v>0</v>
      </c>
      <c r="BE73" s="130">
        <f t="shared" si="49"/>
        <v>0</v>
      </c>
      <c r="BF73" s="130" t="e">
        <f>+IF($H73=#REF!,$C73,0)-IF($I73=#REF!,$C73,0)</f>
        <v>#REF!</v>
      </c>
      <c r="BG73" s="130" t="e">
        <f>+IF($H73=#REF!,$C73,0)-IF($I73=#REF!,$C73,0)</f>
        <v>#REF!</v>
      </c>
      <c r="BH73" s="130" t="e">
        <f>+IF($H73=#REF!,$C73,0)-IF($I73=#REF!,$C73,0)</f>
        <v>#REF!</v>
      </c>
      <c r="BI73" s="130">
        <f t="shared" si="50"/>
        <v>0</v>
      </c>
      <c r="BJ73" s="130">
        <f t="shared" si="50"/>
        <v>0</v>
      </c>
      <c r="BK73" s="130">
        <f t="shared" si="50"/>
        <v>0</v>
      </c>
      <c r="BL73" s="130">
        <f t="shared" si="50"/>
        <v>0</v>
      </c>
      <c r="BM73" s="130">
        <f t="shared" si="50"/>
        <v>0</v>
      </c>
      <c r="BN73" s="130">
        <f t="shared" si="50"/>
        <v>0</v>
      </c>
      <c r="BO73" s="130">
        <f t="shared" si="50"/>
        <v>0</v>
      </c>
      <c r="BP73" s="130">
        <f t="shared" si="50"/>
        <v>0</v>
      </c>
      <c r="BQ73" s="130">
        <f t="shared" si="50"/>
        <v>0</v>
      </c>
      <c r="BR73" s="130" t="e">
        <f t="shared" ref="BR73:BR104" si="57">SUM(J73:BQ73)</f>
        <v>#REF!</v>
      </c>
    </row>
    <row r="74" spans="2:70" s="119" customFormat="1" x14ac:dyDescent="0.2">
      <c r="B74" s="128"/>
      <c r="C74" s="129"/>
      <c r="D74" s="129"/>
      <c r="E74" s="129" t="e">
        <f>ROUND(IF(D74=#REF!,0,IF($H74=$S$6,(C74/1.14975*0.05*0.5),C74/1.14975*0.05)),2)</f>
        <v>#REF!</v>
      </c>
      <c r="F74" s="129" t="e">
        <f>ROUND(IF(D74=#REF!,0,IF($H74=$S$6,C74/1.14975*0.09975*0.5,C74/1.14975*0.09975)),2)</f>
        <v>#REF!</v>
      </c>
      <c r="G74" s="129" t="e">
        <f t="shared" si="51"/>
        <v>#REF!</v>
      </c>
      <c r="J74" s="130">
        <f t="shared" si="52"/>
        <v>0</v>
      </c>
      <c r="K74" s="130">
        <f t="shared" si="45"/>
        <v>0</v>
      </c>
      <c r="L74" s="130">
        <f t="shared" si="45"/>
        <v>0</v>
      </c>
      <c r="M74" s="130">
        <f t="shared" si="45"/>
        <v>0</v>
      </c>
      <c r="N74" s="130">
        <f t="shared" si="45"/>
        <v>0</v>
      </c>
      <c r="O74" s="130">
        <f t="shared" si="45"/>
        <v>0</v>
      </c>
      <c r="P74" s="130">
        <f t="shared" si="45"/>
        <v>0</v>
      </c>
      <c r="Q74" s="130">
        <f t="shared" si="45"/>
        <v>0</v>
      </c>
      <c r="R74" s="130">
        <f t="shared" si="45"/>
        <v>0</v>
      </c>
      <c r="S74" s="130">
        <f t="shared" si="45"/>
        <v>0</v>
      </c>
      <c r="T74" s="130">
        <f t="shared" si="45"/>
        <v>0</v>
      </c>
      <c r="U74" s="130">
        <f t="shared" si="46"/>
        <v>0</v>
      </c>
      <c r="V74" s="130">
        <f t="shared" si="46"/>
        <v>0</v>
      </c>
      <c r="W74" s="130">
        <f t="shared" si="46"/>
        <v>0</v>
      </c>
      <c r="X74" s="130">
        <f t="shared" si="46"/>
        <v>0</v>
      </c>
      <c r="Y74" s="130">
        <f t="shared" si="46"/>
        <v>0</v>
      </c>
      <c r="Z74" s="130">
        <f t="shared" si="46"/>
        <v>0</v>
      </c>
      <c r="AA74" s="130">
        <f t="shared" si="46"/>
        <v>0</v>
      </c>
      <c r="AB74" s="130">
        <f t="shared" si="46"/>
        <v>0</v>
      </c>
      <c r="AC74" s="130">
        <f t="shared" si="46"/>
        <v>0</v>
      </c>
      <c r="AD74" s="130">
        <f t="shared" si="46"/>
        <v>0</v>
      </c>
      <c r="AE74" s="130">
        <f t="shared" si="46"/>
        <v>0</v>
      </c>
      <c r="AF74" s="130">
        <f t="shared" si="46"/>
        <v>0</v>
      </c>
      <c r="AG74" s="130">
        <f t="shared" si="46"/>
        <v>0</v>
      </c>
      <c r="AH74" s="130">
        <f t="shared" si="47"/>
        <v>0</v>
      </c>
      <c r="AI74" s="130">
        <f t="shared" si="47"/>
        <v>0</v>
      </c>
      <c r="AJ74" s="130">
        <f t="shared" si="47"/>
        <v>0</v>
      </c>
      <c r="AK74" s="130">
        <f t="shared" si="53"/>
        <v>0</v>
      </c>
      <c r="AL74" s="130">
        <f t="shared" si="54"/>
        <v>0</v>
      </c>
      <c r="AM74" s="130">
        <f t="shared" si="55"/>
        <v>0</v>
      </c>
      <c r="AN74" s="130">
        <f t="shared" si="56"/>
        <v>0</v>
      </c>
      <c r="AO74" s="130">
        <f t="shared" si="48"/>
        <v>0</v>
      </c>
      <c r="AP74" s="130">
        <f t="shared" si="48"/>
        <v>0</v>
      </c>
      <c r="AQ74" s="130">
        <f t="shared" si="48"/>
        <v>0</v>
      </c>
      <c r="AR74" s="130">
        <f t="shared" si="48"/>
        <v>0</v>
      </c>
      <c r="AS74" s="130">
        <f t="shared" si="48"/>
        <v>0</v>
      </c>
      <c r="AT74" s="130">
        <f t="shared" si="48"/>
        <v>0</v>
      </c>
      <c r="AU74" s="130">
        <f t="shared" si="48"/>
        <v>0</v>
      </c>
      <c r="AV74" s="130">
        <f t="shared" si="48"/>
        <v>0</v>
      </c>
      <c r="AW74" s="130">
        <f t="shared" si="48"/>
        <v>0</v>
      </c>
      <c r="AX74" s="130">
        <f t="shared" si="48"/>
        <v>0</v>
      </c>
      <c r="AY74" s="130">
        <f t="shared" si="48"/>
        <v>0</v>
      </c>
      <c r="AZ74" s="130">
        <f t="shared" si="48"/>
        <v>0</v>
      </c>
      <c r="BA74" s="130">
        <f t="shared" si="48"/>
        <v>0</v>
      </c>
      <c r="BB74" s="130">
        <f t="shared" si="49"/>
        <v>0</v>
      </c>
      <c r="BC74" s="130">
        <f t="shared" si="49"/>
        <v>0</v>
      </c>
      <c r="BD74" s="130">
        <f t="shared" si="49"/>
        <v>0</v>
      </c>
      <c r="BE74" s="130">
        <f t="shared" si="49"/>
        <v>0</v>
      </c>
      <c r="BF74" s="130" t="e">
        <f>+IF($H74=#REF!,$C74,0)-IF($I74=#REF!,$C74,0)</f>
        <v>#REF!</v>
      </c>
      <c r="BG74" s="130" t="e">
        <f>+IF($H74=#REF!,$C74,0)-IF($I74=#REF!,$C74,0)</f>
        <v>#REF!</v>
      </c>
      <c r="BH74" s="130" t="e">
        <f>+IF($H74=#REF!,$C74,0)-IF($I74=#REF!,$C74,0)</f>
        <v>#REF!</v>
      </c>
      <c r="BI74" s="130">
        <f t="shared" si="50"/>
        <v>0</v>
      </c>
      <c r="BJ74" s="130">
        <f t="shared" si="50"/>
        <v>0</v>
      </c>
      <c r="BK74" s="130">
        <f t="shared" si="50"/>
        <v>0</v>
      </c>
      <c r="BL74" s="130">
        <f t="shared" si="50"/>
        <v>0</v>
      </c>
      <c r="BM74" s="130">
        <f t="shared" si="50"/>
        <v>0</v>
      </c>
      <c r="BN74" s="130">
        <f t="shared" si="50"/>
        <v>0</v>
      </c>
      <c r="BO74" s="130">
        <f t="shared" si="50"/>
        <v>0</v>
      </c>
      <c r="BP74" s="130">
        <f t="shared" si="50"/>
        <v>0</v>
      </c>
      <c r="BQ74" s="130">
        <f t="shared" si="50"/>
        <v>0</v>
      </c>
      <c r="BR74" s="130" t="e">
        <f t="shared" si="57"/>
        <v>#REF!</v>
      </c>
    </row>
    <row r="75" spans="2:70" s="119" customFormat="1" x14ac:dyDescent="0.2">
      <c r="B75" s="128"/>
      <c r="C75" s="129"/>
      <c r="D75" s="129"/>
      <c r="E75" s="129" t="e">
        <f>ROUND(IF(D75=#REF!,0,IF($H75=$S$6,(C75/1.14975*0.05*0.5),C75/1.14975*0.05)),2)</f>
        <v>#REF!</v>
      </c>
      <c r="F75" s="129" t="e">
        <f>ROUND(IF(D75=#REF!,0,IF($H75=$S$6,C75/1.14975*0.09975*0.5,C75/1.14975*0.09975)),2)</f>
        <v>#REF!</v>
      </c>
      <c r="G75" s="129" t="e">
        <f t="shared" si="51"/>
        <v>#REF!</v>
      </c>
      <c r="J75" s="130">
        <f t="shared" si="52"/>
        <v>0</v>
      </c>
      <c r="K75" s="130">
        <f t="shared" si="45"/>
        <v>0</v>
      </c>
      <c r="L75" s="130">
        <f t="shared" si="45"/>
        <v>0</v>
      </c>
      <c r="M75" s="130">
        <f t="shared" si="45"/>
        <v>0</v>
      </c>
      <c r="N75" s="130">
        <f t="shared" si="45"/>
        <v>0</v>
      </c>
      <c r="O75" s="130">
        <f t="shared" si="45"/>
        <v>0</v>
      </c>
      <c r="P75" s="130">
        <f t="shared" si="45"/>
        <v>0</v>
      </c>
      <c r="Q75" s="130">
        <f t="shared" si="45"/>
        <v>0</v>
      </c>
      <c r="R75" s="130">
        <f t="shared" si="45"/>
        <v>0</v>
      </c>
      <c r="S75" s="130">
        <f t="shared" si="45"/>
        <v>0</v>
      </c>
      <c r="T75" s="130">
        <f t="shared" si="45"/>
        <v>0</v>
      </c>
      <c r="U75" s="130">
        <f t="shared" si="46"/>
        <v>0</v>
      </c>
      <c r="V75" s="130">
        <f t="shared" si="46"/>
        <v>0</v>
      </c>
      <c r="W75" s="130">
        <f t="shared" si="46"/>
        <v>0</v>
      </c>
      <c r="X75" s="130">
        <f t="shared" si="46"/>
        <v>0</v>
      </c>
      <c r="Y75" s="130">
        <f t="shared" si="46"/>
        <v>0</v>
      </c>
      <c r="Z75" s="130">
        <f t="shared" si="46"/>
        <v>0</v>
      </c>
      <c r="AA75" s="130">
        <f t="shared" si="46"/>
        <v>0</v>
      </c>
      <c r="AB75" s="130">
        <f t="shared" si="46"/>
        <v>0</v>
      </c>
      <c r="AC75" s="130">
        <f t="shared" si="46"/>
        <v>0</v>
      </c>
      <c r="AD75" s="130">
        <f t="shared" si="46"/>
        <v>0</v>
      </c>
      <c r="AE75" s="130">
        <f t="shared" si="46"/>
        <v>0</v>
      </c>
      <c r="AF75" s="130">
        <f t="shared" si="46"/>
        <v>0</v>
      </c>
      <c r="AG75" s="130">
        <f t="shared" si="46"/>
        <v>0</v>
      </c>
      <c r="AH75" s="130">
        <f t="shared" si="47"/>
        <v>0</v>
      </c>
      <c r="AI75" s="130">
        <f t="shared" si="47"/>
        <v>0</v>
      </c>
      <c r="AJ75" s="130">
        <f t="shared" si="47"/>
        <v>0</v>
      </c>
      <c r="AK75" s="130">
        <f t="shared" si="53"/>
        <v>0</v>
      </c>
      <c r="AL75" s="130">
        <f t="shared" si="54"/>
        <v>0</v>
      </c>
      <c r="AM75" s="130">
        <f t="shared" si="55"/>
        <v>0</v>
      </c>
      <c r="AN75" s="130">
        <f t="shared" si="56"/>
        <v>0</v>
      </c>
      <c r="AO75" s="130">
        <f t="shared" si="48"/>
        <v>0</v>
      </c>
      <c r="AP75" s="130">
        <f t="shared" si="48"/>
        <v>0</v>
      </c>
      <c r="AQ75" s="130">
        <f t="shared" si="48"/>
        <v>0</v>
      </c>
      <c r="AR75" s="130">
        <f t="shared" si="48"/>
        <v>0</v>
      </c>
      <c r="AS75" s="130">
        <f t="shared" si="48"/>
        <v>0</v>
      </c>
      <c r="AT75" s="130">
        <f t="shared" si="48"/>
        <v>0</v>
      </c>
      <c r="AU75" s="130">
        <f t="shared" si="48"/>
        <v>0</v>
      </c>
      <c r="AV75" s="130">
        <f t="shared" si="48"/>
        <v>0</v>
      </c>
      <c r="AW75" s="130">
        <f t="shared" si="48"/>
        <v>0</v>
      </c>
      <c r="AX75" s="130">
        <f t="shared" si="48"/>
        <v>0</v>
      </c>
      <c r="AY75" s="130">
        <f t="shared" si="48"/>
        <v>0</v>
      </c>
      <c r="AZ75" s="130">
        <f t="shared" si="48"/>
        <v>0</v>
      </c>
      <c r="BA75" s="130">
        <f t="shared" si="48"/>
        <v>0</v>
      </c>
      <c r="BB75" s="130">
        <f t="shared" si="49"/>
        <v>0</v>
      </c>
      <c r="BC75" s="130">
        <f t="shared" si="49"/>
        <v>0</v>
      </c>
      <c r="BD75" s="130">
        <f t="shared" si="49"/>
        <v>0</v>
      </c>
      <c r="BE75" s="130">
        <f t="shared" si="49"/>
        <v>0</v>
      </c>
      <c r="BF75" s="130" t="e">
        <f>+IF($H75=#REF!,$C75,0)-IF($I75=#REF!,$C75,0)</f>
        <v>#REF!</v>
      </c>
      <c r="BG75" s="130" t="e">
        <f>+IF($H75=#REF!,$C75,0)-IF($I75=#REF!,$C75,0)</f>
        <v>#REF!</v>
      </c>
      <c r="BH75" s="130" t="e">
        <f>+IF($H75=#REF!,$C75,0)-IF($I75=#REF!,$C75,0)</f>
        <v>#REF!</v>
      </c>
      <c r="BI75" s="130">
        <f t="shared" si="50"/>
        <v>0</v>
      </c>
      <c r="BJ75" s="130">
        <f t="shared" si="50"/>
        <v>0</v>
      </c>
      <c r="BK75" s="130">
        <f t="shared" si="50"/>
        <v>0</v>
      </c>
      <c r="BL75" s="130">
        <f t="shared" si="50"/>
        <v>0</v>
      </c>
      <c r="BM75" s="130">
        <f t="shared" si="50"/>
        <v>0</v>
      </c>
      <c r="BN75" s="130">
        <f t="shared" si="50"/>
        <v>0</v>
      </c>
      <c r="BO75" s="130">
        <f t="shared" si="50"/>
        <v>0</v>
      </c>
      <c r="BP75" s="130">
        <f t="shared" si="50"/>
        <v>0</v>
      </c>
      <c r="BQ75" s="130">
        <f t="shared" si="50"/>
        <v>0</v>
      </c>
      <c r="BR75" s="130" t="e">
        <f t="shared" si="57"/>
        <v>#REF!</v>
      </c>
    </row>
    <row r="76" spans="2:70" s="119" customFormat="1" x14ac:dyDescent="0.2">
      <c r="B76" s="128"/>
      <c r="C76" s="129"/>
      <c r="D76" s="129"/>
      <c r="E76" s="129" t="e">
        <f>ROUND(IF(D76=#REF!,0,IF($H76=$S$6,(C76/1.14975*0.05*0.5),C76/1.14975*0.05)),2)</f>
        <v>#REF!</v>
      </c>
      <c r="F76" s="129" t="e">
        <f>ROUND(IF(D76=#REF!,0,IF($H76=$S$6,C76/1.14975*0.09975*0.5,C76/1.14975*0.09975)),2)</f>
        <v>#REF!</v>
      </c>
      <c r="G76" s="129" t="e">
        <f t="shared" ref="G76:G78" si="58">C76-E76-F76</f>
        <v>#REF!</v>
      </c>
      <c r="J76" s="130">
        <f t="shared" si="52"/>
        <v>0</v>
      </c>
      <c r="K76" s="130">
        <f t="shared" si="45"/>
        <v>0</v>
      </c>
      <c r="L76" s="130">
        <f t="shared" si="45"/>
        <v>0</v>
      </c>
      <c r="M76" s="130">
        <f t="shared" si="45"/>
        <v>0</v>
      </c>
      <c r="N76" s="130">
        <f t="shared" si="45"/>
        <v>0</v>
      </c>
      <c r="O76" s="130">
        <f t="shared" si="45"/>
        <v>0</v>
      </c>
      <c r="P76" s="130">
        <f t="shared" si="45"/>
        <v>0</v>
      </c>
      <c r="Q76" s="130">
        <f t="shared" si="45"/>
        <v>0</v>
      </c>
      <c r="R76" s="130">
        <f t="shared" si="45"/>
        <v>0</v>
      </c>
      <c r="S76" s="130">
        <f t="shared" si="45"/>
        <v>0</v>
      </c>
      <c r="T76" s="130">
        <f t="shared" si="45"/>
        <v>0</v>
      </c>
      <c r="U76" s="130">
        <f t="shared" si="46"/>
        <v>0</v>
      </c>
      <c r="V76" s="130">
        <f t="shared" si="46"/>
        <v>0</v>
      </c>
      <c r="W76" s="130">
        <f t="shared" si="46"/>
        <v>0</v>
      </c>
      <c r="X76" s="130">
        <f t="shared" si="46"/>
        <v>0</v>
      </c>
      <c r="Y76" s="130">
        <f t="shared" si="46"/>
        <v>0</v>
      </c>
      <c r="Z76" s="130">
        <f t="shared" si="46"/>
        <v>0</v>
      </c>
      <c r="AA76" s="130">
        <f t="shared" si="46"/>
        <v>0</v>
      </c>
      <c r="AB76" s="130">
        <f t="shared" si="46"/>
        <v>0</v>
      </c>
      <c r="AC76" s="130">
        <f t="shared" si="46"/>
        <v>0</v>
      </c>
      <c r="AD76" s="130">
        <f t="shared" si="46"/>
        <v>0</v>
      </c>
      <c r="AE76" s="130">
        <f t="shared" si="46"/>
        <v>0</v>
      </c>
      <c r="AF76" s="130">
        <f t="shared" si="46"/>
        <v>0</v>
      </c>
      <c r="AG76" s="130">
        <f t="shared" si="46"/>
        <v>0</v>
      </c>
      <c r="AH76" s="130">
        <f t="shared" si="47"/>
        <v>0</v>
      </c>
      <c r="AI76" s="130">
        <f t="shared" si="47"/>
        <v>0</v>
      </c>
      <c r="AJ76" s="130">
        <f t="shared" si="47"/>
        <v>0</v>
      </c>
      <c r="AK76" s="130">
        <f t="shared" si="53"/>
        <v>0</v>
      </c>
      <c r="AL76" s="130">
        <f t="shared" si="54"/>
        <v>0</v>
      </c>
      <c r="AM76" s="130">
        <f t="shared" si="55"/>
        <v>0</v>
      </c>
      <c r="AN76" s="130">
        <f t="shared" si="56"/>
        <v>0</v>
      </c>
      <c r="AO76" s="130">
        <f t="shared" si="48"/>
        <v>0</v>
      </c>
      <c r="AP76" s="130">
        <f t="shared" si="48"/>
        <v>0</v>
      </c>
      <c r="AQ76" s="130">
        <f t="shared" si="48"/>
        <v>0</v>
      </c>
      <c r="AR76" s="130">
        <f t="shared" si="48"/>
        <v>0</v>
      </c>
      <c r="AS76" s="130">
        <f t="shared" si="48"/>
        <v>0</v>
      </c>
      <c r="AT76" s="130">
        <f t="shared" si="48"/>
        <v>0</v>
      </c>
      <c r="AU76" s="130">
        <f t="shared" si="48"/>
        <v>0</v>
      </c>
      <c r="AV76" s="130">
        <f t="shared" si="48"/>
        <v>0</v>
      </c>
      <c r="AW76" s="130">
        <f t="shared" si="48"/>
        <v>0</v>
      </c>
      <c r="AX76" s="130">
        <f t="shared" si="48"/>
        <v>0</v>
      </c>
      <c r="AY76" s="130">
        <f t="shared" si="48"/>
        <v>0</v>
      </c>
      <c r="AZ76" s="130">
        <f t="shared" si="48"/>
        <v>0</v>
      </c>
      <c r="BA76" s="130">
        <f t="shared" si="48"/>
        <v>0</v>
      </c>
      <c r="BB76" s="130">
        <f t="shared" si="49"/>
        <v>0</v>
      </c>
      <c r="BC76" s="130">
        <f t="shared" si="49"/>
        <v>0</v>
      </c>
      <c r="BD76" s="130">
        <f t="shared" si="49"/>
        <v>0</v>
      </c>
      <c r="BE76" s="130">
        <f t="shared" si="49"/>
        <v>0</v>
      </c>
      <c r="BF76" s="130" t="e">
        <f>+IF($H76=#REF!,$C76,0)-IF($I76=#REF!,$C76,0)</f>
        <v>#REF!</v>
      </c>
      <c r="BG76" s="130" t="e">
        <f>+IF($H76=#REF!,$C76,0)-IF($I76=#REF!,$C76,0)</f>
        <v>#REF!</v>
      </c>
      <c r="BH76" s="130" t="e">
        <f>+IF($H76=#REF!,$C76,0)-IF($I76=#REF!,$C76,0)</f>
        <v>#REF!</v>
      </c>
      <c r="BI76" s="130">
        <f t="shared" si="50"/>
        <v>0</v>
      </c>
      <c r="BJ76" s="130">
        <f t="shared" si="50"/>
        <v>0</v>
      </c>
      <c r="BK76" s="130">
        <f t="shared" si="50"/>
        <v>0</v>
      </c>
      <c r="BL76" s="130">
        <f t="shared" si="50"/>
        <v>0</v>
      </c>
      <c r="BM76" s="130">
        <f t="shared" si="50"/>
        <v>0</v>
      </c>
      <c r="BN76" s="130">
        <f t="shared" si="50"/>
        <v>0</v>
      </c>
      <c r="BO76" s="130">
        <f t="shared" si="50"/>
        <v>0</v>
      </c>
      <c r="BP76" s="130">
        <f t="shared" si="50"/>
        <v>0</v>
      </c>
      <c r="BQ76" s="130">
        <f t="shared" si="50"/>
        <v>0</v>
      </c>
      <c r="BR76" s="130" t="e">
        <f t="shared" si="57"/>
        <v>#REF!</v>
      </c>
    </row>
    <row r="77" spans="2:70" s="119" customFormat="1" x14ac:dyDescent="0.2">
      <c r="B77" s="128"/>
      <c r="C77" s="129"/>
      <c r="D77" s="129"/>
      <c r="E77" s="129" t="e">
        <f>ROUND(IF(D77=#REF!,0,IF($H77=$S$6,(C77/1.14975*0.05*0.5),C77/1.14975*0.05)),2)</f>
        <v>#REF!</v>
      </c>
      <c r="F77" s="129" t="e">
        <f>ROUND(IF(D77=#REF!,0,IF($H77=$S$6,C77/1.14975*0.09975*0.5,C77/1.14975*0.09975)),2)</f>
        <v>#REF!</v>
      </c>
      <c r="G77" s="129" t="e">
        <f t="shared" si="58"/>
        <v>#REF!</v>
      </c>
      <c r="J77" s="130">
        <f t="shared" si="52"/>
        <v>0</v>
      </c>
      <c r="K77" s="130">
        <f t="shared" si="45"/>
        <v>0</v>
      </c>
      <c r="L77" s="130">
        <f t="shared" si="45"/>
        <v>0</v>
      </c>
      <c r="M77" s="130">
        <f t="shared" si="45"/>
        <v>0</v>
      </c>
      <c r="N77" s="130">
        <f t="shared" si="45"/>
        <v>0</v>
      </c>
      <c r="O77" s="130">
        <f t="shared" si="45"/>
        <v>0</v>
      </c>
      <c r="P77" s="130">
        <f t="shared" si="45"/>
        <v>0</v>
      </c>
      <c r="Q77" s="130">
        <f t="shared" si="45"/>
        <v>0</v>
      </c>
      <c r="R77" s="130">
        <f t="shared" si="45"/>
        <v>0</v>
      </c>
      <c r="S77" s="130">
        <f t="shared" si="45"/>
        <v>0</v>
      </c>
      <c r="T77" s="130">
        <f t="shared" si="45"/>
        <v>0</v>
      </c>
      <c r="U77" s="130">
        <f t="shared" si="46"/>
        <v>0</v>
      </c>
      <c r="V77" s="130">
        <f t="shared" si="46"/>
        <v>0</v>
      </c>
      <c r="W77" s="130">
        <f t="shared" si="46"/>
        <v>0</v>
      </c>
      <c r="X77" s="130">
        <f t="shared" si="46"/>
        <v>0</v>
      </c>
      <c r="Y77" s="130">
        <f t="shared" si="46"/>
        <v>0</v>
      </c>
      <c r="Z77" s="130">
        <f t="shared" si="46"/>
        <v>0</v>
      </c>
      <c r="AA77" s="130">
        <f t="shared" si="46"/>
        <v>0</v>
      </c>
      <c r="AB77" s="130">
        <f t="shared" si="46"/>
        <v>0</v>
      </c>
      <c r="AC77" s="130">
        <f t="shared" si="46"/>
        <v>0</v>
      </c>
      <c r="AD77" s="130">
        <f t="shared" si="46"/>
        <v>0</v>
      </c>
      <c r="AE77" s="130">
        <f t="shared" si="46"/>
        <v>0</v>
      </c>
      <c r="AF77" s="130">
        <f t="shared" si="46"/>
        <v>0</v>
      </c>
      <c r="AG77" s="130">
        <f t="shared" si="46"/>
        <v>0</v>
      </c>
      <c r="AH77" s="130">
        <f t="shared" si="47"/>
        <v>0</v>
      </c>
      <c r="AI77" s="130">
        <f t="shared" si="47"/>
        <v>0</v>
      </c>
      <c r="AJ77" s="130">
        <f t="shared" si="47"/>
        <v>0</v>
      </c>
      <c r="AK77" s="130">
        <f t="shared" si="53"/>
        <v>0</v>
      </c>
      <c r="AL77" s="130">
        <f t="shared" si="54"/>
        <v>0</v>
      </c>
      <c r="AM77" s="130">
        <f t="shared" si="55"/>
        <v>0</v>
      </c>
      <c r="AN77" s="130">
        <f t="shared" si="56"/>
        <v>0</v>
      </c>
      <c r="AO77" s="130">
        <f t="shared" si="48"/>
        <v>0</v>
      </c>
      <c r="AP77" s="130">
        <f t="shared" si="48"/>
        <v>0</v>
      </c>
      <c r="AQ77" s="130">
        <f t="shared" si="48"/>
        <v>0</v>
      </c>
      <c r="AR77" s="130">
        <f t="shared" si="48"/>
        <v>0</v>
      </c>
      <c r="AS77" s="130">
        <f t="shared" si="48"/>
        <v>0</v>
      </c>
      <c r="AT77" s="130">
        <f t="shared" si="48"/>
        <v>0</v>
      </c>
      <c r="AU77" s="130">
        <f t="shared" si="48"/>
        <v>0</v>
      </c>
      <c r="AV77" s="130">
        <f t="shared" si="48"/>
        <v>0</v>
      </c>
      <c r="AW77" s="130">
        <f t="shared" si="48"/>
        <v>0</v>
      </c>
      <c r="AX77" s="130">
        <f t="shared" si="48"/>
        <v>0</v>
      </c>
      <c r="AY77" s="130">
        <f t="shared" si="48"/>
        <v>0</v>
      </c>
      <c r="AZ77" s="130">
        <f t="shared" si="48"/>
        <v>0</v>
      </c>
      <c r="BA77" s="130">
        <f t="shared" si="48"/>
        <v>0</v>
      </c>
      <c r="BB77" s="130">
        <f t="shared" si="49"/>
        <v>0</v>
      </c>
      <c r="BC77" s="130">
        <f t="shared" si="49"/>
        <v>0</v>
      </c>
      <c r="BD77" s="130">
        <f t="shared" si="49"/>
        <v>0</v>
      </c>
      <c r="BE77" s="130">
        <f t="shared" si="49"/>
        <v>0</v>
      </c>
      <c r="BF77" s="130" t="e">
        <f>+IF($H77=#REF!,$C77,0)-IF($I77=#REF!,$C77,0)</f>
        <v>#REF!</v>
      </c>
      <c r="BG77" s="130" t="e">
        <f>+IF($H77=#REF!,$C77,0)-IF($I77=#REF!,$C77,0)</f>
        <v>#REF!</v>
      </c>
      <c r="BH77" s="130" t="e">
        <f>+IF($H77=#REF!,$C77,0)-IF($I77=#REF!,$C77,0)</f>
        <v>#REF!</v>
      </c>
      <c r="BI77" s="130">
        <f t="shared" si="50"/>
        <v>0</v>
      </c>
      <c r="BJ77" s="130">
        <f t="shared" si="50"/>
        <v>0</v>
      </c>
      <c r="BK77" s="130">
        <f t="shared" si="50"/>
        <v>0</v>
      </c>
      <c r="BL77" s="130">
        <f t="shared" si="50"/>
        <v>0</v>
      </c>
      <c r="BM77" s="130">
        <f t="shared" si="50"/>
        <v>0</v>
      </c>
      <c r="BN77" s="130">
        <f t="shared" si="50"/>
        <v>0</v>
      </c>
      <c r="BO77" s="130">
        <f t="shared" si="50"/>
        <v>0</v>
      </c>
      <c r="BP77" s="130">
        <f t="shared" si="50"/>
        <v>0</v>
      </c>
      <c r="BQ77" s="130">
        <f t="shared" si="50"/>
        <v>0</v>
      </c>
      <c r="BR77" s="130" t="e">
        <f t="shared" si="57"/>
        <v>#REF!</v>
      </c>
    </row>
    <row r="78" spans="2:70" s="119" customFormat="1" x14ac:dyDescent="0.2">
      <c r="B78" s="128"/>
      <c r="C78" s="129"/>
      <c r="D78" s="129"/>
      <c r="E78" s="129" t="e">
        <f>ROUND(IF(D78=#REF!,0,IF($H78=$S$6,(C78/1.14975*0.05*0.5),C78/1.14975*0.05)),2)</f>
        <v>#REF!</v>
      </c>
      <c r="F78" s="129" t="e">
        <f>ROUND(IF(D78=#REF!,0,IF($H78=$S$6,C78/1.14975*0.09975*0.5,C78/1.14975*0.09975)),2)</f>
        <v>#REF!</v>
      </c>
      <c r="G78" s="129" t="e">
        <f t="shared" si="58"/>
        <v>#REF!</v>
      </c>
      <c r="J78" s="130">
        <f t="shared" si="52"/>
        <v>0</v>
      </c>
      <c r="K78" s="130">
        <f t="shared" si="45"/>
        <v>0</v>
      </c>
      <c r="L78" s="130">
        <f t="shared" si="45"/>
        <v>0</v>
      </c>
      <c r="M78" s="130">
        <f t="shared" si="45"/>
        <v>0</v>
      </c>
      <c r="N78" s="130">
        <f t="shared" si="45"/>
        <v>0</v>
      </c>
      <c r="O78" s="130">
        <f t="shared" si="45"/>
        <v>0</v>
      </c>
      <c r="P78" s="130">
        <f t="shared" si="45"/>
        <v>0</v>
      </c>
      <c r="Q78" s="130">
        <f t="shared" si="45"/>
        <v>0</v>
      </c>
      <c r="R78" s="130">
        <f t="shared" si="45"/>
        <v>0</v>
      </c>
      <c r="S78" s="130">
        <f t="shared" si="45"/>
        <v>0</v>
      </c>
      <c r="T78" s="130">
        <f t="shared" si="45"/>
        <v>0</v>
      </c>
      <c r="U78" s="130">
        <f t="shared" si="46"/>
        <v>0</v>
      </c>
      <c r="V78" s="130">
        <f t="shared" si="46"/>
        <v>0</v>
      </c>
      <c r="W78" s="130">
        <f t="shared" si="46"/>
        <v>0</v>
      </c>
      <c r="X78" s="130">
        <f t="shared" si="46"/>
        <v>0</v>
      </c>
      <c r="Y78" s="130">
        <f t="shared" si="46"/>
        <v>0</v>
      </c>
      <c r="Z78" s="130">
        <f t="shared" si="46"/>
        <v>0</v>
      </c>
      <c r="AA78" s="130">
        <f t="shared" si="46"/>
        <v>0</v>
      </c>
      <c r="AB78" s="130">
        <f t="shared" si="46"/>
        <v>0</v>
      </c>
      <c r="AC78" s="130">
        <f t="shared" si="46"/>
        <v>0</v>
      </c>
      <c r="AD78" s="130">
        <f t="shared" si="46"/>
        <v>0</v>
      </c>
      <c r="AE78" s="130">
        <f t="shared" si="46"/>
        <v>0</v>
      </c>
      <c r="AF78" s="130">
        <f t="shared" si="46"/>
        <v>0</v>
      </c>
      <c r="AG78" s="130">
        <f t="shared" si="46"/>
        <v>0</v>
      </c>
      <c r="AH78" s="130">
        <f t="shared" si="47"/>
        <v>0</v>
      </c>
      <c r="AI78" s="130">
        <f t="shared" si="47"/>
        <v>0</v>
      </c>
      <c r="AJ78" s="130">
        <f t="shared" si="47"/>
        <v>0</v>
      </c>
      <c r="AK78" s="130">
        <f t="shared" si="53"/>
        <v>0</v>
      </c>
      <c r="AL78" s="130">
        <f t="shared" si="54"/>
        <v>0</v>
      </c>
      <c r="AM78" s="130">
        <f t="shared" si="55"/>
        <v>0</v>
      </c>
      <c r="AN78" s="130">
        <f t="shared" si="56"/>
        <v>0</v>
      </c>
      <c r="AO78" s="130">
        <f t="shared" si="48"/>
        <v>0</v>
      </c>
      <c r="AP78" s="130">
        <f t="shared" si="48"/>
        <v>0</v>
      </c>
      <c r="AQ78" s="130">
        <f t="shared" si="48"/>
        <v>0</v>
      </c>
      <c r="AR78" s="130">
        <f t="shared" si="48"/>
        <v>0</v>
      </c>
      <c r="AS78" s="130">
        <f t="shared" si="48"/>
        <v>0</v>
      </c>
      <c r="AT78" s="130">
        <f t="shared" si="48"/>
        <v>0</v>
      </c>
      <c r="AU78" s="130">
        <f t="shared" si="48"/>
        <v>0</v>
      </c>
      <c r="AV78" s="130">
        <f t="shared" si="48"/>
        <v>0</v>
      </c>
      <c r="AW78" s="130">
        <f t="shared" si="48"/>
        <v>0</v>
      </c>
      <c r="AX78" s="130">
        <f t="shared" si="48"/>
        <v>0</v>
      </c>
      <c r="AY78" s="130">
        <f t="shared" si="48"/>
        <v>0</v>
      </c>
      <c r="AZ78" s="130">
        <f t="shared" si="48"/>
        <v>0</v>
      </c>
      <c r="BA78" s="130">
        <f t="shared" si="48"/>
        <v>0</v>
      </c>
      <c r="BB78" s="130">
        <f t="shared" si="49"/>
        <v>0</v>
      </c>
      <c r="BC78" s="130">
        <f t="shared" si="49"/>
        <v>0</v>
      </c>
      <c r="BD78" s="130">
        <f t="shared" si="49"/>
        <v>0</v>
      </c>
      <c r="BE78" s="130">
        <f t="shared" si="49"/>
        <v>0</v>
      </c>
      <c r="BF78" s="130" t="e">
        <f>+IF($H78=#REF!,$C78,0)-IF($I78=#REF!,$C78,0)</f>
        <v>#REF!</v>
      </c>
      <c r="BG78" s="130" t="e">
        <f>+IF($H78=#REF!,$C78,0)-IF($I78=#REF!,$C78,0)</f>
        <v>#REF!</v>
      </c>
      <c r="BH78" s="130" t="e">
        <f>+IF($H78=#REF!,$C78,0)-IF($I78=#REF!,$C78,0)</f>
        <v>#REF!</v>
      </c>
      <c r="BI78" s="130">
        <f t="shared" si="50"/>
        <v>0</v>
      </c>
      <c r="BJ78" s="130">
        <f t="shared" si="50"/>
        <v>0</v>
      </c>
      <c r="BK78" s="130">
        <f t="shared" si="50"/>
        <v>0</v>
      </c>
      <c r="BL78" s="130">
        <f t="shared" si="50"/>
        <v>0</v>
      </c>
      <c r="BM78" s="130">
        <f t="shared" si="50"/>
        <v>0</v>
      </c>
      <c r="BN78" s="130">
        <f t="shared" si="50"/>
        <v>0</v>
      </c>
      <c r="BO78" s="130">
        <f t="shared" si="50"/>
        <v>0</v>
      </c>
      <c r="BP78" s="130">
        <f t="shared" si="50"/>
        <v>0</v>
      </c>
      <c r="BQ78" s="130">
        <f t="shared" si="50"/>
        <v>0</v>
      </c>
      <c r="BR78" s="130" t="e">
        <f t="shared" si="57"/>
        <v>#REF!</v>
      </c>
    </row>
    <row r="79" spans="2:70" s="119" customFormat="1" x14ac:dyDescent="0.2">
      <c r="B79" s="128"/>
      <c r="C79" s="129"/>
      <c r="D79" s="129"/>
      <c r="E79" s="129" t="e">
        <f>ROUND(IF(D79=#REF!,0,IF($H79=$S$6,(C79/1.14975*0.05*0.5),C79/1.14975*0.05)),2)</f>
        <v>#REF!</v>
      </c>
      <c r="F79" s="129" t="e">
        <f>ROUND(IF(D79=#REF!,0,IF($H79=$S$6,C79/1.14975*0.09975*0.5,C79/1.14975*0.09975)),2)</f>
        <v>#REF!</v>
      </c>
      <c r="G79" s="129" t="e">
        <f t="shared" si="51"/>
        <v>#REF!</v>
      </c>
      <c r="J79" s="130">
        <f t="shared" si="52"/>
        <v>0</v>
      </c>
      <c r="K79" s="130">
        <f t="shared" ref="K79:T88" si="59">+IF($H79=K$6,$G79,0)-IF($I79=K$6,$G79,0)</f>
        <v>0</v>
      </c>
      <c r="L79" s="130">
        <f t="shared" si="59"/>
        <v>0</v>
      </c>
      <c r="M79" s="130">
        <f t="shared" si="59"/>
        <v>0</v>
      </c>
      <c r="N79" s="130">
        <f t="shared" si="59"/>
        <v>0</v>
      </c>
      <c r="O79" s="130">
        <f t="shared" si="59"/>
        <v>0</v>
      </c>
      <c r="P79" s="130">
        <f t="shared" si="59"/>
        <v>0</v>
      </c>
      <c r="Q79" s="130">
        <f t="shared" si="59"/>
        <v>0</v>
      </c>
      <c r="R79" s="130">
        <f t="shared" si="59"/>
        <v>0</v>
      </c>
      <c r="S79" s="130">
        <f t="shared" si="59"/>
        <v>0</v>
      </c>
      <c r="T79" s="130">
        <f t="shared" si="59"/>
        <v>0</v>
      </c>
      <c r="U79" s="130">
        <f t="shared" ref="U79:AG88" si="60">+IF($H79=U$6,$G79,0)-IF($I79=U$6,$G79,0)</f>
        <v>0</v>
      </c>
      <c r="V79" s="130">
        <f t="shared" si="60"/>
        <v>0</v>
      </c>
      <c r="W79" s="130">
        <f t="shared" si="60"/>
        <v>0</v>
      </c>
      <c r="X79" s="130">
        <f t="shared" si="60"/>
        <v>0</v>
      </c>
      <c r="Y79" s="130">
        <f t="shared" si="60"/>
        <v>0</v>
      </c>
      <c r="Z79" s="130">
        <f t="shared" si="60"/>
        <v>0</v>
      </c>
      <c r="AA79" s="130">
        <f t="shared" si="60"/>
        <v>0</v>
      </c>
      <c r="AB79" s="130">
        <f t="shared" si="60"/>
        <v>0</v>
      </c>
      <c r="AC79" s="130">
        <f t="shared" si="60"/>
        <v>0</v>
      </c>
      <c r="AD79" s="130">
        <f t="shared" si="60"/>
        <v>0</v>
      </c>
      <c r="AE79" s="130">
        <f t="shared" si="60"/>
        <v>0</v>
      </c>
      <c r="AF79" s="130">
        <f t="shared" si="60"/>
        <v>0</v>
      </c>
      <c r="AG79" s="130">
        <f t="shared" si="60"/>
        <v>0</v>
      </c>
      <c r="AH79" s="130">
        <f t="shared" si="47"/>
        <v>0</v>
      </c>
      <c r="AI79" s="130">
        <f t="shared" si="47"/>
        <v>0</v>
      </c>
      <c r="AJ79" s="130">
        <f t="shared" si="47"/>
        <v>0</v>
      </c>
      <c r="AK79" s="130">
        <f t="shared" si="53"/>
        <v>0</v>
      </c>
      <c r="AL79" s="130">
        <f t="shared" si="54"/>
        <v>0</v>
      </c>
      <c r="AM79" s="130">
        <f t="shared" si="55"/>
        <v>0</v>
      </c>
      <c r="AN79" s="130">
        <f t="shared" si="56"/>
        <v>0</v>
      </c>
      <c r="AO79" s="130">
        <f t="shared" ref="AO79:BA88" si="61">+IF($H79=AO$6,$G79,0)-IF($I79=AO$6,$G79,0)</f>
        <v>0</v>
      </c>
      <c r="AP79" s="130">
        <f t="shared" si="61"/>
        <v>0</v>
      </c>
      <c r="AQ79" s="130">
        <f t="shared" si="61"/>
        <v>0</v>
      </c>
      <c r="AR79" s="130">
        <f t="shared" si="61"/>
        <v>0</v>
      </c>
      <c r="AS79" s="130">
        <f t="shared" si="61"/>
        <v>0</v>
      </c>
      <c r="AT79" s="130">
        <f t="shared" si="61"/>
        <v>0</v>
      </c>
      <c r="AU79" s="130">
        <f t="shared" si="61"/>
        <v>0</v>
      </c>
      <c r="AV79" s="130">
        <f t="shared" si="61"/>
        <v>0</v>
      </c>
      <c r="AW79" s="130">
        <f t="shared" si="61"/>
        <v>0</v>
      </c>
      <c r="AX79" s="130">
        <f t="shared" si="61"/>
        <v>0</v>
      </c>
      <c r="AY79" s="130">
        <f t="shared" si="61"/>
        <v>0</v>
      </c>
      <c r="AZ79" s="130">
        <f t="shared" si="61"/>
        <v>0</v>
      </c>
      <c r="BA79" s="130">
        <f t="shared" si="61"/>
        <v>0</v>
      </c>
      <c r="BB79" s="130">
        <f t="shared" si="49"/>
        <v>0</v>
      </c>
      <c r="BC79" s="130">
        <f t="shared" si="49"/>
        <v>0</v>
      </c>
      <c r="BD79" s="130">
        <f t="shared" si="49"/>
        <v>0</v>
      </c>
      <c r="BE79" s="130">
        <f t="shared" si="49"/>
        <v>0</v>
      </c>
      <c r="BF79" s="130" t="e">
        <f>+IF($H79=#REF!,$C79,0)-IF($I79=#REF!,$C79,0)</f>
        <v>#REF!</v>
      </c>
      <c r="BG79" s="130" t="e">
        <f>+IF($H79=#REF!,$C79,0)-IF($I79=#REF!,$C79,0)</f>
        <v>#REF!</v>
      </c>
      <c r="BH79" s="130" t="e">
        <f>+IF($H79=#REF!,$C79,0)-IF($I79=#REF!,$C79,0)</f>
        <v>#REF!</v>
      </c>
      <c r="BI79" s="130">
        <f t="shared" ref="BI79:BQ88" si="62">+IF($H79=BI$6,$G79,0)-IF($I79=BI$6,$G79,0)</f>
        <v>0</v>
      </c>
      <c r="BJ79" s="130">
        <f t="shared" si="62"/>
        <v>0</v>
      </c>
      <c r="BK79" s="130">
        <f t="shared" si="62"/>
        <v>0</v>
      </c>
      <c r="BL79" s="130">
        <f t="shared" si="62"/>
        <v>0</v>
      </c>
      <c r="BM79" s="130">
        <f t="shared" si="62"/>
        <v>0</v>
      </c>
      <c r="BN79" s="130">
        <f t="shared" si="62"/>
        <v>0</v>
      </c>
      <c r="BO79" s="130">
        <f t="shared" si="62"/>
        <v>0</v>
      </c>
      <c r="BP79" s="130">
        <f t="shared" si="62"/>
        <v>0</v>
      </c>
      <c r="BQ79" s="130">
        <f t="shared" si="62"/>
        <v>0</v>
      </c>
      <c r="BR79" s="130" t="e">
        <f t="shared" si="57"/>
        <v>#REF!</v>
      </c>
    </row>
    <row r="80" spans="2:70" s="119" customFormat="1" x14ac:dyDescent="0.2">
      <c r="B80" s="128"/>
      <c r="C80" s="129"/>
      <c r="D80" s="129"/>
      <c r="E80" s="129" t="e">
        <f>ROUND(IF(D80=#REF!,0,IF($H80=$S$6,(C80/1.14975*0.05*0.5),C80/1.14975*0.05)),2)</f>
        <v>#REF!</v>
      </c>
      <c r="F80" s="129" t="e">
        <f>ROUND(IF(D80=#REF!,0,IF($H80=$S$6,C80/1.14975*0.09975*0.5,C80/1.14975*0.09975)),2)</f>
        <v>#REF!</v>
      </c>
      <c r="G80" s="129" t="e">
        <f t="shared" si="51"/>
        <v>#REF!</v>
      </c>
      <c r="J80" s="130">
        <f t="shared" si="52"/>
        <v>0</v>
      </c>
      <c r="K80" s="130">
        <f t="shared" si="59"/>
        <v>0</v>
      </c>
      <c r="L80" s="130">
        <f t="shared" si="59"/>
        <v>0</v>
      </c>
      <c r="M80" s="130">
        <f t="shared" si="59"/>
        <v>0</v>
      </c>
      <c r="N80" s="130">
        <f t="shared" si="59"/>
        <v>0</v>
      </c>
      <c r="O80" s="130">
        <f t="shared" si="59"/>
        <v>0</v>
      </c>
      <c r="P80" s="130">
        <f t="shared" si="59"/>
        <v>0</v>
      </c>
      <c r="Q80" s="130">
        <f t="shared" si="59"/>
        <v>0</v>
      </c>
      <c r="R80" s="130">
        <f t="shared" si="59"/>
        <v>0</v>
      </c>
      <c r="S80" s="130">
        <f t="shared" si="59"/>
        <v>0</v>
      </c>
      <c r="T80" s="130">
        <f t="shared" si="59"/>
        <v>0</v>
      </c>
      <c r="U80" s="130">
        <f t="shared" si="60"/>
        <v>0</v>
      </c>
      <c r="V80" s="130">
        <f t="shared" si="60"/>
        <v>0</v>
      </c>
      <c r="W80" s="130">
        <f t="shared" si="60"/>
        <v>0</v>
      </c>
      <c r="X80" s="130">
        <f t="shared" si="60"/>
        <v>0</v>
      </c>
      <c r="Y80" s="130">
        <f t="shared" si="60"/>
        <v>0</v>
      </c>
      <c r="Z80" s="130">
        <f t="shared" si="60"/>
        <v>0</v>
      </c>
      <c r="AA80" s="130">
        <f t="shared" si="60"/>
        <v>0</v>
      </c>
      <c r="AB80" s="130">
        <f t="shared" si="60"/>
        <v>0</v>
      </c>
      <c r="AC80" s="130">
        <f t="shared" si="60"/>
        <v>0</v>
      </c>
      <c r="AD80" s="130">
        <f t="shared" si="60"/>
        <v>0</v>
      </c>
      <c r="AE80" s="130">
        <f t="shared" si="60"/>
        <v>0</v>
      </c>
      <c r="AF80" s="130">
        <f t="shared" si="60"/>
        <v>0</v>
      </c>
      <c r="AG80" s="130">
        <f t="shared" si="60"/>
        <v>0</v>
      </c>
      <c r="AH80" s="130">
        <f t="shared" si="47"/>
        <v>0</v>
      </c>
      <c r="AI80" s="130">
        <f t="shared" si="47"/>
        <v>0</v>
      </c>
      <c r="AJ80" s="130">
        <f t="shared" si="47"/>
        <v>0</v>
      </c>
      <c r="AK80" s="130">
        <f t="shared" si="53"/>
        <v>0</v>
      </c>
      <c r="AL80" s="130">
        <f t="shared" si="54"/>
        <v>0</v>
      </c>
      <c r="AM80" s="130">
        <f t="shared" si="55"/>
        <v>0</v>
      </c>
      <c r="AN80" s="130">
        <f t="shared" si="56"/>
        <v>0</v>
      </c>
      <c r="AO80" s="130">
        <f t="shared" si="61"/>
        <v>0</v>
      </c>
      <c r="AP80" s="130">
        <f t="shared" si="61"/>
        <v>0</v>
      </c>
      <c r="AQ80" s="130">
        <f t="shared" si="61"/>
        <v>0</v>
      </c>
      <c r="AR80" s="130">
        <f t="shared" si="61"/>
        <v>0</v>
      </c>
      <c r="AS80" s="130">
        <f t="shared" si="61"/>
        <v>0</v>
      </c>
      <c r="AT80" s="130">
        <f t="shared" si="61"/>
        <v>0</v>
      </c>
      <c r="AU80" s="130">
        <f t="shared" si="61"/>
        <v>0</v>
      </c>
      <c r="AV80" s="130">
        <f t="shared" si="61"/>
        <v>0</v>
      </c>
      <c r="AW80" s="130">
        <f t="shared" si="61"/>
        <v>0</v>
      </c>
      <c r="AX80" s="130">
        <f t="shared" si="61"/>
        <v>0</v>
      </c>
      <c r="AY80" s="130">
        <f t="shared" si="61"/>
        <v>0</v>
      </c>
      <c r="AZ80" s="130">
        <f t="shared" si="61"/>
        <v>0</v>
      </c>
      <c r="BA80" s="130">
        <f t="shared" si="61"/>
        <v>0</v>
      </c>
      <c r="BB80" s="130">
        <f t="shared" si="49"/>
        <v>0</v>
      </c>
      <c r="BC80" s="130">
        <f t="shared" si="49"/>
        <v>0</v>
      </c>
      <c r="BD80" s="130">
        <f t="shared" si="49"/>
        <v>0</v>
      </c>
      <c r="BE80" s="130">
        <f t="shared" si="49"/>
        <v>0</v>
      </c>
      <c r="BF80" s="130" t="e">
        <f>+IF($H80=#REF!,$C80,0)-IF($I80=#REF!,$C80,0)</f>
        <v>#REF!</v>
      </c>
      <c r="BG80" s="130" t="e">
        <f>+IF($H80=#REF!,$C80,0)-IF($I80=#REF!,$C80,0)</f>
        <v>#REF!</v>
      </c>
      <c r="BH80" s="130" t="e">
        <f>+IF($H80=#REF!,$C80,0)-IF($I80=#REF!,$C80,0)</f>
        <v>#REF!</v>
      </c>
      <c r="BI80" s="130">
        <f t="shared" si="62"/>
        <v>0</v>
      </c>
      <c r="BJ80" s="130">
        <f t="shared" si="62"/>
        <v>0</v>
      </c>
      <c r="BK80" s="130">
        <f t="shared" si="62"/>
        <v>0</v>
      </c>
      <c r="BL80" s="130">
        <f t="shared" si="62"/>
        <v>0</v>
      </c>
      <c r="BM80" s="130">
        <f t="shared" si="62"/>
        <v>0</v>
      </c>
      <c r="BN80" s="130">
        <f t="shared" si="62"/>
        <v>0</v>
      </c>
      <c r="BO80" s="130">
        <f t="shared" si="62"/>
        <v>0</v>
      </c>
      <c r="BP80" s="130">
        <f t="shared" si="62"/>
        <v>0</v>
      </c>
      <c r="BQ80" s="130">
        <f t="shared" si="62"/>
        <v>0</v>
      </c>
      <c r="BR80" s="130" t="e">
        <f t="shared" si="57"/>
        <v>#REF!</v>
      </c>
    </row>
    <row r="81" spans="2:70" s="119" customFormat="1" x14ac:dyDescent="0.2">
      <c r="B81" s="128"/>
      <c r="C81" s="129"/>
      <c r="D81" s="129"/>
      <c r="E81" s="129" t="e">
        <f>ROUND(IF(D81=#REF!,0,IF($H81=$S$6,(C81/1.14975*0.05*0.5),C81/1.14975*0.05)),2)</f>
        <v>#REF!</v>
      </c>
      <c r="F81" s="129" t="e">
        <f>ROUND(IF(D81=#REF!,0,IF($H81=$S$6,C81/1.14975*0.09975*0.5,C81/1.14975*0.09975)),2)</f>
        <v>#REF!</v>
      </c>
      <c r="G81" s="129" t="e">
        <f t="shared" si="51"/>
        <v>#REF!</v>
      </c>
      <c r="J81" s="130">
        <f t="shared" si="52"/>
        <v>0</v>
      </c>
      <c r="K81" s="130">
        <f t="shared" si="59"/>
        <v>0</v>
      </c>
      <c r="L81" s="130">
        <f t="shared" si="59"/>
        <v>0</v>
      </c>
      <c r="M81" s="130">
        <f t="shared" si="59"/>
        <v>0</v>
      </c>
      <c r="N81" s="130">
        <f t="shared" si="59"/>
        <v>0</v>
      </c>
      <c r="O81" s="130">
        <f t="shared" si="59"/>
        <v>0</v>
      </c>
      <c r="P81" s="130">
        <f t="shared" si="59"/>
        <v>0</v>
      </c>
      <c r="Q81" s="130">
        <f t="shared" si="59"/>
        <v>0</v>
      </c>
      <c r="R81" s="130">
        <f t="shared" si="59"/>
        <v>0</v>
      </c>
      <c r="S81" s="130">
        <f t="shared" si="59"/>
        <v>0</v>
      </c>
      <c r="T81" s="130">
        <f t="shared" si="59"/>
        <v>0</v>
      </c>
      <c r="U81" s="130">
        <f t="shared" si="60"/>
        <v>0</v>
      </c>
      <c r="V81" s="130">
        <f t="shared" si="60"/>
        <v>0</v>
      </c>
      <c r="W81" s="130">
        <f t="shared" si="60"/>
        <v>0</v>
      </c>
      <c r="X81" s="130">
        <f t="shared" si="60"/>
        <v>0</v>
      </c>
      <c r="Y81" s="130">
        <f t="shared" si="60"/>
        <v>0</v>
      </c>
      <c r="Z81" s="130">
        <f t="shared" si="60"/>
        <v>0</v>
      </c>
      <c r="AA81" s="130">
        <f t="shared" si="60"/>
        <v>0</v>
      </c>
      <c r="AB81" s="130">
        <f t="shared" si="60"/>
        <v>0</v>
      </c>
      <c r="AC81" s="130">
        <f t="shared" si="60"/>
        <v>0</v>
      </c>
      <c r="AD81" s="130">
        <f t="shared" si="60"/>
        <v>0</v>
      </c>
      <c r="AE81" s="130">
        <f t="shared" si="60"/>
        <v>0</v>
      </c>
      <c r="AF81" s="130">
        <f t="shared" si="60"/>
        <v>0</v>
      </c>
      <c r="AG81" s="130">
        <f t="shared" si="60"/>
        <v>0</v>
      </c>
      <c r="AH81" s="130">
        <f t="shared" si="47"/>
        <v>0</v>
      </c>
      <c r="AI81" s="130">
        <f t="shared" si="47"/>
        <v>0</v>
      </c>
      <c r="AJ81" s="130">
        <f t="shared" si="47"/>
        <v>0</v>
      </c>
      <c r="AK81" s="130">
        <f t="shared" si="53"/>
        <v>0</v>
      </c>
      <c r="AL81" s="130">
        <f t="shared" si="54"/>
        <v>0</v>
      </c>
      <c r="AM81" s="130">
        <f t="shared" si="55"/>
        <v>0</v>
      </c>
      <c r="AN81" s="130">
        <f t="shared" si="56"/>
        <v>0</v>
      </c>
      <c r="AO81" s="130">
        <f t="shared" si="61"/>
        <v>0</v>
      </c>
      <c r="AP81" s="130">
        <f t="shared" si="61"/>
        <v>0</v>
      </c>
      <c r="AQ81" s="130">
        <f t="shared" si="61"/>
        <v>0</v>
      </c>
      <c r="AR81" s="130">
        <f t="shared" si="61"/>
        <v>0</v>
      </c>
      <c r="AS81" s="130">
        <f t="shared" si="61"/>
        <v>0</v>
      </c>
      <c r="AT81" s="130">
        <f t="shared" si="61"/>
        <v>0</v>
      </c>
      <c r="AU81" s="130">
        <f t="shared" si="61"/>
        <v>0</v>
      </c>
      <c r="AV81" s="130">
        <f t="shared" si="61"/>
        <v>0</v>
      </c>
      <c r="AW81" s="130">
        <f t="shared" si="61"/>
        <v>0</v>
      </c>
      <c r="AX81" s="130">
        <f t="shared" si="61"/>
        <v>0</v>
      </c>
      <c r="AY81" s="130">
        <f t="shared" si="61"/>
        <v>0</v>
      </c>
      <c r="AZ81" s="130">
        <f t="shared" si="61"/>
        <v>0</v>
      </c>
      <c r="BA81" s="130">
        <f t="shared" si="61"/>
        <v>0</v>
      </c>
      <c r="BB81" s="130">
        <f t="shared" si="49"/>
        <v>0</v>
      </c>
      <c r="BC81" s="130">
        <f t="shared" si="49"/>
        <v>0</v>
      </c>
      <c r="BD81" s="130">
        <f t="shared" si="49"/>
        <v>0</v>
      </c>
      <c r="BE81" s="130">
        <f t="shared" si="49"/>
        <v>0</v>
      </c>
      <c r="BF81" s="130" t="e">
        <f>+IF($H81=#REF!,$C81,0)-IF($I81=#REF!,$C81,0)</f>
        <v>#REF!</v>
      </c>
      <c r="BG81" s="130" t="e">
        <f>+IF($H81=#REF!,$C81,0)-IF($I81=#REF!,$C81,0)</f>
        <v>#REF!</v>
      </c>
      <c r="BH81" s="130" t="e">
        <f>+IF($H81=#REF!,$C81,0)-IF($I81=#REF!,$C81,0)</f>
        <v>#REF!</v>
      </c>
      <c r="BI81" s="130">
        <f t="shared" si="62"/>
        <v>0</v>
      </c>
      <c r="BJ81" s="130">
        <f t="shared" si="62"/>
        <v>0</v>
      </c>
      <c r="BK81" s="130">
        <f t="shared" si="62"/>
        <v>0</v>
      </c>
      <c r="BL81" s="130">
        <f t="shared" si="62"/>
        <v>0</v>
      </c>
      <c r="BM81" s="130">
        <f t="shared" si="62"/>
        <v>0</v>
      </c>
      <c r="BN81" s="130">
        <f t="shared" si="62"/>
        <v>0</v>
      </c>
      <c r="BO81" s="130">
        <f t="shared" si="62"/>
        <v>0</v>
      </c>
      <c r="BP81" s="130">
        <f t="shared" si="62"/>
        <v>0</v>
      </c>
      <c r="BQ81" s="130">
        <f t="shared" si="62"/>
        <v>0</v>
      </c>
      <c r="BR81" s="130" t="e">
        <f t="shared" si="57"/>
        <v>#REF!</v>
      </c>
    </row>
    <row r="82" spans="2:70" s="119" customFormat="1" x14ac:dyDescent="0.2">
      <c r="B82" s="128"/>
      <c r="C82" s="129"/>
      <c r="D82" s="129"/>
      <c r="E82" s="129" t="e">
        <f>ROUND(IF(D82=#REF!,0,IF($H82=$S$6,(C82/1.14975*0.05*0.5),C82/1.14975*0.05)),2)</f>
        <v>#REF!</v>
      </c>
      <c r="F82" s="129" t="e">
        <f>ROUND(IF(D82=#REF!,0,IF($H82=$S$6,C82/1.14975*0.09975*0.5,C82/1.14975*0.09975)),2)</f>
        <v>#REF!</v>
      </c>
      <c r="G82" s="129" t="e">
        <f t="shared" si="51"/>
        <v>#REF!</v>
      </c>
      <c r="J82" s="130">
        <f t="shared" si="52"/>
        <v>0</v>
      </c>
      <c r="K82" s="130">
        <f t="shared" si="59"/>
        <v>0</v>
      </c>
      <c r="L82" s="130">
        <f t="shared" si="59"/>
        <v>0</v>
      </c>
      <c r="M82" s="130">
        <f t="shared" si="59"/>
        <v>0</v>
      </c>
      <c r="N82" s="130">
        <f t="shared" si="59"/>
        <v>0</v>
      </c>
      <c r="O82" s="130">
        <f t="shared" si="59"/>
        <v>0</v>
      </c>
      <c r="P82" s="130">
        <f t="shared" si="59"/>
        <v>0</v>
      </c>
      <c r="Q82" s="130">
        <f t="shared" si="59"/>
        <v>0</v>
      </c>
      <c r="R82" s="130">
        <f t="shared" si="59"/>
        <v>0</v>
      </c>
      <c r="S82" s="130">
        <f t="shared" si="59"/>
        <v>0</v>
      </c>
      <c r="T82" s="130">
        <f t="shared" si="59"/>
        <v>0</v>
      </c>
      <c r="U82" s="130">
        <f t="shared" si="60"/>
        <v>0</v>
      </c>
      <c r="V82" s="130">
        <f t="shared" si="60"/>
        <v>0</v>
      </c>
      <c r="W82" s="130">
        <f t="shared" si="60"/>
        <v>0</v>
      </c>
      <c r="X82" s="130">
        <f t="shared" si="60"/>
        <v>0</v>
      </c>
      <c r="Y82" s="130">
        <f t="shared" si="60"/>
        <v>0</v>
      </c>
      <c r="Z82" s="130">
        <f t="shared" si="60"/>
        <v>0</v>
      </c>
      <c r="AA82" s="130">
        <f t="shared" si="60"/>
        <v>0</v>
      </c>
      <c r="AB82" s="130">
        <f t="shared" si="60"/>
        <v>0</v>
      </c>
      <c r="AC82" s="130">
        <f t="shared" si="60"/>
        <v>0</v>
      </c>
      <c r="AD82" s="130">
        <f t="shared" si="60"/>
        <v>0</v>
      </c>
      <c r="AE82" s="130">
        <f t="shared" si="60"/>
        <v>0</v>
      </c>
      <c r="AF82" s="130">
        <f t="shared" si="60"/>
        <v>0</v>
      </c>
      <c r="AG82" s="130">
        <f t="shared" si="60"/>
        <v>0</v>
      </c>
      <c r="AH82" s="130">
        <f t="shared" si="47"/>
        <v>0</v>
      </c>
      <c r="AI82" s="130">
        <f t="shared" si="47"/>
        <v>0</v>
      </c>
      <c r="AJ82" s="130">
        <f t="shared" si="47"/>
        <v>0</v>
      </c>
      <c r="AK82" s="130">
        <f t="shared" si="53"/>
        <v>0</v>
      </c>
      <c r="AL82" s="130">
        <f t="shared" si="54"/>
        <v>0</v>
      </c>
      <c r="AM82" s="130">
        <f t="shared" si="55"/>
        <v>0</v>
      </c>
      <c r="AN82" s="130">
        <f t="shared" si="56"/>
        <v>0</v>
      </c>
      <c r="AO82" s="130">
        <f t="shared" si="61"/>
        <v>0</v>
      </c>
      <c r="AP82" s="130">
        <f t="shared" si="61"/>
        <v>0</v>
      </c>
      <c r="AQ82" s="130">
        <f t="shared" si="61"/>
        <v>0</v>
      </c>
      <c r="AR82" s="130">
        <f t="shared" si="61"/>
        <v>0</v>
      </c>
      <c r="AS82" s="130">
        <f t="shared" si="61"/>
        <v>0</v>
      </c>
      <c r="AT82" s="130">
        <f t="shared" si="61"/>
        <v>0</v>
      </c>
      <c r="AU82" s="130">
        <f t="shared" si="61"/>
        <v>0</v>
      </c>
      <c r="AV82" s="130">
        <f t="shared" si="61"/>
        <v>0</v>
      </c>
      <c r="AW82" s="130">
        <f t="shared" si="61"/>
        <v>0</v>
      </c>
      <c r="AX82" s="130">
        <f t="shared" si="61"/>
        <v>0</v>
      </c>
      <c r="AY82" s="130">
        <f t="shared" si="61"/>
        <v>0</v>
      </c>
      <c r="AZ82" s="130">
        <f t="shared" si="61"/>
        <v>0</v>
      </c>
      <c r="BA82" s="130">
        <f t="shared" si="61"/>
        <v>0</v>
      </c>
      <c r="BB82" s="130">
        <f t="shared" si="49"/>
        <v>0</v>
      </c>
      <c r="BC82" s="130">
        <f t="shared" si="49"/>
        <v>0</v>
      </c>
      <c r="BD82" s="130">
        <f t="shared" si="49"/>
        <v>0</v>
      </c>
      <c r="BE82" s="130">
        <f t="shared" si="49"/>
        <v>0</v>
      </c>
      <c r="BF82" s="130" t="e">
        <f>+IF($H82=#REF!,$C82,0)-IF($I82=#REF!,$C82,0)</f>
        <v>#REF!</v>
      </c>
      <c r="BG82" s="130" t="e">
        <f>+IF($H82=#REF!,$C82,0)-IF($I82=#REF!,$C82,0)</f>
        <v>#REF!</v>
      </c>
      <c r="BH82" s="130" t="e">
        <f>+IF($H82=#REF!,$C82,0)-IF($I82=#REF!,$C82,0)</f>
        <v>#REF!</v>
      </c>
      <c r="BI82" s="130">
        <f t="shared" si="62"/>
        <v>0</v>
      </c>
      <c r="BJ82" s="130">
        <f t="shared" si="62"/>
        <v>0</v>
      </c>
      <c r="BK82" s="130">
        <f t="shared" si="62"/>
        <v>0</v>
      </c>
      <c r="BL82" s="130">
        <f t="shared" si="62"/>
        <v>0</v>
      </c>
      <c r="BM82" s="130">
        <f t="shared" si="62"/>
        <v>0</v>
      </c>
      <c r="BN82" s="130">
        <f t="shared" si="62"/>
        <v>0</v>
      </c>
      <c r="BO82" s="130">
        <f t="shared" si="62"/>
        <v>0</v>
      </c>
      <c r="BP82" s="130">
        <f t="shared" si="62"/>
        <v>0</v>
      </c>
      <c r="BQ82" s="130">
        <f t="shared" si="62"/>
        <v>0</v>
      </c>
      <c r="BR82" s="130" t="e">
        <f t="shared" si="57"/>
        <v>#REF!</v>
      </c>
    </row>
    <row r="83" spans="2:70" s="119" customFormat="1" x14ac:dyDescent="0.2">
      <c r="B83" s="128"/>
      <c r="C83" s="129"/>
      <c r="D83" s="129"/>
      <c r="E83" s="129" t="e">
        <f>ROUND(IF(D83=#REF!,0,IF($H83=$S$6,(C83/1.14975*0.05*0.5),C83/1.14975*0.05)),2)</f>
        <v>#REF!</v>
      </c>
      <c r="F83" s="129" t="e">
        <f>ROUND(IF(D83=#REF!,0,IF($H83=$S$6,C83/1.14975*0.09975*0.5,C83/1.14975*0.09975)),2)</f>
        <v>#REF!</v>
      </c>
      <c r="G83" s="129" t="e">
        <f t="shared" si="51"/>
        <v>#REF!</v>
      </c>
      <c r="J83" s="130">
        <f t="shared" si="52"/>
        <v>0</v>
      </c>
      <c r="K83" s="130">
        <f t="shared" si="59"/>
        <v>0</v>
      </c>
      <c r="L83" s="130">
        <f t="shared" si="59"/>
        <v>0</v>
      </c>
      <c r="M83" s="130">
        <f t="shared" si="59"/>
        <v>0</v>
      </c>
      <c r="N83" s="130">
        <f t="shared" si="59"/>
        <v>0</v>
      </c>
      <c r="O83" s="130">
        <f t="shared" si="59"/>
        <v>0</v>
      </c>
      <c r="P83" s="130">
        <f t="shared" si="59"/>
        <v>0</v>
      </c>
      <c r="Q83" s="130">
        <f t="shared" si="59"/>
        <v>0</v>
      </c>
      <c r="R83" s="130">
        <f t="shared" si="59"/>
        <v>0</v>
      </c>
      <c r="S83" s="130">
        <f t="shared" si="59"/>
        <v>0</v>
      </c>
      <c r="T83" s="130">
        <f t="shared" si="59"/>
        <v>0</v>
      </c>
      <c r="U83" s="130">
        <f t="shared" si="60"/>
        <v>0</v>
      </c>
      <c r="V83" s="130">
        <f t="shared" si="60"/>
        <v>0</v>
      </c>
      <c r="W83" s="130">
        <f t="shared" si="60"/>
        <v>0</v>
      </c>
      <c r="X83" s="130">
        <f t="shared" si="60"/>
        <v>0</v>
      </c>
      <c r="Y83" s="130">
        <f t="shared" si="60"/>
        <v>0</v>
      </c>
      <c r="Z83" s="130">
        <f t="shared" si="60"/>
        <v>0</v>
      </c>
      <c r="AA83" s="130">
        <f t="shared" si="60"/>
        <v>0</v>
      </c>
      <c r="AB83" s="130">
        <f t="shared" si="60"/>
        <v>0</v>
      </c>
      <c r="AC83" s="130">
        <f t="shared" si="60"/>
        <v>0</v>
      </c>
      <c r="AD83" s="130">
        <f t="shared" si="60"/>
        <v>0</v>
      </c>
      <c r="AE83" s="130">
        <f t="shared" si="60"/>
        <v>0</v>
      </c>
      <c r="AF83" s="130">
        <f t="shared" si="60"/>
        <v>0</v>
      </c>
      <c r="AG83" s="130">
        <f t="shared" si="60"/>
        <v>0</v>
      </c>
      <c r="AH83" s="130">
        <f t="shared" si="47"/>
        <v>0</v>
      </c>
      <c r="AI83" s="130">
        <f t="shared" si="47"/>
        <v>0</v>
      </c>
      <c r="AJ83" s="130">
        <f t="shared" si="47"/>
        <v>0</v>
      </c>
      <c r="AK83" s="130">
        <f t="shared" si="53"/>
        <v>0</v>
      </c>
      <c r="AL83" s="130">
        <f t="shared" si="54"/>
        <v>0</v>
      </c>
      <c r="AM83" s="130">
        <f t="shared" si="55"/>
        <v>0</v>
      </c>
      <c r="AN83" s="130">
        <f t="shared" si="56"/>
        <v>0</v>
      </c>
      <c r="AO83" s="130">
        <f t="shared" si="61"/>
        <v>0</v>
      </c>
      <c r="AP83" s="130">
        <f t="shared" si="61"/>
        <v>0</v>
      </c>
      <c r="AQ83" s="130">
        <f t="shared" si="61"/>
        <v>0</v>
      </c>
      <c r="AR83" s="130">
        <f t="shared" si="61"/>
        <v>0</v>
      </c>
      <c r="AS83" s="130">
        <f t="shared" si="61"/>
        <v>0</v>
      </c>
      <c r="AT83" s="130">
        <f t="shared" si="61"/>
        <v>0</v>
      </c>
      <c r="AU83" s="130">
        <f t="shared" si="61"/>
        <v>0</v>
      </c>
      <c r="AV83" s="130">
        <f t="shared" si="61"/>
        <v>0</v>
      </c>
      <c r="AW83" s="130">
        <f t="shared" si="61"/>
        <v>0</v>
      </c>
      <c r="AX83" s="130">
        <f t="shared" si="61"/>
        <v>0</v>
      </c>
      <c r="AY83" s="130">
        <f t="shared" si="61"/>
        <v>0</v>
      </c>
      <c r="AZ83" s="130">
        <f t="shared" si="61"/>
        <v>0</v>
      </c>
      <c r="BA83" s="130">
        <f t="shared" si="61"/>
        <v>0</v>
      </c>
      <c r="BB83" s="130">
        <f t="shared" si="49"/>
        <v>0</v>
      </c>
      <c r="BC83" s="130">
        <f t="shared" si="49"/>
        <v>0</v>
      </c>
      <c r="BD83" s="130">
        <f t="shared" si="49"/>
        <v>0</v>
      </c>
      <c r="BE83" s="130">
        <f t="shared" si="49"/>
        <v>0</v>
      </c>
      <c r="BF83" s="130" t="e">
        <f>+IF($H83=#REF!,$C83,0)-IF($I83=#REF!,$C83,0)</f>
        <v>#REF!</v>
      </c>
      <c r="BG83" s="130" t="e">
        <f>+IF($H83=#REF!,$C83,0)-IF($I83=#REF!,$C83,0)</f>
        <v>#REF!</v>
      </c>
      <c r="BH83" s="130" t="e">
        <f>+IF($H83=#REF!,$C83,0)-IF($I83=#REF!,$C83,0)</f>
        <v>#REF!</v>
      </c>
      <c r="BI83" s="130">
        <f t="shared" si="62"/>
        <v>0</v>
      </c>
      <c r="BJ83" s="130">
        <f t="shared" si="62"/>
        <v>0</v>
      </c>
      <c r="BK83" s="130">
        <f t="shared" si="62"/>
        <v>0</v>
      </c>
      <c r="BL83" s="130">
        <f t="shared" si="62"/>
        <v>0</v>
      </c>
      <c r="BM83" s="130">
        <f t="shared" si="62"/>
        <v>0</v>
      </c>
      <c r="BN83" s="130">
        <f t="shared" si="62"/>
        <v>0</v>
      </c>
      <c r="BO83" s="130">
        <f t="shared" si="62"/>
        <v>0</v>
      </c>
      <c r="BP83" s="130">
        <f t="shared" si="62"/>
        <v>0</v>
      </c>
      <c r="BQ83" s="130">
        <f t="shared" si="62"/>
        <v>0</v>
      </c>
      <c r="BR83" s="130" t="e">
        <f t="shared" si="57"/>
        <v>#REF!</v>
      </c>
    </row>
    <row r="84" spans="2:70" s="119" customFormat="1" x14ac:dyDescent="0.2">
      <c r="B84" s="128"/>
      <c r="C84" s="129"/>
      <c r="D84" s="129"/>
      <c r="E84" s="129" t="e">
        <f>ROUND(IF(D84=#REF!,0,IF($H84=$S$6,(C84/1.14975*0.05*0.5),C84/1.14975*0.05)),2)</f>
        <v>#REF!</v>
      </c>
      <c r="F84" s="129" t="e">
        <f>ROUND(IF(D84=#REF!,0,IF($H84=$S$6,C84/1.14975*0.09975*0.5,C84/1.14975*0.09975)),2)</f>
        <v>#REF!</v>
      </c>
      <c r="G84" s="129" t="e">
        <f t="shared" si="51"/>
        <v>#REF!</v>
      </c>
      <c r="J84" s="130">
        <f t="shared" si="52"/>
        <v>0</v>
      </c>
      <c r="K84" s="130">
        <f t="shared" si="59"/>
        <v>0</v>
      </c>
      <c r="L84" s="130">
        <f t="shared" si="59"/>
        <v>0</v>
      </c>
      <c r="M84" s="130">
        <f t="shared" si="59"/>
        <v>0</v>
      </c>
      <c r="N84" s="130">
        <f t="shared" si="59"/>
        <v>0</v>
      </c>
      <c r="O84" s="130">
        <f t="shared" si="59"/>
        <v>0</v>
      </c>
      <c r="P84" s="130">
        <f t="shared" si="59"/>
        <v>0</v>
      </c>
      <c r="Q84" s="130">
        <f t="shared" si="59"/>
        <v>0</v>
      </c>
      <c r="R84" s="130">
        <f t="shared" si="59"/>
        <v>0</v>
      </c>
      <c r="S84" s="130">
        <f t="shared" si="59"/>
        <v>0</v>
      </c>
      <c r="T84" s="130">
        <f t="shared" si="59"/>
        <v>0</v>
      </c>
      <c r="U84" s="130">
        <f t="shared" si="60"/>
        <v>0</v>
      </c>
      <c r="V84" s="130">
        <f t="shared" si="60"/>
        <v>0</v>
      </c>
      <c r="W84" s="130">
        <f t="shared" si="60"/>
        <v>0</v>
      </c>
      <c r="X84" s="130">
        <f t="shared" si="60"/>
        <v>0</v>
      </c>
      <c r="Y84" s="130">
        <f t="shared" si="60"/>
        <v>0</v>
      </c>
      <c r="Z84" s="130">
        <f t="shared" si="60"/>
        <v>0</v>
      </c>
      <c r="AA84" s="130">
        <f t="shared" si="60"/>
        <v>0</v>
      </c>
      <c r="AB84" s="130">
        <f t="shared" si="60"/>
        <v>0</v>
      </c>
      <c r="AC84" s="130">
        <f t="shared" si="60"/>
        <v>0</v>
      </c>
      <c r="AD84" s="130">
        <f t="shared" si="60"/>
        <v>0</v>
      </c>
      <c r="AE84" s="130">
        <f t="shared" si="60"/>
        <v>0</v>
      </c>
      <c r="AF84" s="130">
        <f t="shared" si="60"/>
        <v>0</v>
      </c>
      <c r="AG84" s="130">
        <f t="shared" si="60"/>
        <v>0</v>
      </c>
      <c r="AH84" s="130">
        <f t="shared" si="47"/>
        <v>0</v>
      </c>
      <c r="AI84" s="130">
        <f t="shared" si="47"/>
        <v>0</v>
      </c>
      <c r="AJ84" s="130">
        <f t="shared" si="47"/>
        <v>0</v>
      </c>
      <c r="AK84" s="130">
        <f t="shared" si="53"/>
        <v>0</v>
      </c>
      <c r="AL84" s="130">
        <f t="shared" si="54"/>
        <v>0</v>
      </c>
      <c r="AM84" s="130">
        <f t="shared" si="55"/>
        <v>0</v>
      </c>
      <c r="AN84" s="130">
        <f t="shared" si="56"/>
        <v>0</v>
      </c>
      <c r="AO84" s="130">
        <f t="shared" si="61"/>
        <v>0</v>
      </c>
      <c r="AP84" s="130">
        <f t="shared" si="61"/>
        <v>0</v>
      </c>
      <c r="AQ84" s="130">
        <f t="shared" si="61"/>
        <v>0</v>
      </c>
      <c r="AR84" s="130">
        <f t="shared" si="61"/>
        <v>0</v>
      </c>
      <c r="AS84" s="130">
        <f t="shared" si="61"/>
        <v>0</v>
      </c>
      <c r="AT84" s="130">
        <f t="shared" si="61"/>
        <v>0</v>
      </c>
      <c r="AU84" s="130">
        <f t="shared" si="61"/>
        <v>0</v>
      </c>
      <c r="AV84" s="130">
        <f t="shared" si="61"/>
        <v>0</v>
      </c>
      <c r="AW84" s="130">
        <f t="shared" si="61"/>
        <v>0</v>
      </c>
      <c r="AX84" s="130">
        <f t="shared" si="61"/>
        <v>0</v>
      </c>
      <c r="AY84" s="130">
        <f t="shared" si="61"/>
        <v>0</v>
      </c>
      <c r="AZ84" s="130">
        <f t="shared" si="61"/>
        <v>0</v>
      </c>
      <c r="BA84" s="130">
        <f t="shared" si="61"/>
        <v>0</v>
      </c>
      <c r="BB84" s="130">
        <f t="shared" si="49"/>
        <v>0</v>
      </c>
      <c r="BC84" s="130">
        <f t="shared" si="49"/>
        <v>0</v>
      </c>
      <c r="BD84" s="130">
        <f t="shared" si="49"/>
        <v>0</v>
      </c>
      <c r="BE84" s="130">
        <f t="shared" si="49"/>
        <v>0</v>
      </c>
      <c r="BF84" s="130" t="e">
        <f>+IF($H84=#REF!,$C84,0)-IF($I84=#REF!,$C84,0)</f>
        <v>#REF!</v>
      </c>
      <c r="BG84" s="130" t="e">
        <f>+IF($H84=#REF!,$C84,0)-IF($I84=#REF!,$C84,0)</f>
        <v>#REF!</v>
      </c>
      <c r="BH84" s="130" t="e">
        <f>+IF($H84=#REF!,$C84,0)-IF($I84=#REF!,$C84,0)</f>
        <v>#REF!</v>
      </c>
      <c r="BI84" s="130">
        <f t="shared" si="62"/>
        <v>0</v>
      </c>
      <c r="BJ84" s="130">
        <f t="shared" si="62"/>
        <v>0</v>
      </c>
      <c r="BK84" s="130">
        <f t="shared" si="62"/>
        <v>0</v>
      </c>
      <c r="BL84" s="130">
        <f t="shared" si="62"/>
        <v>0</v>
      </c>
      <c r="BM84" s="130">
        <f t="shared" si="62"/>
        <v>0</v>
      </c>
      <c r="BN84" s="130">
        <f t="shared" si="62"/>
        <v>0</v>
      </c>
      <c r="BO84" s="130">
        <f t="shared" si="62"/>
        <v>0</v>
      </c>
      <c r="BP84" s="130">
        <f t="shared" si="62"/>
        <v>0</v>
      </c>
      <c r="BQ84" s="130">
        <f t="shared" si="62"/>
        <v>0</v>
      </c>
      <c r="BR84" s="130" t="e">
        <f t="shared" si="57"/>
        <v>#REF!</v>
      </c>
    </row>
    <row r="85" spans="2:70" s="119" customFormat="1" x14ac:dyDescent="0.2">
      <c r="B85" s="128"/>
      <c r="C85" s="129"/>
      <c r="D85" s="129"/>
      <c r="E85" s="129" t="e">
        <f>ROUND(IF(D85=#REF!,0,IF($H85=$S$6,(C85/1.14975*0.05*0.5),C85/1.14975*0.05)),2)</f>
        <v>#REF!</v>
      </c>
      <c r="F85" s="129" t="e">
        <f>ROUND(IF(D85=#REF!,0,IF($H85=$S$6,C85/1.14975*0.09975*0.5,C85/1.14975*0.09975)),2)</f>
        <v>#REF!</v>
      </c>
      <c r="G85" s="129" t="e">
        <f t="shared" si="51"/>
        <v>#REF!</v>
      </c>
      <c r="J85" s="130">
        <f t="shared" si="52"/>
        <v>0</v>
      </c>
      <c r="K85" s="130">
        <f t="shared" si="59"/>
        <v>0</v>
      </c>
      <c r="L85" s="130">
        <f t="shared" si="59"/>
        <v>0</v>
      </c>
      <c r="M85" s="130">
        <f t="shared" si="59"/>
        <v>0</v>
      </c>
      <c r="N85" s="130">
        <f t="shared" si="59"/>
        <v>0</v>
      </c>
      <c r="O85" s="130">
        <f t="shared" si="59"/>
        <v>0</v>
      </c>
      <c r="P85" s="130">
        <f t="shared" si="59"/>
        <v>0</v>
      </c>
      <c r="Q85" s="130">
        <f t="shared" si="59"/>
        <v>0</v>
      </c>
      <c r="R85" s="130">
        <f t="shared" si="59"/>
        <v>0</v>
      </c>
      <c r="S85" s="130">
        <f t="shared" si="59"/>
        <v>0</v>
      </c>
      <c r="T85" s="130">
        <f t="shared" si="59"/>
        <v>0</v>
      </c>
      <c r="U85" s="130">
        <f t="shared" si="60"/>
        <v>0</v>
      </c>
      <c r="V85" s="130">
        <f t="shared" si="60"/>
        <v>0</v>
      </c>
      <c r="W85" s="130">
        <f t="shared" si="60"/>
        <v>0</v>
      </c>
      <c r="X85" s="130">
        <f t="shared" si="60"/>
        <v>0</v>
      </c>
      <c r="Y85" s="130">
        <f t="shared" si="60"/>
        <v>0</v>
      </c>
      <c r="Z85" s="130">
        <f t="shared" si="60"/>
        <v>0</v>
      </c>
      <c r="AA85" s="130">
        <f t="shared" si="60"/>
        <v>0</v>
      </c>
      <c r="AB85" s="130">
        <f t="shared" si="60"/>
        <v>0</v>
      </c>
      <c r="AC85" s="130">
        <f t="shared" si="60"/>
        <v>0</v>
      </c>
      <c r="AD85" s="130">
        <f t="shared" si="60"/>
        <v>0</v>
      </c>
      <c r="AE85" s="130">
        <f t="shared" si="60"/>
        <v>0</v>
      </c>
      <c r="AF85" s="130">
        <f t="shared" si="60"/>
        <v>0</v>
      </c>
      <c r="AG85" s="130">
        <f t="shared" si="60"/>
        <v>0</v>
      </c>
      <c r="AH85" s="130">
        <f t="shared" si="47"/>
        <v>0</v>
      </c>
      <c r="AI85" s="130">
        <f t="shared" si="47"/>
        <v>0</v>
      </c>
      <c r="AJ85" s="130">
        <f t="shared" si="47"/>
        <v>0</v>
      </c>
      <c r="AK85" s="130">
        <f t="shared" si="53"/>
        <v>0</v>
      </c>
      <c r="AL85" s="130">
        <f t="shared" si="54"/>
        <v>0</v>
      </c>
      <c r="AM85" s="130">
        <f t="shared" si="55"/>
        <v>0</v>
      </c>
      <c r="AN85" s="130">
        <f t="shared" si="56"/>
        <v>0</v>
      </c>
      <c r="AO85" s="130">
        <f t="shared" si="61"/>
        <v>0</v>
      </c>
      <c r="AP85" s="130">
        <f t="shared" si="61"/>
        <v>0</v>
      </c>
      <c r="AQ85" s="130">
        <f t="shared" si="61"/>
        <v>0</v>
      </c>
      <c r="AR85" s="130">
        <f t="shared" si="61"/>
        <v>0</v>
      </c>
      <c r="AS85" s="130">
        <f t="shared" si="61"/>
        <v>0</v>
      </c>
      <c r="AT85" s="130">
        <f t="shared" si="61"/>
        <v>0</v>
      </c>
      <c r="AU85" s="130">
        <f t="shared" si="61"/>
        <v>0</v>
      </c>
      <c r="AV85" s="130">
        <f t="shared" si="61"/>
        <v>0</v>
      </c>
      <c r="AW85" s="130">
        <f t="shared" si="61"/>
        <v>0</v>
      </c>
      <c r="AX85" s="130">
        <f t="shared" si="61"/>
        <v>0</v>
      </c>
      <c r="AY85" s="130">
        <f t="shared" si="61"/>
        <v>0</v>
      </c>
      <c r="AZ85" s="130">
        <f t="shared" si="61"/>
        <v>0</v>
      </c>
      <c r="BA85" s="130">
        <f t="shared" si="61"/>
        <v>0</v>
      </c>
      <c r="BB85" s="130">
        <f t="shared" si="49"/>
        <v>0</v>
      </c>
      <c r="BC85" s="130">
        <f t="shared" si="49"/>
        <v>0</v>
      </c>
      <c r="BD85" s="130">
        <f t="shared" si="49"/>
        <v>0</v>
      </c>
      <c r="BE85" s="130">
        <f t="shared" si="49"/>
        <v>0</v>
      </c>
      <c r="BF85" s="130" t="e">
        <f>+IF($H85=#REF!,$C85,0)-IF($I85=#REF!,$C85,0)</f>
        <v>#REF!</v>
      </c>
      <c r="BG85" s="130" t="e">
        <f>+IF($H85=#REF!,$C85,0)-IF($I85=#REF!,$C85,0)</f>
        <v>#REF!</v>
      </c>
      <c r="BH85" s="130" t="e">
        <f>+IF($H85=#REF!,$C85,0)-IF($I85=#REF!,$C85,0)</f>
        <v>#REF!</v>
      </c>
      <c r="BI85" s="130">
        <f t="shared" si="62"/>
        <v>0</v>
      </c>
      <c r="BJ85" s="130">
        <f t="shared" si="62"/>
        <v>0</v>
      </c>
      <c r="BK85" s="130">
        <f t="shared" si="62"/>
        <v>0</v>
      </c>
      <c r="BL85" s="130">
        <f t="shared" si="62"/>
        <v>0</v>
      </c>
      <c r="BM85" s="130">
        <f t="shared" si="62"/>
        <v>0</v>
      </c>
      <c r="BN85" s="130">
        <f t="shared" si="62"/>
        <v>0</v>
      </c>
      <c r="BO85" s="130">
        <f t="shared" si="62"/>
        <v>0</v>
      </c>
      <c r="BP85" s="130">
        <f t="shared" si="62"/>
        <v>0</v>
      </c>
      <c r="BQ85" s="130">
        <f t="shared" si="62"/>
        <v>0</v>
      </c>
      <c r="BR85" s="130" t="e">
        <f t="shared" si="57"/>
        <v>#REF!</v>
      </c>
    </row>
    <row r="86" spans="2:70" s="119" customFormat="1" x14ac:dyDescent="0.2">
      <c r="B86" s="128"/>
      <c r="C86" s="129"/>
      <c r="D86" s="129"/>
      <c r="E86" s="129" t="e">
        <f>ROUND(IF(D86=#REF!,0,IF($H86=$S$6,(C86/1.14975*0.05*0.5),C86/1.14975*0.05)),2)</f>
        <v>#REF!</v>
      </c>
      <c r="F86" s="129" t="e">
        <f>ROUND(IF(D86=#REF!,0,IF($H86=$S$6,C86/1.14975*0.09975*0.5,C86/1.14975*0.09975)),2)</f>
        <v>#REF!</v>
      </c>
      <c r="G86" s="129" t="e">
        <f t="shared" si="51"/>
        <v>#REF!</v>
      </c>
      <c r="J86" s="130">
        <f t="shared" si="52"/>
        <v>0</v>
      </c>
      <c r="K86" s="130">
        <f t="shared" si="59"/>
        <v>0</v>
      </c>
      <c r="L86" s="130">
        <f t="shared" si="59"/>
        <v>0</v>
      </c>
      <c r="M86" s="130">
        <f t="shared" si="59"/>
        <v>0</v>
      </c>
      <c r="N86" s="130">
        <f t="shared" si="59"/>
        <v>0</v>
      </c>
      <c r="O86" s="130">
        <f t="shared" si="59"/>
        <v>0</v>
      </c>
      <c r="P86" s="130">
        <f t="shared" si="59"/>
        <v>0</v>
      </c>
      <c r="Q86" s="130">
        <f t="shared" si="59"/>
        <v>0</v>
      </c>
      <c r="R86" s="130">
        <f t="shared" si="59"/>
        <v>0</v>
      </c>
      <c r="S86" s="130">
        <f t="shared" si="59"/>
        <v>0</v>
      </c>
      <c r="T86" s="130">
        <f t="shared" si="59"/>
        <v>0</v>
      </c>
      <c r="U86" s="130">
        <f t="shared" si="60"/>
        <v>0</v>
      </c>
      <c r="V86" s="130">
        <f t="shared" si="60"/>
        <v>0</v>
      </c>
      <c r="W86" s="130">
        <f t="shared" si="60"/>
        <v>0</v>
      </c>
      <c r="X86" s="130">
        <f t="shared" si="60"/>
        <v>0</v>
      </c>
      <c r="Y86" s="130">
        <f t="shared" si="60"/>
        <v>0</v>
      </c>
      <c r="Z86" s="130">
        <f t="shared" si="60"/>
        <v>0</v>
      </c>
      <c r="AA86" s="130">
        <f t="shared" si="60"/>
        <v>0</v>
      </c>
      <c r="AB86" s="130">
        <f t="shared" si="60"/>
        <v>0</v>
      </c>
      <c r="AC86" s="130">
        <f t="shared" si="60"/>
        <v>0</v>
      </c>
      <c r="AD86" s="130">
        <f t="shared" si="60"/>
        <v>0</v>
      </c>
      <c r="AE86" s="130">
        <f t="shared" si="60"/>
        <v>0</v>
      </c>
      <c r="AF86" s="130">
        <f t="shared" si="60"/>
        <v>0</v>
      </c>
      <c r="AG86" s="130">
        <f t="shared" si="60"/>
        <v>0</v>
      </c>
      <c r="AH86" s="130">
        <f t="shared" si="47"/>
        <v>0</v>
      </c>
      <c r="AI86" s="130">
        <f t="shared" si="47"/>
        <v>0</v>
      </c>
      <c r="AJ86" s="130">
        <f t="shared" si="47"/>
        <v>0</v>
      </c>
      <c r="AK86" s="130">
        <f t="shared" si="53"/>
        <v>0</v>
      </c>
      <c r="AL86" s="130">
        <f t="shared" si="54"/>
        <v>0</v>
      </c>
      <c r="AM86" s="130">
        <f t="shared" si="55"/>
        <v>0</v>
      </c>
      <c r="AN86" s="130">
        <f t="shared" si="56"/>
        <v>0</v>
      </c>
      <c r="AO86" s="130">
        <f t="shared" si="61"/>
        <v>0</v>
      </c>
      <c r="AP86" s="130">
        <f t="shared" si="61"/>
        <v>0</v>
      </c>
      <c r="AQ86" s="130">
        <f t="shared" si="61"/>
        <v>0</v>
      </c>
      <c r="AR86" s="130">
        <f t="shared" si="61"/>
        <v>0</v>
      </c>
      <c r="AS86" s="130">
        <f t="shared" si="61"/>
        <v>0</v>
      </c>
      <c r="AT86" s="130">
        <f t="shared" si="61"/>
        <v>0</v>
      </c>
      <c r="AU86" s="130">
        <f t="shared" si="61"/>
        <v>0</v>
      </c>
      <c r="AV86" s="130">
        <f t="shared" si="61"/>
        <v>0</v>
      </c>
      <c r="AW86" s="130">
        <f t="shared" si="61"/>
        <v>0</v>
      </c>
      <c r="AX86" s="130">
        <f t="shared" si="61"/>
        <v>0</v>
      </c>
      <c r="AY86" s="130">
        <f t="shared" si="61"/>
        <v>0</v>
      </c>
      <c r="AZ86" s="130">
        <f t="shared" si="61"/>
        <v>0</v>
      </c>
      <c r="BA86" s="130">
        <f t="shared" si="61"/>
        <v>0</v>
      </c>
      <c r="BB86" s="130">
        <f t="shared" si="49"/>
        <v>0</v>
      </c>
      <c r="BC86" s="130">
        <f t="shared" si="49"/>
        <v>0</v>
      </c>
      <c r="BD86" s="130">
        <f t="shared" si="49"/>
        <v>0</v>
      </c>
      <c r="BE86" s="130">
        <f t="shared" si="49"/>
        <v>0</v>
      </c>
      <c r="BF86" s="130" t="e">
        <f>+IF($H86=#REF!,$C86,0)-IF($I86=#REF!,$C86,0)</f>
        <v>#REF!</v>
      </c>
      <c r="BG86" s="130" t="e">
        <f>+IF($H86=#REF!,$C86,0)-IF($I86=#REF!,$C86,0)</f>
        <v>#REF!</v>
      </c>
      <c r="BH86" s="130" t="e">
        <f>+IF($H86=#REF!,$C86,0)-IF($I86=#REF!,$C86,0)</f>
        <v>#REF!</v>
      </c>
      <c r="BI86" s="130">
        <f t="shared" si="62"/>
        <v>0</v>
      </c>
      <c r="BJ86" s="130">
        <f t="shared" si="62"/>
        <v>0</v>
      </c>
      <c r="BK86" s="130">
        <f t="shared" si="62"/>
        <v>0</v>
      </c>
      <c r="BL86" s="130">
        <f t="shared" si="62"/>
        <v>0</v>
      </c>
      <c r="BM86" s="130">
        <f t="shared" si="62"/>
        <v>0</v>
      </c>
      <c r="BN86" s="130">
        <f t="shared" si="62"/>
        <v>0</v>
      </c>
      <c r="BO86" s="130">
        <f t="shared" si="62"/>
        <v>0</v>
      </c>
      <c r="BP86" s="130">
        <f t="shared" si="62"/>
        <v>0</v>
      </c>
      <c r="BQ86" s="130">
        <f t="shared" si="62"/>
        <v>0</v>
      </c>
      <c r="BR86" s="130" t="e">
        <f t="shared" si="57"/>
        <v>#REF!</v>
      </c>
    </row>
    <row r="87" spans="2:70" s="119" customFormat="1" x14ac:dyDescent="0.2">
      <c r="B87" s="128"/>
      <c r="C87" s="129"/>
      <c r="D87" s="129"/>
      <c r="E87" s="129" t="e">
        <f>ROUND(IF(D87=#REF!,0,IF($H87=$S$6,(C87/1.14975*0.05*0.5),C87/1.14975*0.05)),2)</f>
        <v>#REF!</v>
      </c>
      <c r="F87" s="129" t="e">
        <f>ROUND(IF(D87=#REF!,0,IF($H87=$S$6,C87/1.14975*0.09975*0.5,C87/1.14975*0.09975)),2)</f>
        <v>#REF!</v>
      </c>
      <c r="G87" s="129" t="e">
        <f t="shared" si="51"/>
        <v>#REF!</v>
      </c>
      <c r="J87" s="130">
        <f t="shared" si="52"/>
        <v>0</v>
      </c>
      <c r="K87" s="130">
        <f t="shared" si="59"/>
        <v>0</v>
      </c>
      <c r="L87" s="130">
        <f t="shared" si="59"/>
        <v>0</v>
      </c>
      <c r="M87" s="130">
        <f t="shared" si="59"/>
        <v>0</v>
      </c>
      <c r="N87" s="130">
        <f t="shared" si="59"/>
        <v>0</v>
      </c>
      <c r="O87" s="130">
        <f t="shared" si="59"/>
        <v>0</v>
      </c>
      <c r="P87" s="130">
        <f t="shared" si="59"/>
        <v>0</v>
      </c>
      <c r="Q87" s="130">
        <f t="shared" si="59"/>
        <v>0</v>
      </c>
      <c r="R87" s="130">
        <f t="shared" si="59"/>
        <v>0</v>
      </c>
      <c r="S87" s="130">
        <f t="shared" si="59"/>
        <v>0</v>
      </c>
      <c r="T87" s="130">
        <f t="shared" si="59"/>
        <v>0</v>
      </c>
      <c r="U87" s="130">
        <f t="shared" si="60"/>
        <v>0</v>
      </c>
      <c r="V87" s="130">
        <f t="shared" si="60"/>
        <v>0</v>
      </c>
      <c r="W87" s="130">
        <f t="shared" si="60"/>
        <v>0</v>
      </c>
      <c r="X87" s="130">
        <f t="shared" si="60"/>
        <v>0</v>
      </c>
      <c r="Y87" s="130">
        <f t="shared" si="60"/>
        <v>0</v>
      </c>
      <c r="Z87" s="130">
        <f t="shared" si="60"/>
        <v>0</v>
      </c>
      <c r="AA87" s="130">
        <f t="shared" si="60"/>
        <v>0</v>
      </c>
      <c r="AB87" s="130">
        <f t="shared" si="60"/>
        <v>0</v>
      </c>
      <c r="AC87" s="130">
        <f t="shared" si="60"/>
        <v>0</v>
      </c>
      <c r="AD87" s="130">
        <f t="shared" si="60"/>
        <v>0</v>
      </c>
      <c r="AE87" s="130">
        <f t="shared" si="60"/>
        <v>0</v>
      </c>
      <c r="AF87" s="130">
        <f t="shared" si="60"/>
        <v>0</v>
      </c>
      <c r="AG87" s="130">
        <f t="shared" si="60"/>
        <v>0</v>
      </c>
      <c r="AH87" s="130">
        <f t="shared" si="47"/>
        <v>0</v>
      </c>
      <c r="AI87" s="130">
        <f t="shared" si="47"/>
        <v>0</v>
      </c>
      <c r="AJ87" s="130">
        <f t="shared" si="47"/>
        <v>0</v>
      </c>
      <c r="AK87" s="130">
        <f t="shared" si="53"/>
        <v>0</v>
      </c>
      <c r="AL87" s="130">
        <f t="shared" si="54"/>
        <v>0</v>
      </c>
      <c r="AM87" s="130">
        <f t="shared" si="55"/>
        <v>0</v>
      </c>
      <c r="AN87" s="130">
        <f t="shared" si="56"/>
        <v>0</v>
      </c>
      <c r="AO87" s="130">
        <f t="shared" si="61"/>
        <v>0</v>
      </c>
      <c r="AP87" s="130">
        <f t="shared" si="61"/>
        <v>0</v>
      </c>
      <c r="AQ87" s="130">
        <f t="shared" si="61"/>
        <v>0</v>
      </c>
      <c r="AR87" s="130">
        <f t="shared" si="61"/>
        <v>0</v>
      </c>
      <c r="AS87" s="130">
        <f t="shared" si="61"/>
        <v>0</v>
      </c>
      <c r="AT87" s="130">
        <f t="shared" si="61"/>
        <v>0</v>
      </c>
      <c r="AU87" s="130">
        <f t="shared" si="61"/>
        <v>0</v>
      </c>
      <c r="AV87" s="130">
        <f t="shared" si="61"/>
        <v>0</v>
      </c>
      <c r="AW87" s="130">
        <f t="shared" si="61"/>
        <v>0</v>
      </c>
      <c r="AX87" s="130">
        <f t="shared" si="61"/>
        <v>0</v>
      </c>
      <c r="AY87" s="130">
        <f t="shared" si="61"/>
        <v>0</v>
      </c>
      <c r="AZ87" s="130">
        <f t="shared" si="61"/>
        <v>0</v>
      </c>
      <c r="BA87" s="130">
        <f t="shared" si="61"/>
        <v>0</v>
      </c>
      <c r="BB87" s="130">
        <f t="shared" si="49"/>
        <v>0</v>
      </c>
      <c r="BC87" s="130">
        <f t="shared" si="49"/>
        <v>0</v>
      </c>
      <c r="BD87" s="130">
        <f t="shared" si="49"/>
        <v>0</v>
      </c>
      <c r="BE87" s="130">
        <f t="shared" si="49"/>
        <v>0</v>
      </c>
      <c r="BF87" s="130" t="e">
        <f>+IF($H87=#REF!,$C87,0)-IF($I87=#REF!,$C87,0)</f>
        <v>#REF!</v>
      </c>
      <c r="BG87" s="130" t="e">
        <f>+IF($H87=#REF!,$C87,0)-IF($I87=#REF!,$C87,0)</f>
        <v>#REF!</v>
      </c>
      <c r="BH87" s="130" t="e">
        <f>+IF($H87=#REF!,$C87,0)-IF($I87=#REF!,$C87,0)</f>
        <v>#REF!</v>
      </c>
      <c r="BI87" s="130">
        <f t="shared" si="62"/>
        <v>0</v>
      </c>
      <c r="BJ87" s="130">
        <f t="shared" si="62"/>
        <v>0</v>
      </c>
      <c r="BK87" s="130">
        <f t="shared" si="62"/>
        <v>0</v>
      </c>
      <c r="BL87" s="130">
        <f t="shared" si="62"/>
        <v>0</v>
      </c>
      <c r="BM87" s="130">
        <f t="shared" si="62"/>
        <v>0</v>
      </c>
      <c r="BN87" s="130">
        <f t="shared" si="62"/>
        <v>0</v>
      </c>
      <c r="BO87" s="130">
        <f t="shared" si="62"/>
        <v>0</v>
      </c>
      <c r="BP87" s="130">
        <f t="shared" si="62"/>
        <v>0</v>
      </c>
      <c r="BQ87" s="130">
        <f t="shared" si="62"/>
        <v>0</v>
      </c>
      <c r="BR87" s="130" t="e">
        <f t="shared" si="57"/>
        <v>#REF!</v>
      </c>
    </row>
    <row r="88" spans="2:70" s="119" customFormat="1" x14ac:dyDescent="0.2">
      <c r="B88" s="128"/>
      <c r="C88" s="129"/>
      <c r="D88" s="129"/>
      <c r="E88" s="129" t="e">
        <f>ROUND(IF(D88=#REF!,0,IF($H88=$S$6,(C88/1.14975*0.05*0.5),C88/1.14975*0.05)),2)</f>
        <v>#REF!</v>
      </c>
      <c r="F88" s="129" t="e">
        <f>ROUND(IF(D88=#REF!,0,IF($H88=$S$6,C88/1.14975*0.09975*0.5,C88/1.14975*0.09975)),2)</f>
        <v>#REF!</v>
      </c>
      <c r="G88" s="129" t="e">
        <f t="shared" si="51"/>
        <v>#REF!</v>
      </c>
      <c r="J88" s="130">
        <f t="shared" si="52"/>
        <v>0</v>
      </c>
      <c r="K88" s="130">
        <f t="shared" si="59"/>
        <v>0</v>
      </c>
      <c r="L88" s="130">
        <f t="shared" si="59"/>
        <v>0</v>
      </c>
      <c r="M88" s="130">
        <f t="shared" si="59"/>
        <v>0</v>
      </c>
      <c r="N88" s="130">
        <f t="shared" si="59"/>
        <v>0</v>
      </c>
      <c r="O88" s="130">
        <f t="shared" si="59"/>
        <v>0</v>
      </c>
      <c r="P88" s="130">
        <f t="shared" si="59"/>
        <v>0</v>
      </c>
      <c r="Q88" s="130">
        <f t="shared" si="59"/>
        <v>0</v>
      </c>
      <c r="R88" s="130">
        <f t="shared" si="59"/>
        <v>0</v>
      </c>
      <c r="S88" s="130">
        <f t="shared" si="59"/>
        <v>0</v>
      </c>
      <c r="T88" s="130">
        <f t="shared" si="59"/>
        <v>0</v>
      </c>
      <c r="U88" s="130">
        <f t="shared" si="60"/>
        <v>0</v>
      </c>
      <c r="V88" s="130">
        <f t="shared" si="60"/>
        <v>0</v>
      </c>
      <c r="W88" s="130">
        <f t="shared" si="60"/>
        <v>0</v>
      </c>
      <c r="X88" s="130">
        <f t="shared" si="60"/>
        <v>0</v>
      </c>
      <c r="Y88" s="130">
        <f t="shared" si="60"/>
        <v>0</v>
      </c>
      <c r="Z88" s="130">
        <f t="shared" si="60"/>
        <v>0</v>
      </c>
      <c r="AA88" s="130">
        <f t="shared" si="60"/>
        <v>0</v>
      </c>
      <c r="AB88" s="130">
        <f t="shared" si="60"/>
        <v>0</v>
      </c>
      <c r="AC88" s="130">
        <f t="shared" si="60"/>
        <v>0</v>
      </c>
      <c r="AD88" s="130">
        <f t="shared" si="60"/>
        <v>0</v>
      </c>
      <c r="AE88" s="130">
        <f t="shared" si="60"/>
        <v>0</v>
      </c>
      <c r="AF88" s="130">
        <f t="shared" si="60"/>
        <v>0</v>
      </c>
      <c r="AG88" s="130">
        <f t="shared" si="60"/>
        <v>0</v>
      </c>
      <c r="AH88" s="130">
        <f t="shared" si="47"/>
        <v>0</v>
      </c>
      <c r="AI88" s="130">
        <f t="shared" si="47"/>
        <v>0</v>
      </c>
      <c r="AJ88" s="130">
        <f t="shared" si="47"/>
        <v>0</v>
      </c>
      <c r="AK88" s="130">
        <f t="shared" si="53"/>
        <v>0</v>
      </c>
      <c r="AL88" s="130">
        <f t="shared" si="54"/>
        <v>0</v>
      </c>
      <c r="AM88" s="130">
        <f t="shared" si="55"/>
        <v>0</v>
      </c>
      <c r="AN88" s="130">
        <f t="shared" si="56"/>
        <v>0</v>
      </c>
      <c r="AO88" s="130">
        <f t="shared" si="61"/>
        <v>0</v>
      </c>
      <c r="AP88" s="130">
        <f t="shared" si="61"/>
        <v>0</v>
      </c>
      <c r="AQ88" s="130">
        <f t="shared" si="61"/>
        <v>0</v>
      </c>
      <c r="AR88" s="130">
        <f t="shared" si="61"/>
        <v>0</v>
      </c>
      <c r="AS88" s="130">
        <f t="shared" si="61"/>
        <v>0</v>
      </c>
      <c r="AT88" s="130">
        <f t="shared" si="61"/>
        <v>0</v>
      </c>
      <c r="AU88" s="130">
        <f t="shared" si="61"/>
        <v>0</v>
      </c>
      <c r="AV88" s="130">
        <f t="shared" si="61"/>
        <v>0</v>
      </c>
      <c r="AW88" s="130">
        <f t="shared" si="61"/>
        <v>0</v>
      </c>
      <c r="AX88" s="130">
        <f t="shared" si="61"/>
        <v>0</v>
      </c>
      <c r="AY88" s="130">
        <f t="shared" si="61"/>
        <v>0</v>
      </c>
      <c r="AZ88" s="130">
        <f t="shared" si="61"/>
        <v>0</v>
      </c>
      <c r="BA88" s="130">
        <f t="shared" si="61"/>
        <v>0</v>
      </c>
      <c r="BB88" s="130">
        <f t="shared" si="49"/>
        <v>0</v>
      </c>
      <c r="BC88" s="130">
        <f t="shared" si="49"/>
        <v>0</v>
      </c>
      <c r="BD88" s="130">
        <f t="shared" si="49"/>
        <v>0</v>
      </c>
      <c r="BE88" s="130">
        <f t="shared" si="49"/>
        <v>0</v>
      </c>
      <c r="BF88" s="130" t="e">
        <f>+IF($H88=#REF!,$C88,0)-IF($I88=#REF!,$C88,0)</f>
        <v>#REF!</v>
      </c>
      <c r="BG88" s="130" t="e">
        <f>+IF($H88=#REF!,$C88,0)-IF($I88=#REF!,$C88,0)</f>
        <v>#REF!</v>
      </c>
      <c r="BH88" s="130" t="e">
        <f>+IF($H88=#REF!,$C88,0)-IF($I88=#REF!,$C88,0)</f>
        <v>#REF!</v>
      </c>
      <c r="BI88" s="130">
        <f t="shared" si="62"/>
        <v>0</v>
      </c>
      <c r="BJ88" s="130">
        <f t="shared" si="62"/>
        <v>0</v>
      </c>
      <c r="BK88" s="130">
        <f t="shared" si="62"/>
        <v>0</v>
      </c>
      <c r="BL88" s="130">
        <f t="shared" si="62"/>
        <v>0</v>
      </c>
      <c r="BM88" s="130">
        <f t="shared" si="62"/>
        <v>0</v>
      </c>
      <c r="BN88" s="130">
        <f t="shared" si="62"/>
        <v>0</v>
      </c>
      <c r="BO88" s="130">
        <f t="shared" si="62"/>
        <v>0</v>
      </c>
      <c r="BP88" s="130">
        <f t="shared" si="62"/>
        <v>0</v>
      </c>
      <c r="BQ88" s="130">
        <f t="shared" si="62"/>
        <v>0</v>
      </c>
      <c r="BR88" s="130" t="e">
        <f t="shared" si="57"/>
        <v>#REF!</v>
      </c>
    </row>
    <row r="89" spans="2:70" s="119" customFormat="1" x14ac:dyDescent="0.2">
      <c r="B89" s="128"/>
      <c r="C89" s="129"/>
      <c r="D89" s="129"/>
      <c r="E89" s="129" t="e">
        <f>ROUND(IF(D89=#REF!,0,IF($H89=$S$6,(C89/1.14975*0.05*0.5),C89/1.14975*0.05)),2)</f>
        <v>#REF!</v>
      </c>
      <c r="F89" s="129" t="e">
        <f>ROUND(IF(D89=#REF!,0,IF($H89=$S$6,C89/1.14975*0.09975*0.5,C89/1.14975*0.09975)),2)</f>
        <v>#REF!</v>
      </c>
      <c r="G89" s="129" t="e">
        <f t="shared" si="51"/>
        <v>#REF!</v>
      </c>
      <c r="J89" s="130">
        <f t="shared" si="52"/>
        <v>0</v>
      </c>
      <c r="K89" s="130">
        <f t="shared" ref="K89:T98" si="63">+IF($H89=K$6,$G89,0)-IF($I89=K$6,$G89,0)</f>
        <v>0</v>
      </c>
      <c r="L89" s="130">
        <f t="shared" si="63"/>
        <v>0</v>
      </c>
      <c r="M89" s="130">
        <f t="shared" si="63"/>
        <v>0</v>
      </c>
      <c r="N89" s="130">
        <f t="shared" si="63"/>
        <v>0</v>
      </c>
      <c r="O89" s="130">
        <f t="shared" si="63"/>
        <v>0</v>
      </c>
      <c r="P89" s="130">
        <f t="shared" si="63"/>
        <v>0</v>
      </c>
      <c r="Q89" s="130">
        <f t="shared" si="63"/>
        <v>0</v>
      </c>
      <c r="R89" s="130">
        <f t="shared" si="63"/>
        <v>0</v>
      </c>
      <c r="S89" s="130">
        <f t="shared" si="63"/>
        <v>0</v>
      </c>
      <c r="T89" s="130">
        <f t="shared" si="63"/>
        <v>0</v>
      </c>
      <c r="U89" s="130">
        <f t="shared" ref="U89:AG98" si="64">+IF($H89=U$6,$G89,0)-IF($I89=U$6,$G89,0)</f>
        <v>0</v>
      </c>
      <c r="V89" s="130">
        <f t="shared" si="64"/>
        <v>0</v>
      </c>
      <c r="W89" s="130">
        <f t="shared" si="64"/>
        <v>0</v>
      </c>
      <c r="X89" s="130">
        <f t="shared" si="64"/>
        <v>0</v>
      </c>
      <c r="Y89" s="130">
        <f t="shared" si="64"/>
        <v>0</v>
      </c>
      <c r="Z89" s="130">
        <f t="shared" si="64"/>
        <v>0</v>
      </c>
      <c r="AA89" s="130">
        <f t="shared" si="64"/>
        <v>0</v>
      </c>
      <c r="AB89" s="130">
        <f t="shared" si="64"/>
        <v>0</v>
      </c>
      <c r="AC89" s="130">
        <f t="shared" si="64"/>
        <v>0</v>
      </c>
      <c r="AD89" s="130">
        <f t="shared" si="64"/>
        <v>0</v>
      </c>
      <c r="AE89" s="130">
        <f t="shared" si="64"/>
        <v>0</v>
      </c>
      <c r="AF89" s="130">
        <f t="shared" si="64"/>
        <v>0</v>
      </c>
      <c r="AG89" s="130">
        <f t="shared" si="64"/>
        <v>0</v>
      </c>
      <c r="AH89" s="130">
        <f t="shared" ref="AH89:AJ108" si="65">+IF($H89=AH$6,$C89,0)-IF($I89=AH$6,$C89,0)</f>
        <v>0</v>
      </c>
      <c r="AI89" s="130">
        <f t="shared" si="65"/>
        <v>0</v>
      </c>
      <c r="AJ89" s="130">
        <f t="shared" si="65"/>
        <v>0</v>
      </c>
      <c r="AK89" s="130">
        <f t="shared" si="53"/>
        <v>0</v>
      </c>
      <c r="AL89" s="130">
        <f t="shared" si="54"/>
        <v>0</v>
      </c>
      <c r="AM89" s="130">
        <f t="shared" si="55"/>
        <v>0</v>
      </c>
      <c r="AN89" s="130">
        <f t="shared" si="56"/>
        <v>0</v>
      </c>
      <c r="AO89" s="130">
        <f t="shared" ref="AO89:BA98" si="66">+IF($H89=AO$6,$G89,0)-IF($I89=AO$6,$G89,0)</f>
        <v>0</v>
      </c>
      <c r="AP89" s="130">
        <f t="shared" si="66"/>
        <v>0</v>
      </c>
      <c r="AQ89" s="130">
        <f t="shared" si="66"/>
        <v>0</v>
      </c>
      <c r="AR89" s="130">
        <f t="shared" si="66"/>
        <v>0</v>
      </c>
      <c r="AS89" s="130">
        <f t="shared" si="66"/>
        <v>0</v>
      </c>
      <c r="AT89" s="130">
        <f t="shared" si="66"/>
        <v>0</v>
      </c>
      <c r="AU89" s="130">
        <f t="shared" si="66"/>
        <v>0</v>
      </c>
      <c r="AV89" s="130">
        <f t="shared" si="66"/>
        <v>0</v>
      </c>
      <c r="AW89" s="130">
        <f t="shared" si="66"/>
        <v>0</v>
      </c>
      <c r="AX89" s="130">
        <f t="shared" si="66"/>
        <v>0</v>
      </c>
      <c r="AY89" s="130">
        <f t="shared" si="66"/>
        <v>0</v>
      </c>
      <c r="AZ89" s="130">
        <f t="shared" si="66"/>
        <v>0</v>
      </c>
      <c r="BA89" s="130">
        <f t="shared" si="66"/>
        <v>0</v>
      </c>
      <c r="BB89" s="130">
        <f t="shared" ref="BB89:BE108" si="67">+IF($H89=BB$6,$C89,0)-IF($I89=BB$6,$C89,0)</f>
        <v>0</v>
      </c>
      <c r="BC89" s="130">
        <f t="shared" si="67"/>
        <v>0</v>
      </c>
      <c r="BD89" s="130">
        <f t="shared" si="67"/>
        <v>0</v>
      </c>
      <c r="BE89" s="130">
        <f t="shared" si="67"/>
        <v>0</v>
      </c>
      <c r="BF89" s="130" t="e">
        <f>+IF($H89=#REF!,$C89,0)-IF($I89=#REF!,$C89,0)</f>
        <v>#REF!</v>
      </c>
      <c r="BG89" s="130" t="e">
        <f>+IF($H89=#REF!,$C89,0)-IF($I89=#REF!,$C89,0)</f>
        <v>#REF!</v>
      </c>
      <c r="BH89" s="130" t="e">
        <f>+IF($H89=#REF!,$C89,0)-IF($I89=#REF!,$C89,0)</f>
        <v>#REF!</v>
      </c>
      <c r="BI89" s="130">
        <f t="shared" ref="BI89:BQ98" si="68">+IF($H89=BI$6,$G89,0)-IF($I89=BI$6,$G89,0)</f>
        <v>0</v>
      </c>
      <c r="BJ89" s="130">
        <f t="shared" si="68"/>
        <v>0</v>
      </c>
      <c r="BK89" s="130">
        <f t="shared" si="68"/>
        <v>0</v>
      </c>
      <c r="BL89" s="130">
        <f t="shared" si="68"/>
        <v>0</v>
      </c>
      <c r="BM89" s="130">
        <f t="shared" si="68"/>
        <v>0</v>
      </c>
      <c r="BN89" s="130">
        <f t="shared" si="68"/>
        <v>0</v>
      </c>
      <c r="BO89" s="130">
        <f t="shared" si="68"/>
        <v>0</v>
      </c>
      <c r="BP89" s="130">
        <f t="shared" si="68"/>
        <v>0</v>
      </c>
      <c r="BQ89" s="130">
        <f t="shared" si="68"/>
        <v>0</v>
      </c>
      <c r="BR89" s="130" t="e">
        <f t="shared" si="57"/>
        <v>#REF!</v>
      </c>
    </row>
    <row r="90" spans="2:70" s="119" customFormat="1" x14ac:dyDescent="0.2">
      <c r="B90" s="128"/>
      <c r="C90" s="129"/>
      <c r="D90" s="129"/>
      <c r="E90" s="129" t="e">
        <f>ROUND(IF(D90=#REF!,0,IF($H90=$S$6,(C90/1.14975*0.05*0.5),C90/1.14975*0.05)),2)</f>
        <v>#REF!</v>
      </c>
      <c r="F90" s="129" t="e">
        <f>ROUND(IF(D90=#REF!,0,IF($H90=$S$6,C90/1.14975*0.09975*0.5,C90/1.14975*0.09975)),2)</f>
        <v>#REF!</v>
      </c>
      <c r="G90" s="129" t="e">
        <f t="shared" si="51"/>
        <v>#REF!</v>
      </c>
      <c r="J90" s="130">
        <f t="shared" si="52"/>
        <v>0</v>
      </c>
      <c r="K90" s="130">
        <f t="shared" si="63"/>
        <v>0</v>
      </c>
      <c r="L90" s="130">
        <f t="shared" si="63"/>
        <v>0</v>
      </c>
      <c r="M90" s="130">
        <f t="shared" si="63"/>
        <v>0</v>
      </c>
      <c r="N90" s="130">
        <f t="shared" si="63"/>
        <v>0</v>
      </c>
      <c r="O90" s="130">
        <f t="shared" si="63"/>
        <v>0</v>
      </c>
      <c r="P90" s="130">
        <f t="shared" si="63"/>
        <v>0</v>
      </c>
      <c r="Q90" s="130">
        <f t="shared" si="63"/>
        <v>0</v>
      </c>
      <c r="R90" s="130">
        <f t="shared" si="63"/>
        <v>0</v>
      </c>
      <c r="S90" s="130">
        <f t="shared" si="63"/>
        <v>0</v>
      </c>
      <c r="T90" s="130">
        <f t="shared" si="63"/>
        <v>0</v>
      </c>
      <c r="U90" s="130">
        <f t="shared" si="64"/>
        <v>0</v>
      </c>
      <c r="V90" s="130">
        <f t="shared" si="64"/>
        <v>0</v>
      </c>
      <c r="W90" s="130">
        <f t="shared" si="64"/>
        <v>0</v>
      </c>
      <c r="X90" s="130">
        <f t="shared" si="64"/>
        <v>0</v>
      </c>
      <c r="Y90" s="130">
        <f t="shared" si="64"/>
        <v>0</v>
      </c>
      <c r="Z90" s="130">
        <f t="shared" si="64"/>
        <v>0</v>
      </c>
      <c r="AA90" s="130">
        <f t="shared" si="64"/>
        <v>0</v>
      </c>
      <c r="AB90" s="130">
        <f t="shared" si="64"/>
        <v>0</v>
      </c>
      <c r="AC90" s="130">
        <f t="shared" si="64"/>
        <v>0</v>
      </c>
      <c r="AD90" s="130">
        <f t="shared" si="64"/>
        <v>0</v>
      </c>
      <c r="AE90" s="130">
        <f t="shared" si="64"/>
        <v>0</v>
      </c>
      <c r="AF90" s="130">
        <f t="shared" si="64"/>
        <v>0</v>
      </c>
      <c r="AG90" s="130">
        <f t="shared" si="64"/>
        <v>0</v>
      </c>
      <c r="AH90" s="130">
        <f t="shared" si="65"/>
        <v>0</v>
      </c>
      <c r="AI90" s="130">
        <f t="shared" si="65"/>
        <v>0</v>
      </c>
      <c r="AJ90" s="130">
        <f t="shared" si="65"/>
        <v>0</v>
      </c>
      <c r="AK90" s="130">
        <f t="shared" si="53"/>
        <v>0</v>
      </c>
      <c r="AL90" s="130">
        <f t="shared" si="54"/>
        <v>0</v>
      </c>
      <c r="AM90" s="130">
        <f t="shared" si="55"/>
        <v>0</v>
      </c>
      <c r="AN90" s="130">
        <f t="shared" si="56"/>
        <v>0</v>
      </c>
      <c r="AO90" s="130">
        <f t="shared" si="66"/>
        <v>0</v>
      </c>
      <c r="AP90" s="130">
        <f t="shared" si="66"/>
        <v>0</v>
      </c>
      <c r="AQ90" s="130">
        <f t="shared" si="66"/>
        <v>0</v>
      </c>
      <c r="AR90" s="130">
        <f t="shared" si="66"/>
        <v>0</v>
      </c>
      <c r="AS90" s="130">
        <f t="shared" si="66"/>
        <v>0</v>
      </c>
      <c r="AT90" s="130">
        <f t="shared" si="66"/>
        <v>0</v>
      </c>
      <c r="AU90" s="130">
        <f t="shared" si="66"/>
        <v>0</v>
      </c>
      <c r="AV90" s="130">
        <f t="shared" si="66"/>
        <v>0</v>
      </c>
      <c r="AW90" s="130">
        <f t="shared" si="66"/>
        <v>0</v>
      </c>
      <c r="AX90" s="130">
        <f t="shared" si="66"/>
        <v>0</v>
      </c>
      <c r="AY90" s="130">
        <f t="shared" si="66"/>
        <v>0</v>
      </c>
      <c r="AZ90" s="130">
        <f t="shared" si="66"/>
        <v>0</v>
      </c>
      <c r="BA90" s="130">
        <f t="shared" si="66"/>
        <v>0</v>
      </c>
      <c r="BB90" s="130">
        <f t="shared" si="67"/>
        <v>0</v>
      </c>
      <c r="BC90" s="130">
        <f t="shared" si="67"/>
        <v>0</v>
      </c>
      <c r="BD90" s="130">
        <f t="shared" si="67"/>
        <v>0</v>
      </c>
      <c r="BE90" s="130">
        <f t="shared" si="67"/>
        <v>0</v>
      </c>
      <c r="BF90" s="130" t="e">
        <f>+IF($H90=#REF!,$C90,0)-IF($I90=#REF!,$C90,0)</f>
        <v>#REF!</v>
      </c>
      <c r="BG90" s="130" t="e">
        <f>+IF($H90=#REF!,$C90,0)-IF($I90=#REF!,$C90,0)</f>
        <v>#REF!</v>
      </c>
      <c r="BH90" s="130" t="e">
        <f>+IF($H90=#REF!,$C90,0)-IF($I90=#REF!,$C90,0)</f>
        <v>#REF!</v>
      </c>
      <c r="BI90" s="130">
        <f t="shared" si="68"/>
        <v>0</v>
      </c>
      <c r="BJ90" s="130">
        <f t="shared" si="68"/>
        <v>0</v>
      </c>
      <c r="BK90" s="130">
        <f t="shared" si="68"/>
        <v>0</v>
      </c>
      <c r="BL90" s="130">
        <f t="shared" si="68"/>
        <v>0</v>
      </c>
      <c r="BM90" s="130">
        <f t="shared" si="68"/>
        <v>0</v>
      </c>
      <c r="BN90" s="130">
        <f t="shared" si="68"/>
        <v>0</v>
      </c>
      <c r="BO90" s="130">
        <f t="shared" si="68"/>
        <v>0</v>
      </c>
      <c r="BP90" s="130">
        <f t="shared" si="68"/>
        <v>0</v>
      </c>
      <c r="BQ90" s="130">
        <f t="shared" si="68"/>
        <v>0</v>
      </c>
      <c r="BR90" s="130" t="e">
        <f t="shared" si="57"/>
        <v>#REF!</v>
      </c>
    </row>
    <row r="91" spans="2:70" s="119" customFormat="1" x14ac:dyDescent="0.2">
      <c r="B91" s="128"/>
      <c r="C91" s="129"/>
      <c r="D91" s="129"/>
      <c r="E91" s="129" t="e">
        <f>ROUND(IF(D91=#REF!,0,IF($H91=$S$6,(C91/1.14975*0.05*0.5),C91/1.14975*0.05)),2)</f>
        <v>#REF!</v>
      </c>
      <c r="F91" s="129" t="e">
        <f>ROUND(IF(D91=#REF!,0,IF($H91=$S$6,C91/1.14975*0.09975*0.5,C91/1.14975*0.09975)),2)</f>
        <v>#REF!</v>
      </c>
      <c r="G91" s="129" t="e">
        <f t="shared" si="51"/>
        <v>#REF!</v>
      </c>
      <c r="J91" s="130">
        <f t="shared" si="52"/>
        <v>0</v>
      </c>
      <c r="K91" s="130">
        <f t="shared" si="63"/>
        <v>0</v>
      </c>
      <c r="L91" s="130">
        <f t="shared" si="63"/>
        <v>0</v>
      </c>
      <c r="M91" s="130">
        <f t="shared" si="63"/>
        <v>0</v>
      </c>
      <c r="N91" s="130">
        <f t="shared" si="63"/>
        <v>0</v>
      </c>
      <c r="O91" s="130">
        <f t="shared" si="63"/>
        <v>0</v>
      </c>
      <c r="P91" s="130">
        <f t="shared" si="63"/>
        <v>0</v>
      </c>
      <c r="Q91" s="130">
        <f t="shared" si="63"/>
        <v>0</v>
      </c>
      <c r="R91" s="130">
        <f t="shared" si="63"/>
        <v>0</v>
      </c>
      <c r="S91" s="130">
        <f t="shared" si="63"/>
        <v>0</v>
      </c>
      <c r="T91" s="130">
        <f t="shared" si="63"/>
        <v>0</v>
      </c>
      <c r="U91" s="130">
        <f t="shared" si="64"/>
        <v>0</v>
      </c>
      <c r="V91" s="130">
        <f t="shared" si="64"/>
        <v>0</v>
      </c>
      <c r="W91" s="130">
        <f t="shared" si="64"/>
        <v>0</v>
      </c>
      <c r="X91" s="130">
        <f t="shared" si="64"/>
        <v>0</v>
      </c>
      <c r="Y91" s="130">
        <f t="shared" si="64"/>
        <v>0</v>
      </c>
      <c r="Z91" s="130">
        <f t="shared" si="64"/>
        <v>0</v>
      </c>
      <c r="AA91" s="130">
        <f t="shared" si="64"/>
        <v>0</v>
      </c>
      <c r="AB91" s="130">
        <f t="shared" si="64"/>
        <v>0</v>
      </c>
      <c r="AC91" s="130">
        <f t="shared" si="64"/>
        <v>0</v>
      </c>
      <c r="AD91" s="130">
        <f t="shared" si="64"/>
        <v>0</v>
      </c>
      <c r="AE91" s="130">
        <f t="shared" si="64"/>
        <v>0</v>
      </c>
      <c r="AF91" s="130">
        <f t="shared" si="64"/>
        <v>0</v>
      </c>
      <c r="AG91" s="130">
        <f t="shared" si="64"/>
        <v>0</v>
      </c>
      <c r="AH91" s="130">
        <f t="shared" si="65"/>
        <v>0</v>
      </c>
      <c r="AI91" s="130">
        <f t="shared" si="65"/>
        <v>0</v>
      </c>
      <c r="AJ91" s="130">
        <f t="shared" si="65"/>
        <v>0</v>
      </c>
      <c r="AK91" s="130">
        <f t="shared" si="53"/>
        <v>0</v>
      </c>
      <c r="AL91" s="130">
        <f t="shared" si="54"/>
        <v>0</v>
      </c>
      <c r="AM91" s="130">
        <f t="shared" si="55"/>
        <v>0</v>
      </c>
      <c r="AN91" s="130">
        <f t="shared" si="56"/>
        <v>0</v>
      </c>
      <c r="AO91" s="130">
        <f t="shared" si="66"/>
        <v>0</v>
      </c>
      <c r="AP91" s="130">
        <f t="shared" si="66"/>
        <v>0</v>
      </c>
      <c r="AQ91" s="130">
        <f t="shared" si="66"/>
        <v>0</v>
      </c>
      <c r="AR91" s="130">
        <f t="shared" si="66"/>
        <v>0</v>
      </c>
      <c r="AS91" s="130">
        <f t="shared" si="66"/>
        <v>0</v>
      </c>
      <c r="AT91" s="130">
        <f t="shared" si="66"/>
        <v>0</v>
      </c>
      <c r="AU91" s="130">
        <f t="shared" si="66"/>
        <v>0</v>
      </c>
      <c r="AV91" s="130">
        <f t="shared" si="66"/>
        <v>0</v>
      </c>
      <c r="AW91" s="130">
        <f t="shared" si="66"/>
        <v>0</v>
      </c>
      <c r="AX91" s="130">
        <f t="shared" si="66"/>
        <v>0</v>
      </c>
      <c r="AY91" s="130">
        <f t="shared" si="66"/>
        <v>0</v>
      </c>
      <c r="AZ91" s="130">
        <f t="shared" si="66"/>
        <v>0</v>
      </c>
      <c r="BA91" s="130">
        <f t="shared" si="66"/>
        <v>0</v>
      </c>
      <c r="BB91" s="130">
        <f t="shared" si="67"/>
        <v>0</v>
      </c>
      <c r="BC91" s="130">
        <f t="shared" si="67"/>
        <v>0</v>
      </c>
      <c r="BD91" s="130">
        <f t="shared" si="67"/>
        <v>0</v>
      </c>
      <c r="BE91" s="130">
        <f t="shared" si="67"/>
        <v>0</v>
      </c>
      <c r="BF91" s="130" t="e">
        <f>+IF($H91=#REF!,$C91,0)-IF($I91=#REF!,$C91,0)</f>
        <v>#REF!</v>
      </c>
      <c r="BG91" s="130" t="e">
        <f>+IF($H91=#REF!,$C91,0)-IF($I91=#REF!,$C91,0)</f>
        <v>#REF!</v>
      </c>
      <c r="BH91" s="130" t="e">
        <f>+IF($H91=#REF!,$C91,0)-IF($I91=#REF!,$C91,0)</f>
        <v>#REF!</v>
      </c>
      <c r="BI91" s="130">
        <f t="shared" si="68"/>
        <v>0</v>
      </c>
      <c r="BJ91" s="130">
        <f t="shared" si="68"/>
        <v>0</v>
      </c>
      <c r="BK91" s="130">
        <f t="shared" si="68"/>
        <v>0</v>
      </c>
      <c r="BL91" s="130">
        <f t="shared" si="68"/>
        <v>0</v>
      </c>
      <c r="BM91" s="130">
        <f t="shared" si="68"/>
        <v>0</v>
      </c>
      <c r="BN91" s="130">
        <f t="shared" si="68"/>
        <v>0</v>
      </c>
      <c r="BO91" s="130">
        <f t="shared" si="68"/>
        <v>0</v>
      </c>
      <c r="BP91" s="130">
        <f t="shared" si="68"/>
        <v>0</v>
      </c>
      <c r="BQ91" s="130">
        <f t="shared" si="68"/>
        <v>0</v>
      </c>
      <c r="BR91" s="130" t="e">
        <f t="shared" si="57"/>
        <v>#REF!</v>
      </c>
    </row>
    <row r="92" spans="2:70" s="119" customFormat="1" x14ac:dyDescent="0.2">
      <c r="B92" s="128"/>
      <c r="C92" s="129"/>
      <c r="D92" s="129"/>
      <c r="E92" s="129" t="e">
        <f>ROUND(IF(D92=#REF!,0,IF($H92=$S$6,(C92/1.14975*0.05*0.5),C92/1.14975*0.05)),2)</f>
        <v>#REF!</v>
      </c>
      <c r="F92" s="129" t="e">
        <f>ROUND(IF(D92=#REF!,0,IF($H92=$S$6,C92/1.14975*0.09975*0.5,C92/1.14975*0.09975)),2)</f>
        <v>#REF!</v>
      </c>
      <c r="G92" s="129" t="e">
        <f t="shared" si="51"/>
        <v>#REF!</v>
      </c>
      <c r="J92" s="130">
        <f t="shared" si="52"/>
        <v>0</v>
      </c>
      <c r="K92" s="130">
        <f t="shared" si="63"/>
        <v>0</v>
      </c>
      <c r="L92" s="130">
        <f t="shared" si="63"/>
        <v>0</v>
      </c>
      <c r="M92" s="130">
        <f t="shared" si="63"/>
        <v>0</v>
      </c>
      <c r="N92" s="130">
        <f t="shared" si="63"/>
        <v>0</v>
      </c>
      <c r="O92" s="130">
        <f t="shared" si="63"/>
        <v>0</v>
      </c>
      <c r="P92" s="130">
        <f t="shared" si="63"/>
        <v>0</v>
      </c>
      <c r="Q92" s="130">
        <f t="shared" si="63"/>
        <v>0</v>
      </c>
      <c r="R92" s="130">
        <f t="shared" si="63"/>
        <v>0</v>
      </c>
      <c r="S92" s="130">
        <f t="shared" si="63"/>
        <v>0</v>
      </c>
      <c r="T92" s="130">
        <f t="shared" si="63"/>
        <v>0</v>
      </c>
      <c r="U92" s="130">
        <f t="shared" si="64"/>
        <v>0</v>
      </c>
      <c r="V92" s="130">
        <f t="shared" si="64"/>
        <v>0</v>
      </c>
      <c r="W92" s="130">
        <f t="shared" si="64"/>
        <v>0</v>
      </c>
      <c r="X92" s="130">
        <f t="shared" si="64"/>
        <v>0</v>
      </c>
      <c r="Y92" s="130">
        <f t="shared" si="64"/>
        <v>0</v>
      </c>
      <c r="Z92" s="130">
        <f t="shared" si="64"/>
        <v>0</v>
      </c>
      <c r="AA92" s="130">
        <f t="shared" si="64"/>
        <v>0</v>
      </c>
      <c r="AB92" s="130">
        <f t="shared" si="64"/>
        <v>0</v>
      </c>
      <c r="AC92" s="130">
        <f t="shared" si="64"/>
        <v>0</v>
      </c>
      <c r="AD92" s="130">
        <f t="shared" si="64"/>
        <v>0</v>
      </c>
      <c r="AE92" s="130">
        <f t="shared" si="64"/>
        <v>0</v>
      </c>
      <c r="AF92" s="130">
        <f t="shared" si="64"/>
        <v>0</v>
      </c>
      <c r="AG92" s="130">
        <f t="shared" si="64"/>
        <v>0</v>
      </c>
      <c r="AH92" s="130">
        <f t="shared" si="65"/>
        <v>0</v>
      </c>
      <c r="AI92" s="130">
        <f t="shared" si="65"/>
        <v>0</v>
      </c>
      <c r="AJ92" s="130">
        <f t="shared" si="65"/>
        <v>0</v>
      </c>
      <c r="AK92" s="130">
        <f t="shared" si="53"/>
        <v>0</v>
      </c>
      <c r="AL92" s="130">
        <f t="shared" si="54"/>
        <v>0</v>
      </c>
      <c r="AM92" s="130">
        <f t="shared" si="55"/>
        <v>0</v>
      </c>
      <c r="AN92" s="130">
        <f t="shared" si="56"/>
        <v>0</v>
      </c>
      <c r="AO92" s="130">
        <f t="shared" si="66"/>
        <v>0</v>
      </c>
      <c r="AP92" s="130">
        <f t="shared" si="66"/>
        <v>0</v>
      </c>
      <c r="AQ92" s="130">
        <f t="shared" si="66"/>
        <v>0</v>
      </c>
      <c r="AR92" s="130">
        <f t="shared" si="66"/>
        <v>0</v>
      </c>
      <c r="AS92" s="130">
        <f t="shared" si="66"/>
        <v>0</v>
      </c>
      <c r="AT92" s="130">
        <f t="shared" si="66"/>
        <v>0</v>
      </c>
      <c r="AU92" s="130">
        <f t="shared" si="66"/>
        <v>0</v>
      </c>
      <c r="AV92" s="130">
        <f t="shared" si="66"/>
        <v>0</v>
      </c>
      <c r="AW92" s="130">
        <f t="shared" si="66"/>
        <v>0</v>
      </c>
      <c r="AX92" s="130">
        <f t="shared" si="66"/>
        <v>0</v>
      </c>
      <c r="AY92" s="130">
        <f t="shared" si="66"/>
        <v>0</v>
      </c>
      <c r="AZ92" s="130">
        <f t="shared" si="66"/>
        <v>0</v>
      </c>
      <c r="BA92" s="130">
        <f t="shared" si="66"/>
        <v>0</v>
      </c>
      <c r="BB92" s="130">
        <f t="shared" si="67"/>
        <v>0</v>
      </c>
      <c r="BC92" s="130">
        <f t="shared" si="67"/>
        <v>0</v>
      </c>
      <c r="BD92" s="130">
        <f t="shared" si="67"/>
        <v>0</v>
      </c>
      <c r="BE92" s="130">
        <f t="shared" si="67"/>
        <v>0</v>
      </c>
      <c r="BF92" s="130" t="e">
        <f>+IF($H92=#REF!,$C92,0)-IF($I92=#REF!,$C92,0)</f>
        <v>#REF!</v>
      </c>
      <c r="BG92" s="130" t="e">
        <f>+IF($H92=#REF!,$C92,0)-IF($I92=#REF!,$C92,0)</f>
        <v>#REF!</v>
      </c>
      <c r="BH92" s="130" t="e">
        <f>+IF($H92=#REF!,$C92,0)-IF($I92=#REF!,$C92,0)</f>
        <v>#REF!</v>
      </c>
      <c r="BI92" s="130">
        <f t="shared" si="68"/>
        <v>0</v>
      </c>
      <c r="BJ92" s="130">
        <f t="shared" si="68"/>
        <v>0</v>
      </c>
      <c r="BK92" s="130">
        <f t="shared" si="68"/>
        <v>0</v>
      </c>
      <c r="BL92" s="130">
        <f t="shared" si="68"/>
        <v>0</v>
      </c>
      <c r="BM92" s="130">
        <f t="shared" si="68"/>
        <v>0</v>
      </c>
      <c r="BN92" s="130">
        <f t="shared" si="68"/>
        <v>0</v>
      </c>
      <c r="BO92" s="130">
        <f t="shared" si="68"/>
        <v>0</v>
      </c>
      <c r="BP92" s="130">
        <f t="shared" si="68"/>
        <v>0</v>
      </c>
      <c r="BQ92" s="130">
        <f t="shared" si="68"/>
        <v>0</v>
      </c>
      <c r="BR92" s="130" t="e">
        <f t="shared" si="57"/>
        <v>#REF!</v>
      </c>
    </row>
    <row r="93" spans="2:70" s="119" customFormat="1" x14ac:dyDescent="0.2">
      <c r="B93" s="128"/>
      <c r="C93" s="129"/>
      <c r="D93" s="129"/>
      <c r="E93" s="129" t="e">
        <f>ROUND(IF(D93=#REF!,0,IF($H93=$S$6,(C93/1.14975*0.05*0.5),C93/1.14975*0.05)),2)</f>
        <v>#REF!</v>
      </c>
      <c r="F93" s="129" t="e">
        <f>ROUND(IF(D93=#REF!,0,IF($H93=$S$6,C93/1.14975*0.09975*0.5,C93/1.14975*0.09975)),2)</f>
        <v>#REF!</v>
      </c>
      <c r="G93" s="129" t="e">
        <f t="shared" si="51"/>
        <v>#REF!</v>
      </c>
      <c r="J93" s="130">
        <f t="shared" si="52"/>
        <v>0</v>
      </c>
      <c r="K93" s="130">
        <f t="shared" si="63"/>
        <v>0</v>
      </c>
      <c r="L93" s="130">
        <f t="shared" si="63"/>
        <v>0</v>
      </c>
      <c r="M93" s="130">
        <f t="shared" si="63"/>
        <v>0</v>
      </c>
      <c r="N93" s="130">
        <f t="shared" si="63"/>
        <v>0</v>
      </c>
      <c r="O93" s="130">
        <f t="shared" si="63"/>
        <v>0</v>
      </c>
      <c r="P93" s="130">
        <f t="shared" si="63"/>
        <v>0</v>
      </c>
      <c r="Q93" s="130">
        <f t="shared" si="63"/>
        <v>0</v>
      </c>
      <c r="R93" s="130">
        <f t="shared" si="63"/>
        <v>0</v>
      </c>
      <c r="S93" s="130">
        <f t="shared" si="63"/>
        <v>0</v>
      </c>
      <c r="T93" s="130">
        <f t="shared" si="63"/>
        <v>0</v>
      </c>
      <c r="U93" s="130">
        <f t="shared" si="64"/>
        <v>0</v>
      </c>
      <c r="V93" s="130">
        <f t="shared" si="64"/>
        <v>0</v>
      </c>
      <c r="W93" s="130">
        <f t="shared" si="64"/>
        <v>0</v>
      </c>
      <c r="X93" s="130">
        <f t="shared" si="64"/>
        <v>0</v>
      </c>
      <c r="Y93" s="130">
        <f t="shared" si="64"/>
        <v>0</v>
      </c>
      <c r="Z93" s="130">
        <f t="shared" si="64"/>
        <v>0</v>
      </c>
      <c r="AA93" s="130">
        <f t="shared" si="64"/>
        <v>0</v>
      </c>
      <c r="AB93" s="130">
        <f t="shared" si="64"/>
        <v>0</v>
      </c>
      <c r="AC93" s="130">
        <f t="shared" si="64"/>
        <v>0</v>
      </c>
      <c r="AD93" s="130">
        <f t="shared" si="64"/>
        <v>0</v>
      </c>
      <c r="AE93" s="130">
        <f t="shared" si="64"/>
        <v>0</v>
      </c>
      <c r="AF93" s="130">
        <f t="shared" si="64"/>
        <v>0</v>
      </c>
      <c r="AG93" s="130">
        <f t="shared" si="64"/>
        <v>0</v>
      </c>
      <c r="AH93" s="130">
        <f t="shared" si="65"/>
        <v>0</v>
      </c>
      <c r="AI93" s="130">
        <f t="shared" si="65"/>
        <v>0</v>
      </c>
      <c r="AJ93" s="130">
        <f t="shared" si="65"/>
        <v>0</v>
      </c>
      <c r="AK93" s="130">
        <f t="shared" si="53"/>
        <v>0</v>
      </c>
      <c r="AL93" s="130">
        <f t="shared" si="54"/>
        <v>0</v>
      </c>
      <c r="AM93" s="130">
        <f t="shared" si="55"/>
        <v>0</v>
      </c>
      <c r="AN93" s="130">
        <f t="shared" si="56"/>
        <v>0</v>
      </c>
      <c r="AO93" s="130">
        <f t="shared" si="66"/>
        <v>0</v>
      </c>
      <c r="AP93" s="130">
        <f t="shared" si="66"/>
        <v>0</v>
      </c>
      <c r="AQ93" s="130">
        <f t="shared" si="66"/>
        <v>0</v>
      </c>
      <c r="AR93" s="130">
        <f t="shared" si="66"/>
        <v>0</v>
      </c>
      <c r="AS93" s="130">
        <f t="shared" si="66"/>
        <v>0</v>
      </c>
      <c r="AT93" s="130">
        <f t="shared" si="66"/>
        <v>0</v>
      </c>
      <c r="AU93" s="130">
        <f t="shared" si="66"/>
        <v>0</v>
      </c>
      <c r="AV93" s="130">
        <f t="shared" si="66"/>
        <v>0</v>
      </c>
      <c r="AW93" s="130">
        <f t="shared" si="66"/>
        <v>0</v>
      </c>
      <c r="AX93" s="130">
        <f t="shared" si="66"/>
        <v>0</v>
      </c>
      <c r="AY93" s="130">
        <f t="shared" si="66"/>
        <v>0</v>
      </c>
      <c r="AZ93" s="130">
        <f t="shared" si="66"/>
        <v>0</v>
      </c>
      <c r="BA93" s="130">
        <f t="shared" si="66"/>
        <v>0</v>
      </c>
      <c r="BB93" s="130">
        <f t="shared" si="67"/>
        <v>0</v>
      </c>
      <c r="BC93" s="130">
        <f t="shared" si="67"/>
        <v>0</v>
      </c>
      <c r="BD93" s="130">
        <f t="shared" si="67"/>
        <v>0</v>
      </c>
      <c r="BE93" s="130">
        <f t="shared" si="67"/>
        <v>0</v>
      </c>
      <c r="BF93" s="130" t="e">
        <f>+IF($H93=#REF!,$C93,0)-IF($I93=#REF!,$C93,0)</f>
        <v>#REF!</v>
      </c>
      <c r="BG93" s="130" t="e">
        <f>+IF($H93=#REF!,$C93,0)-IF($I93=#REF!,$C93,0)</f>
        <v>#REF!</v>
      </c>
      <c r="BH93" s="130" t="e">
        <f>+IF($H93=#REF!,$C93,0)-IF($I93=#REF!,$C93,0)</f>
        <v>#REF!</v>
      </c>
      <c r="BI93" s="130">
        <f t="shared" si="68"/>
        <v>0</v>
      </c>
      <c r="BJ93" s="130">
        <f t="shared" si="68"/>
        <v>0</v>
      </c>
      <c r="BK93" s="130">
        <f t="shared" si="68"/>
        <v>0</v>
      </c>
      <c r="BL93" s="130">
        <f t="shared" si="68"/>
        <v>0</v>
      </c>
      <c r="BM93" s="130">
        <f t="shared" si="68"/>
        <v>0</v>
      </c>
      <c r="BN93" s="130">
        <f t="shared" si="68"/>
        <v>0</v>
      </c>
      <c r="BO93" s="130">
        <f t="shared" si="68"/>
        <v>0</v>
      </c>
      <c r="BP93" s="130">
        <f t="shared" si="68"/>
        <v>0</v>
      </c>
      <c r="BQ93" s="130">
        <f t="shared" si="68"/>
        <v>0</v>
      </c>
      <c r="BR93" s="130" t="e">
        <f t="shared" si="57"/>
        <v>#REF!</v>
      </c>
    </row>
    <row r="94" spans="2:70" s="119" customFormat="1" x14ac:dyDescent="0.2">
      <c r="B94" s="128"/>
      <c r="C94" s="129"/>
      <c r="D94" s="129"/>
      <c r="E94" s="129" t="e">
        <f>ROUND(IF(D94=#REF!,0,IF($H94=$S$6,(C94/1.14975*0.05*0.5),C94/1.14975*0.05)),2)</f>
        <v>#REF!</v>
      </c>
      <c r="F94" s="129" t="e">
        <f>ROUND(IF(D94=#REF!,0,IF($H94=$S$6,C94/1.14975*0.09975*0.5,C94/1.14975*0.09975)),2)</f>
        <v>#REF!</v>
      </c>
      <c r="G94" s="129" t="e">
        <f t="shared" si="51"/>
        <v>#REF!</v>
      </c>
      <c r="J94" s="130">
        <f t="shared" si="52"/>
        <v>0</v>
      </c>
      <c r="K94" s="130">
        <f t="shared" si="63"/>
        <v>0</v>
      </c>
      <c r="L94" s="130">
        <f t="shared" si="63"/>
        <v>0</v>
      </c>
      <c r="M94" s="130">
        <f t="shared" si="63"/>
        <v>0</v>
      </c>
      <c r="N94" s="130">
        <f t="shared" si="63"/>
        <v>0</v>
      </c>
      <c r="O94" s="130">
        <f t="shared" si="63"/>
        <v>0</v>
      </c>
      <c r="P94" s="130">
        <f t="shared" si="63"/>
        <v>0</v>
      </c>
      <c r="Q94" s="130">
        <f t="shared" si="63"/>
        <v>0</v>
      </c>
      <c r="R94" s="130">
        <f t="shared" si="63"/>
        <v>0</v>
      </c>
      <c r="S94" s="130">
        <f t="shared" si="63"/>
        <v>0</v>
      </c>
      <c r="T94" s="130">
        <f t="shared" si="63"/>
        <v>0</v>
      </c>
      <c r="U94" s="130">
        <f t="shared" si="64"/>
        <v>0</v>
      </c>
      <c r="V94" s="130">
        <f t="shared" si="64"/>
        <v>0</v>
      </c>
      <c r="W94" s="130">
        <f t="shared" si="64"/>
        <v>0</v>
      </c>
      <c r="X94" s="130">
        <f t="shared" si="64"/>
        <v>0</v>
      </c>
      <c r="Y94" s="130">
        <f t="shared" si="64"/>
        <v>0</v>
      </c>
      <c r="Z94" s="130">
        <f t="shared" si="64"/>
        <v>0</v>
      </c>
      <c r="AA94" s="130">
        <f t="shared" si="64"/>
        <v>0</v>
      </c>
      <c r="AB94" s="130">
        <f t="shared" si="64"/>
        <v>0</v>
      </c>
      <c r="AC94" s="130">
        <f t="shared" si="64"/>
        <v>0</v>
      </c>
      <c r="AD94" s="130">
        <f t="shared" si="64"/>
        <v>0</v>
      </c>
      <c r="AE94" s="130">
        <f t="shared" si="64"/>
        <v>0</v>
      </c>
      <c r="AF94" s="130">
        <f t="shared" si="64"/>
        <v>0</v>
      </c>
      <c r="AG94" s="130">
        <f t="shared" si="64"/>
        <v>0</v>
      </c>
      <c r="AH94" s="130">
        <f t="shared" si="65"/>
        <v>0</v>
      </c>
      <c r="AI94" s="130">
        <f t="shared" si="65"/>
        <v>0</v>
      </c>
      <c r="AJ94" s="130">
        <f t="shared" si="65"/>
        <v>0</v>
      </c>
      <c r="AK94" s="130">
        <f t="shared" si="53"/>
        <v>0</v>
      </c>
      <c r="AL94" s="130">
        <f t="shared" si="54"/>
        <v>0</v>
      </c>
      <c r="AM94" s="130">
        <f t="shared" si="55"/>
        <v>0</v>
      </c>
      <c r="AN94" s="130">
        <f t="shared" si="56"/>
        <v>0</v>
      </c>
      <c r="AO94" s="130">
        <f t="shared" si="66"/>
        <v>0</v>
      </c>
      <c r="AP94" s="130">
        <f t="shared" si="66"/>
        <v>0</v>
      </c>
      <c r="AQ94" s="130">
        <f t="shared" si="66"/>
        <v>0</v>
      </c>
      <c r="AR94" s="130">
        <f t="shared" si="66"/>
        <v>0</v>
      </c>
      <c r="AS94" s="130">
        <f t="shared" si="66"/>
        <v>0</v>
      </c>
      <c r="AT94" s="130">
        <f t="shared" si="66"/>
        <v>0</v>
      </c>
      <c r="AU94" s="130">
        <f t="shared" si="66"/>
        <v>0</v>
      </c>
      <c r="AV94" s="130">
        <f t="shared" si="66"/>
        <v>0</v>
      </c>
      <c r="AW94" s="130">
        <f t="shared" si="66"/>
        <v>0</v>
      </c>
      <c r="AX94" s="130">
        <f t="shared" si="66"/>
        <v>0</v>
      </c>
      <c r="AY94" s="130">
        <f t="shared" si="66"/>
        <v>0</v>
      </c>
      <c r="AZ94" s="130">
        <f t="shared" si="66"/>
        <v>0</v>
      </c>
      <c r="BA94" s="130">
        <f t="shared" si="66"/>
        <v>0</v>
      </c>
      <c r="BB94" s="130">
        <f t="shared" si="67"/>
        <v>0</v>
      </c>
      <c r="BC94" s="130">
        <f t="shared" si="67"/>
        <v>0</v>
      </c>
      <c r="BD94" s="130">
        <f t="shared" si="67"/>
        <v>0</v>
      </c>
      <c r="BE94" s="130">
        <f t="shared" si="67"/>
        <v>0</v>
      </c>
      <c r="BF94" s="130" t="e">
        <f>+IF($H94=#REF!,$C94,0)-IF($I94=#REF!,$C94,0)</f>
        <v>#REF!</v>
      </c>
      <c r="BG94" s="130" t="e">
        <f>+IF($H94=#REF!,$C94,0)-IF($I94=#REF!,$C94,0)</f>
        <v>#REF!</v>
      </c>
      <c r="BH94" s="130" t="e">
        <f>+IF($H94=#REF!,$C94,0)-IF($I94=#REF!,$C94,0)</f>
        <v>#REF!</v>
      </c>
      <c r="BI94" s="130">
        <f t="shared" si="68"/>
        <v>0</v>
      </c>
      <c r="BJ94" s="130">
        <f t="shared" si="68"/>
        <v>0</v>
      </c>
      <c r="BK94" s="130">
        <f t="shared" si="68"/>
        <v>0</v>
      </c>
      <c r="BL94" s="130">
        <f t="shared" si="68"/>
        <v>0</v>
      </c>
      <c r="BM94" s="130">
        <f t="shared" si="68"/>
        <v>0</v>
      </c>
      <c r="BN94" s="130">
        <f t="shared" si="68"/>
        <v>0</v>
      </c>
      <c r="BO94" s="130">
        <f t="shared" si="68"/>
        <v>0</v>
      </c>
      <c r="BP94" s="130">
        <f t="shared" si="68"/>
        <v>0</v>
      </c>
      <c r="BQ94" s="130">
        <f t="shared" si="68"/>
        <v>0</v>
      </c>
      <c r="BR94" s="130" t="e">
        <f t="shared" si="57"/>
        <v>#REF!</v>
      </c>
    </row>
    <row r="95" spans="2:70" s="119" customFormat="1" x14ac:dyDescent="0.2">
      <c r="B95" s="128"/>
      <c r="C95" s="129"/>
      <c r="D95" s="129"/>
      <c r="E95" s="129" t="e">
        <f>ROUND(IF(D95=#REF!,0,IF($H95=$S$6,(C95/1.14975*0.05*0.5),C95/1.14975*0.05)),2)</f>
        <v>#REF!</v>
      </c>
      <c r="F95" s="129" t="e">
        <f>ROUND(IF(D95=#REF!,0,IF($H95=$S$6,C95/1.14975*0.09975*0.5,C95/1.14975*0.09975)),2)</f>
        <v>#REF!</v>
      </c>
      <c r="G95" s="129" t="e">
        <f t="shared" si="51"/>
        <v>#REF!</v>
      </c>
      <c r="J95" s="130">
        <f t="shared" si="52"/>
        <v>0</v>
      </c>
      <c r="K95" s="130">
        <f t="shared" si="63"/>
        <v>0</v>
      </c>
      <c r="L95" s="130">
        <f t="shared" si="63"/>
        <v>0</v>
      </c>
      <c r="M95" s="130">
        <f t="shared" si="63"/>
        <v>0</v>
      </c>
      <c r="N95" s="130">
        <f t="shared" si="63"/>
        <v>0</v>
      </c>
      <c r="O95" s="130">
        <f t="shared" si="63"/>
        <v>0</v>
      </c>
      <c r="P95" s="130">
        <f t="shared" si="63"/>
        <v>0</v>
      </c>
      <c r="Q95" s="130">
        <f t="shared" si="63"/>
        <v>0</v>
      </c>
      <c r="R95" s="130">
        <f t="shared" si="63"/>
        <v>0</v>
      </c>
      <c r="S95" s="130">
        <f t="shared" si="63"/>
        <v>0</v>
      </c>
      <c r="T95" s="130">
        <f t="shared" si="63"/>
        <v>0</v>
      </c>
      <c r="U95" s="130">
        <f t="shared" si="64"/>
        <v>0</v>
      </c>
      <c r="V95" s="130">
        <f t="shared" si="64"/>
        <v>0</v>
      </c>
      <c r="W95" s="130">
        <f t="shared" si="64"/>
        <v>0</v>
      </c>
      <c r="X95" s="130">
        <f t="shared" si="64"/>
        <v>0</v>
      </c>
      <c r="Y95" s="130">
        <f t="shared" si="64"/>
        <v>0</v>
      </c>
      <c r="Z95" s="130">
        <f t="shared" si="64"/>
        <v>0</v>
      </c>
      <c r="AA95" s="130">
        <f t="shared" si="64"/>
        <v>0</v>
      </c>
      <c r="AB95" s="130">
        <f t="shared" si="64"/>
        <v>0</v>
      </c>
      <c r="AC95" s="130">
        <f t="shared" si="64"/>
        <v>0</v>
      </c>
      <c r="AD95" s="130">
        <f t="shared" si="64"/>
        <v>0</v>
      </c>
      <c r="AE95" s="130">
        <f t="shared" si="64"/>
        <v>0</v>
      </c>
      <c r="AF95" s="130">
        <f t="shared" si="64"/>
        <v>0</v>
      </c>
      <c r="AG95" s="130">
        <f t="shared" si="64"/>
        <v>0</v>
      </c>
      <c r="AH95" s="130">
        <f t="shared" si="65"/>
        <v>0</v>
      </c>
      <c r="AI95" s="130">
        <f t="shared" si="65"/>
        <v>0</v>
      </c>
      <c r="AJ95" s="130">
        <f t="shared" si="65"/>
        <v>0</v>
      </c>
      <c r="AK95" s="130">
        <f t="shared" si="53"/>
        <v>0</v>
      </c>
      <c r="AL95" s="130">
        <f t="shared" si="54"/>
        <v>0</v>
      </c>
      <c r="AM95" s="130">
        <f t="shared" si="55"/>
        <v>0</v>
      </c>
      <c r="AN95" s="130">
        <f t="shared" si="56"/>
        <v>0</v>
      </c>
      <c r="AO95" s="130">
        <f t="shared" si="66"/>
        <v>0</v>
      </c>
      <c r="AP95" s="130">
        <f t="shared" si="66"/>
        <v>0</v>
      </c>
      <c r="AQ95" s="130">
        <f t="shared" si="66"/>
        <v>0</v>
      </c>
      <c r="AR95" s="130">
        <f t="shared" si="66"/>
        <v>0</v>
      </c>
      <c r="AS95" s="130">
        <f t="shared" si="66"/>
        <v>0</v>
      </c>
      <c r="AT95" s="130">
        <f t="shared" si="66"/>
        <v>0</v>
      </c>
      <c r="AU95" s="130">
        <f t="shared" si="66"/>
        <v>0</v>
      </c>
      <c r="AV95" s="130">
        <f t="shared" si="66"/>
        <v>0</v>
      </c>
      <c r="AW95" s="130">
        <f t="shared" si="66"/>
        <v>0</v>
      </c>
      <c r="AX95" s="130">
        <f t="shared" si="66"/>
        <v>0</v>
      </c>
      <c r="AY95" s="130">
        <f t="shared" si="66"/>
        <v>0</v>
      </c>
      <c r="AZ95" s="130">
        <f t="shared" si="66"/>
        <v>0</v>
      </c>
      <c r="BA95" s="130">
        <f t="shared" si="66"/>
        <v>0</v>
      </c>
      <c r="BB95" s="130">
        <f t="shared" si="67"/>
        <v>0</v>
      </c>
      <c r="BC95" s="130">
        <f t="shared" si="67"/>
        <v>0</v>
      </c>
      <c r="BD95" s="130">
        <f t="shared" si="67"/>
        <v>0</v>
      </c>
      <c r="BE95" s="130">
        <f t="shared" si="67"/>
        <v>0</v>
      </c>
      <c r="BF95" s="130" t="e">
        <f>+IF($H95=#REF!,$C95,0)-IF($I95=#REF!,$C95,0)</f>
        <v>#REF!</v>
      </c>
      <c r="BG95" s="130" t="e">
        <f>+IF($H95=#REF!,$C95,0)-IF($I95=#REF!,$C95,0)</f>
        <v>#REF!</v>
      </c>
      <c r="BH95" s="130" t="e">
        <f>+IF($H95=#REF!,$C95,0)-IF($I95=#REF!,$C95,0)</f>
        <v>#REF!</v>
      </c>
      <c r="BI95" s="130">
        <f t="shared" si="68"/>
        <v>0</v>
      </c>
      <c r="BJ95" s="130">
        <f t="shared" si="68"/>
        <v>0</v>
      </c>
      <c r="BK95" s="130">
        <f t="shared" si="68"/>
        <v>0</v>
      </c>
      <c r="BL95" s="130">
        <f t="shared" si="68"/>
        <v>0</v>
      </c>
      <c r="BM95" s="130">
        <f t="shared" si="68"/>
        <v>0</v>
      </c>
      <c r="BN95" s="130">
        <f t="shared" si="68"/>
        <v>0</v>
      </c>
      <c r="BO95" s="130">
        <f t="shared" si="68"/>
        <v>0</v>
      </c>
      <c r="BP95" s="130">
        <f t="shared" si="68"/>
        <v>0</v>
      </c>
      <c r="BQ95" s="130">
        <f t="shared" si="68"/>
        <v>0</v>
      </c>
      <c r="BR95" s="130" t="e">
        <f t="shared" si="57"/>
        <v>#REF!</v>
      </c>
    </row>
    <row r="96" spans="2:70" s="119" customFormat="1" x14ac:dyDescent="0.2">
      <c r="B96" s="128"/>
      <c r="C96" s="129"/>
      <c r="D96" s="129"/>
      <c r="E96" s="129" t="e">
        <f>ROUND(IF(D96=#REF!,0,IF($H96=$S$6,(C96/1.14975*0.05*0.5),C96/1.14975*0.05)),2)</f>
        <v>#REF!</v>
      </c>
      <c r="F96" s="129" t="e">
        <f>ROUND(IF(D96=#REF!,0,IF($H96=$S$6,C96/1.14975*0.09975*0.5,C96/1.14975*0.09975)),2)</f>
        <v>#REF!</v>
      </c>
      <c r="G96" s="129" t="e">
        <f t="shared" si="51"/>
        <v>#REF!</v>
      </c>
      <c r="J96" s="130">
        <f t="shared" si="52"/>
        <v>0</v>
      </c>
      <c r="K96" s="130">
        <f t="shared" si="63"/>
        <v>0</v>
      </c>
      <c r="L96" s="130">
        <f t="shared" si="63"/>
        <v>0</v>
      </c>
      <c r="M96" s="130">
        <f t="shared" si="63"/>
        <v>0</v>
      </c>
      <c r="N96" s="130">
        <f t="shared" si="63"/>
        <v>0</v>
      </c>
      <c r="O96" s="130">
        <f t="shared" si="63"/>
        <v>0</v>
      </c>
      <c r="P96" s="130">
        <f t="shared" si="63"/>
        <v>0</v>
      </c>
      <c r="Q96" s="130">
        <f t="shared" si="63"/>
        <v>0</v>
      </c>
      <c r="R96" s="130">
        <f t="shared" si="63"/>
        <v>0</v>
      </c>
      <c r="S96" s="130">
        <f t="shared" si="63"/>
        <v>0</v>
      </c>
      <c r="T96" s="130">
        <f t="shared" si="63"/>
        <v>0</v>
      </c>
      <c r="U96" s="130">
        <f t="shared" si="64"/>
        <v>0</v>
      </c>
      <c r="V96" s="130">
        <f t="shared" si="64"/>
        <v>0</v>
      </c>
      <c r="W96" s="130">
        <f t="shared" si="64"/>
        <v>0</v>
      </c>
      <c r="X96" s="130">
        <f t="shared" si="64"/>
        <v>0</v>
      </c>
      <c r="Y96" s="130">
        <f t="shared" si="64"/>
        <v>0</v>
      </c>
      <c r="Z96" s="130">
        <f t="shared" si="64"/>
        <v>0</v>
      </c>
      <c r="AA96" s="130">
        <f t="shared" si="64"/>
        <v>0</v>
      </c>
      <c r="AB96" s="130">
        <f t="shared" si="64"/>
        <v>0</v>
      </c>
      <c r="AC96" s="130">
        <f t="shared" si="64"/>
        <v>0</v>
      </c>
      <c r="AD96" s="130">
        <f t="shared" si="64"/>
        <v>0</v>
      </c>
      <c r="AE96" s="130">
        <f t="shared" si="64"/>
        <v>0</v>
      </c>
      <c r="AF96" s="130">
        <f t="shared" si="64"/>
        <v>0</v>
      </c>
      <c r="AG96" s="130">
        <f t="shared" si="64"/>
        <v>0</v>
      </c>
      <c r="AH96" s="130">
        <f t="shared" si="65"/>
        <v>0</v>
      </c>
      <c r="AI96" s="130">
        <f t="shared" si="65"/>
        <v>0</v>
      </c>
      <c r="AJ96" s="130">
        <f t="shared" si="65"/>
        <v>0</v>
      </c>
      <c r="AK96" s="130">
        <f t="shared" si="53"/>
        <v>0</v>
      </c>
      <c r="AL96" s="130">
        <f t="shared" si="54"/>
        <v>0</v>
      </c>
      <c r="AM96" s="130">
        <f t="shared" si="55"/>
        <v>0</v>
      </c>
      <c r="AN96" s="130">
        <f t="shared" si="56"/>
        <v>0</v>
      </c>
      <c r="AO96" s="130">
        <f t="shared" si="66"/>
        <v>0</v>
      </c>
      <c r="AP96" s="130">
        <f t="shared" si="66"/>
        <v>0</v>
      </c>
      <c r="AQ96" s="130">
        <f t="shared" si="66"/>
        <v>0</v>
      </c>
      <c r="AR96" s="130">
        <f t="shared" si="66"/>
        <v>0</v>
      </c>
      <c r="AS96" s="130">
        <f t="shared" si="66"/>
        <v>0</v>
      </c>
      <c r="AT96" s="130">
        <f t="shared" si="66"/>
        <v>0</v>
      </c>
      <c r="AU96" s="130">
        <f t="shared" si="66"/>
        <v>0</v>
      </c>
      <c r="AV96" s="130">
        <f t="shared" si="66"/>
        <v>0</v>
      </c>
      <c r="AW96" s="130">
        <f t="shared" si="66"/>
        <v>0</v>
      </c>
      <c r="AX96" s="130">
        <f t="shared" si="66"/>
        <v>0</v>
      </c>
      <c r="AY96" s="130">
        <f t="shared" si="66"/>
        <v>0</v>
      </c>
      <c r="AZ96" s="130">
        <f t="shared" si="66"/>
        <v>0</v>
      </c>
      <c r="BA96" s="130">
        <f t="shared" si="66"/>
        <v>0</v>
      </c>
      <c r="BB96" s="130">
        <f t="shared" si="67"/>
        <v>0</v>
      </c>
      <c r="BC96" s="130">
        <f t="shared" si="67"/>
        <v>0</v>
      </c>
      <c r="BD96" s="130">
        <f t="shared" si="67"/>
        <v>0</v>
      </c>
      <c r="BE96" s="130">
        <f t="shared" si="67"/>
        <v>0</v>
      </c>
      <c r="BF96" s="130" t="e">
        <f>+IF($H96=#REF!,$C96,0)-IF($I96=#REF!,$C96,0)</f>
        <v>#REF!</v>
      </c>
      <c r="BG96" s="130" t="e">
        <f>+IF($H96=#REF!,$C96,0)-IF($I96=#REF!,$C96,0)</f>
        <v>#REF!</v>
      </c>
      <c r="BH96" s="130" t="e">
        <f>+IF($H96=#REF!,$C96,0)-IF($I96=#REF!,$C96,0)</f>
        <v>#REF!</v>
      </c>
      <c r="BI96" s="130">
        <f t="shared" si="68"/>
        <v>0</v>
      </c>
      <c r="BJ96" s="130">
        <f t="shared" si="68"/>
        <v>0</v>
      </c>
      <c r="BK96" s="130">
        <f t="shared" si="68"/>
        <v>0</v>
      </c>
      <c r="BL96" s="130">
        <f t="shared" si="68"/>
        <v>0</v>
      </c>
      <c r="BM96" s="130">
        <f t="shared" si="68"/>
        <v>0</v>
      </c>
      <c r="BN96" s="130">
        <f t="shared" si="68"/>
        <v>0</v>
      </c>
      <c r="BO96" s="130">
        <f t="shared" si="68"/>
        <v>0</v>
      </c>
      <c r="BP96" s="130">
        <f t="shared" si="68"/>
        <v>0</v>
      </c>
      <c r="BQ96" s="130">
        <f t="shared" si="68"/>
        <v>0</v>
      </c>
      <c r="BR96" s="130" t="e">
        <f t="shared" si="57"/>
        <v>#REF!</v>
      </c>
    </row>
    <row r="97" spans="2:70" s="119" customFormat="1" x14ac:dyDescent="0.2">
      <c r="B97" s="128"/>
      <c r="C97" s="129"/>
      <c r="D97" s="129"/>
      <c r="E97" s="129" t="e">
        <f>ROUND(IF(D97=#REF!,0,IF($H97=$S$6,(C97/1.14975*0.05*0.5),C97/1.14975*0.05)),2)</f>
        <v>#REF!</v>
      </c>
      <c r="F97" s="129" t="e">
        <f>ROUND(IF(D97=#REF!,0,IF($H97=$S$6,C97/1.14975*0.09975*0.5,C97/1.14975*0.09975)),2)</f>
        <v>#REF!</v>
      </c>
      <c r="G97" s="129" t="e">
        <f t="shared" si="51"/>
        <v>#REF!</v>
      </c>
      <c r="J97" s="130">
        <f t="shared" si="52"/>
        <v>0</v>
      </c>
      <c r="K97" s="130">
        <f t="shared" si="63"/>
        <v>0</v>
      </c>
      <c r="L97" s="130">
        <f t="shared" si="63"/>
        <v>0</v>
      </c>
      <c r="M97" s="130">
        <f t="shared" si="63"/>
        <v>0</v>
      </c>
      <c r="N97" s="130">
        <f t="shared" si="63"/>
        <v>0</v>
      </c>
      <c r="O97" s="130">
        <f t="shared" si="63"/>
        <v>0</v>
      </c>
      <c r="P97" s="130">
        <f t="shared" si="63"/>
        <v>0</v>
      </c>
      <c r="Q97" s="130">
        <f t="shared" si="63"/>
        <v>0</v>
      </c>
      <c r="R97" s="130">
        <f t="shared" si="63"/>
        <v>0</v>
      </c>
      <c r="S97" s="130">
        <f t="shared" si="63"/>
        <v>0</v>
      </c>
      <c r="T97" s="130">
        <f t="shared" si="63"/>
        <v>0</v>
      </c>
      <c r="U97" s="130">
        <f t="shared" si="64"/>
        <v>0</v>
      </c>
      <c r="V97" s="130">
        <f t="shared" si="64"/>
        <v>0</v>
      </c>
      <c r="W97" s="130">
        <f t="shared" si="64"/>
        <v>0</v>
      </c>
      <c r="X97" s="130">
        <f t="shared" si="64"/>
        <v>0</v>
      </c>
      <c r="Y97" s="130">
        <f t="shared" si="64"/>
        <v>0</v>
      </c>
      <c r="Z97" s="130">
        <f t="shared" si="64"/>
        <v>0</v>
      </c>
      <c r="AA97" s="130">
        <f t="shared" si="64"/>
        <v>0</v>
      </c>
      <c r="AB97" s="130">
        <f t="shared" si="64"/>
        <v>0</v>
      </c>
      <c r="AC97" s="130">
        <f t="shared" si="64"/>
        <v>0</v>
      </c>
      <c r="AD97" s="130">
        <f t="shared" si="64"/>
        <v>0</v>
      </c>
      <c r="AE97" s="130">
        <f t="shared" si="64"/>
        <v>0</v>
      </c>
      <c r="AF97" s="130">
        <f t="shared" si="64"/>
        <v>0</v>
      </c>
      <c r="AG97" s="130">
        <f t="shared" si="64"/>
        <v>0</v>
      </c>
      <c r="AH97" s="130">
        <f t="shared" si="65"/>
        <v>0</v>
      </c>
      <c r="AI97" s="130">
        <f t="shared" si="65"/>
        <v>0</v>
      </c>
      <c r="AJ97" s="130">
        <f t="shared" si="65"/>
        <v>0</v>
      </c>
      <c r="AK97" s="130">
        <f t="shared" si="53"/>
        <v>0</v>
      </c>
      <c r="AL97" s="130">
        <f t="shared" si="54"/>
        <v>0</v>
      </c>
      <c r="AM97" s="130">
        <f t="shared" si="55"/>
        <v>0</v>
      </c>
      <c r="AN97" s="130">
        <f t="shared" si="56"/>
        <v>0</v>
      </c>
      <c r="AO97" s="130">
        <f t="shared" si="66"/>
        <v>0</v>
      </c>
      <c r="AP97" s="130">
        <f t="shared" si="66"/>
        <v>0</v>
      </c>
      <c r="AQ97" s="130">
        <f t="shared" si="66"/>
        <v>0</v>
      </c>
      <c r="AR97" s="130">
        <f t="shared" si="66"/>
        <v>0</v>
      </c>
      <c r="AS97" s="130">
        <f t="shared" si="66"/>
        <v>0</v>
      </c>
      <c r="AT97" s="130">
        <f t="shared" si="66"/>
        <v>0</v>
      </c>
      <c r="AU97" s="130">
        <f t="shared" si="66"/>
        <v>0</v>
      </c>
      <c r="AV97" s="130">
        <f t="shared" si="66"/>
        <v>0</v>
      </c>
      <c r="AW97" s="130">
        <f t="shared" si="66"/>
        <v>0</v>
      </c>
      <c r="AX97" s="130">
        <f t="shared" si="66"/>
        <v>0</v>
      </c>
      <c r="AY97" s="130">
        <f t="shared" si="66"/>
        <v>0</v>
      </c>
      <c r="AZ97" s="130">
        <f t="shared" si="66"/>
        <v>0</v>
      </c>
      <c r="BA97" s="130">
        <f t="shared" si="66"/>
        <v>0</v>
      </c>
      <c r="BB97" s="130">
        <f t="shared" si="67"/>
        <v>0</v>
      </c>
      <c r="BC97" s="130">
        <f t="shared" si="67"/>
        <v>0</v>
      </c>
      <c r="BD97" s="130">
        <f t="shared" si="67"/>
        <v>0</v>
      </c>
      <c r="BE97" s="130">
        <f t="shared" si="67"/>
        <v>0</v>
      </c>
      <c r="BF97" s="130" t="e">
        <f>+IF($H97=#REF!,$C97,0)-IF($I97=#REF!,$C97,0)</f>
        <v>#REF!</v>
      </c>
      <c r="BG97" s="130" t="e">
        <f>+IF($H97=#REF!,$C97,0)-IF($I97=#REF!,$C97,0)</f>
        <v>#REF!</v>
      </c>
      <c r="BH97" s="130" t="e">
        <f>+IF($H97=#REF!,$C97,0)-IF($I97=#REF!,$C97,0)</f>
        <v>#REF!</v>
      </c>
      <c r="BI97" s="130">
        <f t="shared" si="68"/>
        <v>0</v>
      </c>
      <c r="BJ97" s="130">
        <f t="shared" si="68"/>
        <v>0</v>
      </c>
      <c r="BK97" s="130">
        <f t="shared" si="68"/>
        <v>0</v>
      </c>
      <c r="BL97" s="130">
        <f t="shared" si="68"/>
        <v>0</v>
      </c>
      <c r="BM97" s="130">
        <f t="shared" si="68"/>
        <v>0</v>
      </c>
      <c r="BN97" s="130">
        <f t="shared" si="68"/>
        <v>0</v>
      </c>
      <c r="BO97" s="130">
        <f t="shared" si="68"/>
        <v>0</v>
      </c>
      <c r="BP97" s="130">
        <f t="shared" si="68"/>
        <v>0</v>
      </c>
      <c r="BQ97" s="130">
        <f t="shared" si="68"/>
        <v>0</v>
      </c>
      <c r="BR97" s="130" t="e">
        <f t="shared" si="57"/>
        <v>#REF!</v>
      </c>
    </row>
    <row r="98" spans="2:70" s="119" customFormat="1" x14ac:dyDescent="0.2">
      <c r="B98" s="128"/>
      <c r="C98" s="129"/>
      <c r="D98" s="129"/>
      <c r="E98" s="129" t="e">
        <f>ROUND(IF(D98=#REF!,0,IF($H98=$S$6,(C98/1.14975*0.05*0.5),C98/1.14975*0.05)),2)</f>
        <v>#REF!</v>
      </c>
      <c r="F98" s="129" t="e">
        <f>ROUND(IF(D98=#REF!,0,IF($H98=$S$6,C98/1.14975*0.09975*0.5,C98/1.14975*0.09975)),2)</f>
        <v>#REF!</v>
      </c>
      <c r="G98" s="129" t="e">
        <f t="shared" si="51"/>
        <v>#REF!</v>
      </c>
      <c r="J98" s="130">
        <f t="shared" si="52"/>
        <v>0</v>
      </c>
      <c r="K98" s="130">
        <f t="shared" si="63"/>
        <v>0</v>
      </c>
      <c r="L98" s="130">
        <f t="shared" si="63"/>
        <v>0</v>
      </c>
      <c r="M98" s="130">
        <f t="shared" si="63"/>
        <v>0</v>
      </c>
      <c r="N98" s="130">
        <f t="shared" si="63"/>
        <v>0</v>
      </c>
      <c r="O98" s="130">
        <f t="shared" si="63"/>
        <v>0</v>
      </c>
      <c r="P98" s="130">
        <f t="shared" si="63"/>
        <v>0</v>
      </c>
      <c r="Q98" s="130">
        <f t="shared" si="63"/>
        <v>0</v>
      </c>
      <c r="R98" s="130">
        <f t="shared" si="63"/>
        <v>0</v>
      </c>
      <c r="S98" s="130">
        <f t="shared" si="63"/>
        <v>0</v>
      </c>
      <c r="T98" s="130">
        <f t="shared" si="63"/>
        <v>0</v>
      </c>
      <c r="U98" s="130">
        <f t="shared" si="64"/>
        <v>0</v>
      </c>
      <c r="V98" s="130">
        <f t="shared" si="64"/>
        <v>0</v>
      </c>
      <c r="W98" s="130">
        <f t="shared" si="64"/>
        <v>0</v>
      </c>
      <c r="X98" s="130">
        <f t="shared" si="64"/>
        <v>0</v>
      </c>
      <c r="Y98" s="130">
        <f t="shared" si="64"/>
        <v>0</v>
      </c>
      <c r="Z98" s="130">
        <f t="shared" si="64"/>
        <v>0</v>
      </c>
      <c r="AA98" s="130">
        <f t="shared" si="64"/>
        <v>0</v>
      </c>
      <c r="AB98" s="130">
        <f t="shared" si="64"/>
        <v>0</v>
      </c>
      <c r="AC98" s="130">
        <f t="shared" si="64"/>
        <v>0</v>
      </c>
      <c r="AD98" s="130">
        <f t="shared" si="64"/>
        <v>0</v>
      </c>
      <c r="AE98" s="130">
        <f t="shared" si="64"/>
        <v>0</v>
      </c>
      <c r="AF98" s="130">
        <f t="shared" si="64"/>
        <v>0</v>
      </c>
      <c r="AG98" s="130">
        <f t="shared" si="64"/>
        <v>0</v>
      </c>
      <c r="AH98" s="130">
        <f t="shared" si="65"/>
        <v>0</v>
      </c>
      <c r="AI98" s="130">
        <f t="shared" si="65"/>
        <v>0</v>
      </c>
      <c r="AJ98" s="130">
        <f t="shared" si="65"/>
        <v>0</v>
      </c>
      <c r="AK98" s="130">
        <f t="shared" si="53"/>
        <v>0</v>
      </c>
      <c r="AL98" s="130">
        <f t="shared" si="54"/>
        <v>0</v>
      </c>
      <c r="AM98" s="130">
        <f t="shared" si="55"/>
        <v>0</v>
      </c>
      <c r="AN98" s="130">
        <f t="shared" si="56"/>
        <v>0</v>
      </c>
      <c r="AO98" s="130">
        <f t="shared" si="66"/>
        <v>0</v>
      </c>
      <c r="AP98" s="130">
        <f t="shared" si="66"/>
        <v>0</v>
      </c>
      <c r="AQ98" s="130">
        <f t="shared" si="66"/>
        <v>0</v>
      </c>
      <c r="AR98" s="130">
        <f t="shared" si="66"/>
        <v>0</v>
      </c>
      <c r="AS98" s="130">
        <f t="shared" si="66"/>
        <v>0</v>
      </c>
      <c r="AT98" s="130">
        <f t="shared" si="66"/>
        <v>0</v>
      </c>
      <c r="AU98" s="130">
        <f t="shared" si="66"/>
        <v>0</v>
      </c>
      <c r="AV98" s="130">
        <f t="shared" si="66"/>
        <v>0</v>
      </c>
      <c r="AW98" s="130">
        <f t="shared" si="66"/>
        <v>0</v>
      </c>
      <c r="AX98" s="130">
        <f t="shared" si="66"/>
        <v>0</v>
      </c>
      <c r="AY98" s="130">
        <f t="shared" si="66"/>
        <v>0</v>
      </c>
      <c r="AZ98" s="130">
        <f t="shared" si="66"/>
        <v>0</v>
      </c>
      <c r="BA98" s="130">
        <f t="shared" si="66"/>
        <v>0</v>
      </c>
      <c r="BB98" s="130">
        <f t="shared" si="67"/>
        <v>0</v>
      </c>
      <c r="BC98" s="130">
        <f t="shared" si="67"/>
        <v>0</v>
      </c>
      <c r="BD98" s="130">
        <f t="shared" si="67"/>
        <v>0</v>
      </c>
      <c r="BE98" s="130">
        <f t="shared" si="67"/>
        <v>0</v>
      </c>
      <c r="BF98" s="130" t="e">
        <f>+IF($H98=#REF!,$C98,0)-IF($I98=#REF!,$C98,0)</f>
        <v>#REF!</v>
      </c>
      <c r="BG98" s="130" t="e">
        <f>+IF($H98=#REF!,$C98,0)-IF($I98=#REF!,$C98,0)</f>
        <v>#REF!</v>
      </c>
      <c r="BH98" s="130" t="e">
        <f>+IF($H98=#REF!,$C98,0)-IF($I98=#REF!,$C98,0)</f>
        <v>#REF!</v>
      </c>
      <c r="BI98" s="130">
        <f t="shared" si="68"/>
        <v>0</v>
      </c>
      <c r="BJ98" s="130">
        <f t="shared" si="68"/>
        <v>0</v>
      </c>
      <c r="BK98" s="130">
        <f t="shared" si="68"/>
        <v>0</v>
      </c>
      <c r="BL98" s="130">
        <f t="shared" si="68"/>
        <v>0</v>
      </c>
      <c r="BM98" s="130">
        <f t="shared" si="68"/>
        <v>0</v>
      </c>
      <c r="BN98" s="130">
        <f t="shared" si="68"/>
        <v>0</v>
      </c>
      <c r="BO98" s="130">
        <f t="shared" si="68"/>
        <v>0</v>
      </c>
      <c r="BP98" s="130">
        <f t="shared" si="68"/>
        <v>0</v>
      </c>
      <c r="BQ98" s="130">
        <f t="shared" si="68"/>
        <v>0</v>
      </c>
      <c r="BR98" s="130" t="e">
        <f t="shared" si="57"/>
        <v>#REF!</v>
      </c>
    </row>
    <row r="99" spans="2:70" s="119" customFormat="1" x14ac:dyDescent="0.2">
      <c r="B99" s="128"/>
      <c r="C99" s="129"/>
      <c r="D99" s="129"/>
      <c r="E99" s="129" t="e">
        <f>ROUND(IF(D99=#REF!,0,IF($H99=$S$6,(C99/1.14975*0.05*0.5),C99/1.14975*0.05)),2)</f>
        <v>#REF!</v>
      </c>
      <c r="F99" s="129" t="e">
        <f>ROUND(IF(D99=#REF!,0,IF($H99=$S$6,C99/1.14975*0.09975*0.5,C99/1.14975*0.09975)),2)</f>
        <v>#REF!</v>
      </c>
      <c r="G99" s="129" t="e">
        <f t="shared" si="51"/>
        <v>#REF!</v>
      </c>
      <c r="J99" s="130">
        <f t="shared" si="52"/>
        <v>0</v>
      </c>
      <c r="K99" s="130">
        <f t="shared" ref="K99:T108" si="69">+IF($H99=K$6,$G99,0)-IF($I99=K$6,$G99,0)</f>
        <v>0</v>
      </c>
      <c r="L99" s="130">
        <f t="shared" si="69"/>
        <v>0</v>
      </c>
      <c r="M99" s="130">
        <f t="shared" si="69"/>
        <v>0</v>
      </c>
      <c r="N99" s="130">
        <f t="shared" si="69"/>
        <v>0</v>
      </c>
      <c r="O99" s="130">
        <f t="shared" si="69"/>
        <v>0</v>
      </c>
      <c r="P99" s="130">
        <f t="shared" si="69"/>
        <v>0</v>
      </c>
      <c r="Q99" s="130">
        <f t="shared" si="69"/>
        <v>0</v>
      </c>
      <c r="R99" s="130">
        <f t="shared" si="69"/>
        <v>0</v>
      </c>
      <c r="S99" s="130">
        <f t="shared" si="69"/>
        <v>0</v>
      </c>
      <c r="T99" s="130">
        <f t="shared" si="69"/>
        <v>0</v>
      </c>
      <c r="U99" s="130">
        <f t="shared" ref="U99:AG108" si="70">+IF($H99=U$6,$G99,0)-IF($I99=U$6,$G99,0)</f>
        <v>0</v>
      </c>
      <c r="V99" s="130">
        <f t="shared" si="70"/>
        <v>0</v>
      </c>
      <c r="W99" s="130">
        <f t="shared" si="70"/>
        <v>0</v>
      </c>
      <c r="X99" s="130">
        <f t="shared" si="70"/>
        <v>0</v>
      </c>
      <c r="Y99" s="130">
        <f t="shared" si="70"/>
        <v>0</v>
      </c>
      <c r="Z99" s="130">
        <f t="shared" si="70"/>
        <v>0</v>
      </c>
      <c r="AA99" s="130">
        <f t="shared" si="70"/>
        <v>0</v>
      </c>
      <c r="AB99" s="130">
        <f t="shared" si="70"/>
        <v>0</v>
      </c>
      <c r="AC99" s="130">
        <f t="shared" si="70"/>
        <v>0</v>
      </c>
      <c r="AD99" s="130">
        <f t="shared" si="70"/>
        <v>0</v>
      </c>
      <c r="AE99" s="130">
        <f t="shared" si="70"/>
        <v>0</v>
      </c>
      <c r="AF99" s="130">
        <f t="shared" si="70"/>
        <v>0</v>
      </c>
      <c r="AG99" s="130">
        <f t="shared" si="70"/>
        <v>0</v>
      </c>
      <c r="AH99" s="130">
        <f t="shared" si="65"/>
        <v>0</v>
      </c>
      <c r="AI99" s="130">
        <f t="shared" si="65"/>
        <v>0</v>
      </c>
      <c r="AJ99" s="130">
        <f t="shared" si="65"/>
        <v>0</v>
      </c>
      <c r="AK99" s="130">
        <f t="shared" si="53"/>
        <v>0</v>
      </c>
      <c r="AL99" s="130">
        <f t="shared" si="54"/>
        <v>0</v>
      </c>
      <c r="AM99" s="130">
        <f t="shared" si="55"/>
        <v>0</v>
      </c>
      <c r="AN99" s="130">
        <f t="shared" si="56"/>
        <v>0</v>
      </c>
      <c r="AO99" s="130">
        <f t="shared" ref="AO99:BA108" si="71">+IF($H99=AO$6,$G99,0)-IF($I99=AO$6,$G99,0)</f>
        <v>0</v>
      </c>
      <c r="AP99" s="130">
        <f t="shared" si="71"/>
        <v>0</v>
      </c>
      <c r="AQ99" s="130">
        <f t="shared" si="71"/>
        <v>0</v>
      </c>
      <c r="AR99" s="130">
        <f t="shared" si="71"/>
        <v>0</v>
      </c>
      <c r="AS99" s="130">
        <f t="shared" si="71"/>
        <v>0</v>
      </c>
      <c r="AT99" s="130">
        <f t="shared" si="71"/>
        <v>0</v>
      </c>
      <c r="AU99" s="130">
        <f t="shared" si="71"/>
        <v>0</v>
      </c>
      <c r="AV99" s="130">
        <f t="shared" si="71"/>
        <v>0</v>
      </c>
      <c r="AW99" s="130">
        <f t="shared" si="71"/>
        <v>0</v>
      </c>
      <c r="AX99" s="130">
        <f t="shared" si="71"/>
        <v>0</v>
      </c>
      <c r="AY99" s="130">
        <f t="shared" si="71"/>
        <v>0</v>
      </c>
      <c r="AZ99" s="130">
        <f t="shared" si="71"/>
        <v>0</v>
      </c>
      <c r="BA99" s="130">
        <f t="shared" si="71"/>
        <v>0</v>
      </c>
      <c r="BB99" s="130">
        <f t="shared" si="67"/>
        <v>0</v>
      </c>
      <c r="BC99" s="130">
        <f t="shared" si="67"/>
        <v>0</v>
      </c>
      <c r="BD99" s="130">
        <f t="shared" si="67"/>
        <v>0</v>
      </c>
      <c r="BE99" s="130">
        <f t="shared" si="67"/>
        <v>0</v>
      </c>
      <c r="BF99" s="130" t="e">
        <f>+IF($H99=#REF!,$C99,0)-IF($I99=#REF!,$C99,0)</f>
        <v>#REF!</v>
      </c>
      <c r="BG99" s="130" t="e">
        <f>+IF($H99=#REF!,$C99,0)-IF($I99=#REF!,$C99,0)</f>
        <v>#REF!</v>
      </c>
      <c r="BH99" s="130" t="e">
        <f>+IF($H99=#REF!,$C99,0)-IF($I99=#REF!,$C99,0)</f>
        <v>#REF!</v>
      </c>
      <c r="BI99" s="130">
        <f t="shared" ref="BI99:BQ108" si="72">+IF($H99=BI$6,$G99,0)-IF($I99=BI$6,$G99,0)</f>
        <v>0</v>
      </c>
      <c r="BJ99" s="130">
        <f t="shared" si="72"/>
        <v>0</v>
      </c>
      <c r="BK99" s="130">
        <f t="shared" si="72"/>
        <v>0</v>
      </c>
      <c r="BL99" s="130">
        <f t="shared" si="72"/>
        <v>0</v>
      </c>
      <c r="BM99" s="130">
        <f t="shared" si="72"/>
        <v>0</v>
      </c>
      <c r="BN99" s="130">
        <f t="shared" si="72"/>
        <v>0</v>
      </c>
      <c r="BO99" s="130">
        <f t="shared" si="72"/>
        <v>0</v>
      </c>
      <c r="BP99" s="130">
        <f t="shared" si="72"/>
        <v>0</v>
      </c>
      <c r="BQ99" s="130">
        <f t="shared" si="72"/>
        <v>0</v>
      </c>
      <c r="BR99" s="130" t="e">
        <f t="shared" si="57"/>
        <v>#REF!</v>
      </c>
    </row>
    <row r="100" spans="2:70" s="119" customFormat="1" x14ac:dyDescent="0.2">
      <c r="B100" s="128"/>
      <c r="C100" s="129"/>
      <c r="D100" s="129"/>
      <c r="E100" s="129" t="e">
        <f>ROUND(IF(D100=#REF!,0,IF($H100=$S$6,(C100/1.14975*0.05*0.5),C100/1.14975*0.05)),2)</f>
        <v>#REF!</v>
      </c>
      <c r="F100" s="129" t="e">
        <f>ROUND(IF(D100=#REF!,0,IF($H100=$S$6,C100/1.14975*0.09975*0.5,C100/1.14975*0.09975)),2)</f>
        <v>#REF!</v>
      </c>
      <c r="G100" s="129" t="e">
        <f t="shared" si="51"/>
        <v>#REF!</v>
      </c>
      <c r="J100" s="130">
        <f t="shared" si="52"/>
        <v>0</v>
      </c>
      <c r="K100" s="130">
        <f t="shared" si="69"/>
        <v>0</v>
      </c>
      <c r="L100" s="130">
        <f t="shared" si="69"/>
        <v>0</v>
      </c>
      <c r="M100" s="130">
        <f t="shared" si="69"/>
        <v>0</v>
      </c>
      <c r="N100" s="130">
        <f t="shared" si="69"/>
        <v>0</v>
      </c>
      <c r="O100" s="130">
        <f t="shared" si="69"/>
        <v>0</v>
      </c>
      <c r="P100" s="130">
        <f t="shared" si="69"/>
        <v>0</v>
      </c>
      <c r="Q100" s="130">
        <f t="shared" si="69"/>
        <v>0</v>
      </c>
      <c r="R100" s="130">
        <f t="shared" si="69"/>
        <v>0</v>
      </c>
      <c r="S100" s="130">
        <f t="shared" si="69"/>
        <v>0</v>
      </c>
      <c r="T100" s="130">
        <f t="shared" si="69"/>
        <v>0</v>
      </c>
      <c r="U100" s="130">
        <f t="shared" si="70"/>
        <v>0</v>
      </c>
      <c r="V100" s="130">
        <f t="shared" si="70"/>
        <v>0</v>
      </c>
      <c r="W100" s="130">
        <f t="shared" si="70"/>
        <v>0</v>
      </c>
      <c r="X100" s="130">
        <f t="shared" si="70"/>
        <v>0</v>
      </c>
      <c r="Y100" s="130">
        <f t="shared" si="70"/>
        <v>0</v>
      </c>
      <c r="Z100" s="130">
        <f t="shared" si="70"/>
        <v>0</v>
      </c>
      <c r="AA100" s="130">
        <f t="shared" si="70"/>
        <v>0</v>
      </c>
      <c r="AB100" s="130">
        <f t="shared" si="70"/>
        <v>0</v>
      </c>
      <c r="AC100" s="130">
        <f t="shared" si="70"/>
        <v>0</v>
      </c>
      <c r="AD100" s="130">
        <f t="shared" si="70"/>
        <v>0</v>
      </c>
      <c r="AE100" s="130">
        <f t="shared" si="70"/>
        <v>0</v>
      </c>
      <c r="AF100" s="130">
        <f t="shared" si="70"/>
        <v>0</v>
      </c>
      <c r="AG100" s="130">
        <f t="shared" si="70"/>
        <v>0</v>
      </c>
      <c r="AH100" s="130">
        <f t="shared" si="65"/>
        <v>0</v>
      </c>
      <c r="AI100" s="130">
        <f t="shared" si="65"/>
        <v>0</v>
      </c>
      <c r="AJ100" s="130">
        <f t="shared" si="65"/>
        <v>0</v>
      </c>
      <c r="AK100" s="130">
        <f t="shared" si="53"/>
        <v>0</v>
      </c>
      <c r="AL100" s="130">
        <f t="shared" si="54"/>
        <v>0</v>
      </c>
      <c r="AM100" s="130">
        <f t="shared" si="55"/>
        <v>0</v>
      </c>
      <c r="AN100" s="130">
        <f t="shared" si="56"/>
        <v>0</v>
      </c>
      <c r="AO100" s="130">
        <f t="shared" si="71"/>
        <v>0</v>
      </c>
      <c r="AP100" s="130">
        <f t="shared" si="71"/>
        <v>0</v>
      </c>
      <c r="AQ100" s="130">
        <f t="shared" si="71"/>
        <v>0</v>
      </c>
      <c r="AR100" s="130">
        <f t="shared" si="71"/>
        <v>0</v>
      </c>
      <c r="AS100" s="130">
        <f t="shared" si="71"/>
        <v>0</v>
      </c>
      <c r="AT100" s="130">
        <f t="shared" si="71"/>
        <v>0</v>
      </c>
      <c r="AU100" s="130">
        <f t="shared" si="71"/>
        <v>0</v>
      </c>
      <c r="AV100" s="130">
        <f t="shared" si="71"/>
        <v>0</v>
      </c>
      <c r="AW100" s="130">
        <f t="shared" si="71"/>
        <v>0</v>
      </c>
      <c r="AX100" s="130">
        <f t="shared" si="71"/>
        <v>0</v>
      </c>
      <c r="AY100" s="130">
        <f t="shared" si="71"/>
        <v>0</v>
      </c>
      <c r="AZ100" s="130">
        <f t="shared" si="71"/>
        <v>0</v>
      </c>
      <c r="BA100" s="130">
        <f t="shared" si="71"/>
        <v>0</v>
      </c>
      <c r="BB100" s="130">
        <f t="shared" si="67"/>
        <v>0</v>
      </c>
      <c r="BC100" s="130">
        <f t="shared" si="67"/>
        <v>0</v>
      </c>
      <c r="BD100" s="130">
        <f t="shared" si="67"/>
        <v>0</v>
      </c>
      <c r="BE100" s="130">
        <f t="shared" si="67"/>
        <v>0</v>
      </c>
      <c r="BF100" s="130" t="e">
        <f>+IF($H100=#REF!,$C100,0)-IF($I100=#REF!,$C100,0)</f>
        <v>#REF!</v>
      </c>
      <c r="BG100" s="130" t="e">
        <f>+IF($H100=#REF!,$C100,0)-IF($I100=#REF!,$C100,0)</f>
        <v>#REF!</v>
      </c>
      <c r="BH100" s="130" t="e">
        <f>+IF($H100=#REF!,$C100,0)-IF($I100=#REF!,$C100,0)</f>
        <v>#REF!</v>
      </c>
      <c r="BI100" s="130">
        <f t="shared" si="72"/>
        <v>0</v>
      </c>
      <c r="BJ100" s="130">
        <f t="shared" si="72"/>
        <v>0</v>
      </c>
      <c r="BK100" s="130">
        <f t="shared" si="72"/>
        <v>0</v>
      </c>
      <c r="BL100" s="130">
        <f t="shared" si="72"/>
        <v>0</v>
      </c>
      <c r="BM100" s="130">
        <f t="shared" si="72"/>
        <v>0</v>
      </c>
      <c r="BN100" s="130">
        <f t="shared" si="72"/>
        <v>0</v>
      </c>
      <c r="BO100" s="130">
        <f t="shared" si="72"/>
        <v>0</v>
      </c>
      <c r="BP100" s="130">
        <f t="shared" si="72"/>
        <v>0</v>
      </c>
      <c r="BQ100" s="130">
        <f t="shared" si="72"/>
        <v>0</v>
      </c>
      <c r="BR100" s="130" t="e">
        <f t="shared" si="57"/>
        <v>#REF!</v>
      </c>
    </row>
    <row r="101" spans="2:70" s="119" customFormat="1" x14ac:dyDescent="0.2">
      <c r="B101" s="128"/>
      <c r="C101" s="129"/>
      <c r="D101" s="129"/>
      <c r="E101" s="129" t="e">
        <f>ROUND(IF(D101=#REF!,0,IF($H101=$S$6,(C101/1.14975*0.05*0.5),C101/1.14975*0.05)),2)</f>
        <v>#REF!</v>
      </c>
      <c r="F101" s="129" t="e">
        <f>ROUND(IF(D101=#REF!,0,IF($H101=$S$6,C101/1.14975*0.09975*0.5,C101/1.14975*0.09975)),2)</f>
        <v>#REF!</v>
      </c>
      <c r="G101" s="129" t="e">
        <f t="shared" si="51"/>
        <v>#REF!</v>
      </c>
      <c r="J101" s="130">
        <f t="shared" si="52"/>
        <v>0</v>
      </c>
      <c r="K101" s="130">
        <f t="shared" si="69"/>
        <v>0</v>
      </c>
      <c r="L101" s="130">
        <f t="shared" si="69"/>
        <v>0</v>
      </c>
      <c r="M101" s="130">
        <f t="shared" si="69"/>
        <v>0</v>
      </c>
      <c r="N101" s="130">
        <f t="shared" si="69"/>
        <v>0</v>
      </c>
      <c r="O101" s="130">
        <f t="shared" si="69"/>
        <v>0</v>
      </c>
      <c r="P101" s="130">
        <f t="shared" si="69"/>
        <v>0</v>
      </c>
      <c r="Q101" s="130">
        <f t="shared" si="69"/>
        <v>0</v>
      </c>
      <c r="R101" s="130">
        <f t="shared" si="69"/>
        <v>0</v>
      </c>
      <c r="S101" s="130">
        <f t="shared" si="69"/>
        <v>0</v>
      </c>
      <c r="T101" s="130">
        <f t="shared" si="69"/>
        <v>0</v>
      </c>
      <c r="U101" s="130">
        <f t="shared" si="70"/>
        <v>0</v>
      </c>
      <c r="V101" s="130">
        <f t="shared" si="70"/>
        <v>0</v>
      </c>
      <c r="W101" s="130">
        <f t="shared" si="70"/>
        <v>0</v>
      </c>
      <c r="X101" s="130">
        <f t="shared" si="70"/>
        <v>0</v>
      </c>
      <c r="Y101" s="130">
        <f t="shared" si="70"/>
        <v>0</v>
      </c>
      <c r="Z101" s="130">
        <f t="shared" si="70"/>
        <v>0</v>
      </c>
      <c r="AA101" s="130">
        <f t="shared" si="70"/>
        <v>0</v>
      </c>
      <c r="AB101" s="130">
        <f t="shared" si="70"/>
        <v>0</v>
      </c>
      <c r="AC101" s="130">
        <f t="shared" si="70"/>
        <v>0</v>
      </c>
      <c r="AD101" s="130">
        <f t="shared" si="70"/>
        <v>0</v>
      </c>
      <c r="AE101" s="130">
        <f t="shared" si="70"/>
        <v>0</v>
      </c>
      <c r="AF101" s="130">
        <f t="shared" si="70"/>
        <v>0</v>
      </c>
      <c r="AG101" s="130">
        <f t="shared" si="70"/>
        <v>0</v>
      </c>
      <c r="AH101" s="130">
        <f t="shared" si="65"/>
        <v>0</v>
      </c>
      <c r="AI101" s="130">
        <f t="shared" si="65"/>
        <v>0</v>
      </c>
      <c r="AJ101" s="130">
        <f t="shared" si="65"/>
        <v>0</v>
      </c>
      <c r="AK101" s="130">
        <f t="shared" si="53"/>
        <v>0</v>
      </c>
      <c r="AL101" s="130">
        <f t="shared" si="54"/>
        <v>0</v>
      </c>
      <c r="AM101" s="130">
        <f t="shared" si="55"/>
        <v>0</v>
      </c>
      <c r="AN101" s="130">
        <f t="shared" si="56"/>
        <v>0</v>
      </c>
      <c r="AO101" s="130">
        <f t="shared" si="71"/>
        <v>0</v>
      </c>
      <c r="AP101" s="130">
        <f t="shared" si="71"/>
        <v>0</v>
      </c>
      <c r="AQ101" s="130">
        <f t="shared" si="71"/>
        <v>0</v>
      </c>
      <c r="AR101" s="130">
        <f t="shared" si="71"/>
        <v>0</v>
      </c>
      <c r="AS101" s="130">
        <f t="shared" si="71"/>
        <v>0</v>
      </c>
      <c r="AT101" s="130">
        <f t="shared" si="71"/>
        <v>0</v>
      </c>
      <c r="AU101" s="130">
        <f t="shared" si="71"/>
        <v>0</v>
      </c>
      <c r="AV101" s="130">
        <f t="shared" si="71"/>
        <v>0</v>
      </c>
      <c r="AW101" s="130">
        <f t="shared" si="71"/>
        <v>0</v>
      </c>
      <c r="AX101" s="130">
        <f t="shared" si="71"/>
        <v>0</v>
      </c>
      <c r="AY101" s="130">
        <f t="shared" si="71"/>
        <v>0</v>
      </c>
      <c r="AZ101" s="130">
        <f t="shared" si="71"/>
        <v>0</v>
      </c>
      <c r="BA101" s="130">
        <f t="shared" si="71"/>
        <v>0</v>
      </c>
      <c r="BB101" s="130">
        <f t="shared" si="67"/>
        <v>0</v>
      </c>
      <c r="BC101" s="130">
        <f t="shared" si="67"/>
        <v>0</v>
      </c>
      <c r="BD101" s="130">
        <f t="shared" si="67"/>
        <v>0</v>
      </c>
      <c r="BE101" s="130">
        <f t="shared" si="67"/>
        <v>0</v>
      </c>
      <c r="BF101" s="130" t="e">
        <f>+IF($H101=#REF!,$C101,0)-IF($I101=#REF!,$C101,0)</f>
        <v>#REF!</v>
      </c>
      <c r="BG101" s="130" t="e">
        <f>+IF($H101=#REF!,$C101,0)-IF($I101=#REF!,$C101,0)</f>
        <v>#REF!</v>
      </c>
      <c r="BH101" s="130" t="e">
        <f>+IF($H101=#REF!,$C101,0)-IF($I101=#REF!,$C101,0)</f>
        <v>#REF!</v>
      </c>
      <c r="BI101" s="130">
        <f t="shared" si="72"/>
        <v>0</v>
      </c>
      <c r="BJ101" s="130">
        <f t="shared" si="72"/>
        <v>0</v>
      </c>
      <c r="BK101" s="130">
        <f t="shared" si="72"/>
        <v>0</v>
      </c>
      <c r="BL101" s="130">
        <f t="shared" si="72"/>
        <v>0</v>
      </c>
      <c r="BM101" s="130">
        <f t="shared" si="72"/>
        <v>0</v>
      </c>
      <c r="BN101" s="130">
        <f t="shared" si="72"/>
        <v>0</v>
      </c>
      <c r="BO101" s="130">
        <f t="shared" si="72"/>
        <v>0</v>
      </c>
      <c r="BP101" s="130">
        <f t="shared" si="72"/>
        <v>0</v>
      </c>
      <c r="BQ101" s="130">
        <f t="shared" si="72"/>
        <v>0</v>
      </c>
      <c r="BR101" s="130" t="e">
        <f t="shared" si="57"/>
        <v>#REF!</v>
      </c>
    </row>
    <row r="102" spans="2:70" s="119" customFormat="1" x14ac:dyDescent="0.2">
      <c r="B102" s="128"/>
      <c r="C102" s="129"/>
      <c r="D102" s="129"/>
      <c r="E102" s="129" t="e">
        <f>ROUND(IF(D102=#REF!,0,IF($H102=$S$6,(C102/1.14975*0.05*0.5),C102/1.14975*0.05)),2)</f>
        <v>#REF!</v>
      </c>
      <c r="F102" s="129" t="e">
        <f>ROUND(IF(D102=#REF!,0,IF($H102=$S$6,C102/1.14975*0.09975*0.5,C102/1.14975*0.09975)),2)</f>
        <v>#REF!</v>
      </c>
      <c r="G102" s="129" t="e">
        <f t="shared" si="51"/>
        <v>#REF!</v>
      </c>
      <c r="J102" s="130">
        <f t="shared" si="52"/>
        <v>0</v>
      </c>
      <c r="K102" s="130">
        <f t="shared" si="69"/>
        <v>0</v>
      </c>
      <c r="L102" s="130">
        <f t="shared" si="69"/>
        <v>0</v>
      </c>
      <c r="M102" s="130">
        <f t="shared" si="69"/>
        <v>0</v>
      </c>
      <c r="N102" s="130">
        <f t="shared" si="69"/>
        <v>0</v>
      </c>
      <c r="O102" s="130">
        <f t="shared" si="69"/>
        <v>0</v>
      </c>
      <c r="P102" s="130">
        <f t="shared" si="69"/>
        <v>0</v>
      </c>
      <c r="Q102" s="130">
        <f t="shared" si="69"/>
        <v>0</v>
      </c>
      <c r="R102" s="130">
        <f t="shared" si="69"/>
        <v>0</v>
      </c>
      <c r="S102" s="130">
        <f t="shared" si="69"/>
        <v>0</v>
      </c>
      <c r="T102" s="130">
        <f t="shared" si="69"/>
        <v>0</v>
      </c>
      <c r="U102" s="130">
        <f t="shared" si="70"/>
        <v>0</v>
      </c>
      <c r="V102" s="130">
        <f t="shared" si="70"/>
        <v>0</v>
      </c>
      <c r="W102" s="130">
        <f t="shared" si="70"/>
        <v>0</v>
      </c>
      <c r="X102" s="130">
        <f t="shared" si="70"/>
        <v>0</v>
      </c>
      <c r="Y102" s="130">
        <f t="shared" si="70"/>
        <v>0</v>
      </c>
      <c r="Z102" s="130">
        <f t="shared" si="70"/>
        <v>0</v>
      </c>
      <c r="AA102" s="130">
        <f t="shared" si="70"/>
        <v>0</v>
      </c>
      <c r="AB102" s="130">
        <f t="shared" si="70"/>
        <v>0</v>
      </c>
      <c r="AC102" s="130">
        <f t="shared" si="70"/>
        <v>0</v>
      </c>
      <c r="AD102" s="130">
        <f t="shared" si="70"/>
        <v>0</v>
      </c>
      <c r="AE102" s="130">
        <f t="shared" si="70"/>
        <v>0</v>
      </c>
      <c r="AF102" s="130">
        <f t="shared" si="70"/>
        <v>0</v>
      </c>
      <c r="AG102" s="130">
        <f t="shared" si="70"/>
        <v>0</v>
      </c>
      <c r="AH102" s="130">
        <f t="shared" si="65"/>
        <v>0</v>
      </c>
      <c r="AI102" s="130">
        <f t="shared" si="65"/>
        <v>0</v>
      </c>
      <c r="AJ102" s="130">
        <f t="shared" si="65"/>
        <v>0</v>
      </c>
      <c r="AK102" s="130">
        <f t="shared" si="53"/>
        <v>0</v>
      </c>
      <c r="AL102" s="130">
        <f t="shared" si="54"/>
        <v>0</v>
      </c>
      <c r="AM102" s="130">
        <f t="shared" si="55"/>
        <v>0</v>
      </c>
      <c r="AN102" s="130">
        <f t="shared" si="56"/>
        <v>0</v>
      </c>
      <c r="AO102" s="130">
        <f t="shared" si="71"/>
        <v>0</v>
      </c>
      <c r="AP102" s="130">
        <f t="shared" si="71"/>
        <v>0</v>
      </c>
      <c r="AQ102" s="130">
        <f t="shared" si="71"/>
        <v>0</v>
      </c>
      <c r="AR102" s="130">
        <f t="shared" si="71"/>
        <v>0</v>
      </c>
      <c r="AS102" s="130">
        <f t="shared" si="71"/>
        <v>0</v>
      </c>
      <c r="AT102" s="130">
        <f t="shared" si="71"/>
        <v>0</v>
      </c>
      <c r="AU102" s="130">
        <f t="shared" si="71"/>
        <v>0</v>
      </c>
      <c r="AV102" s="130">
        <f t="shared" si="71"/>
        <v>0</v>
      </c>
      <c r="AW102" s="130">
        <f t="shared" si="71"/>
        <v>0</v>
      </c>
      <c r="AX102" s="130">
        <f t="shared" si="71"/>
        <v>0</v>
      </c>
      <c r="AY102" s="130">
        <f t="shared" si="71"/>
        <v>0</v>
      </c>
      <c r="AZ102" s="130">
        <f t="shared" si="71"/>
        <v>0</v>
      </c>
      <c r="BA102" s="130">
        <f t="shared" si="71"/>
        <v>0</v>
      </c>
      <c r="BB102" s="130">
        <f t="shared" si="67"/>
        <v>0</v>
      </c>
      <c r="BC102" s="130">
        <f t="shared" si="67"/>
        <v>0</v>
      </c>
      <c r="BD102" s="130">
        <f t="shared" si="67"/>
        <v>0</v>
      </c>
      <c r="BE102" s="130">
        <f t="shared" si="67"/>
        <v>0</v>
      </c>
      <c r="BF102" s="130" t="e">
        <f>+IF($H102=#REF!,$C102,0)-IF($I102=#REF!,$C102,0)</f>
        <v>#REF!</v>
      </c>
      <c r="BG102" s="130" t="e">
        <f>+IF($H102=#REF!,$C102,0)-IF($I102=#REF!,$C102,0)</f>
        <v>#REF!</v>
      </c>
      <c r="BH102" s="130" t="e">
        <f>+IF($H102=#REF!,$C102,0)-IF($I102=#REF!,$C102,0)</f>
        <v>#REF!</v>
      </c>
      <c r="BI102" s="130">
        <f t="shared" si="72"/>
        <v>0</v>
      </c>
      <c r="BJ102" s="130">
        <f t="shared" si="72"/>
        <v>0</v>
      </c>
      <c r="BK102" s="130">
        <f t="shared" si="72"/>
        <v>0</v>
      </c>
      <c r="BL102" s="130">
        <f t="shared" si="72"/>
        <v>0</v>
      </c>
      <c r="BM102" s="130">
        <f t="shared" si="72"/>
        <v>0</v>
      </c>
      <c r="BN102" s="130">
        <f t="shared" si="72"/>
        <v>0</v>
      </c>
      <c r="BO102" s="130">
        <f t="shared" si="72"/>
        <v>0</v>
      </c>
      <c r="BP102" s="130">
        <f t="shared" si="72"/>
        <v>0</v>
      </c>
      <c r="BQ102" s="130">
        <f t="shared" si="72"/>
        <v>0</v>
      </c>
      <c r="BR102" s="130" t="e">
        <f t="shared" si="57"/>
        <v>#REF!</v>
      </c>
    </row>
    <row r="103" spans="2:70" s="119" customFormat="1" x14ac:dyDescent="0.2">
      <c r="B103" s="128"/>
      <c r="C103" s="129"/>
      <c r="D103" s="129"/>
      <c r="E103" s="129" t="e">
        <f>ROUND(IF(D103=#REF!,0,IF($H103=$S$6,(C103/1.14975*0.05*0.5),C103/1.14975*0.05)),2)</f>
        <v>#REF!</v>
      </c>
      <c r="F103" s="129" t="e">
        <f>ROUND(IF(D103=#REF!,0,IF($H103=$S$6,C103/1.14975*0.09975*0.5,C103/1.14975*0.09975)),2)</f>
        <v>#REF!</v>
      </c>
      <c r="G103" s="129" t="e">
        <f t="shared" si="51"/>
        <v>#REF!</v>
      </c>
      <c r="J103" s="130">
        <f t="shared" si="52"/>
        <v>0</v>
      </c>
      <c r="K103" s="130">
        <f t="shared" si="69"/>
        <v>0</v>
      </c>
      <c r="L103" s="130">
        <f t="shared" si="69"/>
        <v>0</v>
      </c>
      <c r="M103" s="130">
        <f t="shared" si="69"/>
        <v>0</v>
      </c>
      <c r="N103" s="130">
        <f t="shared" si="69"/>
        <v>0</v>
      </c>
      <c r="O103" s="130">
        <f t="shared" si="69"/>
        <v>0</v>
      </c>
      <c r="P103" s="130">
        <f t="shared" si="69"/>
        <v>0</v>
      </c>
      <c r="Q103" s="130">
        <f t="shared" si="69"/>
        <v>0</v>
      </c>
      <c r="R103" s="130">
        <f t="shared" si="69"/>
        <v>0</v>
      </c>
      <c r="S103" s="130">
        <f t="shared" si="69"/>
        <v>0</v>
      </c>
      <c r="T103" s="130">
        <f t="shared" si="69"/>
        <v>0</v>
      </c>
      <c r="U103" s="130">
        <f t="shared" si="70"/>
        <v>0</v>
      </c>
      <c r="V103" s="130">
        <f t="shared" si="70"/>
        <v>0</v>
      </c>
      <c r="W103" s="130">
        <f t="shared" si="70"/>
        <v>0</v>
      </c>
      <c r="X103" s="130">
        <f t="shared" si="70"/>
        <v>0</v>
      </c>
      <c r="Y103" s="130">
        <f t="shared" si="70"/>
        <v>0</v>
      </c>
      <c r="Z103" s="130">
        <f t="shared" si="70"/>
        <v>0</v>
      </c>
      <c r="AA103" s="130">
        <f t="shared" si="70"/>
        <v>0</v>
      </c>
      <c r="AB103" s="130">
        <f t="shared" si="70"/>
        <v>0</v>
      </c>
      <c r="AC103" s="130">
        <f t="shared" si="70"/>
        <v>0</v>
      </c>
      <c r="AD103" s="130">
        <f t="shared" si="70"/>
        <v>0</v>
      </c>
      <c r="AE103" s="130">
        <f t="shared" si="70"/>
        <v>0</v>
      </c>
      <c r="AF103" s="130">
        <f t="shared" si="70"/>
        <v>0</v>
      </c>
      <c r="AG103" s="130">
        <f t="shared" si="70"/>
        <v>0</v>
      </c>
      <c r="AH103" s="130">
        <f t="shared" si="65"/>
        <v>0</v>
      </c>
      <c r="AI103" s="130">
        <f t="shared" si="65"/>
        <v>0</v>
      </c>
      <c r="AJ103" s="130">
        <f t="shared" si="65"/>
        <v>0</v>
      </c>
      <c r="AK103" s="130">
        <f t="shared" si="53"/>
        <v>0</v>
      </c>
      <c r="AL103" s="130">
        <f t="shared" si="54"/>
        <v>0</v>
      </c>
      <c r="AM103" s="130">
        <f t="shared" si="55"/>
        <v>0</v>
      </c>
      <c r="AN103" s="130">
        <f t="shared" si="56"/>
        <v>0</v>
      </c>
      <c r="AO103" s="130">
        <f t="shared" si="71"/>
        <v>0</v>
      </c>
      <c r="AP103" s="130">
        <f t="shared" si="71"/>
        <v>0</v>
      </c>
      <c r="AQ103" s="130">
        <f t="shared" si="71"/>
        <v>0</v>
      </c>
      <c r="AR103" s="130">
        <f t="shared" si="71"/>
        <v>0</v>
      </c>
      <c r="AS103" s="130">
        <f t="shared" si="71"/>
        <v>0</v>
      </c>
      <c r="AT103" s="130">
        <f t="shared" si="71"/>
        <v>0</v>
      </c>
      <c r="AU103" s="130">
        <f t="shared" si="71"/>
        <v>0</v>
      </c>
      <c r="AV103" s="130">
        <f t="shared" si="71"/>
        <v>0</v>
      </c>
      <c r="AW103" s="130">
        <f t="shared" si="71"/>
        <v>0</v>
      </c>
      <c r="AX103" s="130">
        <f t="shared" si="71"/>
        <v>0</v>
      </c>
      <c r="AY103" s="130">
        <f t="shared" si="71"/>
        <v>0</v>
      </c>
      <c r="AZ103" s="130">
        <f t="shared" si="71"/>
        <v>0</v>
      </c>
      <c r="BA103" s="130">
        <f t="shared" si="71"/>
        <v>0</v>
      </c>
      <c r="BB103" s="130">
        <f t="shared" si="67"/>
        <v>0</v>
      </c>
      <c r="BC103" s="130">
        <f t="shared" si="67"/>
        <v>0</v>
      </c>
      <c r="BD103" s="130">
        <f t="shared" si="67"/>
        <v>0</v>
      </c>
      <c r="BE103" s="130">
        <f t="shared" si="67"/>
        <v>0</v>
      </c>
      <c r="BF103" s="130" t="e">
        <f>+IF($H103=#REF!,$C103,0)-IF($I103=#REF!,$C103,0)</f>
        <v>#REF!</v>
      </c>
      <c r="BG103" s="130" t="e">
        <f>+IF($H103=#REF!,$C103,0)-IF($I103=#REF!,$C103,0)</f>
        <v>#REF!</v>
      </c>
      <c r="BH103" s="130" t="e">
        <f>+IF($H103=#REF!,$C103,0)-IF($I103=#REF!,$C103,0)</f>
        <v>#REF!</v>
      </c>
      <c r="BI103" s="130">
        <f t="shared" si="72"/>
        <v>0</v>
      </c>
      <c r="BJ103" s="130">
        <f t="shared" si="72"/>
        <v>0</v>
      </c>
      <c r="BK103" s="130">
        <f t="shared" si="72"/>
        <v>0</v>
      </c>
      <c r="BL103" s="130">
        <f t="shared" si="72"/>
        <v>0</v>
      </c>
      <c r="BM103" s="130">
        <f t="shared" si="72"/>
        <v>0</v>
      </c>
      <c r="BN103" s="130">
        <f t="shared" si="72"/>
        <v>0</v>
      </c>
      <c r="BO103" s="130">
        <f t="shared" si="72"/>
        <v>0</v>
      </c>
      <c r="BP103" s="130">
        <f t="shared" si="72"/>
        <v>0</v>
      </c>
      <c r="BQ103" s="130">
        <f t="shared" si="72"/>
        <v>0</v>
      </c>
      <c r="BR103" s="130" t="e">
        <f t="shared" si="57"/>
        <v>#REF!</v>
      </c>
    </row>
    <row r="104" spans="2:70" s="119" customFormat="1" x14ac:dyDescent="0.2">
      <c r="B104" s="128"/>
      <c r="C104" s="129"/>
      <c r="D104" s="129"/>
      <c r="E104" s="129" t="e">
        <f>ROUND(IF(D104=#REF!,0,IF($H104=$S$6,(C104/1.14975*0.05*0.5),C104/1.14975*0.05)),2)</f>
        <v>#REF!</v>
      </c>
      <c r="F104" s="129" t="e">
        <f>ROUND(IF(D104=#REF!,0,IF($H104=$S$6,C104/1.14975*0.09975*0.5,C104/1.14975*0.09975)),2)</f>
        <v>#REF!</v>
      </c>
      <c r="G104" s="129" t="e">
        <f t="shared" si="51"/>
        <v>#REF!</v>
      </c>
      <c r="J104" s="130">
        <f t="shared" si="52"/>
        <v>0</v>
      </c>
      <c r="K104" s="130">
        <f t="shared" si="69"/>
        <v>0</v>
      </c>
      <c r="L104" s="130">
        <f t="shared" si="69"/>
        <v>0</v>
      </c>
      <c r="M104" s="130">
        <f t="shared" si="69"/>
        <v>0</v>
      </c>
      <c r="N104" s="130">
        <f t="shared" si="69"/>
        <v>0</v>
      </c>
      <c r="O104" s="130">
        <f t="shared" si="69"/>
        <v>0</v>
      </c>
      <c r="P104" s="130">
        <f t="shared" si="69"/>
        <v>0</v>
      </c>
      <c r="Q104" s="130">
        <f t="shared" si="69"/>
        <v>0</v>
      </c>
      <c r="R104" s="130">
        <f t="shared" si="69"/>
        <v>0</v>
      </c>
      <c r="S104" s="130">
        <f t="shared" si="69"/>
        <v>0</v>
      </c>
      <c r="T104" s="130">
        <f t="shared" si="69"/>
        <v>0</v>
      </c>
      <c r="U104" s="130">
        <f t="shared" si="70"/>
        <v>0</v>
      </c>
      <c r="V104" s="130">
        <f t="shared" si="70"/>
        <v>0</v>
      </c>
      <c r="W104" s="130">
        <f t="shared" si="70"/>
        <v>0</v>
      </c>
      <c r="X104" s="130">
        <f t="shared" si="70"/>
        <v>0</v>
      </c>
      <c r="Y104" s="130">
        <f t="shared" si="70"/>
        <v>0</v>
      </c>
      <c r="Z104" s="130">
        <f t="shared" si="70"/>
        <v>0</v>
      </c>
      <c r="AA104" s="130">
        <f t="shared" si="70"/>
        <v>0</v>
      </c>
      <c r="AB104" s="130">
        <f t="shared" si="70"/>
        <v>0</v>
      </c>
      <c r="AC104" s="130">
        <f t="shared" si="70"/>
        <v>0</v>
      </c>
      <c r="AD104" s="130">
        <f t="shared" si="70"/>
        <v>0</v>
      </c>
      <c r="AE104" s="130">
        <f t="shared" si="70"/>
        <v>0</v>
      </c>
      <c r="AF104" s="130">
        <f t="shared" si="70"/>
        <v>0</v>
      </c>
      <c r="AG104" s="130">
        <f t="shared" si="70"/>
        <v>0</v>
      </c>
      <c r="AH104" s="130">
        <f t="shared" si="65"/>
        <v>0</v>
      </c>
      <c r="AI104" s="130">
        <f t="shared" si="65"/>
        <v>0</v>
      </c>
      <c r="AJ104" s="130">
        <f t="shared" si="65"/>
        <v>0</v>
      </c>
      <c r="AK104" s="130">
        <f t="shared" si="53"/>
        <v>0</v>
      </c>
      <c r="AL104" s="130">
        <f t="shared" si="54"/>
        <v>0</v>
      </c>
      <c r="AM104" s="130">
        <f t="shared" si="55"/>
        <v>0</v>
      </c>
      <c r="AN104" s="130">
        <f t="shared" si="56"/>
        <v>0</v>
      </c>
      <c r="AO104" s="130">
        <f t="shared" si="71"/>
        <v>0</v>
      </c>
      <c r="AP104" s="130">
        <f t="shared" si="71"/>
        <v>0</v>
      </c>
      <c r="AQ104" s="130">
        <f t="shared" si="71"/>
        <v>0</v>
      </c>
      <c r="AR104" s="130">
        <f t="shared" si="71"/>
        <v>0</v>
      </c>
      <c r="AS104" s="130">
        <f t="shared" si="71"/>
        <v>0</v>
      </c>
      <c r="AT104" s="130">
        <f t="shared" si="71"/>
        <v>0</v>
      </c>
      <c r="AU104" s="130">
        <f t="shared" si="71"/>
        <v>0</v>
      </c>
      <c r="AV104" s="130">
        <f t="shared" si="71"/>
        <v>0</v>
      </c>
      <c r="AW104" s="130">
        <f t="shared" si="71"/>
        <v>0</v>
      </c>
      <c r="AX104" s="130">
        <f t="shared" si="71"/>
        <v>0</v>
      </c>
      <c r="AY104" s="130">
        <f t="shared" si="71"/>
        <v>0</v>
      </c>
      <c r="AZ104" s="130">
        <f t="shared" si="71"/>
        <v>0</v>
      </c>
      <c r="BA104" s="130">
        <f t="shared" si="71"/>
        <v>0</v>
      </c>
      <c r="BB104" s="130">
        <f t="shared" si="67"/>
        <v>0</v>
      </c>
      <c r="BC104" s="130">
        <f t="shared" si="67"/>
        <v>0</v>
      </c>
      <c r="BD104" s="130">
        <f t="shared" si="67"/>
        <v>0</v>
      </c>
      <c r="BE104" s="130">
        <f t="shared" si="67"/>
        <v>0</v>
      </c>
      <c r="BF104" s="130" t="e">
        <f>+IF($H104=#REF!,$C104,0)-IF($I104=#REF!,$C104,0)</f>
        <v>#REF!</v>
      </c>
      <c r="BG104" s="130" t="e">
        <f>+IF($H104=#REF!,$C104,0)-IF($I104=#REF!,$C104,0)</f>
        <v>#REF!</v>
      </c>
      <c r="BH104" s="130" t="e">
        <f>+IF($H104=#REF!,$C104,0)-IF($I104=#REF!,$C104,0)</f>
        <v>#REF!</v>
      </c>
      <c r="BI104" s="130">
        <f t="shared" si="72"/>
        <v>0</v>
      </c>
      <c r="BJ104" s="130">
        <f t="shared" si="72"/>
        <v>0</v>
      </c>
      <c r="BK104" s="130">
        <f t="shared" si="72"/>
        <v>0</v>
      </c>
      <c r="BL104" s="130">
        <f t="shared" si="72"/>
        <v>0</v>
      </c>
      <c r="BM104" s="130">
        <f t="shared" si="72"/>
        <v>0</v>
      </c>
      <c r="BN104" s="130">
        <f t="shared" si="72"/>
        <v>0</v>
      </c>
      <c r="BO104" s="130">
        <f t="shared" si="72"/>
        <v>0</v>
      </c>
      <c r="BP104" s="130">
        <f t="shared" si="72"/>
        <v>0</v>
      </c>
      <c r="BQ104" s="130">
        <f t="shared" si="72"/>
        <v>0</v>
      </c>
      <c r="BR104" s="130" t="e">
        <f t="shared" si="57"/>
        <v>#REF!</v>
      </c>
    </row>
    <row r="105" spans="2:70" s="119" customFormat="1" x14ac:dyDescent="0.2">
      <c r="B105" s="128"/>
      <c r="C105" s="129"/>
      <c r="D105" s="129"/>
      <c r="E105" s="129" t="e">
        <f>ROUND(IF(D105=#REF!,0,IF($H105=$S$6,(C105/1.14975*0.05*0.5),C105/1.14975*0.05)),2)</f>
        <v>#REF!</v>
      </c>
      <c r="F105" s="129" t="e">
        <f>ROUND(IF(D105=#REF!,0,IF($H105=$S$6,C105/1.14975*0.09975*0.5,C105/1.14975*0.09975)),2)</f>
        <v>#REF!</v>
      </c>
      <c r="G105" s="129" t="e">
        <f t="shared" ref="G105:G136" si="73">C105-E105-F105</f>
        <v>#REF!</v>
      </c>
      <c r="J105" s="130">
        <f t="shared" ref="J105:J136" si="74">+IF($H105=$J$6,$G105,0)-IF($I105=$J$6,$G105,0)</f>
        <v>0</v>
      </c>
      <c r="K105" s="130">
        <f t="shared" si="69"/>
        <v>0</v>
      </c>
      <c r="L105" s="130">
        <f t="shared" si="69"/>
        <v>0</v>
      </c>
      <c r="M105" s="130">
        <f t="shared" si="69"/>
        <v>0</v>
      </c>
      <c r="N105" s="130">
        <f t="shared" si="69"/>
        <v>0</v>
      </c>
      <c r="O105" s="130">
        <f t="shared" si="69"/>
        <v>0</v>
      </c>
      <c r="P105" s="130">
        <f t="shared" si="69"/>
        <v>0</v>
      </c>
      <c r="Q105" s="130">
        <f t="shared" si="69"/>
        <v>0</v>
      </c>
      <c r="R105" s="130">
        <f t="shared" si="69"/>
        <v>0</v>
      </c>
      <c r="S105" s="130">
        <f t="shared" si="69"/>
        <v>0</v>
      </c>
      <c r="T105" s="130">
        <f t="shared" si="69"/>
        <v>0</v>
      </c>
      <c r="U105" s="130">
        <f t="shared" si="70"/>
        <v>0</v>
      </c>
      <c r="V105" s="130">
        <f t="shared" si="70"/>
        <v>0</v>
      </c>
      <c r="W105" s="130">
        <f t="shared" si="70"/>
        <v>0</v>
      </c>
      <c r="X105" s="130">
        <f t="shared" si="70"/>
        <v>0</v>
      </c>
      <c r="Y105" s="130">
        <f t="shared" si="70"/>
        <v>0</v>
      </c>
      <c r="Z105" s="130">
        <f t="shared" si="70"/>
        <v>0</v>
      </c>
      <c r="AA105" s="130">
        <f t="shared" si="70"/>
        <v>0</v>
      </c>
      <c r="AB105" s="130">
        <f t="shared" si="70"/>
        <v>0</v>
      </c>
      <c r="AC105" s="130">
        <f t="shared" si="70"/>
        <v>0</v>
      </c>
      <c r="AD105" s="130">
        <f t="shared" si="70"/>
        <v>0</v>
      </c>
      <c r="AE105" s="130">
        <f t="shared" si="70"/>
        <v>0</v>
      </c>
      <c r="AF105" s="130">
        <f t="shared" si="70"/>
        <v>0</v>
      </c>
      <c r="AG105" s="130">
        <f t="shared" si="70"/>
        <v>0</v>
      </c>
      <c r="AH105" s="130">
        <f t="shared" si="65"/>
        <v>0</v>
      </c>
      <c r="AI105" s="130">
        <f t="shared" si="65"/>
        <v>0</v>
      </c>
      <c r="AJ105" s="130">
        <f t="shared" si="65"/>
        <v>0</v>
      </c>
      <c r="AK105" s="130">
        <f t="shared" ref="AK105:AK136" si="75">IF(D105="payée",$E105,0)</f>
        <v>0</v>
      </c>
      <c r="AL105" s="130">
        <f t="shared" ref="AL105:AL136" si="76">IF(D105="payée",$F105,0)</f>
        <v>0</v>
      </c>
      <c r="AM105" s="130">
        <f t="shared" ref="AM105:AM136" si="77">IF(D105="perçue",-$E105,0)</f>
        <v>0</v>
      </c>
      <c r="AN105" s="130">
        <f t="shared" ref="AN105:AN136" si="78">IF(D105="perçue",-$F105,0)</f>
        <v>0</v>
      </c>
      <c r="AO105" s="130">
        <f t="shared" si="71"/>
        <v>0</v>
      </c>
      <c r="AP105" s="130">
        <f t="shared" si="71"/>
        <v>0</v>
      </c>
      <c r="AQ105" s="130">
        <f t="shared" si="71"/>
        <v>0</v>
      </c>
      <c r="AR105" s="130">
        <f t="shared" si="71"/>
        <v>0</v>
      </c>
      <c r="AS105" s="130">
        <f t="shared" si="71"/>
        <v>0</v>
      </c>
      <c r="AT105" s="130">
        <f t="shared" si="71"/>
        <v>0</v>
      </c>
      <c r="AU105" s="130">
        <f t="shared" si="71"/>
        <v>0</v>
      </c>
      <c r="AV105" s="130">
        <f t="shared" si="71"/>
        <v>0</v>
      </c>
      <c r="AW105" s="130">
        <f t="shared" si="71"/>
        <v>0</v>
      </c>
      <c r="AX105" s="130">
        <f t="shared" si="71"/>
        <v>0</v>
      </c>
      <c r="AY105" s="130">
        <f t="shared" si="71"/>
        <v>0</v>
      </c>
      <c r="AZ105" s="130">
        <f t="shared" si="71"/>
        <v>0</v>
      </c>
      <c r="BA105" s="130">
        <f t="shared" si="71"/>
        <v>0</v>
      </c>
      <c r="BB105" s="130">
        <f t="shared" si="67"/>
        <v>0</v>
      </c>
      <c r="BC105" s="130">
        <f t="shared" si="67"/>
        <v>0</v>
      </c>
      <c r="BD105" s="130">
        <f t="shared" si="67"/>
        <v>0</v>
      </c>
      <c r="BE105" s="130">
        <f t="shared" si="67"/>
        <v>0</v>
      </c>
      <c r="BF105" s="130" t="e">
        <f>+IF($H105=#REF!,$C105,0)-IF($I105=#REF!,$C105,0)</f>
        <v>#REF!</v>
      </c>
      <c r="BG105" s="130" t="e">
        <f>+IF($H105=#REF!,$C105,0)-IF($I105=#REF!,$C105,0)</f>
        <v>#REF!</v>
      </c>
      <c r="BH105" s="130" t="e">
        <f>+IF($H105=#REF!,$C105,0)-IF($I105=#REF!,$C105,0)</f>
        <v>#REF!</v>
      </c>
      <c r="BI105" s="130">
        <f t="shared" si="72"/>
        <v>0</v>
      </c>
      <c r="BJ105" s="130">
        <f t="shared" si="72"/>
        <v>0</v>
      </c>
      <c r="BK105" s="130">
        <f t="shared" si="72"/>
        <v>0</v>
      </c>
      <c r="BL105" s="130">
        <f t="shared" si="72"/>
        <v>0</v>
      </c>
      <c r="BM105" s="130">
        <f t="shared" si="72"/>
        <v>0</v>
      </c>
      <c r="BN105" s="130">
        <f t="shared" si="72"/>
        <v>0</v>
      </c>
      <c r="BO105" s="130">
        <f t="shared" si="72"/>
        <v>0</v>
      </c>
      <c r="BP105" s="130">
        <f t="shared" si="72"/>
        <v>0</v>
      </c>
      <c r="BQ105" s="130">
        <f t="shared" si="72"/>
        <v>0</v>
      </c>
      <c r="BR105" s="130" t="e">
        <f t="shared" ref="BR105:BR136" si="79">SUM(J105:BQ105)</f>
        <v>#REF!</v>
      </c>
    </row>
    <row r="106" spans="2:70" s="119" customFormat="1" x14ac:dyDescent="0.2">
      <c r="B106" s="128"/>
      <c r="C106" s="129"/>
      <c r="D106" s="129"/>
      <c r="E106" s="129" t="e">
        <f>ROUND(IF(D106=#REF!,0,IF($H106=$S$6,(C106/1.14975*0.05*0.5),C106/1.14975*0.05)),2)</f>
        <v>#REF!</v>
      </c>
      <c r="F106" s="129" t="e">
        <f>ROUND(IF(D106=#REF!,0,IF($H106=$S$6,C106/1.14975*0.09975*0.5,C106/1.14975*0.09975)),2)</f>
        <v>#REF!</v>
      </c>
      <c r="G106" s="129" t="e">
        <f t="shared" si="73"/>
        <v>#REF!</v>
      </c>
      <c r="J106" s="130">
        <f t="shared" si="74"/>
        <v>0</v>
      </c>
      <c r="K106" s="130">
        <f t="shared" si="69"/>
        <v>0</v>
      </c>
      <c r="L106" s="130">
        <f t="shared" si="69"/>
        <v>0</v>
      </c>
      <c r="M106" s="130">
        <f t="shared" si="69"/>
        <v>0</v>
      </c>
      <c r="N106" s="130">
        <f t="shared" si="69"/>
        <v>0</v>
      </c>
      <c r="O106" s="130">
        <f t="shared" si="69"/>
        <v>0</v>
      </c>
      <c r="P106" s="130">
        <f t="shared" si="69"/>
        <v>0</v>
      </c>
      <c r="Q106" s="130">
        <f t="shared" si="69"/>
        <v>0</v>
      </c>
      <c r="R106" s="130">
        <f t="shared" si="69"/>
        <v>0</v>
      </c>
      <c r="S106" s="130">
        <f t="shared" si="69"/>
        <v>0</v>
      </c>
      <c r="T106" s="130">
        <f t="shared" si="69"/>
        <v>0</v>
      </c>
      <c r="U106" s="130">
        <f t="shared" si="70"/>
        <v>0</v>
      </c>
      <c r="V106" s="130">
        <f t="shared" si="70"/>
        <v>0</v>
      </c>
      <c r="W106" s="130">
        <f t="shared" si="70"/>
        <v>0</v>
      </c>
      <c r="X106" s="130">
        <f t="shared" si="70"/>
        <v>0</v>
      </c>
      <c r="Y106" s="130">
        <f t="shared" si="70"/>
        <v>0</v>
      </c>
      <c r="Z106" s="130">
        <f t="shared" si="70"/>
        <v>0</v>
      </c>
      <c r="AA106" s="130">
        <f t="shared" si="70"/>
        <v>0</v>
      </c>
      <c r="AB106" s="130">
        <f t="shared" si="70"/>
        <v>0</v>
      </c>
      <c r="AC106" s="130">
        <f t="shared" si="70"/>
        <v>0</v>
      </c>
      <c r="AD106" s="130">
        <f t="shared" si="70"/>
        <v>0</v>
      </c>
      <c r="AE106" s="130">
        <f t="shared" si="70"/>
        <v>0</v>
      </c>
      <c r="AF106" s="130">
        <f t="shared" si="70"/>
        <v>0</v>
      </c>
      <c r="AG106" s="130">
        <f t="shared" si="70"/>
        <v>0</v>
      </c>
      <c r="AH106" s="130">
        <f t="shared" si="65"/>
        <v>0</v>
      </c>
      <c r="AI106" s="130">
        <f t="shared" si="65"/>
        <v>0</v>
      </c>
      <c r="AJ106" s="130">
        <f t="shared" si="65"/>
        <v>0</v>
      </c>
      <c r="AK106" s="130">
        <f t="shared" si="75"/>
        <v>0</v>
      </c>
      <c r="AL106" s="130">
        <f t="shared" si="76"/>
        <v>0</v>
      </c>
      <c r="AM106" s="130">
        <f t="shared" si="77"/>
        <v>0</v>
      </c>
      <c r="AN106" s="130">
        <f t="shared" si="78"/>
        <v>0</v>
      </c>
      <c r="AO106" s="130">
        <f t="shared" si="71"/>
        <v>0</v>
      </c>
      <c r="AP106" s="130">
        <f t="shared" si="71"/>
        <v>0</v>
      </c>
      <c r="AQ106" s="130">
        <f t="shared" si="71"/>
        <v>0</v>
      </c>
      <c r="AR106" s="130">
        <f t="shared" si="71"/>
        <v>0</v>
      </c>
      <c r="AS106" s="130">
        <f t="shared" si="71"/>
        <v>0</v>
      </c>
      <c r="AT106" s="130">
        <f t="shared" si="71"/>
        <v>0</v>
      </c>
      <c r="AU106" s="130">
        <f t="shared" si="71"/>
        <v>0</v>
      </c>
      <c r="AV106" s="130">
        <f t="shared" si="71"/>
        <v>0</v>
      </c>
      <c r="AW106" s="130">
        <f t="shared" si="71"/>
        <v>0</v>
      </c>
      <c r="AX106" s="130">
        <f t="shared" si="71"/>
        <v>0</v>
      </c>
      <c r="AY106" s="130">
        <f t="shared" si="71"/>
        <v>0</v>
      </c>
      <c r="AZ106" s="130">
        <f t="shared" si="71"/>
        <v>0</v>
      </c>
      <c r="BA106" s="130">
        <f t="shared" si="71"/>
        <v>0</v>
      </c>
      <c r="BB106" s="130">
        <f t="shared" si="67"/>
        <v>0</v>
      </c>
      <c r="BC106" s="130">
        <f t="shared" si="67"/>
        <v>0</v>
      </c>
      <c r="BD106" s="130">
        <f t="shared" si="67"/>
        <v>0</v>
      </c>
      <c r="BE106" s="130">
        <f t="shared" si="67"/>
        <v>0</v>
      </c>
      <c r="BF106" s="130" t="e">
        <f>+IF($H106=#REF!,$C106,0)-IF($I106=#REF!,$C106,0)</f>
        <v>#REF!</v>
      </c>
      <c r="BG106" s="130" t="e">
        <f>+IF($H106=#REF!,$C106,0)-IF($I106=#REF!,$C106,0)</f>
        <v>#REF!</v>
      </c>
      <c r="BH106" s="130" t="e">
        <f>+IF($H106=#REF!,$C106,0)-IF($I106=#REF!,$C106,0)</f>
        <v>#REF!</v>
      </c>
      <c r="BI106" s="130">
        <f t="shared" si="72"/>
        <v>0</v>
      </c>
      <c r="BJ106" s="130">
        <f t="shared" si="72"/>
        <v>0</v>
      </c>
      <c r="BK106" s="130">
        <f t="shared" si="72"/>
        <v>0</v>
      </c>
      <c r="BL106" s="130">
        <f t="shared" si="72"/>
        <v>0</v>
      </c>
      <c r="BM106" s="130">
        <f t="shared" si="72"/>
        <v>0</v>
      </c>
      <c r="BN106" s="130">
        <f t="shared" si="72"/>
        <v>0</v>
      </c>
      <c r="BO106" s="130">
        <f t="shared" si="72"/>
        <v>0</v>
      </c>
      <c r="BP106" s="130">
        <f t="shared" si="72"/>
        <v>0</v>
      </c>
      <c r="BQ106" s="130">
        <f t="shared" si="72"/>
        <v>0</v>
      </c>
      <c r="BR106" s="130" t="e">
        <f t="shared" si="79"/>
        <v>#REF!</v>
      </c>
    </row>
    <row r="107" spans="2:70" s="119" customFormat="1" x14ac:dyDescent="0.2">
      <c r="B107" s="128"/>
      <c r="C107" s="129"/>
      <c r="D107" s="129"/>
      <c r="E107" s="129" t="e">
        <f>ROUND(IF(D107=#REF!,0,IF($H107=$S$6,(C107/1.14975*0.05*0.5),C107/1.14975*0.05)),2)</f>
        <v>#REF!</v>
      </c>
      <c r="F107" s="129" t="e">
        <f>ROUND(IF(D107=#REF!,0,IF($H107=$S$6,C107/1.14975*0.09975*0.5,C107/1.14975*0.09975)),2)</f>
        <v>#REF!</v>
      </c>
      <c r="G107" s="129" t="e">
        <f t="shared" si="73"/>
        <v>#REF!</v>
      </c>
      <c r="J107" s="130">
        <f t="shared" si="74"/>
        <v>0</v>
      </c>
      <c r="K107" s="130">
        <f t="shared" si="69"/>
        <v>0</v>
      </c>
      <c r="L107" s="130">
        <f t="shared" si="69"/>
        <v>0</v>
      </c>
      <c r="M107" s="130">
        <f t="shared" si="69"/>
        <v>0</v>
      </c>
      <c r="N107" s="130">
        <f t="shared" si="69"/>
        <v>0</v>
      </c>
      <c r="O107" s="130">
        <f t="shared" si="69"/>
        <v>0</v>
      </c>
      <c r="P107" s="130">
        <f t="shared" si="69"/>
        <v>0</v>
      </c>
      <c r="Q107" s="130">
        <f t="shared" si="69"/>
        <v>0</v>
      </c>
      <c r="R107" s="130">
        <f t="shared" si="69"/>
        <v>0</v>
      </c>
      <c r="S107" s="130">
        <f t="shared" si="69"/>
        <v>0</v>
      </c>
      <c r="T107" s="130">
        <f t="shared" si="69"/>
        <v>0</v>
      </c>
      <c r="U107" s="130">
        <f t="shared" si="70"/>
        <v>0</v>
      </c>
      <c r="V107" s="130">
        <f t="shared" si="70"/>
        <v>0</v>
      </c>
      <c r="W107" s="130">
        <f t="shared" si="70"/>
        <v>0</v>
      </c>
      <c r="X107" s="130">
        <f t="shared" si="70"/>
        <v>0</v>
      </c>
      <c r="Y107" s="130">
        <f t="shared" si="70"/>
        <v>0</v>
      </c>
      <c r="Z107" s="130">
        <f t="shared" si="70"/>
        <v>0</v>
      </c>
      <c r="AA107" s="130">
        <f t="shared" si="70"/>
        <v>0</v>
      </c>
      <c r="AB107" s="130">
        <f t="shared" si="70"/>
        <v>0</v>
      </c>
      <c r="AC107" s="130">
        <f t="shared" si="70"/>
        <v>0</v>
      </c>
      <c r="AD107" s="130">
        <f t="shared" si="70"/>
        <v>0</v>
      </c>
      <c r="AE107" s="130">
        <f t="shared" si="70"/>
        <v>0</v>
      </c>
      <c r="AF107" s="130">
        <f t="shared" si="70"/>
        <v>0</v>
      </c>
      <c r="AG107" s="130">
        <f t="shared" si="70"/>
        <v>0</v>
      </c>
      <c r="AH107" s="130">
        <f t="shared" si="65"/>
        <v>0</v>
      </c>
      <c r="AI107" s="130">
        <f t="shared" si="65"/>
        <v>0</v>
      </c>
      <c r="AJ107" s="130">
        <f t="shared" si="65"/>
        <v>0</v>
      </c>
      <c r="AK107" s="130">
        <f t="shared" si="75"/>
        <v>0</v>
      </c>
      <c r="AL107" s="130">
        <f t="shared" si="76"/>
        <v>0</v>
      </c>
      <c r="AM107" s="130">
        <f t="shared" si="77"/>
        <v>0</v>
      </c>
      <c r="AN107" s="130">
        <f t="shared" si="78"/>
        <v>0</v>
      </c>
      <c r="AO107" s="130">
        <f t="shared" si="71"/>
        <v>0</v>
      </c>
      <c r="AP107" s="130">
        <f t="shared" si="71"/>
        <v>0</v>
      </c>
      <c r="AQ107" s="130">
        <f t="shared" si="71"/>
        <v>0</v>
      </c>
      <c r="AR107" s="130">
        <f t="shared" si="71"/>
        <v>0</v>
      </c>
      <c r="AS107" s="130">
        <f t="shared" si="71"/>
        <v>0</v>
      </c>
      <c r="AT107" s="130">
        <f t="shared" si="71"/>
        <v>0</v>
      </c>
      <c r="AU107" s="130">
        <f t="shared" si="71"/>
        <v>0</v>
      </c>
      <c r="AV107" s="130">
        <f t="shared" si="71"/>
        <v>0</v>
      </c>
      <c r="AW107" s="130">
        <f t="shared" si="71"/>
        <v>0</v>
      </c>
      <c r="AX107" s="130">
        <f t="shared" si="71"/>
        <v>0</v>
      </c>
      <c r="AY107" s="130">
        <f t="shared" si="71"/>
        <v>0</v>
      </c>
      <c r="AZ107" s="130">
        <f t="shared" si="71"/>
        <v>0</v>
      </c>
      <c r="BA107" s="130">
        <f t="shared" si="71"/>
        <v>0</v>
      </c>
      <c r="BB107" s="130">
        <f t="shared" si="67"/>
        <v>0</v>
      </c>
      <c r="BC107" s="130">
        <f t="shared" si="67"/>
        <v>0</v>
      </c>
      <c r="BD107" s="130">
        <f t="shared" si="67"/>
        <v>0</v>
      </c>
      <c r="BE107" s="130">
        <f t="shared" si="67"/>
        <v>0</v>
      </c>
      <c r="BF107" s="130" t="e">
        <f>+IF($H107=#REF!,$C107,0)-IF($I107=#REF!,$C107,0)</f>
        <v>#REF!</v>
      </c>
      <c r="BG107" s="130" t="e">
        <f>+IF($H107=#REF!,$C107,0)-IF($I107=#REF!,$C107,0)</f>
        <v>#REF!</v>
      </c>
      <c r="BH107" s="130" t="e">
        <f>+IF($H107=#REF!,$C107,0)-IF($I107=#REF!,$C107,0)</f>
        <v>#REF!</v>
      </c>
      <c r="BI107" s="130">
        <f t="shared" si="72"/>
        <v>0</v>
      </c>
      <c r="BJ107" s="130">
        <f t="shared" si="72"/>
        <v>0</v>
      </c>
      <c r="BK107" s="130">
        <f t="shared" si="72"/>
        <v>0</v>
      </c>
      <c r="BL107" s="130">
        <f t="shared" si="72"/>
        <v>0</v>
      </c>
      <c r="BM107" s="130">
        <f t="shared" si="72"/>
        <v>0</v>
      </c>
      <c r="BN107" s="130">
        <f t="shared" si="72"/>
        <v>0</v>
      </c>
      <c r="BO107" s="130">
        <f t="shared" si="72"/>
        <v>0</v>
      </c>
      <c r="BP107" s="130">
        <f t="shared" si="72"/>
        <v>0</v>
      </c>
      <c r="BQ107" s="130">
        <f t="shared" si="72"/>
        <v>0</v>
      </c>
      <c r="BR107" s="130" t="e">
        <f t="shared" si="79"/>
        <v>#REF!</v>
      </c>
    </row>
    <row r="108" spans="2:70" s="119" customFormat="1" x14ac:dyDescent="0.2">
      <c r="B108" s="128"/>
      <c r="C108" s="129"/>
      <c r="D108" s="129"/>
      <c r="E108" s="129" t="e">
        <f>ROUND(IF(D108=#REF!,0,IF($H108=$S$6,(C108/1.14975*0.05*0.5),C108/1.14975*0.05)),2)</f>
        <v>#REF!</v>
      </c>
      <c r="F108" s="129" t="e">
        <f>ROUND(IF(D108=#REF!,0,IF($H108=$S$6,C108/1.14975*0.09975*0.5,C108/1.14975*0.09975)),2)</f>
        <v>#REF!</v>
      </c>
      <c r="G108" s="129" t="e">
        <f t="shared" si="73"/>
        <v>#REF!</v>
      </c>
      <c r="J108" s="130">
        <f t="shared" si="74"/>
        <v>0</v>
      </c>
      <c r="K108" s="130">
        <f t="shared" si="69"/>
        <v>0</v>
      </c>
      <c r="L108" s="130">
        <f t="shared" si="69"/>
        <v>0</v>
      </c>
      <c r="M108" s="130">
        <f t="shared" si="69"/>
        <v>0</v>
      </c>
      <c r="N108" s="130">
        <f t="shared" si="69"/>
        <v>0</v>
      </c>
      <c r="O108" s="130">
        <f t="shared" si="69"/>
        <v>0</v>
      </c>
      <c r="P108" s="130">
        <f t="shared" si="69"/>
        <v>0</v>
      </c>
      <c r="Q108" s="130">
        <f t="shared" si="69"/>
        <v>0</v>
      </c>
      <c r="R108" s="130">
        <f t="shared" si="69"/>
        <v>0</v>
      </c>
      <c r="S108" s="130">
        <f t="shared" si="69"/>
        <v>0</v>
      </c>
      <c r="T108" s="130">
        <f t="shared" si="69"/>
        <v>0</v>
      </c>
      <c r="U108" s="130">
        <f t="shared" si="70"/>
        <v>0</v>
      </c>
      <c r="V108" s="130">
        <f t="shared" si="70"/>
        <v>0</v>
      </c>
      <c r="W108" s="130">
        <f t="shared" si="70"/>
        <v>0</v>
      </c>
      <c r="X108" s="130">
        <f t="shared" si="70"/>
        <v>0</v>
      </c>
      <c r="Y108" s="130">
        <f t="shared" si="70"/>
        <v>0</v>
      </c>
      <c r="Z108" s="130">
        <f t="shared" si="70"/>
        <v>0</v>
      </c>
      <c r="AA108" s="130">
        <f t="shared" si="70"/>
        <v>0</v>
      </c>
      <c r="AB108" s="130">
        <f t="shared" si="70"/>
        <v>0</v>
      </c>
      <c r="AC108" s="130">
        <f t="shared" si="70"/>
        <v>0</v>
      </c>
      <c r="AD108" s="130">
        <f t="shared" si="70"/>
        <v>0</v>
      </c>
      <c r="AE108" s="130">
        <f t="shared" si="70"/>
        <v>0</v>
      </c>
      <c r="AF108" s="130">
        <f t="shared" si="70"/>
        <v>0</v>
      </c>
      <c r="AG108" s="130">
        <f t="shared" si="70"/>
        <v>0</v>
      </c>
      <c r="AH108" s="130">
        <f t="shared" si="65"/>
        <v>0</v>
      </c>
      <c r="AI108" s="130">
        <f t="shared" si="65"/>
        <v>0</v>
      </c>
      <c r="AJ108" s="130">
        <f t="shared" si="65"/>
        <v>0</v>
      </c>
      <c r="AK108" s="130">
        <f t="shared" si="75"/>
        <v>0</v>
      </c>
      <c r="AL108" s="130">
        <f t="shared" si="76"/>
        <v>0</v>
      </c>
      <c r="AM108" s="130">
        <f t="shared" si="77"/>
        <v>0</v>
      </c>
      <c r="AN108" s="130">
        <f t="shared" si="78"/>
        <v>0</v>
      </c>
      <c r="AO108" s="130">
        <f t="shared" si="71"/>
        <v>0</v>
      </c>
      <c r="AP108" s="130">
        <f t="shared" si="71"/>
        <v>0</v>
      </c>
      <c r="AQ108" s="130">
        <f t="shared" si="71"/>
        <v>0</v>
      </c>
      <c r="AR108" s="130">
        <f t="shared" si="71"/>
        <v>0</v>
      </c>
      <c r="AS108" s="130">
        <f t="shared" si="71"/>
        <v>0</v>
      </c>
      <c r="AT108" s="130">
        <f t="shared" si="71"/>
        <v>0</v>
      </c>
      <c r="AU108" s="130">
        <f t="shared" si="71"/>
        <v>0</v>
      </c>
      <c r="AV108" s="130">
        <f t="shared" si="71"/>
        <v>0</v>
      </c>
      <c r="AW108" s="130">
        <f t="shared" si="71"/>
        <v>0</v>
      </c>
      <c r="AX108" s="130">
        <f t="shared" si="71"/>
        <v>0</v>
      </c>
      <c r="AY108" s="130">
        <f t="shared" si="71"/>
        <v>0</v>
      </c>
      <c r="AZ108" s="130">
        <f t="shared" si="71"/>
        <v>0</v>
      </c>
      <c r="BA108" s="130">
        <f t="shared" si="71"/>
        <v>0</v>
      </c>
      <c r="BB108" s="130">
        <f t="shared" si="67"/>
        <v>0</v>
      </c>
      <c r="BC108" s="130">
        <f t="shared" si="67"/>
        <v>0</v>
      </c>
      <c r="BD108" s="130">
        <f t="shared" si="67"/>
        <v>0</v>
      </c>
      <c r="BE108" s="130">
        <f t="shared" si="67"/>
        <v>0</v>
      </c>
      <c r="BF108" s="130" t="e">
        <f>+IF($H108=#REF!,$C108,0)-IF($I108=#REF!,$C108,0)</f>
        <v>#REF!</v>
      </c>
      <c r="BG108" s="130" t="e">
        <f>+IF($H108=#REF!,$C108,0)-IF($I108=#REF!,$C108,0)</f>
        <v>#REF!</v>
      </c>
      <c r="BH108" s="130" t="e">
        <f>+IF($H108=#REF!,$C108,0)-IF($I108=#REF!,$C108,0)</f>
        <v>#REF!</v>
      </c>
      <c r="BI108" s="130">
        <f t="shared" si="72"/>
        <v>0</v>
      </c>
      <c r="BJ108" s="130">
        <f t="shared" si="72"/>
        <v>0</v>
      </c>
      <c r="BK108" s="130">
        <f t="shared" si="72"/>
        <v>0</v>
      </c>
      <c r="BL108" s="130">
        <f t="shared" si="72"/>
        <v>0</v>
      </c>
      <c r="BM108" s="130">
        <f t="shared" si="72"/>
        <v>0</v>
      </c>
      <c r="BN108" s="130">
        <f t="shared" si="72"/>
        <v>0</v>
      </c>
      <c r="BO108" s="130">
        <f t="shared" si="72"/>
        <v>0</v>
      </c>
      <c r="BP108" s="130">
        <f t="shared" si="72"/>
        <v>0</v>
      </c>
      <c r="BQ108" s="130">
        <f t="shared" si="72"/>
        <v>0</v>
      </c>
      <c r="BR108" s="130" t="e">
        <f t="shared" si="79"/>
        <v>#REF!</v>
      </c>
    </row>
    <row r="109" spans="2:70" s="119" customFormat="1" x14ac:dyDescent="0.2">
      <c r="B109" s="128"/>
      <c r="C109" s="129"/>
      <c r="D109" s="129"/>
      <c r="E109" s="129" t="e">
        <f>ROUND(IF(D109=#REF!,0,IF($H109=$S$6,(C109/1.14975*0.05*0.5),C109/1.14975*0.05)),2)</f>
        <v>#REF!</v>
      </c>
      <c r="F109" s="129" t="e">
        <f>ROUND(IF(D109=#REF!,0,IF($H109=$S$6,C109/1.14975*0.09975*0.5,C109/1.14975*0.09975)),2)</f>
        <v>#REF!</v>
      </c>
      <c r="G109" s="129" t="e">
        <f t="shared" si="73"/>
        <v>#REF!</v>
      </c>
      <c r="J109" s="130">
        <f t="shared" si="74"/>
        <v>0</v>
      </c>
      <c r="K109" s="130">
        <f t="shared" ref="K109:T118" si="80">+IF($H109=K$6,$G109,0)-IF($I109=K$6,$G109,0)</f>
        <v>0</v>
      </c>
      <c r="L109" s="130">
        <f t="shared" si="80"/>
        <v>0</v>
      </c>
      <c r="M109" s="130">
        <f t="shared" si="80"/>
        <v>0</v>
      </c>
      <c r="N109" s="130">
        <f t="shared" si="80"/>
        <v>0</v>
      </c>
      <c r="O109" s="130">
        <f t="shared" si="80"/>
        <v>0</v>
      </c>
      <c r="P109" s="130">
        <f t="shared" si="80"/>
        <v>0</v>
      </c>
      <c r="Q109" s="130">
        <f t="shared" si="80"/>
        <v>0</v>
      </c>
      <c r="R109" s="130">
        <f t="shared" si="80"/>
        <v>0</v>
      </c>
      <c r="S109" s="130">
        <f t="shared" si="80"/>
        <v>0</v>
      </c>
      <c r="T109" s="130">
        <f t="shared" si="80"/>
        <v>0</v>
      </c>
      <c r="U109" s="130">
        <f t="shared" ref="U109:AG118" si="81">+IF($H109=U$6,$G109,0)-IF($I109=U$6,$G109,0)</f>
        <v>0</v>
      </c>
      <c r="V109" s="130">
        <f t="shared" si="81"/>
        <v>0</v>
      </c>
      <c r="W109" s="130">
        <f t="shared" si="81"/>
        <v>0</v>
      </c>
      <c r="X109" s="130">
        <f t="shared" si="81"/>
        <v>0</v>
      </c>
      <c r="Y109" s="130">
        <f t="shared" si="81"/>
        <v>0</v>
      </c>
      <c r="Z109" s="130">
        <f t="shared" si="81"/>
        <v>0</v>
      </c>
      <c r="AA109" s="130">
        <f t="shared" si="81"/>
        <v>0</v>
      </c>
      <c r="AB109" s="130">
        <f t="shared" si="81"/>
        <v>0</v>
      </c>
      <c r="AC109" s="130">
        <f t="shared" si="81"/>
        <v>0</v>
      </c>
      <c r="AD109" s="130">
        <f t="shared" si="81"/>
        <v>0</v>
      </c>
      <c r="AE109" s="130">
        <f t="shared" si="81"/>
        <v>0</v>
      </c>
      <c r="AF109" s="130">
        <f t="shared" si="81"/>
        <v>0</v>
      </c>
      <c r="AG109" s="130">
        <f t="shared" si="81"/>
        <v>0</v>
      </c>
      <c r="AH109" s="130">
        <f t="shared" ref="AH109:AJ128" si="82">+IF($H109=AH$6,$C109,0)-IF($I109=AH$6,$C109,0)</f>
        <v>0</v>
      </c>
      <c r="AI109" s="130">
        <f t="shared" si="82"/>
        <v>0</v>
      </c>
      <c r="AJ109" s="130">
        <f t="shared" si="82"/>
        <v>0</v>
      </c>
      <c r="AK109" s="130">
        <f t="shared" si="75"/>
        <v>0</v>
      </c>
      <c r="AL109" s="130">
        <f t="shared" si="76"/>
        <v>0</v>
      </c>
      <c r="AM109" s="130">
        <f t="shared" si="77"/>
        <v>0</v>
      </c>
      <c r="AN109" s="130">
        <f t="shared" si="78"/>
        <v>0</v>
      </c>
      <c r="AO109" s="130">
        <f t="shared" ref="AO109:BA118" si="83">+IF($H109=AO$6,$G109,0)-IF($I109=AO$6,$G109,0)</f>
        <v>0</v>
      </c>
      <c r="AP109" s="130">
        <f t="shared" si="83"/>
        <v>0</v>
      </c>
      <c r="AQ109" s="130">
        <f t="shared" si="83"/>
        <v>0</v>
      </c>
      <c r="AR109" s="130">
        <f t="shared" si="83"/>
        <v>0</v>
      </c>
      <c r="AS109" s="130">
        <f t="shared" si="83"/>
        <v>0</v>
      </c>
      <c r="AT109" s="130">
        <f t="shared" si="83"/>
        <v>0</v>
      </c>
      <c r="AU109" s="130">
        <f t="shared" si="83"/>
        <v>0</v>
      </c>
      <c r="AV109" s="130">
        <f t="shared" si="83"/>
        <v>0</v>
      </c>
      <c r="AW109" s="130">
        <f t="shared" si="83"/>
        <v>0</v>
      </c>
      <c r="AX109" s="130">
        <f t="shared" si="83"/>
        <v>0</v>
      </c>
      <c r="AY109" s="130">
        <f t="shared" si="83"/>
        <v>0</v>
      </c>
      <c r="AZ109" s="130">
        <f t="shared" si="83"/>
        <v>0</v>
      </c>
      <c r="BA109" s="130">
        <f t="shared" si="83"/>
        <v>0</v>
      </c>
      <c r="BB109" s="130">
        <f t="shared" ref="BB109:BE128" si="84">+IF($H109=BB$6,$C109,0)-IF($I109=BB$6,$C109,0)</f>
        <v>0</v>
      </c>
      <c r="BC109" s="130">
        <f t="shared" si="84"/>
        <v>0</v>
      </c>
      <c r="BD109" s="130">
        <f t="shared" si="84"/>
        <v>0</v>
      </c>
      <c r="BE109" s="130">
        <f t="shared" si="84"/>
        <v>0</v>
      </c>
      <c r="BF109" s="130" t="e">
        <f>+IF($H109=#REF!,$C109,0)-IF($I109=#REF!,$C109,0)</f>
        <v>#REF!</v>
      </c>
      <c r="BG109" s="130" t="e">
        <f>+IF($H109=#REF!,$C109,0)-IF($I109=#REF!,$C109,0)</f>
        <v>#REF!</v>
      </c>
      <c r="BH109" s="130" t="e">
        <f>+IF($H109=#REF!,$C109,0)-IF($I109=#REF!,$C109,0)</f>
        <v>#REF!</v>
      </c>
      <c r="BI109" s="130">
        <f t="shared" ref="BI109:BQ118" si="85">+IF($H109=BI$6,$G109,0)-IF($I109=BI$6,$G109,0)</f>
        <v>0</v>
      </c>
      <c r="BJ109" s="130">
        <f t="shared" si="85"/>
        <v>0</v>
      </c>
      <c r="BK109" s="130">
        <f t="shared" si="85"/>
        <v>0</v>
      </c>
      <c r="BL109" s="130">
        <f t="shared" si="85"/>
        <v>0</v>
      </c>
      <c r="BM109" s="130">
        <f t="shared" si="85"/>
        <v>0</v>
      </c>
      <c r="BN109" s="130">
        <f t="shared" si="85"/>
        <v>0</v>
      </c>
      <c r="BO109" s="130">
        <f t="shared" si="85"/>
        <v>0</v>
      </c>
      <c r="BP109" s="130">
        <f t="shared" si="85"/>
        <v>0</v>
      </c>
      <c r="BQ109" s="130">
        <f t="shared" si="85"/>
        <v>0</v>
      </c>
      <c r="BR109" s="130" t="e">
        <f t="shared" si="79"/>
        <v>#REF!</v>
      </c>
    </row>
    <row r="110" spans="2:70" s="119" customFormat="1" x14ac:dyDescent="0.2">
      <c r="B110" s="128"/>
      <c r="C110" s="129"/>
      <c r="D110" s="129"/>
      <c r="E110" s="129" t="e">
        <f>ROUND(IF(D110=#REF!,0,IF($H110=$S$6,(C110/1.14975*0.05*0.5),C110/1.14975*0.05)),2)</f>
        <v>#REF!</v>
      </c>
      <c r="F110" s="129" t="e">
        <f>ROUND(IF(D110=#REF!,0,IF($H110=$S$6,C110/1.14975*0.09975*0.5,C110/1.14975*0.09975)),2)</f>
        <v>#REF!</v>
      </c>
      <c r="G110" s="129" t="e">
        <f t="shared" si="73"/>
        <v>#REF!</v>
      </c>
      <c r="J110" s="130">
        <f t="shared" si="74"/>
        <v>0</v>
      </c>
      <c r="K110" s="130">
        <f t="shared" si="80"/>
        <v>0</v>
      </c>
      <c r="L110" s="130">
        <f t="shared" si="80"/>
        <v>0</v>
      </c>
      <c r="M110" s="130">
        <f t="shared" si="80"/>
        <v>0</v>
      </c>
      <c r="N110" s="130">
        <f t="shared" si="80"/>
        <v>0</v>
      </c>
      <c r="O110" s="130">
        <f t="shared" si="80"/>
        <v>0</v>
      </c>
      <c r="P110" s="130">
        <f t="shared" si="80"/>
        <v>0</v>
      </c>
      <c r="Q110" s="130">
        <f t="shared" si="80"/>
        <v>0</v>
      </c>
      <c r="R110" s="130">
        <f t="shared" si="80"/>
        <v>0</v>
      </c>
      <c r="S110" s="130">
        <f t="shared" si="80"/>
        <v>0</v>
      </c>
      <c r="T110" s="130">
        <f t="shared" si="80"/>
        <v>0</v>
      </c>
      <c r="U110" s="130">
        <f t="shared" si="81"/>
        <v>0</v>
      </c>
      <c r="V110" s="130">
        <f t="shared" si="81"/>
        <v>0</v>
      </c>
      <c r="W110" s="130">
        <f t="shared" si="81"/>
        <v>0</v>
      </c>
      <c r="X110" s="130">
        <f t="shared" si="81"/>
        <v>0</v>
      </c>
      <c r="Y110" s="130">
        <f t="shared" si="81"/>
        <v>0</v>
      </c>
      <c r="Z110" s="130">
        <f t="shared" si="81"/>
        <v>0</v>
      </c>
      <c r="AA110" s="130">
        <f t="shared" si="81"/>
        <v>0</v>
      </c>
      <c r="AB110" s="130">
        <f t="shared" si="81"/>
        <v>0</v>
      </c>
      <c r="AC110" s="130">
        <f t="shared" si="81"/>
        <v>0</v>
      </c>
      <c r="AD110" s="130">
        <f t="shared" si="81"/>
        <v>0</v>
      </c>
      <c r="AE110" s="130">
        <f t="shared" si="81"/>
        <v>0</v>
      </c>
      <c r="AF110" s="130">
        <f t="shared" si="81"/>
        <v>0</v>
      </c>
      <c r="AG110" s="130">
        <f t="shared" si="81"/>
        <v>0</v>
      </c>
      <c r="AH110" s="130">
        <f t="shared" si="82"/>
        <v>0</v>
      </c>
      <c r="AI110" s="130">
        <f t="shared" si="82"/>
        <v>0</v>
      </c>
      <c r="AJ110" s="130">
        <f t="shared" si="82"/>
        <v>0</v>
      </c>
      <c r="AK110" s="130">
        <f t="shared" si="75"/>
        <v>0</v>
      </c>
      <c r="AL110" s="130">
        <f t="shared" si="76"/>
        <v>0</v>
      </c>
      <c r="AM110" s="130">
        <f t="shared" si="77"/>
        <v>0</v>
      </c>
      <c r="AN110" s="130">
        <f t="shared" si="78"/>
        <v>0</v>
      </c>
      <c r="AO110" s="130">
        <f t="shared" si="83"/>
        <v>0</v>
      </c>
      <c r="AP110" s="130">
        <f t="shared" si="83"/>
        <v>0</v>
      </c>
      <c r="AQ110" s="130">
        <f t="shared" si="83"/>
        <v>0</v>
      </c>
      <c r="AR110" s="130">
        <f t="shared" si="83"/>
        <v>0</v>
      </c>
      <c r="AS110" s="130">
        <f t="shared" si="83"/>
        <v>0</v>
      </c>
      <c r="AT110" s="130">
        <f t="shared" si="83"/>
        <v>0</v>
      </c>
      <c r="AU110" s="130">
        <f t="shared" si="83"/>
        <v>0</v>
      </c>
      <c r="AV110" s="130">
        <f t="shared" si="83"/>
        <v>0</v>
      </c>
      <c r="AW110" s="130">
        <f t="shared" si="83"/>
        <v>0</v>
      </c>
      <c r="AX110" s="130">
        <f t="shared" si="83"/>
        <v>0</v>
      </c>
      <c r="AY110" s="130">
        <f t="shared" si="83"/>
        <v>0</v>
      </c>
      <c r="AZ110" s="130">
        <f t="shared" si="83"/>
        <v>0</v>
      </c>
      <c r="BA110" s="130">
        <f t="shared" si="83"/>
        <v>0</v>
      </c>
      <c r="BB110" s="130">
        <f t="shared" si="84"/>
        <v>0</v>
      </c>
      <c r="BC110" s="130">
        <f t="shared" si="84"/>
        <v>0</v>
      </c>
      <c r="BD110" s="130">
        <f t="shared" si="84"/>
        <v>0</v>
      </c>
      <c r="BE110" s="130">
        <f t="shared" si="84"/>
        <v>0</v>
      </c>
      <c r="BF110" s="130">
        <f>+IF($H110=BF$6,$C110,0)-IF($I110=BF$6,$C110,0)</f>
        <v>0</v>
      </c>
      <c r="BG110" s="130">
        <f>+IF($H110=BG$6,$C110,0)-IF($I110=BG$6,$C110,0)</f>
        <v>0</v>
      </c>
      <c r="BH110" s="130">
        <f>+IF($H110=BH$6,$C110,0)-IF($I110=BH$6,$C110,0)</f>
        <v>0</v>
      </c>
      <c r="BI110" s="130">
        <f t="shared" si="85"/>
        <v>0</v>
      </c>
      <c r="BJ110" s="130">
        <f t="shared" si="85"/>
        <v>0</v>
      </c>
      <c r="BK110" s="130">
        <f t="shared" si="85"/>
        <v>0</v>
      </c>
      <c r="BL110" s="130">
        <f t="shared" si="85"/>
        <v>0</v>
      </c>
      <c r="BM110" s="130">
        <f t="shared" si="85"/>
        <v>0</v>
      </c>
      <c r="BN110" s="130">
        <f t="shared" si="85"/>
        <v>0</v>
      </c>
      <c r="BO110" s="130">
        <f t="shared" si="85"/>
        <v>0</v>
      </c>
      <c r="BP110" s="130">
        <f t="shared" si="85"/>
        <v>0</v>
      </c>
      <c r="BQ110" s="130">
        <f t="shared" si="85"/>
        <v>0</v>
      </c>
      <c r="BR110" s="130">
        <f t="shared" si="79"/>
        <v>0</v>
      </c>
    </row>
    <row r="111" spans="2:70" s="119" customFormat="1" x14ac:dyDescent="0.2">
      <c r="B111" s="128"/>
      <c r="C111" s="129"/>
      <c r="D111" s="129"/>
      <c r="E111" s="129" t="e">
        <f>ROUND(IF(D111=#REF!,0,IF($H111=$S$6,(C111/1.14975*0.05*0.5),C111/1.14975*0.05)),2)</f>
        <v>#REF!</v>
      </c>
      <c r="F111" s="129" t="e">
        <f>ROUND(IF(D111=#REF!,0,IF($H111=$S$6,C111/1.14975*0.09975*0.5,C111/1.14975*0.09975)),2)</f>
        <v>#REF!</v>
      </c>
      <c r="G111" s="129" t="e">
        <f t="shared" si="73"/>
        <v>#REF!</v>
      </c>
      <c r="J111" s="130">
        <f t="shared" si="74"/>
        <v>0</v>
      </c>
      <c r="K111" s="130">
        <f t="shared" si="80"/>
        <v>0</v>
      </c>
      <c r="L111" s="130">
        <f t="shared" si="80"/>
        <v>0</v>
      </c>
      <c r="M111" s="130">
        <f t="shared" si="80"/>
        <v>0</v>
      </c>
      <c r="N111" s="130">
        <f t="shared" si="80"/>
        <v>0</v>
      </c>
      <c r="O111" s="130">
        <f t="shared" si="80"/>
        <v>0</v>
      </c>
      <c r="P111" s="130">
        <f t="shared" si="80"/>
        <v>0</v>
      </c>
      <c r="Q111" s="130">
        <f t="shared" si="80"/>
        <v>0</v>
      </c>
      <c r="R111" s="130">
        <f t="shared" si="80"/>
        <v>0</v>
      </c>
      <c r="S111" s="130">
        <f t="shared" si="80"/>
        <v>0</v>
      </c>
      <c r="T111" s="130">
        <f t="shared" si="80"/>
        <v>0</v>
      </c>
      <c r="U111" s="130">
        <f t="shared" si="81"/>
        <v>0</v>
      </c>
      <c r="V111" s="130">
        <f t="shared" si="81"/>
        <v>0</v>
      </c>
      <c r="W111" s="130">
        <f t="shared" si="81"/>
        <v>0</v>
      </c>
      <c r="X111" s="130">
        <f t="shared" si="81"/>
        <v>0</v>
      </c>
      <c r="Y111" s="130">
        <f t="shared" si="81"/>
        <v>0</v>
      </c>
      <c r="Z111" s="130">
        <f t="shared" si="81"/>
        <v>0</v>
      </c>
      <c r="AA111" s="130">
        <f t="shared" si="81"/>
        <v>0</v>
      </c>
      <c r="AB111" s="130">
        <f t="shared" si="81"/>
        <v>0</v>
      </c>
      <c r="AC111" s="130">
        <f t="shared" si="81"/>
        <v>0</v>
      </c>
      <c r="AD111" s="130">
        <f t="shared" si="81"/>
        <v>0</v>
      </c>
      <c r="AE111" s="130">
        <f t="shared" si="81"/>
        <v>0</v>
      </c>
      <c r="AF111" s="130">
        <f t="shared" si="81"/>
        <v>0</v>
      </c>
      <c r="AG111" s="130">
        <f t="shared" si="81"/>
        <v>0</v>
      </c>
      <c r="AH111" s="130">
        <f t="shared" si="82"/>
        <v>0</v>
      </c>
      <c r="AI111" s="130">
        <f t="shared" si="82"/>
        <v>0</v>
      </c>
      <c r="AJ111" s="130">
        <f t="shared" si="82"/>
        <v>0</v>
      </c>
      <c r="AK111" s="130">
        <f t="shared" si="75"/>
        <v>0</v>
      </c>
      <c r="AL111" s="130">
        <f t="shared" si="76"/>
        <v>0</v>
      </c>
      <c r="AM111" s="130">
        <f t="shared" si="77"/>
        <v>0</v>
      </c>
      <c r="AN111" s="130">
        <f t="shared" si="78"/>
        <v>0</v>
      </c>
      <c r="AO111" s="130">
        <f t="shared" si="83"/>
        <v>0</v>
      </c>
      <c r="AP111" s="130">
        <f t="shared" si="83"/>
        <v>0</v>
      </c>
      <c r="AQ111" s="130">
        <f t="shared" si="83"/>
        <v>0</v>
      </c>
      <c r="AR111" s="130">
        <f t="shared" si="83"/>
        <v>0</v>
      </c>
      <c r="AS111" s="130">
        <f t="shared" si="83"/>
        <v>0</v>
      </c>
      <c r="AT111" s="130">
        <f t="shared" si="83"/>
        <v>0</v>
      </c>
      <c r="AU111" s="130">
        <f t="shared" si="83"/>
        <v>0</v>
      </c>
      <c r="AV111" s="130">
        <f t="shared" si="83"/>
        <v>0</v>
      </c>
      <c r="AW111" s="130">
        <f t="shared" si="83"/>
        <v>0</v>
      </c>
      <c r="AX111" s="130">
        <f t="shared" si="83"/>
        <v>0</v>
      </c>
      <c r="AY111" s="130">
        <f t="shared" si="83"/>
        <v>0</v>
      </c>
      <c r="AZ111" s="130">
        <f t="shared" si="83"/>
        <v>0</v>
      </c>
      <c r="BA111" s="130">
        <f t="shared" si="83"/>
        <v>0</v>
      </c>
      <c r="BB111" s="130">
        <f t="shared" si="84"/>
        <v>0</v>
      </c>
      <c r="BC111" s="130">
        <f t="shared" si="84"/>
        <v>0</v>
      </c>
      <c r="BD111" s="130">
        <f t="shared" si="84"/>
        <v>0</v>
      </c>
      <c r="BE111" s="130">
        <f t="shared" si="84"/>
        <v>0</v>
      </c>
      <c r="BF111" s="130" t="e">
        <f>+IF($H111=#REF!,$C111,0)-IF($I111=#REF!,$C111,0)</f>
        <v>#REF!</v>
      </c>
      <c r="BG111" s="130" t="e">
        <f>+IF($H111=#REF!,$C111,0)-IF($I111=#REF!,$C111,0)</f>
        <v>#REF!</v>
      </c>
      <c r="BH111" s="130" t="e">
        <f>+IF($H111=#REF!,$C111,0)-IF($I111=#REF!,$C111,0)</f>
        <v>#REF!</v>
      </c>
      <c r="BI111" s="130">
        <f t="shared" si="85"/>
        <v>0</v>
      </c>
      <c r="BJ111" s="130">
        <f t="shared" si="85"/>
        <v>0</v>
      </c>
      <c r="BK111" s="130">
        <f t="shared" si="85"/>
        <v>0</v>
      </c>
      <c r="BL111" s="130">
        <f t="shared" si="85"/>
        <v>0</v>
      </c>
      <c r="BM111" s="130">
        <f t="shared" si="85"/>
        <v>0</v>
      </c>
      <c r="BN111" s="130">
        <f t="shared" si="85"/>
        <v>0</v>
      </c>
      <c r="BO111" s="130">
        <f t="shared" si="85"/>
        <v>0</v>
      </c>
      <c r="BP111" s="130">
        <f t="shared" si="85"/>
        <v>0</v>
      </c>
      <c r="BQ111" s="130">
        <f t="shared" si="85"/>
        <v>0</v>
      </c>
      <c r="BR111" s="130" t="e">
        <f t="shared" si="79"/>
        <v>#REF!</v>
      </c>
    </row>
    <row r="112" spans="2:70" s="119" customFormat="1" x14ac:dyDescent="0.2">
      <c r="B112" s="128"/>
      <c r="C112" s="129"/>
      <c r="D112" s="129"/>
      <c r="E112" s="129" t="e">
        <f>ROUND(IF(D112=#REF!,0,IF($H112=$S$6,(C112/1.14975*0.05*0.5),C112/1.14975*0.05)),2)</f>
        <v>#REF!</v>
      </c>
      <c r="F112" s="129" t="e">
        <f>ROUND(IF(D112=#REF!,0,IF($H112=$S$6,C112/1.14975*0.09975*0.5,C112/1.14975*0.09975)),2)</f>
        <v>#REF!</v>
      </c>
      <c r="G112" s="129" t="e">
        <f t="shared" si="73"/>
        <v>#REF!</v>
      </c>
      <c r="J112" s="130">
        <f t="shared" si="74"/>
        <v>0</v>
      </c>
      <c r="K112" s="130">
        <f t="shared" si="80"/>
        <v>0</v>
      </c>
      <c r="L112" s="130">
        <f t="shared" si="80"/>
        <v>0</v>
      </c>
      <c r="M112" s="130">
        <f t="shared" si="80"/>
        <v>0</v>
      </c>
      <c r="N112" s="130">
        <f t="shared" si="80"/>
        <v>0</v>
      </c>
      <c r="O112" s="130">
        <f t="shared" si="80"/>
        <v>0</v>
      </c>
      <c r="P112" s="130">
        <f t="shared" si="80"/>
        <v>0</v>
      </c>
      <c r="Q112" s="130">
        <f t="shared" si="80"/>
        <v>0</v>
      </c>
      <c r="R112" s="130">
        <f t="shared" si="80"/>
        <v>0</v>
      </c>
      <c r="S112" s="130">
        <f t="shared" si="80"/>
        <v>0</v>
      </c>
      <c r="T112" s="130">
        <f t="shared" si="80"/>
        <v>0</v>
      </c>
      <c r="U112" s="130">
        <f t="shared" si="81"/>
        <v>0</v>
      </c>
      <c r="V112" s="130">
        <f t="shared" si="81"/>
        <v>0</v>
      </c>
      <c r="W112" s="130">
        <f t="shared" si="81"/>
        <v>0</v>
      </c>
      <c r="X112" s="130">
        <f t="shared" si="81"/>
        <v>0</v>
      </c>
      <c r="Y112" s="130">
        <f t="shared" si="81"/>
        <v>0</v>
      </c>
      <c r="Z112" s="130">
        <f t="shared" si="81"/>
        <v>0</v>
      </c>
      <c r="AA112" s="130">
        <f t="shared" si="81"/>
        <v>0</v>
      </c>
      <c r="AB112" s="130">
        <f t="shared" si="81"/>
        <v>0</v>
      </c>
      <c r="AC112" s="130">
        <f t="shared" si="81"/>
        <v>0</v>
      </c>
      <c r="AD112" s="130">
        <f t="shared" si="81"/>
        <v>0</v>
      </c>
      <c r="AE112" s="130">
        <f t="shared" si="81"/>
        <v>0</v>
      </c>
      <c r="AF112" s="130">
        <f t="shared" si="81"/>
        <v>0</v>
      </c>
      <c r="AG112" s="130">
        <f t="shared" si="81"/>
        <v>0</v>
      </c>
      <c r="AH112" s="130">
        <f t="shared" si="82"/>
        <v>0</v>
      </c>
      <c r="AI112" s="130">
        <f t="shared" si="82"/>
        <v>0</v>
      </c>
      <c r="AJ112" s="130">
        <f t="shared" si="82"/>
        <v>0</v>
      </c>
      <c r="AK112" s="130">
        <f t="shared" si="75"/>
        <v>0</v>
      </c>
      <c r="AL112" s="130">
        <f t="shared" si="76"/>
        <v>0</v>
      </c>
      <c r="AM112" s="130">
        <f t="shared" si="77"/>
        <v>0</v>
      </c>
      <c r="AN112" s="130">
        <f t="shared" si="78"/>
        <v>0</v>
      </c>
      <c r="AO112" s="130">
        <f t="shared" si="83"/>
        <v>0</v>
      </c>
      <c r="AP112" s="130">
        <f t="shared" si="83"/>
        <v>0</v>
      </c>
      <c r="AQ112" s="130">
        <f t="shared" si="83"/>
        <v>0</v>
      </c>
      <c r="AR112" s="130">
        <f t="shared" si="83"/>
        <v>0</v>
      </c>
      <c r="AS112" s="130">
        <f t="shared" si="83"/>
        <v>0</v>
      </c>
      <c r="AT112" s="130">
        <f t="shared" si="83"/>
        <v>0</v>
      </c>
      <c r="AU112" s="130">
        <f t="shared" si="83"/>
        <v>0</v>
      </c>
      <c r="AV112" s="130">
        <f t="shared" si="83"/>
        <v>0</v>
      </c>
      <c r="AW112" s="130">
        <f t="shared" si="83"/>
        <v>0</v>
      </c>
      <c r="AX112" s="130">
        <f t="shared" si="83"/>
        <v>0</v>
      </c>
      <c r="AY112" s="130">
        <f t="shared" si="83"/>
        <v>0</v>
      </c>
      <c r="AZ112" s="130">
        <f t="shared" si="83"/>
        <v>0</v>
      </c>
      <c r="BA112" s="130">
        <f t="shared" si="83"/>
        <v>0</v>
      </c>
      <c r="BB112" s="130">
        <f t="shared" si="84"/>
        <v>0</v>
      </c>
      <c r="BC112" s="130">
        <f t="shared" si="84"/>
        <v>0</v>
      </c>
      <c r="BD112" s="130">
        <f t="shared" si="84"/>
        <v>0</v>
      </c>
      <c r="BE112" s="130">
        <f t="shared" si="84"/>
        <v>0</v>
      </c>
      <c r="BF112" s="130" t="e">
        <f>+IF($H112=#REF!,$C112,0)-IF($I112=#REF!,$C112,0)</f>
        <v>#REF!</v>
      </c>
      <c r="BG112" s="130" t="e">
        <f>+IF($H112=#REF!,$C112,0)-IF($I112=#REF!,$C112,0)</f>
        <v>#REF!</v>
      </c>
      <c r="BH112" s="130" t="e">
        <f>+IF($H112=#REF!,$C112,0)-IF($I112=#REF!,$C112,0)</f>
        <v>#REF!</v>
      </c>
      <c r="BI112" s="130">
        <f t="shared" si="85"/>
        <v>0</v>
      </c>
      <c r="BJ112" s="130">
        <f t="shared" si="85"/>
        <v>0</v>
      </c>
      <c r="BK112" s="130">
        <f t="shared" si="85"/>
        <v>0</v>
      </c>
      <c r="BL112" s="130">
        <f t="shared" si="85"/>
        <v>0</v>
      </c>
      <c r="BM112" s="130">
        <f t="shared" si="85"/>
        <v>0</v>
      </c>
      <c r="BN112" s="130">
        <f t="shared" si="85"/>
        <v>0</v>
      </c>
      <c r="BO112" s="130">
        <f t="shared" si="85"/>
        <v>0</v>
      </c>
      <c r="BP112" s="130">
        <f t="shared" si="85"/>
        <v>0</v>
      </c>
      <c r="BQ112" s="130">
        <f t="shared" si="85"/>
        <v>0</v>
      </c>
      <c r="BR112" s="130" t="e">
        <f t="shared" si="79"/>
        <v>#REF!</v>
      </c>
    </row>
    <row r="113" spans="2:70" s="119" customFormat="1" x14ac:dyDescent="0.2">
      <c r="B113" s="128"/>
      <c r="C113" s="129"/>
      <c r="D113" s="129"/>
      <c r="E113" s="129" t="e">
        <f>ROUND(IF(D113=#REF!,0,IF($H113=$S$6,(C113/1.14975*0.05*0.5),C113/1.14975*0.05)),2)</f>
        <v>#REF!</v>
      </c>
      <c r="F113" s="129" t="e">
        <f>ROUND(IF(D113=#REF!,0,IF($H113=$S$6,C113/1.14975*0.09975*0.5,C113/1.14975*0.09975)),2)</f>
        <v>#REF!</v>
      </c>
      <c r="G113" s="129" t="e">
        <f t="shared" si="73"/>
        <v>#REF!</v>
      </c>
      <c r="J113" s="130">
        <f t="shared" si="74"/>
        <v>0</v>
      </c>
      <c r="K113" s="130">
        <f t="shared" si="80"/>
        <v>0</v>
      </c>
      <c r="L113" s="130">
        <f t="shared" si="80"/>
        <v>0</v>
      </c>
      <c r="M113" s="130">
        <f t="shared" si="80"/>
        <v>0</v>
      </c>
      <c r="N113" s="130">
        <f t="shared" si="80"/>
        <v>0</v>
      </c>
      <c r="O113" s="130">
        <f t="shared" si="80"/>
        <v>0</v>
      </c>
      <c r="P113" s="130">
        <f t="shared" si="80"/>
        <v>0</v>
      </c>
      <c r="Q113" s="130">
        <f t="shared" si="80"/>
        <v>0</v>
      </c>
      <c r="R113" s="130">
        <f t="shared" si="80"/>
        <v>0</v>
      </c>
      <c r="S113" s="130">
        <f t="shared" si="80"/>
        <v>0</v>
      </c>
      <c r="T113" s="130">
        <f t="shared" si="80"/>
        <v>0</v>
      </c>
      <c r="U113" s="130">
        <f t="shared" si="81"/>
        <v>0</v>
      </c>
      <c r="V113" s="130">
        <f t="shared" si="81"/>
        <v>0</v>
      </c>
      <c r="W113" s="130">
        <f t="shared" si="81"/>
        <v>0</v>
      </c>
      <c r="X113" s="130">
        <f t="shared" si="81"/>
        <v>0</v>
      </c>
      <c r="Y113" s="130">
        <f t="shared" si="81"/>
        <v>0</v>
      </c>
      <c r="Z113" s="130">
        <f t="shared" si="81"/>
        <v>0</v>
      </c>
      <c r="AA113" s="130">
        <f t="shared" si="81"/>
        <v>0</v>
      </c>
      <c r="AB113" s="130">
        <f t="shared" si="81"/>
        <v>0</v>
      </c>
      <c r="AC113" s="130">
        <f t="shared" si="81"/>
        <v>0</v>
      </c>
      <c r="AD113" s="130">
        <f t="shared" si="81"/>
        <v>0</v>
      </c>
      <c r="AE113" s="130">
        <f t="shared" si="81"/>
        <v>0</v>
      </c>
      <c r="AF113" s="130">
        <f t="shared" si="81"/>
        <v>0</v>
      </c>
      <c r="AG113" s="130">
        <f t="shared" si="81"/>
        <v>0</v>
      </c>
      <c r="AH113" s="130">
        <f t="shared" si="82"/>
        <v>0</v>
      </c>
      <c r="AI113" s="130">
        <f t="shared" si="82"/>
        <v>0</v>
      </c>
      <c r="AJ113" s="130">
        <f t="shared" si="82"/>
        <v>0</v>
      </c>
      <c r="AK113" s="130">
        <f t="shared" si="75"/>
        <v>0</v>
      </c>
      <c r="AL113" s="130">
        <f t="shared" si="76"/>
        <v>0</v>
      </c>
      <c r="AM113" s="130">
        <f t="shared" si="77"/>
        <v>0</v>
      </c>
      <c r="AN113" s="130">
        <f t="shared" si="78"/>
        <v>0</v>
      </c>
      <c r="AO113" s="130">
        <f t="shared" si="83"/>
        <v>0</v>
      </c>
      <c r="AP113" s="130">
        <f t="shared" si="83"/>
        <v>0</v>
      </c>
      <c r="AQ113" s="130">
        <f t="shared" si="83"/>
        <v>0</v>
      </c>
      <c r="AR113" s="130">
        <f t="shared" si="83"/>
        <v>0</v>
      </c>
      <c r="AS113" s="130">
        <f t="shared" si="83"/>
        <v>0</v>
      </c>
      <c r="AT113" s="130">
        <f t="shared" si="83"/>
        <v>0</v>
      </c>
      <c r="AU113" s="130">
        <f t="shared" si="83"/>
        <v>0</v>
      </c>
      <c r="AV113" s="130">
        <f t="shared" si="83"/>
        <v>0</v>
      </c>
      <c r="AW113" s="130">
        <f t="shared" si="83"/>
        <v>0</v>
      </c>
      <c r="AX113" s="130">
        <f t="shared" si="83"/>
        <v>0</v>
      </c>
      <c r="AY113" s="130">
        <f t="shared" si="83"/>
        <v>0</v>
      </c>
      <c r="AZ113" s="130">
        <f t="shared" si="83"/>
        <v>0</v>
      </c>
      <c r="BA113" s="130">
        <f t="shared" si="83"/>
        <v>0</v>
      </c>
      <c r="BB113" s="130">
        <f t="shared" si="84"/>
        <v>0</v>
      </c>
      <c r="BC113" s="130">
        <f t="shared" si="84"/>
        <v>0</v>
      </c>
      <c r="BD113" s="130">
        <f t="shared" si="84"/>
        <v>0</v>
      </c>
      <c r="BE113" s="130">
        <f t="shared" si="84"/>
        <v>0</v>
      </c>
      <c r="BF113" s="130" t="e">
        <f>+IF($H113=#REF!,$C113,0)-IF($I113=#REF!,$C113,0)</f>
        <v>#REF!</v>
      </c>
      <c r="BG113" s="130" t="e">
        <f>+IF($H113=#REF!,$C113,0)-IF($I113=#REF!,$C113,0)</f>
        <v>#REF!</v>
      </c>
      <c r="BH113" s="130" t="e">
        <f>+IF($H113=#REF!,$C113,0)-IF($I113=#REF!,$C113,0)</f>
        <v>#REF!</v>
      </c>
      <c r="BI113" s="130">
        <f t="shared" si="85"/>
        <v>0</v>
      </c>
      <c r="BJ113" s="130">
        <f t="shared" si="85"/>
        <v>0</v>
      </c>
      <c r="BK113" s="130">
        <f t="shared" si="85"/>
        <v>0</v>
      </c>
      <c r="BL113" s="130">
        <f t="shared" si="85"/>
        <v>0</v>
      </c>
      <c r="BM113" s="130">
        <f t="shared" si="85"/>
        <v>0</v>
      </c>
      <c r="BN113" s="130">
        <f t="shared" si="85"/>
        <v>0</v>
      </c>
      <c r="BO113" s="130">
        <f t="shared" si="85"/>
        <v>0</v>
      </c>
      <c r="BP113" s="130">
        <f t="shared" si="85"/>
        <v>0</v>
      </c>
      <c r="BQ113" s="130">
        <f t="shared" si="85"/>
        <v>0</v>
      </c>
      <c r="BR113" s="130" t="e">
        <f t="shared" si="79"/>
        <v>#REF!</v>
      </c>
    </row>
    <row r="114" spans="2:70" s="119" customFormat="1" x14ac:dyDescent="0.2">
      <c r="B114" s="128"/>
      <c r="C114" s="129"/>
      <c r="D114" s="129"/>
      <c r="E114" s="129" t="e">
        <f>ROUND(IF(D114=#REF!,0,IF($H114=$S$6,(C114/1.14975*0.05*0.5),C114/1.14975*0.05)),2)</f>
        <v>#REF!</v>
      </c>
      <c r="F114" s="129" t="e">
        <f>ROUND(IF(D114=#REF!,0,IF($H114=$S$6,C114/1.14975*0.09975*0.5,C114/1.14975*0.09975)),2)</f>
        <v>#REF!</v>
      </c>
      <c r="G114" s="129" t="e">
        <f t="shared" si="73"/>
        <v>#REF!</v>
      </c>
      <c r="J114" s="130">
        <f t="shared" si="74"/>
        <v>0</v>
      </c>
      <c r="K114" s="130">
        <f t="shared" si="80"/>
        <v>0</v>
      </c>
      <c r="L114" s="130">
        <f t="shared" si="80"/>
        <v>0</v>
      </c>
      <c r="M114" s="130">
        <f t="shared" si="80"/>
        <v>0</v>
      </c>
      <c r="N114" s="130">
        <f t="shared" si="80"/>
        <v>0</v>
      </c>
      <c r="O114" s="130">
        <f t="shared" si="80"/>
        <v>0</v>
      </c>
      <c r="P114" s="130">
        <f t="shared" si="80"/>
        <v>0</v>
      </c>
      <c r="Q114" s="130">
        <f t="shared" si="80"/>
        <v>0</v>
      </c>
      <c r="R114" s="130">
        <f t="shared" si="80"/>
        <v>0</v>
      </c>
      <c r="S114" s="130">
        <f t="shared" si="80"/>
        <v>0</v>
      </c>
      <c r="T114" s="130">
        <f t="shared" si="80"/>
        <v>0</v>
      </c>
      <c r="U114" s="130">
        <f t="shared" si="81"/>
        <v>0</v>
      </c>
      <c r="V114" s="130">
        <f t="shared" si="81"/>
        <v>0</v>
      </c>
      <c r="W114" s="130">
        <f t="shared" si="81"/>
        <v>0</v>
      </c>
      <c r="X114" s="130">
        <f t="shared" si="81"/>
        <v>0</v>
      </c>
      <c r="Y114" s="130">
        <f t="shared" si="81"/>
        <v>0</v>
      </c>
      <c r="Z114" s="130">
        <f t="shared" si="81"/>
        <v>0</v>
      </c>
      <c r="AA114" s="130">
        <f t="shared" si="81"/>
        <v>0</v>
      </c>
      <c r="AB114" s="130">
        <f t="shared" si="81"/>
        <v>0</v>
      </c>
      <c r="AC114" s="130">
        <f t="shared" si="81"/>
        <v>0</v>
      </c>
      <c r="AD114" s="130">
        <f t="shared" si="81"/>
        <v>0</v>
      </c>
      <c r="AE114" s="130">
        <f t="shared" si="81"/>
        <v>0</v>
      </c>
      <c r="AF114" s="130">
        <f t="shared" si="81"/>
        <v>0</v>
      </c>
      <c r="AG114" s="130">
        <f t="shared" si="81"/>
        <v>0</v>
      </c>
      <c r="AH114" s="130">
        <f t="shared" si="82"/>
        <v>0</v>
      </c>
      <c r="AI114" s="130">
        <f t="shared" si="82"/>
        <v>0</v>
      </c>
      <c r="AJ114" s="130">
        <f t="shared" si="82"/>
        <v>0</v>
      </c>
      <c r="AK114" s="130">
        <f t="shared" si="75"/>
        <v>0</v>
      </c>
      <c r="AL114" s="130">
        <f t="shared" si="76"/>
        <v>0</v>
      </c>
      <c r="AM114" s="130">
        <f t="shared" si="77"/>
        <v>0</v>
      </c>
      <c r="AN114" s="130">
        <f t="shared" si="78"/>
        <v>0</v>
      </c>
      <c r="AO114" s="130">
        <f t="shared" si="83"/>
        <v>0</v>
      </c>
      <c r="AP114" s="130">
        <f t="shared" si="83"/>
        <v>0</v>
      </c>
      <c r="AQ114" s="130">
        <f t="shared" si="83"/>
        <v>0</v>
      </c>
      <c r="AR114" s="130">
        <f t="shared" si="83"/>
        <v>0</v>
      </c>
      <c r="AS114" s="130">
        <f t="shared" si="83"/>
        <v>0</v>
      </c>
      <c r="AT114" s="130">
        <f t="shared" si="83"/>
        <v>0</v>
      </c>
      <c r="AU114" s="130">
        <f t="shared" si="83"/>
        <v>0</v>
      </c>
      <c r="AV114" s="130">
        <f t="shared" si="83"/>
        <v>0</v>
      </c>
      <c r="AW114" s="130">
        <f t="shared" si="83"/>
        <v>0</v>
      </c>
      <c r="AX114" s="130">
        <f t="shared" si="83"/>
        <v>0</v>
      </c>
      <c r="AY114" s="130">
        <f t="shared" si="83"/>
        <v>0</v>
      </c>
      <c r="AZ114" s="130">
        <f t="shared" si="83"/>
        <v>0</v>
      </c>
      <c r="BA114" s="130">
        <f t="shared" si="83"/>
        <v>0</v>
      </c>
      <c r="BB114" s="130">
        <f t="shared" si="84"/>
        <v>0</v>
      </c>
      <c r="BC114" s="130">
        <f t="shared" si="84"/>
        <v>0</v>
      </c>
      <c r="BD114" s="130">
        <f t="shared" si="84"/>
        <v>0</v>
      </c>
      <c r="BE114" s="130">
        <f t="shared" si="84"/>
        <v>0</v>
      </c>
      <c r="BF114" s="130" t="e">
        <f>+IF($H114=#REF!,$C114,0)-IF($I114=#REF!,$C114,0)</f>
        <v>#REF!</v>
      </c>
      <c r="BG114" s="130" t="e">
        <f>+IF($H114=#REF!,$C114,0)-IF($I114=#REF!,$C114,0)</f>
        <v>#REF!</v>
      </c>
      <c r="BH114" s="130" t="e">
        <f>+IF($H114=#REF!,$C114,0)-IF($I114=#REF!,$C114,0)</f>
        <v>#REF!</v>
      </c>
      <c r="BI114" s="130">
        <f t="shared" si="85"/>
        <v>0</v>
      </c>
      <c r="BJ114" s="130">
        <f t="shared" si="85"/>
        <v>0</v>
      </c>
      <c r="BK114" s="130">
        <f t="shared" si="85"/>
        <v>0</v>
      </c>
      <c r="BL114" s="130">
        <f t="shared" si="85"/>
        <v>0</v>
      </c>
      <c r="BM114" s="130">
        <f t="shared" si="85"/>
        <v>0</v>
      </c>
      <c r="BN114" s="130">
        <f t="shared" si="85"/>
        <v>0</v>
      </c>
      <c r="BO114" s="130">
        <f t="shared" si="85"/>
        <v>0</v>
      </c>
      <c r="BP114" s="130">
        <f t="shared" si="85"/>
        <v>0</v>
      </c>
      <c r="BQ114" s="130">
        <f t="shared" si="85"/>
        <v>0</v>
      </c>
      <c r="BR114" s="130" t="e">
        <f t="shared" si="79"/>
        <v>#REF!</v>
      </c>
    </row>
    <row r="115" spans="2:70" s="119" customFormat="1" x14ac:dyDescent="0.2">
      <c r="B115" s="128"/>
      <c r="C115" s="129"/>
      <c r="D115" s="129"/>
      <c r="E115" s="129" t="e">
        <f>ROUND(IF(D115=#REF!,0,IF($H115=$S$6,(C115/1.14975*0.05*0.5),C115/1.14975*0.05)),2)</f>
        <v>#REF!</v>
      </c>
      <c r="F115" s="129" t="e">
        <f>ROUND(IF(D115=#REF!,0,IF($H115=$S$6,C115/1.14975*0.09975*0.5,C115/1.14975*0.09975)),2)</f>
        <v>#REF!</v>
      </c>
      <c r="G115" s="129" t="e">
        <f t="shared" si="73"/>
        <v>#REF!</v>
      </c>
      <c r="J115" s="130">
        <f t="shared" si="74"/>
        <v>0</v>
      </c>
      <c r="K115" s="130">
        <f t="shared" si="80"/>
        <v>0</v>
      </c>
      <c r="L115" s="130">
        <f t="shared" si="80"/>
        <v>0</v>
      </c>
      <c r="M115" s="130">
        <f t="shared" si="80"/>
        <v>0</v>
      </c>
      <c r="N115" s="130">
        <f t="shared" si="80"/>
        <v>0</v>
      </c>
      <c r="O115" s="130">
        <f t="shared" si="80"/>
        <v>0</v>
      </c>
      <c r="P115" s="130">
        <f t="shared" si="80"/>
        <v>0</v>
      </c>
      <c r="Q115" s="130">
        <f t="shared" si="80"/>
        <v>0</v>
      </c>
      <c r="R115" s="130">
        <f t="shared" si="80"/>
        <v>0</v>
      </c>
      <c r="S115" s="130">
        <f t="shared" si="80"/>
        <v>0</v>
      </c>
      <c r="T115" s="130">
        <f t="shared" si="80"/>
        <v>0</v>
      </c>
      <c r="U115" s="130">
        <f t="shared" si="81"/>
        <v>0</v>
      </c>
      <c r="V115" s="130">
        <f t="shared" si="81"/>
        <v>0</v>
      </c>
      <c r="W115" s="130">
        <f t="shared" si="81"/>
        <v>0</v>
      </c>
      <c r="X115" s="130">
        <f t="shared" si="81"/>
        <v>0</v>
      </c>
      <c r="Y115" s="130">
        <f t="shared" si="81"/>
        <v>0</v>
      </c>
      <c r="Z115" s="130">
        <f t="shared" si="81"/>
        <v>0</v>
      </c>
      <c r="AA115" s="130">
        <f t="shared" si="81"/>
        <v>0</v>
      </c>
      <c r="AB115" s="130">
        <f t="shared" si="81"/>
        <v>0</v>
      </c>
      <c r="AC115" s="130">
        <f t="shared" si="81"/>
        <v>0</v>
      </c>
      <c r="AD115" s="130">
        <f t="shared" si="81"/>
        <v>0</v>
      </c>
      <c r="AE115" s="130">
        <f t="shared" si="81"/>
        <v>0</v>
      </c>
      <c r="AF115" s="130">
        <f t="shared" si="81"/>
        <v>0</v>
      </c>
      <c r="AG115" s="130">
        <f t="shared" si="81"/>
        <v>0</v>
      </c>
      <c r="AH115" s="130">
        <f t="shared" si="82"/>
        <v>0</v>
      </c>
      <c r="AI115" s="130">
        <f t="shared" si="82"/>
        <v>0</v>
      </c>
      <c r="AJ115" s="130">
        <f t="shared" si="82"/>
        <v>0</v>
      </c>
      <c r="AK115" s="130">
        <f t="shared" si="75"/>
        <v>0</v>
      </c>
      <c r="AL115" s="130">
        <f t="shared" si="76"/>
        <v>0</v>
      </c>
      <c r="AM115" s="130">
        <f t="shared" si="77"/>
        <v>0</v>
      </c>
      <c r="AN115" s="130">
        <f t="shared" si="78"/>
        <v>0</v>
      </c>
      <c r="AO115" s="130">
        <f t="shared" si="83"/>
        <v>0</v>
      </c>
      <c r="AP115" s="130">
        <f t="shared" si="83"/>
        <v>0</v>
      </c>
      <c r="AQ115" s="130">
        <f t="shared" si="83"/>
        <v>0</v>
      </c>
      <c r="AR115" s="130">
        <f t="shared" si="83"/>
        <v>0</v>
      </c>
      <c r="AS115" s="130">
        <f t="shared" si="83"/>
        <v>0</v>
      </c>
      <c r="AT115" s="130">
        <f t="shared" si="83"/>
        <v>0</v>
      </c>
      <c r="AU115" s="130">
        <f t="shared" si="83"/>
        <v>0</v>
      </c>
      <c r="AV115" s="130">
        <f t="shared" si="83"/>
        <v>0</v>
      </c>
      <c r="AW115" s="130">
        <f t="shared" si="83"/>
        <v>0</v>
      </c>
      <c r="AX115" s="130">
        <f t="shared" si="83"/>
        <v>0</v>
      </c>
      <c r="AY115" s="130">
        <f t="shared" si="83"/>
        <v>0</v>
      </c>
      <c r="AZ115" s="130">
        <f t="shared" si="83"/>
        <v>0</v>
      </c>
      <c r="BA115" s="130">
        <f t="shared" si="83"/>
        <v>0</v>
      </c>
      <c r="BB115" s="130">
        <f t="shared" si="84"/>
        <v>0</v>
      </c>
      <c r="BC115" s="130">
        <f t="shared" si="84"/>
        <v>0</v>
      </c>
      <c r="BD115" s="130">
        <f t="shared" si="84"/>
        <v>0</v>
      </c>
      <c r="BE115" s="130">
        <f t="shared" si="84"/>
        <v>0</v>
      </c>
      <c r="BF115" s="130" t="e">
        <f>+IF($H115=#REF!,$C115,0)-IF($I115=#REF!,$C115,0)</f>
        <v>#REF!</v>
      </c>
      <c r="BG115" s="130" t="e">
        <f>+IF($H115=#REF!,$C115,0)-IF($I115=#REF!,$C115,0)</f>
        <v>#REF!</v>
      </c>
      <c r="BH115" s="130" t="e">
        <f>+IF($H115=#REF!,$C115,0)-IF($I115=#REF!,$C115,0)</f>
        <v>#REF!</v>
      </c>
      <c r="BI115" s="130">
        <f t="shared" si="85"/>
        <v>0</v>
      </c>
      <c r="BJ115" s="130">
        <f t="shared" si="85"/>
        <v>0</v>
      </c>
      <c r="BK115" s="130">
        <f t="shared" si="85"/>
        <v>0</v>
      </c>
      <c r="BL115" s="130">
        <f t="shared" si="85"/>
        <v>0</v>
      </c>
      <c r="BM115" s="130">
        <f t="shared" si="85"/>
        <v>0</v>
      </c>
      <c r="BN115" s="130">
        <f t="shared" si="85"/>
        <v>0</v>
      </c>
      <c r="BO115" s="130">
        <f t="shared" si="85"/>
        <v>0</v>
      </c>
      <c r="BP115" s="130">
        <f t="shared" si="85"/>
        <v>0</v>
      </c>
      <c r="BQ115" s="130">
        <f t="shared" si="85"/>
        <v>0</v>
      </c>
      <c r="BR115" s="130" t="e">
        <f t="shared" si="79"/>
        <v>#REF!</v>
      </c>
    </row>
    <row r="116" spans="2:70" s="119" customFormat="1" x14ac:dyDescent="0.2">
      <c r="B116" s="128"/>
      <c r="C116" s="129"/>
      <c r="D116" s="129"/>
      <c r="E116" s="129" t="e">
        <f>ROUND(IF(D116=#REF!,0,IF($H116=$S$6,(C116/1.14975*0.05*0.5),C116/1.14975*0.05)),2)</f>
        <v>#REF!</v>
      </c>
      <c r="F116" s="129" t="e">
        <f>ROUND(IF(D116=#REF!,0,IF($H116=$S$6,C116/1.14975*0.09975*0.5,C116/1.14975*0.09975)),2)</f>
        <v>#REF!</v>
      </c>
      <c r="G116" s="129" t="e">
        <f t="shared" si="73"/>
        <v>#REF!</v>
      </c>
      <c r="J116" s="130">
        <f t="shared" si="74"/>
        <v>0</v>
      </c>
      <c r="K116" s="130">
        <f t="shared" si="80"/>
        <v>0</v>
      </c>
      <c r="L116" s="130">
        <f t="shared" si="80"/>
        <v>0</v>
      </c>
      <c r="M116" s="130">
        <f t="shared" si="80"/>
        <v>0</v>
      </c>
      <c r="N116" s="130">
        <f t="shared" si="80"/>
        <v>0</v>
      </c>
      <c r="O116" s="130">
        <f t="shared" si="80"/>
        <v>0</v>
      </c>
      <c r="P116" s="130">
        <f t="shared" si="80"/>
        <v>0</v>
      </c>
      <c r="Q116" s="130">
        <f t="shared" si="80"/>
        <v>0</v>
      </c>
      <c r="R116" s="130">
        <f t="shared" si="80"/>
        <v>0</v>
      </c>
      <c r="S116" s="130">
        <f t="shared" si="80"/>
        <v>0</v>
      </c>
      <c r="T116" s="130">
        <f t="shared" si="80"/>
        <v>0</v>
      </c>
      <c r="U116" s="130">
        <f t="shared" si="81"/>
        <v>0</v>
      </c>
      <c r="V116" s="130">
        <f t="shared" si="81"/>
        <v>0</v>
      </c>
      <c r="W116" s="130">
        <f t="shared" si="81"/>
        <v>0</v>
      </c>
      <c r="X116" s="130">
        <f t="shared" si="81"/>
        <v>0</v>
      </c>
      <c r="Y116" s="130">
        <f t="shared" si="81"/>
        <v>0</v>
      </c>
      <c r="Z116" s="130">
        <f t="shared" si="81"/>
        <v>0</v>
      </c>
      <c r="AA116" s="130">
        <f t="shared" si="81"/>
        <v>0</v>
      </c>
      <c r="AB116" s="130">
        <f t="shared" si="81"/>
        <v>0</v>
      </c>
      <c r="AC116" s="130">
        <f t="shared" si="81"/>
        <v>0</v>
      </c>
      <c r="AD116" s="130">
        <f t="shared" si="81"/>
        <v>0</v>
      </c>
      <c r="AE116" s="130">
        <f t="shared" si="81"/>
        <v>0</v>
      </c>
      <c r="AF116" s="130">
        <f t="shared" si="81"/>
        <v>0</v>
      </c>
      <c r="AG116" s="130">
        <f t="shared" si="81"/>
        <v>0</v>
      </c>
      <c r="AH116" s="130">
        <f t="shared" si="82"/>
        <v>0</v>
      </c>
      <c r="AI116" s="130">
        <f t="shared" si="82"/>
        <v>0</v>
      </c>
      <c r="AJ116" s="130">
        <f t="shared" si="82"/>
        <v>0</v>
      </c>
      <c r="AK116" s="130">
        <f t="shared" si="75"/>
        <v>0</v>
      </c>
      <c r="AL116" s="130">
        <f t="shared" si="76"/>
        <v>0</v>
      </c>
      <c r="AM116" s="130">
        <f t="shared" si="77"/>
        <v>0</v>
      </c>
      <c r="AN116" s="130">
        <f t="shared" si="78"/>
        <v>0</v>
      </c>
      <c r="AO116" s="130">
        <f t="shared" si="83"/>
        <v>0</v>
      </c>
      <c r="AP116" s="130">
        <f t="shared" si="83"/>
        <v>0</v>
      </c>
      <c r="AQ116" s="130">
        <f t="shared" si="83"/>
        <v>0</v>
      </c>
      <c r="AR116" s="130">
        <f t="shared" si="83"/>
        <v>0</v>
      </c>
      <c r="AS116" s="130">
        <f t="shared" si="83"/>
        <v>0</v>
      </c>
      <c r="AT116" s="130">
        <f t="shared" si="83"/>
        <v>0</v>
      </c>
      <c r="AU116" s="130">
        <f t="shared" si="83"/>
        <v>0</v>
      </c>
      <c r="AV116" s="130">
        <f t="shared" si="83"/>
        <v>0</v>
      </c>
      <c r="AW116" s="130">
        <f t="shared" si="83"/>
        <v>0</v>
      </c>
      <c r="AX116" s="130">
        <f t="shared" si="83"/>
        <v>0</v>
      </c>
      <c r="AY116" s="130">
        <f t="shared" si="83"/>
        <v>0</v>
      </c>
      <c r="AZ116" s="130">
        <f t="shared" si="83"/>
        <v>0</v>
      </c>
      <c r="BA116" s="130">
        <f t="shared" si="83"/>
        <v>0</v>
      </c>
      <c r="BB116" s="130">
        <f t="shared" si="84"/>
        <v>0</v>
      </c>
      <c r="BC116" s="130">
        <f t="shared" si="84"/>
        <v>0</v>
      </c>
      <c r="BD116" s="130">
        <f t="shared" si="84"/>
        <v>0</v>
      </c>
      <c r="BE116" s="130">
        <f t="shared" si="84"/>
        <v>0</v>
      </c>
      <c r="BF116" s="130" t="e">
        <f>+IF($H116=#REF!,$C116,0)-IF($I116=#REF!,$C116,0)</f>
        <v>#REF!</v>
      </c>
      <c r="BG116" s="130" t="e">
        <f>+IF($H116=#REF!,$C116,0)-IF($I116=#REF!,$C116,0)</f>
        <v>#REF!</v>
      </c>
      <c r="BH116" s="130" t="e">
        <f>+IF($H116=#REF!,$C116,0)-IF($I116=#REF!,$C116,0)</f>
        <v>#REF!</v>
      </c>
      <c r="BI116" s="130">
        <f t="shared" si="85"/>
        <v>0</v>
      </c>
      <c r="BJ116" s="130">
        <f t="shared" si="85"/>
        <v>0</v>
      </c>
      <c r="BK116" s="130">
        <f t="shared" si="85"/>
        <v>0</v>
      </c>
      <c r="BL116" s="130">
        <f t="shared" si="85"/>
        <v>0</v>
      </c>
      <c r="BM116" s="130">
        <f t="shared" si="85"/>
        <v>0</v>
      </c>
      <c r="BN116" s="130">
        <f t="shared" si="85"/>
        <v>0</v>
      </c>
      <c r="BO116" s="130">
        <f t="shared" si="85"/>
        <v>0</v>
      </c>
      <c r="BP116" s="130">
        <f t="shared" si="85"/>
        <v>0</v>
      </c>
      <c r="BQ116" s="130">
        <f t="shared" si="85"/>
        <v>0</v>
      </c>
      <c r="BR116" s="130" t="e">
        <f t="shared" si="79"/>
        <v>#REF!</v>
      </c>
    </row>
    <row r="117" spans="2:70" s="119" customFormat="1" x14ac:dyDescent="0.2">
      <c r="B117" s="128"/>
      <c r="C117" s="129"/>
      <c r="D117" s="129"/>
      <c r="E117" s="129" t="e">
        <f>ROUND(IF(D117=#REF!,0,IF($H117=$S$6,(C117/1.14975*0.05*0.5),C117/1.14975*0.05)),2)</f>
        <v>#REF!</v>
      </c>
      <c r="F117" s="129" t="e">
        <f>ROUND(IF(D117=#REF!,0,IF($H117=$S$6,C117/1.14975*0.09975*0.5,C117/1.14975*0.09975)),2)</f>
        <v>#REF!</v>
      </c>
      <c r="G117" s="129" t="e">
        <f t="shared" si="73"/>
        <v>#REF!</v>
      </c>
      <c r="J117" s="130">
        <f t="shared" si="74"/>
        <v>0</v>
      </c>
      <c r="K117" s="130">
        <f t="shared" si="80"/>
        <v>0</v>
      </c>
      <c r="L117" s="130">
        <f t="shared" si="80"/>
        <v>0</v>
      </c>
      <c r="M117" s="130">
        <f t="shared" si="80"/>
        <v>0</v>
      </c>
      <c r="N117" s="130">
        <f t="shared" si="80"/>
        <v>0</v>
      </c>
      <c r="O117" s="130">
        <f t="shared" si="80"/>
        <v>0</v>
      </c>
      <c r="P117" s="130">
        <f t="shared" si="80"/>
        <v>0</v>
      </c>
      <c r="Q117" s="130">
        <f t="shared" si="80"/>
        <v>0</v>
      </c>
      <c r="R117" s="130">
        <f t="shared" si="80"/>
        <v>0</v>
      </c>
      <c r="S117" s="130">
        <f t="shared" si="80"/>
        <v>0</v>
      </c>
      <c r="T117" s="130">
        <f t="shared" si="80"/>
        <v>0</v>
      </c>
      <c r="U117" s="130">
        <f t="shared" si="81"/>
        <v>0</v>
      </c>
      <c r="V117" s="130">
        <f t="shared" si="81"/>
        <v>0</v>
      </c>
      <c r="W117" s="130">
        <f t="shared" si="81"/>
        <v>0</v>
      </c>
      <c r="X117" s="130">
        <f t="shared" si="81"/>
        <v>0</v>
      </c>
      <c r="Y117" s="130">
        <f t="shared" si="81"/>
        <v>0</v>
      </c>
      <c r="Z117" s="130">
        <f t="shared" si="81"/>
        <v>0</v>
      </c>
      <c r="AA117" s="130">
        <f t="shared" si="81"/>
        <v>0</v>
      </c>
      <c r="AB117" s="130">
        <f t="shared" si="81"/>
        <v>0</v>
      </c>
      <c r="AC117" s="130">
        <f t="shared" si="81"/>
        <v>0</v>
      </c>
      <c r="AD117" s="130">
        <f t="shared" si="81"/>
        <v>0</v>
      </c>
      <c r="AE117" s="130">
        <f t="shared" si="81"/>
        <v>0</v>
      </c>
      <c r="AF117" s="130">
        <f t="shared" si="81"/>
        <v>0</v>
      </c>
      <c r="AG117" s="130">
        <f t="shared" si="81"/>
        <v>0</v>
      </c>
      <c r="AH117" s="130">
        <f t="shared" si="82"/>
        <v>0</v>
      </c>
      <c r="AI117" s="130">
        <f t="shared" si="82"/>
        <v>0</v>
      </c>
      <c r="AJ117" s="130">
        <f t="shared" si="82"/>
        <v>0</v>
      </c>
      <c r="AK117" s="130">
        <f t="shared" si="75"/>
        <v>0</v>
      </c>
      <c r="AL117" s="130">
        <f t="shared" si="76"/>
        <v>0</v>
      </c>
      <c r="AM117" s="130">
        <f t="shared" si="77"/>
        <v>0</v>
      </c>
      <c r="AN117" s="130">
        <f t="shared" si="78"/>
        <v>0</v>
      </c>
      <c r="AO117" s="130">
        <f t="shared" si="83"/>
        <v>0</v>
      </c>
      <c r="AP117" s="130">
        <f t="shared" si="83"/>
        <v>0</v>
      </c>
      <c r="AQ117" s="130">
        <f t="shared" si="83"/>
        <v>0</v>
      </c>
      <c r="AR117" s="130">
        <f t="shared" si="83"/>
        <v>0</v>
      </c>
      <c r="AS117" s="130">
        <f t="shared" si="83"/>
        <v>0</v>
      </c>
      <c r="AT117" s="130">
        <f t="shared" si="83"/>
        <v>0</v>
      </c>
      <c r="AU117" s="130">
        <f t="shared" si="83"/>
        <v>0</v>
      </c>
      <c r="AV117" s="130">
        <f t="shared" si="83"/>
        <v>0</v>
      </c>
      <c r="AW117" s="130">
        <f t="shared" si="83"/>
        <v>0</v>
      </c>
      <c r="AX117" s="130">
        <f t="shared" si="83"/>
        <v>0</v>
      </c>
      <c r="AY117" s="130">
        <f t="shared" si="83"/>
        <v>0</v>
      </c>
      <c r="AZ117" s="130">
        <f t="shared" si="83"/>
        <v>0</v>
      </c>
      <c r="BA117" s="130">
        <f t="shared" si="83"/>
        <v>0</v>
      </c>
      <c r="BB117" s="130">
        <f t="shared" si="84"/>
        <v>0</v>
      </c>
      <c r="BC117" s="130">
        <f t="shared" si="84"/>
        <v>0</v>
      </c>
      <c r="BD117" s="130">
        <f t="shared" si="84"/>
        <v>0</v>
      </c>
      <c r="BE117" s="130">
        <f t="shared" si="84"/>
        <v>0</v>
      </c>
      <c r="BF117" s="130" t="e">
        <f>+IF($H117=#REF!,$C117,0)-IF($I117=#REF!,$C117,0)</f>
        <v>#REF!</v>
      </c>
      <c r="BG117" s="130" t="e">
        <f>+IF($H117=#REF!,$C117,0)-IF($I117=#REF!,$C117,0)</f>
        <v>#REF!</v>
      </c>
      <c r="BH117" s="130" t="e">
        <f>+IF($H117=#REF!,$C117,0)-IF($I117=#REF!,$C117,0)</f>
        <v>#REF!</v>
      </c>
      <c r="BI117" s="130">
        <f t="shared" si="85"/>
        <v>0</v>
      </c>
      <c r="BJ117" s="130">
        <f t="shared" si="85"/>
        <v>0</v>
      </c>
      <c r="BK117" s="130">
        <f t="shared" si="85"/>
        <v>0</v>
      </c>
      <c r="BL117" s="130">
        <f t="shared" si="85"/>
        <v>0</v>
      </c>
      <c r="BM117" s="130">
        <f t="shared" si="85"/>
        <v>0</v>
      </c>
      <c r="BN117" s="130">
        <f t="shared" si="85"/>
        <v>0</v>
      </c>
      <c r="BO117" s="130">
        <f t="shared" si="85"/>
        <v>0</v>
      </c>
      <c r="BP117" s="130">
        <f t="shared" si="85"/>
        <v>0</v>
      </c>
      <c r="BQ117" s="130">
        <f t="shared" si="85"/>
        <v>0</v>
      </c>
      <c r="BR117" s="130" t="e">
        <f t="shared" si="79"/>
        <v>#REF!</v>
      </c>
    </row>
    <row r="118" spans="2:70" s="119" customFormat="1" x14ac:dyDescent="0.2">
      <c r="B118" s="128"/>
      <c r="C118" s="129"/>
      <c r="D118" s="129"/>
      <c r="E118" s="129" t="e">
        <f>ROUND(IF(D118=#REF!,0,IF($H118=$S$6,(C118/1.14975*0.05*0.5),C118/1.14975*0.05)),2)</f>
        <v>#REF!</v>
      </c>
      <c r="F118" s="129" t="e">
        <f>ROUND(IF(D118=#REF!,0,IF($H118=$S$6,C118/1.14975*0.09975*0.5,C118/1.14975*0.09975)),2)</f>
        <v>#REF!</v>
      </c>
      <c r="G118" s="129" t="e">
        <f t="shared" si="73"/>
        <v>#REF!</v>
      </c>
      <c r="J118" s="130">
        <f t="shared" si="74"/>
        <v>0</v>
      </c>
      <c r="K118" s="130">
        <f t="shared" si="80"/>
        <v>0</v>
      </c>
      <c r="L118" s="130">
        <f t="shared" si="80"/>
        <v>0</v>
      </c>
      <c r="M118" s="130">
        <f t="shared" si="80"/>
        <v>0</v>
      </c>
      <c r="N118" s="130">
        <f t="shared" si="80"/>
        <v>0</v>
      </c>
      <c r="O118" s="130">
        <f t="shared" si="80"/>
        <v>0</v>
      </c>
      <c r="P118" s="130">
        <f t="shared" si="80"/>
        <v>0</v>
      </c>
      <c r="Q118" s="130">
        <f t="shared" si="80"/>
        <v>0</v>
      </c>
      <c r="R118" s="130">
        <f t="shared" si="80"/>
        <v>0</v>
      </c>
      <c r="S118" s="130">
        <f t="shared" si="80"/>
        <v>0</v>
      </c>
      <c r="T118" s="130">
        <f t="shared" si="80"/>
        <v>0</v>
      </c>
      <c r="U118" s="130">
        <f t="shared" si="81"/>
        <v>0</v>
      </c>
      <c r="V118" s="130">
        <f t="shared" si="81"/>
        <v>0</v>
      </c>
      <c r="W118" s="130">
        <f t="shared" si="81"/>
        <v>0</v>
      </c>
      <c r="X118" s="130">
        <f t="shared" si="81"/>
        <v>0</v>
      </c>
      <c r="Y118" s="130">
        <f t="shared" si="81"/>
        <v>0</v>
      </c>
      <c r="Z118" s="130">
        <f t="shared" si="81"/>
        <v>0</v>
      </c>
      <c r="AA118" s="130">
        <f t="shared" si="81"/>
        <v>0</v>
      </c>
      <c r="AB118" s="130">
        <f t="shared" si="81"/>
        <v>0</v>
      </c>
      <c r="AC118" s="130">
        <f t="shared" si="81"/>
        <v>0</v>
      </c>
      <c r="AD118" s="130">
        <f t="shared" si="81"/>
        <v>0</v>
      </c>
      <c r="AE118" s="130">
        <f t="shared" si="81"/>
        <v>0</v>
      </c>
      <c r="AF118" s="130">
        <f t="shared" si="81"/>
        <v>0</v>
      </c>
      <c r="AG118" s="130">
        <f t="shared" si="81"/>
        <v>0</v>
      </c>
      <c r="AH118" s="130">
        <f t="shared" si="82"/>
        <v>0</v>
      </c>
      <c r="AI118" s="130">
        <f t="shared" si="82"/>
        <v>0</v>
      </c>
      <c r="AJ118" s="130">
        <f t="shared" si="82"/>
        <v>0</v>
      </c>
      <c r="AK118" s="130">
        <f t="shared" si="75"/>
        <v>0</v>
      </c>
      <c r="AL118" s="130">
        <f t="shared" si="76"/>
        <v>0</v>
      </c>
      <c r="AM118" s="130">
        <f t="shared" si="77"/>
        <v>0</v>
      </c>
      <c r="AN118" s="130">
        <f t="shared" si="78"/>
        <v>0</v>
      </c>
      <c r="AO118" s="130">
        <f t="shared" si="83"/>
        <v>0</v>
      </c>
      <c r="AP118" s="130">
        <f t="shared" si="83"/>
        <v>0</v>
      </c>
      <c r="AQ118" s="130">
        <f t="shared" si="83"/>
        <v>0</v>
      </c>
      <c r="AR118" s="130">
        <f t="shared" si="83"/>
        <v>0</v>
      </c>
      <c r="AS118" s="130">
        <f t="shared" si="83"/>
        <v>0</v>
      </c>
      <c r="AT118" s="130">
        <f t="shared" si="83"/>
        <v>0</v>
      </c>
      <c r="AU118" s="130">
        <f t="shared" si="83"/>
        <v>0</v>
      </c>
      <c r="AV118" s="130">
        <f t="shared" si="83"/>
        <v>0</v>
      </c>
      <c r="AW118" s="130">
        <f t="shared" si="83"/>
        <v>0</v>
      </c>
      <c r="AX118" s="130">
        <f t="shared" si="83"/>
        <v>0</v>
      </c>
      <c r="AY118" s="130">
        <f t="shared" si="83"/>
        <v>0</v>
      </c>
      <c r="AZ118" s="130">
        <f t="shared" si="83"/>
        <v>0</v>
      </c>
      <c r="BA118" s="130">
        <f t="shared" si="83"/>
        <v>0</v>
      </c>
      <c r="BB118" s="130">
        <f t="shared" si="84"/>
        <v>0</v>
      </c>
      <c r="BC118" s="130">
        <f t="shared" si="84"/>
        <v>0</v>
      </c>
      <c r="BD118" s="130">
        <f t="shared" si="84"/>
        <v>0</v>
      </c>
      <c r="BE118" s="130">
        <f t="shared" si="84"/>
        <v>0</v>
      </c>
      <c r="BF118" s="130" t="e">
        <f>+IF($H118=#REF!,$C118,0)-IF($I118=#REF!,$C118,0)</f>
        <v>#REF!</v>
      </c>
      <c r="BG118" s="130" t="e">
        <f>+IF($H118=#REF!,$C118,0)-IF($I118=#REF!,$C118,0)</f>
        <v>#REF!</v>
      </c>
      <c r="BH118" s="130" t="e">
        <f>+IF($H118=#REF!,$C118,0)-IF($I118=#REF!,$C118,0)</f>
        <v>#REF!</v>
      </c>
      <c r="BI118" s="130">
        <f t="shared" si="85"/>
        <v>0</v>
      </c>
      <c r="BJ118" s="130">
        <f t="shared" si="85"/>
        <v>0</v>
      </c>
      <c r="BK118" s="130">
        <f t="shared" si="85"/>
        <v>0</v>
      </c>
      <c r="BL118" s="130">
        <f t="shared" si="85"/>
        <v>0</v>
      </c>
      <c r="BM118" s="130">
        <f t="shared" si="85"/>
        <v>0</v>
      </c>
      <c r="BN118" s="130">
        <f t="shared" si="85"/>
        <v>0</v>
      </c>
      <c r="BO118" s="130">
        <f t="shared" si="85"/>
        <v>0</v>
      </c>
      <c r="BP118" s="130">
        <f t="shared" si="85"/>
        <v>0</v>
      </c>
      <c r="BQ118" s="130">
        <f t="shared" si="85"/>
        <v>0</v>
      </c>
      <c r="BR118" s="130" t="e">
        <f t="shared" si="79"/>
        <v>#REF!</v>
      </c>
    </row>
    <row r="119" spans="2:70" s="119" customFormat="1" x14ac:dyDescent="0.2">
      <c r="B119" s="128"/>
      <c r="C119" s="129"/>
      <c r="D119" s="129"/>
      <c r="E119" s="129" t="e">
        <f>ROUND(IF(D119=#REF!,0,IF($H119=$S$6,(C119/1.14975*0.05*0.5),C119/1.14975*0.05)),2)</f>
        <v>#REF!</v>
      </c>
      <c r="F119" s="129" t="e">
        <f>ROUND(IF(D119=#REF!,0,IF($H119=$S$6,C119/1.14975*0.09975*0.5,C119/1.14975*0.09975)),2)</f>
        <v>#REF!</v>
      </c>
      <c r="G119" s="129" t="e">
        <f t="shared" si="73"/>
        <v>#REF!</v>
      </c>
      <c r="J119" s="130">
        <f t="shared" si="74"/>
        <v>0</v>
      </c>
      <c r="K119" s="130">
        <f t="shared" ref="K119:T128" si="86">+IF($H119=K$6,$G119,0)-IF($I119=K$6,$G119,0)</f>
        <v>0</v>
      </c>
      <c r="L119" s="130">
        <f t="shared" si="86"/>
        <v>0</v>
      </c>
      <c r="M119" s="130">
        <f t="shared" si="86"/>
        <v>0</v>
      </c>
      <c r="N119" s="130">
        <f t="shared" si="86"/>
        <v>0</v>
      </c>
      <c r="O119" s="130">
        <f t="shared" si="86"/>
        <v>0</v>
      </c>
      <c r="P119" s="130">
        <f t="shared" si="86"/>
        <v>0</v>
      </c>
      <c r="Q119" s="130">
        <f t="shared" si="86"/>
        <v>0</v>
      </c>
      <c r="R119" s="130">
        <f t="shared" si="86"/>
        <v>0</v>
      </c>
      <c r="S119" s="130">
        <f t="shared" si="86"/>
        <v>0</v>
      </c>
      <c r="T119" s="130">
        <f t="shared" si="86"/>
        <v>0</v>
      </c>
      <c r="U119" s="130">
        <f t="shared" ref="U119:AG128" si="87">+IF($H119=U$6,$G119,0)-IF($I119=U$6,$G119,0)</f>
        <v>0</v>
      </c>
      <c r="V119" s="130">
        <f t="shared" si="87"/>
        <v>0</v>
      </c>
      <c r="W119" s="130">
        <f t="shared" si="87"/>
        <v>0</v>
      </c>
      <c r="X119" s="130">
        <f t="shared" si="87"/>
        <v>0</v>
      </c>
      <c r="Y119" s="130">
        <f t="shared" si="87"/>
        <v>0</v>
      </c>
      <c r="Z119" s="130">
        <f t="shared" si="87"/>
        <v>0</v>
      </c>
      <c r="AA119" s="130">
        <f t="shared" si="87"/>
        <v>0</v>
      </c>
      <c r="AB119" s="130">
        <f t="shared" si="87"/>
        <v>0</v>
      </c>
      <c r="AC119" s="130">
        <f t="shared" si="87"/>
        <v>0</v>
      </c>
      <c r="AD119" s="130">
        <f t="shared" si="87"/>
        <v>0</v>
      </c>
      <c r="AE119" s="130">
        <f t="shared" si="87"/>
        <v>0</v>
      </c>
      <c r="AF119" s="130">
        <f t="shared" si="87"/>
        <v>0</v>
      </c>
      <c r="AG119" s="130">
        <f t="shared" si="87"/>
        <v>0</v>
      </c>
      <c r="AH119" s="130">
        <f t="shared" si="82"/>
        <v>0</v>
      </c>
      <c r="AI119" s="130">
        <f t="shared" si="82"/>
        <v>0</v>
      </c>
      <c r="AJ119" s="130">
        <f t="shared" si="82"/>
        <v>0</v>
      </c>
      <c r="AK119" s="130">
        <f t="shared" si="75"/>
        <v>0</v>
      </c>
      <c r="AL119" s="130">
        <f t="shared" si="76"/>
        <v>0</v>
      </c>
      <c r="AM119" s="130">
        <f t="shared" si="77"/>
        <v>0</v>
      </c>
      <c r="AN119" s="130">
        <f t="shared" si="78"/>
        <v>0</v>
      </c>
      <c r="AO119" s="130">
        <f t="shared" ref="AO119:BA128" si="88">+IF($H119=AO$6,$G119,0)-IF($I119=AO$6,$G119,0)</f>
        <v>0</v>
      </c>
      <c r="AP119" s="130">
        <f t="shared" si="88"/>
        <v>0</v>
      </c>
      <c r="AQ119" s="130">
        <f t="shared" si="88"/>
        <v>0</v>
      </c>
      <c r="AR119" s="130">
        <f t="shared" si="88"/>
        <v>0</v>
      </c>
      <c r="AS119" s="130">
        <f t="shared" si="88"/>
        <v>0</v>
      </c>
      <c r="AT119" s="130">
        <f t="shared" si="88"/>
        <v>0</v>
      </c>
      <c r="AU119" s="130">
        <f t="shared" si="88"/>
        <v>0</v>
      </c>
      <c r="AV119" s="130">
        <f t="shared" si="88"/>
        <v>0</v>
      </c>
      <c r="AW119" s="130">
        <f t="shared" si="88"/>
        <v>0</v>
      </c>
      <c r="AX119" s="130">
        <f t="shared" si="88"/>
        <v>0</v>
      </c>
      <c r="AY119" s="130">
        <f t="shared" si="88"/>
        <v>0</v>
      </c>
      <c r="AZ119" s="130">
        <f t="shared" si="88"/>
        <v>0</v>
      </c>
      <c r="BA119" s="130">
        <f t="shared" si="88"/>
        <v>0</v>
      </c>
      <c r="BB119" s="130">
        <f t="shared" si="84"/>
        <v>0</v>
      </c>
      <c r="BC119" s="130">
        <f t="shared" si="84"/>
        <v>0</v>
      </c>
      <c r="BD119" s="130">
        <f t="shared" si="84"/>
        <v>0</v>
      </c>
      <c r="BE119" s="130">
        <f t="shared" si="84"/>
        <v>0</v>
      </c>
      <c r="BF119" s="130" t="e">
        <f>+IF($H119=#REF!,$C119,0)-IF($I119=#REF!,$C119,0)</f>
        <v>#REF!</v>
      </c>
      <c r="BG119" s="130" t="e">
        <f>+IF($H119=#REF!,$C119,0)-IF($I119=#REF!,$C119,0)</f>
        <v>#REF!</v>
      </c>
      <c r="BH119" s="130" t="e">
        <f>+IF($H119=#REF!,$C119,0)-IF($I119=#REF!,$C119,0)</f>
        <v>#REF!</v>
      </c>
      <c r="BI119" s="130">
        <f t="shared" ref="BI119:BQ128" si="89">+IF($H119=BI$6,$G119,0)-IF($I119=BI$6,$G119,0)</f>
        <v>0</v>
      </c>
      <c r="BJ119" s="130">
        <f t="shared" si="89"/>
        <v>0</v>
      </c>
      <c r="BK119" s="130">
        <f t="shared" si="89"/>
        <v>0</v>
      </c>
      <c r="BL119" s="130">
        <f t="shared" si="89"/>
        <v>0</v>
      </c>
      <c r="BM119" s="130">
        <f t="shared" si="89"/>
        <v>0</v>
      </c>
      <c r="BN119" s="130">
        <f t="shared" si="89"/>
        <v>0</v>
      </c>
      <c r="BO119" s="130">
        <f t="shared" si="89"/>
        <v>0</v>
      </c>
      <c r="BP119" s="130">
        <f t="shared" si="89"/>
        <v>0</v>
      </c>
      <c r="BQ119" s="130">
        <f t="shared" si="89"/>
        <v>0</v>
      </c>
      <c r="BR119" s="130" t="e">
        <f t="shared" si="79"/>
        <v>#REF!</v>
      </c>
    </row>
    <row r="120" spans="2:70" s="119" customFormat="1" x14ac:dyDescent="0.2">
      <c r="B120" s="128"/>
      <c r="C120" s="129"/>
      <c r="D120" s="129"/>
      <c r="E120" s="129" t="e">
        <f>ROUND(IF(D120=#REF!,0,IF($H120=$S$6,(C120/1.14975*0.05*0.5),C120/1.14975*0.05)),2)</f>
        <v>#REF!</v>
      </c>
      <c r="F120" s="129" t="e">
        <f>ROUND(IF(D120=#REF!,0,IF($H120=$S$6,C120/1.14975*0.09975*0.5,C120/1.14975*0.09975)),2)</f>
        <v>#REF!</v>
      </c>
      <c r="G120" s="129" t="e">
        <f t="shared" si="73"/>
        <v>#REF!</v>
      </c>
      <c r="J120" s="130">
        <f t="shared" si="74"/>
        <v>0</v>
      </c>
      <c r="K120" s="130">
        <f t="shared" si="86"/>
        <v>0</v>
      </c>
      <c r="L120" s="130">
        <f t="shared" si="86"/>
        <v>0</v>
      </c>
      <c r="M120" s="130">
        <f t="shared" si="86"/>
        <v>0</v>
      </c>
      <c r="N120" s="130">
        <f t="shared" si="86"/>
        <v>0</v>
      </c>
      <c r="O120" s="130">
        <f t="shared" si="86"/>
        <v>0</v>
      </c>
      <c r="P120" s="130">
        <f t="shared" si="86"/>
        <v>0</v>
      </c>
      <c r="Q120" s="130">
        <f t="shared" si="86"/>
        <v>0</v>
      </c>
      <c r="R120" s="130">
        <f t="shared" si="86"/>
        <v>0</v>
      </c>
      <c r="S120" s="130">
        <f t="shared" si="86"/>
        <v>0</v>
      </c>
      <c r="T120" s="130">
        <f t="shared" si="86"/>
        <v>0</v>
      </c>
      <c r="U120" s="130">
        <f t="shared" si="87"/>
        <v>0</v>
      </c>
      <c r="V120" s="130">
        <f t="shared" si="87"/>
        <v>0</v>
      </c>
      <c r="W120" s="130">
        <f t="shared" si="87"/>
        <v>0</v>
      </c>
      <c r="X120" s="130">
        <f t="shared" si="87"/>
        <v>0</v>
      </c>
      <c r="Y120" s="130">
        <f t="shared" si="87"/>
        <v>0</v>
      </c>
      <c r="Z120" s="130">
        <f t="shared" si="87"/>
        <v>0</v>
      </c>
      <c r="AA120" s="130">
        <f t="shared" si="87"/>
        <v>0</v>
      </c>
      <c r="AB120" s="130">
        <f t="shared" si="87"/>
        <v>0</v>
      </c>
      <c r="AC120" s="130">
        <f t="shared" si="87"/>
        <v>0</v>
      </c>
      <c r="AD120" s="130">
        <f t="shared" si="87"/>
        <v>0</v>
      </c>
      <c r="AE120" s="130">
        <f t="shared" si="87"/>
        <v>0</v>
      </c>
      <c r="AF120" s="130">
        <f t="shared" si="87"/>
        <v>0</v>
      </c>
      <c r="AG120" s="130">
        <f t="shared" si="87"/>
        <v>0</v>
      </c>
      <c r="AH120" s="130">
        <f t="shared" si="82"/>
        <v>0</v>
      </c>
      <c r="AI120" s="130">
        <f t="shared" si="82"/>
        <v>0</v>
      </c>
      <c r="AJ120" s="130">
        <f t="shared" si="82"/>
        <v>0</v>
      </c>
      <c r="AK120" s="130">
        <f t="shared" si="75"/>
        <v>0</v>
      </c>
      <c r="AL120" s="130">
        <f t="shared" si="76"/>
        <v>0</v>
      </c>
      <c r="AM120" s="130">
        <f t="shared" si="77"/>
        <v>0</v>
      </c>
      <c r="AN120" s="130">
        <f t="shared" si="78"/>
        <v>0</v>
      </c>
      <c r="AO120" s="130">
        <f t="shared" si="88"/>
        <v>0</v>
      </c>
      <c r="AP120" s="130">
        <f t="shared" si="88"/>
        <v>0</v>
      </c>
      <c r="AQ120" s="130">
        <f t="shared" si="88"/>
        <v>0</v>
      </c>
      <c r="AR120" s="130">
        <f t="shared" si="88"/>
        <v>0</v>
      </c>
      <c r="AS120" s="130">
        <f t="shared" si="88"/>
        <v>0</v>
      </c>
      <c r="AT120" s="130">
        <f t="shared" si="88"/>
        <v>0</v>
      </c>
      <c r="AU120" s="130">
        <f t="shared" si="88"/>
        <v>0</v>
      </c>
      <c r="AV120" s="130">
        <f t="shared" si="88"/>
        <v>0</v>
      </c>
      <c r="AW120" s="130">
        <f t="shared" si="88"/>
        <v>0</v>
      </c>
      <c r="AX120" s="130">
        <f t="shared" si="88"/>
        <v>0</v>
      </c>
      <c r="AY120" s="130">
        <f t="shared" si="88"/>
        <v>0</v>
      </c>
      <c r="AZ120" s="130">
        <f t="shared" si="88"/>
        <v>0</v>
      </c>
      <c r="BA120" s="130">
        <f t="shared" si="88"/>
        <v>0</v>
      </c>
      <c r="BB120" s="130">
        <f t="shared" si="84"/>
        <v>0</v>
      </c>
      <c r="BC120" s="130">
        <f t="shared" si="84"/>
        <v>0</v>
      </c>
      <c r="BD120" s="130">
        <f t="shared" si="84"/>
        <v>0</v>
      </c>
      <c r="BE120" s="130">
        <f t="shared" si="84"/>
        <v>0</v>
      </c>
      <c r="BF120" s="130" t="e">
        <f>+IF($H120=#REF!,$C120,0)-IF($I120=#REF!,$C120,0)</f>
        <v>#REF!</v>
      </c>
      <c r="BG120" s="130" t="e">
        <f>+IF($H120=#REF!,$C120,0)-IF($I120=#REF!,$C120,0)</f>
        <v>#REF!</v>
      </c>
      <c r="BH120" s="130" t="e">
        <f>+IF($H120=#REF!,$C120,0)-IF($I120=#REF!,$C120,0)</f>
        <v>#REF!</v>
      </c>
      <c r="BI120" s="130">
        <f t="shared" si="89"/>
        <v>0</v>
      </c>
      <c r="BJ120" s="130">
        <f t="shared" si="89"/>
        <v>0</v>
      </c>
      <c r="BK120" s="130">
        <f t="shared" si="89"/>
        <v>0</v>
      </c>
      <c r="BL120" s="130">
        <f t="shared" si="89"/>
        <v>0</v>
      </c>
      <c r="BM120" s="130">
        <f t="shared" si="89"/>
        <v>0</v>
      </c>
      <c r="BN120" s="130">
        <f t="shared" si="89"/>
        <v>0</v>
      </c>
      <c r="BO120" s="130">
        <f t="shared" si="89"/>
        <v>0</v>
      </c>
      <c r="BP120" s="130">
        <f t="shared" si="89"/>
        <v>0</v>
      </c>
      <c r="BQ120" s="130">
        <f t="shared" si="89"/>
        <v>0</v>
      </c>
      <c r="BR120" s="130" t="e">
        <f t="shared" si="79"/>
        <v>#REF!</v>
      </c>
    </row>
    <row r="121" spans="2:70" s="119" customFormat="1" x14ac:dyDescent="0.2">
      <c r="B121" s="128"/>
      <c r="C121" s="129"/>
      <c r="D121" s="129"/>
      <c r="E121" s="129" t="e">
        <f>ROUND(IF(D121=#REF!,0,IF($H121=$S$6,(C121/1.14975*0.05*0.5),C121/1.14975*0.05)),2)</f>
        <v>#REF!</v>
      </c>
      <c r="F121" s="129" t="e">
        <f>ROUND(IF(D121=#REF!,0,IF($H121=$S$6,C121/1.14975*0.09975*0.5,C121/1.14975*0.09975)),2)</f>
        <v>#REF!</v>
      </c>
      <c r="G121" s="129" t="e">
        <f t="shared" si="73"/>
        <v>#REF!</v>
      </c>
      <c r="J121" s="130">
        <f t="shared" si="74"/>
        <v>0</v>
      </c>
      <c r="K121" s="130">
        <f t="shared" si="86"/>
        <v>0</v>
      </c>
      <c r="L121" s="130">
        <f t="shared" si="86"/>
        <v>0</v>
      </c>
      <c r="M121" s="130">
        <f t="shared" si="86"/>
        <v>0</v>
      </c>
      <c r="N121" s="130">
        <f t="shared" si="86"/>
        <v>0</v>
      </c>
      <c r="O121" s="130">
        <f t="shared" si="86"/>
        <v>0</v>
      </c>
      <c r="P121" s="130">
        <f t="shared" si="86"/>
        <v>0</v>
      </c>
      <c r="Q121" s="130">
        <f t="shared" si="86"/>
        <v>0</v>
      </c>
      <c r="R121" s="130">
        <f t="shared" si="86"/>
        <v>0</v>
      </c>
      <c r="S121" s="130">
        <f t="shared" si="86"/>
        <v>0</v>
      </c>
      <c r="T121" s="130">
        <f t="shared" si="86"/>
        <v>0</v>
      </c>
      <c r="U121" s="130">
        <f t="shared" si="87"/>
        <v>0</v>
      </c>
      <c r="V121" s="130">
        <f t="shared" si="87"/>
        <v>0</v>
      </c>
      <c r="W121" s="130">
        <f t="shared" si="87"/>
        <v>0</v>
      </c>
      <c r="X121" s="130">
        <f t="shared" si="87"/>
        <v>0</v>
      </c>
      <c r="Y121" s="130">
        <f t="shared" si="87"/>
        <v>0</v>
      </c>
      <c r="Z121" s="130">
        <f t="shared" si="87"/>
        <v>0</v>
      </c>
      <c r="AA121" s="130">
        <f t="shared" si="87"/>
        <v>0</v>
      </c>
      <c r="AB121" s="130">
        <f t="shared" si="87"/>
        <v>0</v>
      </c>
      <c r="AC121" s="130">
        <f t="shared" si="87"/>
        <v>0</v>
      </c>
      <c r="AD121" s="130">
        <f t="shared" si="87"/>
        <v>0</v>
      </c>
      <c r="AE121" s="130">
        <f t="shared" si="87"/>
        <v>0</v>
      </c>
      <c r="AF121" s="130">
        <f t="shared" si="87"/>
        <v>0</v>
      </c>
      <c r="AG121" s="130">
        <f t="shared" si="87"/>
        <v>0</v>
      </c>
      <c r="AH121" s="130">
        <f t="shared" si="82"/>
        <v>0</v>
      </c>
      <c r="AI121" s="130">
        <f t="shared" si="82"/>
        <v>0</v>
      </c>
      <c r="AJ121" s="130">
        <f t="shared" si="82"/>
        <v>0</v>
      </c>
      <c r="AK121" s="130">
        <f t="shared" si="75"/>
        <v>0</v>
      </c>
      <c r="AL121" s="130">
        <f t="shared" si="76"/>
        <v>0</v>
      </c>
      <c r="AM121" s="130">
        <f t="shared" si="77"/>
        <v>0</v>
      </c>
      <c r="AN121" s="130">
        <f t="shared" si="78"/>
        <v>0</v>
      </c>
      <c r="AO121" s="130">
        <f t="shared" si="88"/>
        <v>0</v>
      </c>
      <c r="AP121" s="130">
        <f t="shared" si="88"/>
        <v>0</v>
      </c>
      <c r="AQ121" s="130">
        <f t="shared" si="88"/>
        <v>0</v>
      </c>
      <c r="AR121" s="130">
        <f t="shared" si="88"/>
        <v>0</v>
      </c>
      <c r="AS121" s="130">
        <f t="shared" si="88"/>
        <v>0</v>
      </c>
      <c r="AT121" s="130">
        <f t="shared" si="88"/>
        <v>0</v>
      </c>
      <c r="AU121" s="130">
        <f t="shared" si="88"/>
        <v>0</v>
      </c>
      <c r="AV121" s="130">
        <f t="shared" si="88"/>
        <v>0</v>
      </c>
      <c r="AW121" s="130">
        <f t="shared" si="88"/>
        <v>0</v>
      </c>
      <c r="AX121" s="130">
        <f t="shared" si="88"/>
        <v>0</v>
      </c>
      <c r="AY121" s="130">
        <f t="shared" si="88"/>
        <v>0</v>
      </c>
      <c r="AZ121" s="130">
        <f t="shared" si="88"/>
        <v>0</v>
      </c>
      <c r="BA121" s="130">
        <f t="shared" si="88"/>
        <v>0</v>
      </c>
      <c r="BB121" s="130">
        <f t="shared" si="84"/>
        <v>0</v>
      </c>
      <c r="BC121" s="130">
        <f t="shared" si="84"/>
        <v>0</v>
      </c>
      <c r="BD121" s="130">
        <f t="shared" si="84"/>
        <v>0</v>
      </c>
      <c r="BE121" s="130">
        <f t="shared" si="84"/>
        <v>0</v>
      </c>
      <c r="BF121" s="130" t="e">
        <f>+IF($H121=#REF!,$C121,0)-IF($I121=#REF!,$C121,0)</f>
        <v>#REF!</v>
      </c>
      <c r="BG121" s="130" t="e">
        <f>+IF($H121=#REF!,$C121,0)-IF($I121=#REF!,$C121,0)</f>
        <v>#REF!</v>
      </c>
      <c r="BH121" s="130" t="e">
        <f>+IF($H121=#REF!,$C121,0)-IF($I121=#REF!,$C121,0)</f>
        <v>#REF!</v>
      </c>
      <c r="BI121" s="130">
        <f t="shared" si="89"/>
        <v>0</v>
      </c>
      <c r="BJ121" s="130">
        <f t="shared" si="89"/>
        <v>0</v>
      </c>
      <c r="BK121" s="130">
        <f t="shared" si="89"/>
        <v>0</v>
      </c>
      <c r="BL121" s="130">
        <f t="shared" si="89"/>
        <v>0</v>
      </c>
      <c r="BM121" s="130">
        <f t="shared" si="89"/>
        <v>0</v>
      </c>
      <c r="BN121" s="130">
        <f t="shared" si="89"/>
        <v>0</v>
      </c>
      <c r="BO121" s="130">
        <f t="shared" si="89"/>
        <v>0</v>
      </c>
      <c r="BP121" s="130">
        <f t="shared" si="89"/>
        <v>0</v>
      </c>
      <c r="BQ121" s="130">
        <f t="shared" si="89"/>
        <v>0</v>
      </c>
      <c r="BR121" s="130" t="e">
        <f t="shared" si="79"/>
        <v>#REF!</v>
      </c>
    </row>
    <row r="122" spans="2:70" s="119" customFormat="1" x14ac:dyDescent="0.2">
      <c r="B122" s="128"/>
      <c r="C122" s="129"/>
      <c r="D122" s="129"/>
      <c r="E122" s="129" t="e">
        <f>ROUND(IF(D122=#REF!,0,IF($H122=$S$6,(C122/1.14975*0.05*0.5),C122/1.14975*0.05)),2)</f>
        <v>#REF!</v>
      </c>
      <c r="F122" s="129" t="e">
        <f>ROUND(IF(D122=#REF!,0,IF($H122=$S$6,C122/1.14975*0.09975*0.5,C122/1.14975*0.09975)),2)</f>
        <v>#REF!</v>
      </c>
      <c r="G122" s="129" t="e">
        <f t="shared" si="73"/>
        <v>#REF!</v>
      </c>
      <c r="J122" s="130">
        <f t="shared" si="74"/>
        <v>0</v>
      </c>
      <c r="K122" s="130">
        <f t="shared" si="86"/>
        <v>0</v>
      </c>
      <c r="L122" s="130">
        <f t="shared" si="86"/>
        <v>0</v>
      </c>
      <c r="M122" s="130">
        <f t="shared" si="86"/>
        <v>0</v>
      </c>
      <c r="N122" s="130">
        <f t="shared" si="86"/>
        <v>0</v>
      </c>
      <c r="O122" s="130">
        <f t="shared" si="86"/>
        <v>0</v>
      </c>
      <c r="P122" s="130">
        <f t="shared" si="86"/>
        <v>0</v>
      </c>
      <c r="Q122" s="130">
        <f t="shared" si="86"/>
        <v>0</v>
      </c>
      <c r="R122" s="130">
        <f t="shared" si="86"/>
        <v>0</v>
      </c>
      <c r="S122" s="130">
        <f t="shared" si="86"/>
        <v>0</v>
      </c>
      <c r="T122" s="130">
        <f t="shared" si="86"/>
        <v>0</v>
      </c>
      <c r="U122" s="130">
        <f t="shared" si="87"/>
        <v>0</v>
      </c>
      <c r="V122" s="130">
        <f t="shared" si="87"/>
        <v>0</v>
      </c>
      <c r="W122" s="130">
        <f t="shared" si="87"/>
        <v>0</v>
      </c>
      <c r="X122" s="130">
        <f t="shared" si="87"/>
        <v>0</v>
      </c>
      <c r="Y122" s="130">
        <f t="shared" si="87"/>
        <v>0</v>
      </c>
      <c r="Z122" s="130">
        <f t="shared" si="87"/>
        <v>0</v>
      </c>
      <c r="AA122" s="130">
        <f t="shared" si="87"/>
        <v>0</v>
      </c>
      <c r="AB122" s="130">
        <f t="shared" si="87"/>
        <v>0</v>
      </c>
      <c r="AC122" s="130">
        <f t="shared" si="87"/>
        <v>0</v>
      </c>
      <c r="AD122" s="130">
        <f t="shared" si="87"/>
        <v>0</v>
      </c>
      <c r="AE122" s="130">
        <f t="shared" si="87"/>
        <v>0</v>
      </c>
      <c r="AF122" s="130">
        <f t="shared" si="87"/>
        <v>0</v>
      </c>
      <c r="AG122" s="130">
        <f t="shared" si="87"/>
        <v>0</v>
      </c>
      <c r="AH122" s="130">
        <f t="shared" si="82"/>
        <v>0</v>
      </c>
      <c r="AI122" s="130">
        <f t="shared" si="82"/>
        <v>0</v>
      </c>
      <c r="AJ122" s="130">
        <f t="shared" si="82"/>
        <v>0</v>
      </c>
      <c r="AK122" s="130">
        <f t="shared" si="75"/>
        <v>0</v>
      </c>
      <c r="AL122" s="130">
        <f t="shared" si="76"/>
        <v>0</v>
      </c>
      <c r="AM122" s="130">
        <f t="shared" si="77"/>
        <v>0</v>
      </c>
      <c r="AN122" s="130">
        <f t="shared" si="78"/>
        <v>0</v>
      </c>
      <c r="AO122" s="130">
        <f t="shared" si="88"/>
        <v>0</v>
      </c>
      <c r="AP122" s="130">
        <f t="shared" si="88"/>
        <v>0</v>
      </c>
      <c r="AQ122" s="130">
        <f t="shared" si="88"/>
        <v>0</v>
      </c>
      <c r="AR122" s="130">
        <f t="shared" si="88"/>
        <v>0</v>
      </c>
      <c r="AS122" s="130">
        <f t="shared" si="88"/>
        <v>0</v>
      </c>
      <c r="AT122" s="130">
        <f t="shared" si="88"/>
        <v>0</v>
      </c>
      <c r="AU122" s="130">
        <f t="shared" si="88"/>
        <v>0</v>
      </c>
      <c r="AV122" s="130">
        <f t="shared" si="88"/>
        <v>0</v>
      </c>
      <c r="AW122" s="130">
        <f t="shared" si="88"/>
        <v>0</v>
      </c>
      <c r="AX122" s="130">
        <f t="shared" si="88"/>
        <v>0</v>
      </c>
      <c r="AY122" s="130">
        <f t="shared" si="88"/>
        <v>0</v>
      </c>
      <c r="AZ122" s="130">
        <f t="shared" si="88"/>
        <v>0</v>
      </c>
      <c r="BA122" s="130">
        <f t="shared" si="88"/>
        <v>0</v>
      </c>
      <c r="BB122" s="130">
        <f t="shared" si="84"/>
        <v>0</v>
      </c>
      <c r="BC122" s="130">
        <f t="shared" si="84"/>
        <v>0</v>
      </c>
      <c r="BD122" s="130">
        <f t="shared" si="84"/>
        <v>0</v>
      </c>
      <c r="BE122" s="130">
        <f t="shared" si="84"/>
        <v>0</v>
      </c>
      <c r="BF122" s="130" t="e">
        <f>+IF($H122=#REF!,$C122,0)-IF($I122=#REF!,$C122,0)</f>
        <v>#REF!</v>
      </c>
      <c r="BG122" s="130" t="e">
        <f>+IF($H122=#REF!,$C122,0)-IF($I122=#REF!,$C122,0)</f>
        <v>#REF!</v>
      </c>
      <c r="BH122" s="130" t="e">
        <f>+IF($H122=#REF!,$C122,0)-IF($I122=#REF!,$C122,0)</f>
        <v>#REF!</v>
      </c>
      <c r="BI122" s="130">
        <f t="shared" si="89"/>
        <v>0</v>
      </c>
      <c r="BJ122" s="130">
        <f t="shared" si="89"/>
        <v>0</v>
      </c>
      <c r="BK122" s="130">
        <f t="shared" si="89"/>
        <v>0</v>
      </c>
      <c r="BL122" s="130">
        <f t="shared" si="89"/>
        <v>0</v>
      </c>
      <c r="BM122" s="130">
        <f t="shared" si="89"/>
        <v>0</v>
      </c>
      <c r="BN122" s="130">
        <f t="shared" si="89"/>
        <v>0</v>
      </c>
      <c r="BO122" s="130">
        <f t="shared" si="89"/>
        <v>0</v>
      </c>
      <c r="BP122" s="130">
        <f t="shared" si="89"/>
        <v>0</v>
      </c>
      <c r="BQ122" s="130">
        <f t="shared" si="89"/>
        <v>0</v>
      </c>
      <c r="BR122" s="130" t="e">
        <f t="shared" si="79"/>
        <v>#REF!</v>
      </c>
    </row>
    <row r="123" spans="2:70" s="119" customFormat="1" x14ac:dyDescent="0.2">
      <c r="B123" s="128"/>
      <c r="C123" s="129"/>
      <c r="D123" s="129"/>
      <c r="E123" s="129" t="e">
        <f>ROUND(IF(D123=#REF!,0,IF($H123=$S$6,(C123/1.14975*0.05*0.5),C123/1.14975*0.05)),2)</f>
        <v>#REF!</v>
      </c>
      <c r="F123" s="129" t="e">
        <f>ROUND(IF(D123=#REF!,0,IF($H123=$S$6,C123/1.14975*0.09975*0.5,C123/1.14975*0.09975)),2)</f>
        <v>#REF!</v>
      </c>
      <c r="G123" s="129" t="e">
        <f t="shared" si="73"/>
        <v>#REF!</v>
      </c>
      <c r="J123" s="130">
        <f t="shared" si="74"/>
        <v>0</v>
      </c>
      <c r="K123" s="130">
        <f t="shared" si="86"/>
        <v>0</v>
      </c>
      <c r="L123" s="130">
        <f t="shared" si="86"/>
        <v>0</v>
      </c>
      <c r="M123" s="130">
        <f t="shared" si="86"/>
        <v>0</v>
      </c>
      <c r="N123" s="130">
        <f t="shared" si="86"/>
        <v>0</v>
      </c>
      <c r="O123" s="130">
        <f t="shared" si="86"/>
        <v>0</v>
      </c>
      <c r="P123" s="130">
        <f t="shared" si="86"/>
        <v>0</v>
      </c>
      <c r="Q123" s="130">
        <f t="shared" si="86"/>
        <v>0</v>
      </c>
      <c r="R123" s="130">
        <f t="shared" si="86"/>
        <v>0</v>
      </c>
      <c r="S123" s="130">
        <f t="shared" si="86"/>
        <v>0</v>
      </c>
      <c r="T123" s="130">
        <f t="shared" si="86"/>
        <v>0</v>
      </c>
      <c r="U123" s="130">
        <f t="shared" si="87"/>
        <v>0</v>
      </c>
      <c r="V123" s="130">
        <f t="shared" si="87"/>
        <v>0</v>
      </c>
      <c r="W123" s="130">
        <f t="shared" si="87"/>
        <v>0</v>
      </c>
      <c r="X123" s="130">
        <f t="shared" si="87"/>
        <v>0</v>
      </c>
      <c r="Y123" s="130">
        <f t="shared" si="87"/>
        <v>0</v>
      </c>
      <c r="Z123" s="130">
        <f t="shared" si="87"/>
        <v>0</v>
      </c>
      <c r="AA123" s="130">
        <f t="shared" si="87"/>
        <v>0</v>
      </c>
      <c r="AB123" s="130">
        <f t="shared" si="87"/>
        <v>0</v>
      </c>
      <c r="AC123" s="130">
        <f t="shared" si="87"/>
        <v>0</v>
      </c>
      <c r="AD123" s="130">
        <f t="shared" si="87"/>
        <v>0</v>
      </c>
      <c r="AE123" s="130">
        <f t="shared" si="87"/>
        <v>0</v>
      </c>
      <c r="AF123" s="130">
        <f t="shared" si="87"/>
        <v>0</v>
      </c>
      <c r="AG123" s="130">
        <f t="shared" si="87"/>
        <v>0</v>
      </c>
      <c r="AH123" s="130">
        <f t="shared" si="82"/>
        <v>0</v>
      </c>
      <c r="AI123" s="130">
        <f t="shared" si="82"/>
        <v>0</v>
      </c>
      <c r="AJ123" s="130">
        <f t="shared" si="82"/>
        <v>0</v>
      </c>
      <c r="AK123" s="130">
        <f t="shared" si="75"/>
        <v>0</v>
      </c>
      <c r="AL123" s="130">
        <f t="shared" si="76"/>
        <v>0</v>
      </c>
      <c r="AM123" s="130">
        <f t="shared" si="77"/>
        <v>0</v>
      </c>
      <c r="AN123" s="130">
        <f t="shared" si="78"/>
        <v>0</v>
      </c>
      <c r="AO123" s="130">
        <f t="shared" si="88"/>
        <v>0</v>
      </c>
      <c r="AP123" s="130">
        <f t="shared" si="88"/>
        <v>0</v>
      </c>
      <c r="AQ123" s="130">
        <f t="shared" si="88"/>
        <v>0</v>
      </c>
      <c r="AR123" s="130">
        <f t="shared" si="88"/>
        <v>0</v>
      </c>
      <c r="AS123" s="130">
        <f t="shared" si="88"/>
        <v>0</v>
      </c>
      <c r="AT123" s="130">
        <f t="shared" si="88"/>
        <v>0</v>
      </c>
      <c r="AU123" s="130">
        <f t="shared" si="88"/>
        <v>0</v>
      </c>
      <c r="AV123" s="130">
        <f t="shared" si="88"/>
        <v>0</v>
      </c>
      <c r="AW123" s="130">
        <f t="shared" si="88"/>
        <v>0</v>
      </c>
      <c r="AX123" s="130">
        <f t="shared" si="88"/>
        <v>0</v>
      </c>
      <c r="AY123" s="130">
        <f t="shared" si="88"/>
        <v>0</v>
      </c>
      <c r="AZ123" s="130">
        <f t="shared" si="88"/>
        <v>0</v>
      </c>
      <c r="BA123" s="130">
        <f t="shared" si="88"/>
        <v>0</v>
      </c>
      <c r="BB123" s="130">
        <f t="shared" si="84"/>
        <v>0</v>
      </c>
      <c r="BC123" s="130">
        <f t="shared" si="84"/>
        <v>0</v>
      </c>
      <c r="BD123" s="130">
        <f t="shared" si="84"/>
        <v>0</v>
      </c>
      <c r="BE123" s="130">
        <f t="shared" si="84"/>
        <v>0</v>
      </c>
      <c r="BF123" s="130" t="e">
        <f>+IF($H123=#REF!,$C123,0)-IF($I123=#REF!,$C123,0)</f>
        <v>#REF!</v>
      </c>
      <c r="BG123" s="130" t="e">
        <f>+IF($H123=#REF!,$C123,0)-IF($I123=#REF!,$C123,0)</f>
        <v>#REF!</v>
      </c>
      <c r="BH123" s="130" t="e">
        <f>+IF($H123=#REF!,$C123,0)-IF($I123=#REF!,$C123,0)</f>
        <v>#REF!</v>
      </c>
      <c r="BI123" s="130">
        <f t="shared" si="89"/>
        <v>0</v>
      </c>
      <c r="BJ123" s="130">
        <f t="shared" si="89"/>
        <v>0</v>
      </c>
      <c r="BK123" s="130">
        <f t="shared" si="89"/>
        <v>0</v>
      </c>
      <c r="BL123" s="130">
        <f t="shared" si="89"/>
        <v>0</v>
      </c>
      <c r="BM123" s="130">
        <f t="shared" si="89"/>
        <v>0</v>
      </c>
      <c r="BN123" s="130">
        <f t="shared" si="89"/>
        <v>0</v>
      </c>
      <c r="BO123" s="130">
        <f t="shared" si="89"/>
        <v>0</v>
      </c>
      <c r="BP123" s="130">
        <f t="shared" si="89"/>
        <v>0</v>
      </c>
      <c r="BQ123" s="130">
        <f t="shared" si="89"/>
        <v>0</v>
      </c>
      <c r="BR123" s="130" t="e">
        <f t="shared" si="79"/>
        <v>#REF!</v>
      </c>
    </row>
    <row r="124" spans="2:70" s="119" customFormat="1" x14ac:dyDescent="0.2">
      <c r="B124" s="128"/>
      <c r="C124" s="129"/>
      <c r="D124" s="129"/>
      <c r="E124" s="129" t="e">
        <f>ROUND(IF(D124=#REF!,0,IF($H124=$S$6,(C124/1.14975*0.05*0.5),C124/1.14975*0.05)),2)</f>
        <v>#REF!</v>
      </c>
      <c r="F124" s="129" t="e">
        <f>ROUND(IF(D124=#REF!,0,IF($H124=$S$6,C124/1.14975*0.09975*0.5,C124/1.14975*0.09975)),2)</f>
        <v>#REF!</v>
      </c>
      <c r="G124" s="129" t="e">
        <f t="shared" si="73"/>
        <v>#REF!</v>
      </c>
      <c r="J124" s="130">
        <f t="shared" si="74"/>
        <v>0</v>
      </c>
      <c r="K124" s="130">
        <f t="shared" si="86"/>
        <v>0</v>
      </c>
      <c r="L124" s="130">
        <f t="shared" si="86"/>
        <v>0</v>
      </c>
      <c r="M124" s="130">
        <f t="shared" si="86"/>
        <v>0</v>
      </c>
      <c r="N124" s="130">
        <f t="shared" si="86"/>
        <v>0</v>
      </c>
      <c r="O124" s="130">
        <f t="shared" si="86"/>
        <v>0</v>
      </c>
      <c r="P124" s="130">
        <f t="shared" si="86"/>
        <v>0</v>
      </c>
      <c r="Q124" s="130">
        <f t="shared" si="86"/>
        <v>0</v>
      </c>
      <c r="R124" s="130">
        <f t="shared" si="86"/>
        <v>0</v>
      </c>
      <c r="S124" s="130">
        <f t="shared" si="86"/>
        <v>0</v>
      </c>
      <c r="T124" s="130">
        <f t="shared" si="86"/>
        <v>0</v>
      </c>
      <c r="U124" s="130">
        <f t="shared" si="87"/>
        <v>0</v>
      </c>
      <c r="V124" s="130">
        <f t="shared" si="87"/>
        <v>0</v>
      </c>
      <c r="W124" s="130">
        <f t="shared" si="87"/>
        <v>0</v>
      </c>
      <c r="X124" s="130">
        <f t="shared" si="87"/>
        <v>0</v>
      </c>
      <c r="Y124" s="130">
        <f t="shared" si="87"/>
        <v>0</v>
      </c>
      <c r="Z124" s="130">
        <f t="shared" si="87"/>
        <v>0</v>
      </c>
      <c r="AA124" s="130">
        <f t="shared" si="87"/>
        <v>0</v>
      </c>
      <c r="AB124" s="130">
        <f t="shared" si="87"/>
        <v>0</v>
      </c>
      <c r="AC124" s="130">
        <f t="shared" si="87"/>
        <v>0</v>
      </c>
      <c r="AD124" s="130">
        <f t="shared" si="87"/>
        <v>0</v>
      </c>
      <c r="AE124" s="130">
        <f t="shared" si="87"/>
        <v>0</v>
      </c>
      <c r="AF124" s="130">
        <f t="shared" si="87"/>
        <v>0</v>
      </c>
      <c r="AG124" s="130">
        <f t="shared" si="87"/>
        <v>0</v>
      </c>
      <c r="AH124" s="130">
        <f t="shared" si="82"/>
        <v>0</v>
      </c>
      <c r="AI124" s="130">
        <f t="shared" si="82"/>
        <v>0</v>
      </c>
      <c r="AJ124" s="130">
        <f t="shared" si="82"/>
        <v>0</v>
      </c>
      <c r="AK124" s="130">
        <f t="shared" si="75"/>
        <v>0</v>
      </c>
      <c r="AL124" s="130">
        <f t="shared" si="76"/>
        <v>0</v>
      </c>
      <c r="AM124" s="130">
        <f t="shared" si="77"/>
        <v>0</v>
      </c>
      <c r="AN124" s="130">
        <f t="shared" si="78"/>
        <v>0</v>
      </c>
      <c r="AO124" s="130">
        <f t="shared" si="88"/>
        <v>0</v>
      </c>
      <c r="AP124" s="130">
        <f t="shared" si="88"/>
        <v>0</v>
      </c>
      <c r="AQ124" s="130">
        <f t="shared" si="88"/>
        <v>0</v>
      </c>
      <c r="AR124" s="130">
        <f t="shared" si="88"/>
        <v>0</v>
      </c>
      <c r="AS124" s="130">
        <f t="shared" si="88"/>
        <v>0</v>
      </c>
      <c r="AT124" s="130">
        <f t="shared" si="88"/>
        <v>0</v>
      </c>
      <c r="AU124" s="130">
        <f t="shared" si="88"/>
        <v>0</v>
      </c>
      <c r="AV124" s="130">
        <f t="shared" si="88"/>
        <v>0</v>
      </c>
      <c r="AW124" s="130">
        <f t="shared" si="88"/>
        <v>0</v>
      </c>
      <c r="AX124" s="130">
        <f t="shared" si="88"/>
        <v>0</v>
      </c>
      <c r="AY124" s="130">
        <f t="shared" si="88"/>
        <v>0</v>
      </c>
      <c r="AZ124" s="130">
        <f t="shared" si="88"/>
        <v>0</v>
      </c>
      <c r="BA124" s="130">
        <f t="shared" si="88"/>
        <v>0</v>
      </c>
      <c r="BB124" s="130">
        <f t="shared" si="84"/>
        <v>0</v>
      </c>
      <c r="BC124" s="130">
        <f t="shared" si="84"/>
        <v>0</v>
      </c>
      <c r="BD124" s="130">
        <f t="shared" si="84"/>
        <v>0</v>
      </c>
      <c r="BE124" s="130">
        <f t="shared" si="84"/>
        <v>0</v>
      </c>
      <c r="BF124" s="130" t="e">
        <f>+IF($H124=#REF!,$C124,0)-IF($I124=#REF!,$C124,0)</f>
        <v>#REF!</v>
      </c>
      <c r="BG124" s="130" t="e">
        <f>+IF($H124=#REF!,$C124,0)-IF($I124=#REF!,$C124,0)</f>
        <v>#REF!</v>
      </c>
      <c r="BH124" s="130" t="e">
        <f>+IF($H124=#REF!,$C124,0)-IF($I124=#REF!,$C124,0)</f>
        <v>#REF!</v>
      </c>
      <c r="BI124" s="130">
        <f t="shared" si="89"/>
        <v>0</v>
      </c>
      <c r="BJ124" s="130">
        <f t="shared" si="89"/>
        <v>0</v>
      </c>
      <c r="BK124" s="130">
        <f t="shared" si="89"/>
        <v>0</v>
      </c>
      <c r="BL124" s="130">
        <f t="shared" si="89"/>
        <v>0</v>
      </c>
      <c r="BM124" s="130">
        <f t="shared" si="89"/>
        <v>0</v>
      </c>
      <c r="BN124" s="130">
        <f t="shared" si="89"/>
        <v>0</v>
      </c>
      <c r="BO124" s="130">
        <f t="shared" si="89"/>
        <v>0</v>
      </c>
      <c r="BP124" s="130">
        <f t="shared" si="89"/>
        <v>0</v>
      </c>
      <c r="BQ124" s="130">
        <f t="shared" si="89"/>
        <v>0</v>
      </c>
      <c r="BR124" s="130" t="e">
        <f t="shared" si="79"/>
        <v>#REF!</v>
      </c>
    </row>
    <row r="125" spans="2:70" s="119" customFormat="1" x14ac:dyDescent="0.2">
      <c r="B125" s="128"/>
      <c r="C125" s="129"/>
      <c r="D125" s="129"/>
      <c r="E125" s="129" t="e">
        <f>ROUND(IF(D125=#REF!,0,IF($H125=$S$6,(C125/1.14975*0.05*0.5),C125/1.14975*0.05)),2)</f>
        <v>#REF!</v>
      </c>
      <c r="F125" s="129" t="e">
        <f>ROUND(IF(D125=#REF!,0,IF($H125=$S$6,C125/1.14975*0.09975*0.5,C125/1.14975*0.09975)),2)</f>
        <v>#REF!</v>
      </c>
      <c r="G125" s="129" t="e">
        <f t="shared" si="73"/>
        <v>#REF!</v>
      </c>
      <c r="J125" s="130">
        <f t="shared" si="74"/>
        <v>0</v>
      </c>
      <c r="K125" s="130">
        <f t="shared" si="86"/>
        <v>0</v>
      </c>
      <c r="L125" s="130">
        <f t="shared" si="86"/>
        <v>0</v>
      </c>
      <c r="M125" s="130">
        <f t="shared" si="86"/>
        <v>0</v>
      </c>
      <c r="N125" s="130">
        <f t="shared" si="86"/>
        <v>0</v>
      </c>
      <c r="O125" s="130">
        <f t="shared" si="86"/>
        <v>0</v>
      </c>
      <c r="P125" s="130">
        <f t="shared" si="86"/>
        <v>0</v>
      </c>
      <c r="Q125" s="130">
        <f t="shared" si="86"/>
        <v>0</v>
      </c>
      <c r="R125" s="130">
        <f t="shared" si="86"/>
        <v>0</v>
      </c>
      <c r="S125" s="130">
        <f t="shared" si="86"/>
        <v>0</v>
      </c>
      <c r="T125" s="130">
        <f t="shared" si="86"/>
        <v>0</v>
      </c>
      <c r="U125" s="130">
        <f t="shared" si="87"/>
        <v>0</v>
      </c>
      <c r="V125" s="130">
        <f t="shared" si="87"/>
        <v>0</v>
      </c>
      <c r="W125" s="130">
        <f t="shared" si="87"/>
        <v>0</v>
      </c>
      <c r="X125" s="130">
        <f t="shared" si="87"/>
        <v>0</v>
      </c>
      <c r="Y125" s="130">
        <f t="shared" si="87"/>
        <v>0</v>
      </c>
      <c r="Z125" s="130">
        <f t="shared" si="87"/>
        <v>0</v>
      </c>
      <c r="AA125" s="130">
        <f t="shared" si="87"/>
        <v>0</v>
      </c>
      <c r="AB125" s="130">
        <f t="shared" si="87"/>
        <v>0</v>
      </c>
      <c r="AC125" s="130">
        <f t="shared" si="87"/>
        <v>0</v>
      </c>
      <c r="AD125" s="130">
        <f t="shared" si="87"/>
        <v>0</v>
      </c>
      <c r="AE125" s="130">
        <f t="shared" si="87"/>
        <v>0</v>
      </c>
      <c r="AF125" s="130">
        <f t="shared" si="87"/>
        <v>0</v>
      </c>
      <c r="AG125" s="130">
        <f t="shared" si="87"/>
        <v>0</v>
      </c>
      <c r="AH125" s="130">
        <f t="shared" si="82"/>
        <v>0</v>
      </c>
      <c r="AI125" s="130">
        <f t="shared" si="82"/>
        <v>0</v>
      </c>
      <c r="AJ125" s="130">
        <f t="shared" si="82"/>
        <v>0</v>
      </c>
      <c r="AK125" s="130">
        <f t="shared" si="75"/>
        <v>0</v>
      </c>
      <c r="AL125" s="130">
        <f t="shared" si="76"/>
        <v>0</v>
      </c>
      <c r="AM125" s="130">
        <f t="shared" si="77"/>
        <v>0</v>
      </c>
      <c r="AN125" s="130">
        <f t="shared" si="78"/>
        <v>0</v>
      </c>
      <c r="AO125" s="130">
        <f t="shared" si="88"/>
        <v>0</v>
      </c>
      <c r="AP125" s="130">
        <f t="shared" si="88"/>
        <v>0</v>
      </c>
      <c r="AQ125" s="130">
        <f t="shared" si="88"/>
        <v>0</v>
      </c>
      <c r="AR125" s="130">
        <f t="shared" si="88"/>
        <v>0</v>
      </c>
      <c r="AS125" s="130">
        <f t="shared" si="88"/>
        <v>0</v>
      </c>
      <c r="AT125" s="130">
        <f t="shared" si="88"/>
        <v>0</v>
      </c>
      <c r="AU125" s="130">
        <f t="shared" si="88"/>
        <v>0</v>
      </c>
      <c r="AV125" s="130">
        <f t="shared" si="88"/>
        <v>0</v>
      </c>
      <c r="AW125" s="130">
        <f t="shared" si="88"/>
        <v>0</v>
      </c>
      <c r="AX125" s="130">
        <f t="shared" si="88"/>
        <v>0</v>
      </c>
      <c r="AY125" s="130">
        <f t="shared" si="88"/>
        <v>0</v>
      </c>
      <c r="AZ125" s="130">
        <f t="shared" si="88"/>
        <v>0</v>
      </c>
      <c r="BA125" s="130">
        <f t="shared" si="88"/>
        <v>0</v>
      </c>
      <c r="BB125" s="130">
        <f t="shared" si="84"/>
        <v>0</v>
      </c>
      <c r="BC125" s="130">
        <f t="shared" si="84"/>
        <v>0</v>
      </c>
      <c r="BD125" s="130">
        <f t="shared" si="84"/>
        <v>0</v>
      </c>
      <c r="BE125" s="130">
        <f t="shared" si="84"/>
        <v>0</v>
      </c>
      <c r="BF125" s="130" t="e">
        <f>+IF($H125=#REF!,$C125,0)-IF($I125=#REF!,$C125,0)</f>
        <v>#REF!</v>
      </c>
      <c r="BG125" s="130" t="e">
        <f>+IF($H125=#REF!,$C125,0)-IF($I125=#REF!,$C125,0)</f>
        <v>#REF!</v>
      </c>
      <c r="BH125" s="130" t="e">
        <f>+IF($H125=#REF!,$C125,0)-IF($I125=#REF!,$C125,0)</f>
        <v>#REF!</v>
      </c>
      <c r="BI125" s="130">
        <f t="shared" si="89"/>
        <v>0</v>
      </c>
      <c r="BJ125" s="130">
        <f t="shared" si="89"/>
        <v>0</v>
      </c>
      <c r="BK125" s="130">
        <f t="shared" si="89"/>
        <v>0</v>
      </c>
      <c r="BL125" s="130">
        <f t="shared" si="89"/>
        <v>0</v>
      </c>
      <c r="BM125" s="130">
        <f t="shared" si="89"/>
        <v>0</v>
      </c>
      <c r="BN125" s="130">
        <f t="shared" si="89"/>
        <v>0</v>
      </c>
      <c r="BO125" s="130">
        <f t="shared" si="89"/>
        <v>0</v>
      </c>
      <c r="BP125" s="130">
        <f t="shared" si="89"/>
        <v>0</v>
      </c>
      <c r="BQ125" s="130">
        <f t="shared" si="89"/>
        <v>0</v>
      </c>
      <c r="BR125" s="130" t="e">
        <f t="shared" si="79"/>
        <v>#REF!</v>
      </c>
    </row>
    <row r="126" spans="2:70" s="119" customFormat="1" x14ac:dyDescent="0.2">
      <c r="B126" s="128"/>
      <c r="C126" s="129"/>
      <c r="D126" s="129"/>
      <c r="E126" s="129" t="e">
        <f>ROUND(IF(D126=#REF!,0,IF($H126=$S$6,(C126/1.14975*0.05*0.5),C126/1.14975*0.05)),2)</f>
        <v>#REF!</v>
      </c>
      <c r="F126" s="129" t="e">
        <f>ROUND(IF(D126=#REF!,0,IF($H126=$S$6,C126/1.14975*0.09975*0.5,C126/1.14975*0.09975)),2)</f>
        <v>#REF!</v>
      </c>
      <c r="G126" s="129" t="e">
        <f t="shared" si="73"/>
        <v>#REF!</v>
      </c>
      <c r="J126" s="130">
        <f t="shared" si="74"/>
        <v>0</v>
      </c>
      <c r="K126" s="130">
        <f t="shared" si="86"/>
        <v>0</v>
      </c>
      <c r="L126" s="130">
        <f t="shared" si="86"/>
        <v>0</v>
      </c>
      <c r="M126" s="130">
        <f t="shared" si="86"/>
        <v>0</v>
      </c>
      <c r="N126" s="130">
        <f t="shared" si="86"/>
        <v>0</v>
      </c>
      <c r="O126" s="130">
        <f t="shared" si="86"/>
        <v>0</v>
      </c>
      <c r="P126" s="130">
        <f t="shared" si="86"/>
        <v>0</v>
      </c>
      <c r="Q126" s="130">
        <f t="shared" si="86"/>
        <v>0</v>
      </c>
      <c r="R126" s="130">
        <f t="shared" si="86"/>
        <v>0</v>
      </c>
      <c r="S126" s="130">
        <f t="shared" si="86"/>
        <v>0</v>
      </c>
      <c r="T126" s="130">
        <f t="shared" si="86"/>
        <v>0</v>
      </c>
      <c r="U126" s="130">
        <f t="shared" si="87"/>
        <v>0</v>
      </c>
      <c r="V126" s="130">
        <f t="shared" si="87"/>
        <v>0</v>
      </c>
      <c r="W126" s="130">
        <f t="shared" si="87"/>
        <v>0</v>
      </c>
      <c r="X126" s="130">
        <f t="shared" si="87"/>
        <v>0</v>
      </c>
      <c r="Y126" s="130">
        <f t="shared" si="87"/>
        <v>0</v>
      </c>
      <c r="Z126" s="130">
        <f t="shared" si="87"/>
        <v>0</v>
      </c>
      <c r="AA126" s="130">
        <f t="shared" si="87"/>
        <v>0</v>
      </c>
      <c r="AB126" s="130">
        <f t="shared" si="87"/>
        <v>0</v>
      </c>
      <c r="AC126" s="130">
        <f t="shared" si="87"/>
        <v>0</v>
      </c>
      <c r="AD126" s="130">
        <f t="shared" si="87"/>
        <v>0</v>
      </c>
      <c r="AE126" s="130">
        <f t="shared" si="87"/>
        <v>0</v>
      </c>
      <c r="AF126" s="130">
        <f t="shared" si="87"/>
        <v>0</v>
      </c>
      <c r="AG126" s="130">
        <f t="shared" si="87"/>
        <v>0</v>
      </c>
      <c r="AH126" s="130">
        <f t="shared" si="82"/>
        <v>0</v>
      </c>
      <c r="AI126" s="130">
        <f t="shared" si="82"/>
        <v>0</v>
      </c>
      <c r="AJ126" s="130">
        <f t="shared" si="82"/>
        <v>0</v>
      </c>
      <c r="AK126" s="130">
        <f t="shared" si="75"/>
        <v>0</v>
      </c>
      <c r="AL126" s="130">
        <f t="shared" si="76"/>
        <v>0</v>
      </c>
      <c r="AM126" s="130">
        <f t="shared" si="77"/>
        <v>0</v>
      </c>
      <c r="AN126" s="130">
        <f t="shared" si="78"/>
        <v>0</v>
      </c>
      <c r="AO126" s="130">
        <f t="shared" si="88"/>
        <v>0</v>
      </c>
      <c r="AP126" s="130">
        <f t="shared" si="88"/>
        <v>0</v>
      </c>
      <c r="AQ126" s="130">
        <f t="shared" si="88"/>
        <v>0</v>
      </c>
      <c r="AR126" s="130">
        <f t="shared" si="88"/>
        <v>0</v>
      </c>
      <c r="AS126" s="130">
        <f t="shared" si="88"/>
        <v>0</v>
      </c>
      <c r="AT126" s="130">
        <f t="shared" si="88"/>
        <v>0</v>
      </c>
      <c r="AU126" s="130">
        <f t="shared" si="88"/>
        <v>0</v>
      </c>
      <c r="AV126" s="130">
        <f t="shared" si="88"/>
        <v>0</v>
      </c>
      <c r="AW126" s="130">
        <f t="shared" si="88"/>
        <v>0</v>
      </c>
      <c r="AX126" s="130">
        <f t="shared" si="88"/>
        <v>0</v>
      </c>
      <c r="AY126" s="130">
        <f t="shared" si="88"/>
        <v>0</v>
      </c>
      <c r="AZ126" s="130">
        <f t="shared" si="88"/>
        <v>0</v>
      </c>
      <c r="BA126" s="130">
        <f t="shared" si="88"/>
        <v>0</v>
      </c>
      <c r="BB126" s="130">
        <f t="shared" si="84"/>
        <v>0</v>
      </c>
      <c r="BC126" s="130">
        <f t="shared" si="84"/>
        <v>0</v>
      </c>
      <c r="BD126" s="130">
        <f t="shared" si="84"/>
        <v>0</v>
      </c>
      <c r="BE126" s="130">
        <f t="shared" si="84"/>
        <v>0</v>
      </c>
      <c r="BF126" s="130" t="e">
        <f>+IF($H126=#REF!,$C126,0)-IF($I126=#REF!,$C126,0)</f>
        <v>#REF!</v>
      </c>
      <c r="BG126" s="130" t="e">
        <f>+IF($H126=#REF!,$C126,0)-IF($I126=#REF!,$C126,0)</f>
        <v>#REF!</v>
      </c>
      <c r="BH126" s="130" t="e">
        <f>+IF($H126=#REF!,$C126,0)-IF($I126=#REF!,$C126,0)</f>
        <v>#REF!</v>
      </c>
      <c r="BI126" s="130">
        <f t="shared" si="89"/>
        <v>0</v>
      </c>
      <c r="BJ126" s="130">
        <f t="shared" si="89"/>
        <v>0</v>
      </c>
      <c r="BK126" s="130">
        <f t="shared" si="89"/>
        <v>0</v>
      </c>
      <c r="BL126" s="130">
        <f t="shared" si="89"/>
        <v>0</v>
      </c>
      <c r="BM126" s="130">
        <f t="shared" si="89"/>
        <v>0</v>
      </c>
      <c r="BN126" s="130">
        <f t="shared" si="89"/>
        <v>0</v>
      </c>
      <c r="BO126" s="130">
        <f t="shared" si="89"/>
        <v>0</v>
      </c>
      <c r="BP126" s="130">
        <f t="shared" si="89"/>
        <v>0</v>
      </c>
      <c r="BQ126" s="130">
        <f t="shared" si="89"/>
        <v>0</v>
      </c>
      <c r="BR126" s="130" t="e">
        <f t="shared" si="79"/>
        <v>#REF!</v>
      </c>
    </row>
    <row r="127" spans="2:70" s="119" customFormat="1" x14ac:dyDescent="0.2">
      <c r="B127" s="128"/>
      <c r="C127" s="129"/>
      <c r="D127" s="129"/>
      <c r="E127" s="129" t="e">
        <f>ROUND(IF(D127=#REF!,0,IF($H127=$S$6,(C127/1.14975*0.05*0.5),C127/1.14975*0.05)),2)</f>
        <v>#REF!</v>
      </c>
      <c r="F127" s="129" t="e">
        <f>ROUND(IF(D127=#REF!,0,IF($H127=$S$6,C127/1.14975*0.09975*0.5,C127/1.14975*0.09975)),2)</f>
        <v>#REF!</v>
      </c>
      <c r="G127" s="129" t="e">
        <f t="shared" si="73"/>
        <v>#REF!</v>
      </c>
      <c r="J127" s="130">
        <f t="shared" si="74"/>
        <v>0</v>
      </c>
      <c r="K127" s="130">
        <f t="shared" si="86"/>
        <v>0</v>
      </c>
      <c r="L127" s="130">
        <f t="shared" si="86"/>
        <v>0</v>
      </c>
      <c r="M127" s="130">
        <f t="shared" si="86"/>
        <v>0</v>
      </c>
      <c r="N127" s="130">
        <f t="shared" si="86"/>
        <v>0</v>
      </c>
      <c r="O127" s="130">
        <f t="shared" si="86"/>
        <v>0</v>
      </c>
      <c r="P127" s="130">
        <f t="shared" si="86"/>
        <v>0</v>
      </c>
      <c r="Q127" s="130">
        <f t="shared" si="86"/>
        <v>0</v>
      </c>
      <c r="R127" s="130">
        <f t="shared" si="86"/>
        <v>0</v>
      </c>
      <c r="S127" s="130">
        <f t="shared" si="86"/>
        <v>0</v>
      </c>
      <c r="T127" s="130">
        <f t="shared" si="86"/>
        <v>0</v>
      </c>
      <c r="U127" s="130">
        <f t="shared" si="87"/>
        <v>0</v>
      </c>
      <c r="V127" s="130">
        <f t="shared" si="87"/>
        <v>0</v>
      </c>
      <c r="W127" s="130">
        <f t="shared" si="87"/>
        <v>0</v>
      </c>
      <c r="X127" s="130">
        <f t="shared" si="87"/>
        <v>0</v>
      </c>
      <c r="Y127" s="130">
        <f t="shared" si="87"/>
        <v>0</v>
      </c>
      <c r="Z127" s="130">
        <f t="shared" si="87"/>
        <v>0</v>
      </c>
      <c r="AA127" s="130">
        <f t="shared" si="87"/>
        <v>0</v>
      </c>
      <c r="AB127" s="130">
        <f t="shared" si="87"/>
        <v>0</v>
      </c>
      <c r="AC127" s="130">
        <f t="shared" si="87"/>
        <v>0</v>
      </c>
      <c r="AD127" s="130">
        <f t="shared" si="87"/>
        <v>0</v>
      </c>
      <c r="AE127" s="130">
        <f t="shared" si="87"/>
        <v>0</v>
      </c>
      <c r="AF127" s="130">
        <f t="shared" si="87"/>
        <v>0</v>
      </c>
      <c r="AG127" s="130">
        <f t="shared" si="87"/>
        <v>0</v>
      </c>
      <c r="AH127" s="130">
        <f t="shared" si="82"/>
        <v>0</v>
      </c>
      <c r="AI127" s="130">
        <f t="shared" si="82"/>
        <v>0</v>
      </c>
      <c r="AJ127" s="130">
        <f t="shared" si="82"/>
        <v>0</v>
      </c>
      <c r="AK127" s="130">
        <f t="shared" si="75"/>
        <v>0</v>
      </c>
      <c r="AL127" s="130">
        <f t="shared" si="76"/>
        <v>0</v>
      </c>
      <c r="AM127" s="130">
        <f t="shared" si="77"/>
        <v>0</v>
      </c>
      <c r="AN127" s="130">
        <f t="shared" si="78"/>
        <v>0</v>
      </c>
      <c r="AO127" s="130">
        <f t="shared" si="88"/>
        <v>0</v>
      </c>
      <c r="AP127" s="130">
        <f t="shared" si="88"/>
        <v>0</v>
      </c>
      <c r="AQ127" s="130">
        <f t="shared" si="88"/>
        <v>0</v>
      </c>
      <c r="AR127" s="130">
        <f t="shared" si="88"/>
        <v>0</v>
      </c>
      <c r="AS127" s="130">
        <f t="shared" si="88"/>
        <v>0</v>
      </c>
      <c r="AT127" s="130">
        <f t="shared" si="88"/>
        <v>0</v>
      </c>
      <c r="AU127" s="130">
        <f t="shared" si="88"/>
        <v>0</v>
      </c>
      <c r="AV127" s="130">
        <f t="shared" si="88"/>
        <v>0</v>
      </c>
      <c r="AW127" s="130">
        <f t="shared" si="88"/>
        <v>0</v>
      </c>
      <c r="AX127" s="130">
        <f t="shared" si="88"/>
        <v>0</v>
      </c>
      <c r="AY127" s="130">
        <f t="shared" si="88"/>
        <v>0</v>
      </c>
      <c r="AZ127" s="130">
        <f t="shared" si="88"/>
        <v>0</v>
      </c>
      <c r="BA127" s="130">
        <f t="shared" si="88"/>
        <v>0</v>
      </c>
      <c r="BB127" s="130">
        <f t="shared" si="84"/>
        <v>0</v>
      </c>
      <c r="BC127" s="130">
        <f t="shared" si="84"/>
        <v>0</v>
      </c>
      <c r="BD127" s="130">
        <f t="shared" si="84"/>
        <v>0</v>
      </c>
      <c r="BE127" s="130">
        <f t="shared" si="84"/>
        <v>0</v>
      </c>
      <c r="BF127" s="130">
        <f>+IF($H127=BF$6,$C127,0)-IF($I127=BF$6,$C127,0)</f>
        <v>0</v>
      </c>
      <c r="BG127" s="130">
        <f>+IF($H127=BG$6,$C127,0)-IF($I127=BG$6,$C127,0)</f>
        <v>0</v>
      </c>
      <c r="BH127" s="130">
        <f>+IF($H127=BH$6,$C127,0)-IF($I127=BH$6,$C127,0)</f>
        <v>0</v>
      </c>
      <c r="BI127" s="130">
        <f t="shared" si="89"/>
        <v>0</v>
      </c>
      <c r="BJ127" s="130">
        <f t="shared" si="89"/>
        <v>0</v>
      </c>
      <c r="BK127" s="130">
        <f t="shared" si="89"/>
        <v>0</v>
      </c>
      <c r="BL127" s="130">
        <f t="shared" si="89"/>
        <v>0</v>
      </c>
      <c r="BM127" s="130">
        <f t="shared" si="89"/>
        <v>0</v>
      </c>
      <c r="BN127" s="130">
        <f t="shared" si="89"/>
        <v>0</v>
      </c>
      <c r="BO127" s="130">
        <f t="shared" si="89"/>
        <v>0</v>
      </c>
      <c r="BP127" s="130">
        <f t="shared" si="89"/>
        <v>0</v>
      </c>
      <c r="BQ127" s="130">
        <f t="shared" si="89"/>
        <v>0</v>
      </c>
      <c r="BR127" s="130">
        <f t="shared" si="79"/>
        <v>0</v>
      </c>
    </row>
    <row r="128" spans="2:70" s="119" customFormat="1" x14ac:dyDescent="0.2">
      <c r="B128" s="128"/>
      <c r="C128" s="129"/>
      <c r="D128" s="129"/>
      <c r="E128" s="129" t="e">
        <f>ROUND(IF(D128=#REF!,0,IF($H128=$S$6,(C128/1.14975*0.05*0.5),C128/1.14975*0.05)),2)</f>
        <v>#REF!</v>
      </c>
      <c r="F128" s="129" t="e">
        <f>ROUND(IF(D128=#REF!,0,IF($H128=$S$6,C128/1.14975*0.09975*0.5,C128/1.14975*0.09975)),2)</f>
        <v>#REF!</v>
      </c>
      <c r="G128" s="129" t="e">
        <f t="shared" si="73"/>
        <v>#REF!</v>
      </c>
      <c r="J128" s="130">
        <f t="shared" si="74"/>
        <v>0</v>
      </c>
      <c r="K128" s="130">
        <f t="shared" si="86"/>
        <v>0</v>
      </c>
      <c r="L128" s="130">
        <f t="shared" si="86"/>
        <v>0</v>
      </c>
      <c r="M128" s="130">
        <f t="shared" si="86"/>
        <v>0</v>
      </c>
      <c r="N128" s="130">
        <f t="shared" si="86"/>
        <v>0</v>
      </c>
      <c r="O128" s="130">
        <f t="shared" si="86"/>
        <v>0</v>
      </c>
      <c r="P128" s="130">
        <f t="shared" si="86"/>
        <v>0</v>
      </c>
      <c r="Q128" s="130">
        <f t="shared" si="86"/>
        <v>0</v>
      </c>
      <c r="R128" s="130">
        <f t="shared" si="86"/>
        <v>0</v>
      </c>
      <c r="S128" s="130">
        <f t="shared" si="86"/>
        <v>0</v>
      </c>
      <c r="T128" s="130">
        <f t="shared" si="86"/>
        <v>0</v>
      </c>
      <c r="U128" s="130">
        <f t="shared" si="87"/>
        <v>0</v>
      </c>
      <c r="V128" s="130">
        <f t="shared" si="87"/>
        <v>0</v>
      </c>
      <c r="W128" s="130">
        <f t="shared" si="87"/>
        <v>0</v>
      </c>
      <c r="X128" s="130">
        <f t="shared" si="87"/>
        <v>0</v>
      </c>
      <c r="Y128" s="130">
        <f t="shared" si="87"/>
        <v>0</v>
      </c>
      <c r="Z128" s="130">
        <f t="shared" si="87"/>
        <v>0</v>
      </c>
      <c r="AA128" s="130">
        <f t="shared" si="87"/>
        <v>0</v>
      </c>
      <c r="AB128" s="130">
        <f t="shared" si="87"/>
        <v>0</v>
      </c>
      <c r="AC128" s="130">
        <f t="shared" si="87"/>
        <v>0</v>
      </c>
      <c r="AD128" s="130">
        <f t="shared" si="87"/>
        <v>0</v>
      </c>
      <c r="AE128" s="130">
        <f t="shared" si="87"/>
        <v>0</v>
      </c>
      <c r="AF128" s="130">
        <f t="shared" si="87"/>
        <v>0</v>
      </c>
      <c r="AG128" s="130">
        <f t="shared" si="87"/>
        <v>0</v>
      </c>
      <c r="AH128" s="130">
        <f t="shared" si="82"/>
        <v>0</v>
      </c>
      <c r="AI128" s="130">
        <f t="shared" si="82"/>
        <v>0</v>
      </c>
      <c r="AJ128" s="130">
        <f t="shared" si="82"/>
        <v>0</v>
      </c>
      <c r="AK128" s="130">
        <f t="shared" si="75"/>
        <v>0</v>
      </c>
      <c r="AL128" s="130">
        <f t="shared" si="76"/>
        <v>0</v>
      </c>
      <c r="AM128" s="130">
        <f t="shared" si="77"/>
        <v>0</v>
      </c>
      <c r="AN128" s="130">
        <f t="shared" si="78"/>
        <v>0</v>
      </c>
      <c r="AO128" s="130">
        <f t="shared" si="88"/>
        <v>0</v>
      </c>
      <c r="AP128" s="130">
        <f t="shared" si="88"/>
        <v>0</v>
      </c>
      <c r="AQ128" s="130">
        <f t="shared" si="88"/>
        <v>0</v>
      </c>
      <c r="AR128" s="130">
        <f t="shared" si="88"/>
        <v>0</v>
      </c>
      <c r="AS128" s="130">
        <f t="shared" si="88"/>
        <v>0</v>
      </c>
      <c r="AT128" s="130">
        <f t="shared" si="88"/>
        <v>0</v>
      </c>
      <c r="AU128" s="130">
        <f t="shared" si="88"/>
        <v>0</v>
      </c>
      <c r="AV128" s="130">
        <f t="shared" si="88"/>
        <v>0</v>
      </c>
      <c r="AW128" s="130">
        <f t="shared" si="88"/>
        <v>0</v>
      </c>
      <c r="AX128" s="130">
        <f t="shared" si="88"/>
        <v>0</v>
      </c>
      <c r="AY128" s="130">
        <f t="shared" si="88"/>
        <v>0</v>
      </c>
      <c r="AZ128" s="130">
        <f t="shared" si="88"/>
        <v>0</v>
      </c>
      <c r="BA128" s="130">
        <f t="shared" si="88"/>
        <v>0</v>
      </c>
      <c r="BB128" s="130">
        <f t="shared" si="84"/>
        <v>0</v>
      </c>
      <c r="BC128" s="130">
        <f t="shared" si="84"/>
        <v>0</v>
      </c>
      <c r="BD128" s="130">
        <f t="shared" si="84"/>
        <v>0</v>
      </c>
      <c r="BE128" s="130">
        <f t="shared" si="84"/>
        <v>0</v>
      </c>
      <c r="BF128" s="130" t="e">
        <f>+IF($H128=#REF!,$C128,0)-IF($I128=#REF!,$C128,0)</f>
        <v>#REF!</v>
      </c>
      <c r="BG128" s="130" t="e">
        <f>+IF($H128=#REF!,$C128,0)-IF($I128=#REF!,$C128,0)</f>
        <v>#REF!</v>
      </c>
      <c r="BH128" s="130" t="e">
        <f>+IF($H128=#REF!,$C128,0)-IF($I128=#REF!,$C128,0)</f>
        <v>#REF!</v>
      </c>
      <c r="BI128" s="130">
        <f t="shared" si="89"/>
        <v>0</v>
      </c>
      <c r="BJ128" s="130">
        <f t="shared" si="89"/>
        <v>0</v>
      </c>
      <c r="BK128" s="130">
        <f t="shared" si="89"/>
        <v>0</v>
      </c>
      <c r="BL128" s="130">
        <f t="shared" si="89"/>
        <v>0</v>
      </c>
      <c r="BM128" s="130">
        <f t="shared" si="89"/>
        <v>0</v>
      </c>
      <c r="BN128" s="130">
        <f t="shared" si="89"/>
        <v>0</v>
      </c>
      <c r="BO128" s="130">
        <f t="shared" si="89"/>
        <v>0</v>
      </c>
      <c r="BP128" s="130">
        <f t="shared" si="89"/>
        <v>0</v>
      </c>
      <c r="BQ128" s="130">
        <f t="shared" si="89"/>
        <v>0</v>
      </c>
      <c r="BR128" s="130" t="e">
        <f t="shared" si="79"/>
        <v>#REF!</v>
      </c>
    </row>
    <row r="129" spans="2:70" s="119" customFormat="1" x14ac:dyDescent="0.2">
      <c r="B129" s="128"/>
      <c r="C129" s="129"/>
      <c r="D129" s="129"/>
      <c r="E129" s="129" t="e">
        <f>ROUND(IF(D129=#REF!,0,IF($H129=$S$6,(C129/1.14975*0.05*0.5),C129/1.14975*0.05)),2)</f>
        <v>#REF!</v>
      </c>
      <c r="F129" s="129" t="e">
        <f>ROUND(IF(D129=#REF!,0,IF($H129=$S$6,C129/1.14975*0.09975*0.5,C129/1.14975*0.09975)),2)</f>
        <v>#REF!</v>
      </c>
      <c r="G129" s="129" t="e">
        <f t="shared" si="73"/>
        <v>#REF!</v>
      </c>
      <c r="J129" s="130">
        <f t="shared" si="74"/>
        <v>0</v>
      </c>
      <c r="K129" s="130">
        <f t="shared" ref="K129:T138" si="90">+IF($H129=K$6,$G129,0)-IF($I129=K$6,$G129,0)</f>
        <v>0</v>
      </c>
      <c r="L129" s="130">
        <f t="shared" si="90"/>
        <v>0</v>
      </c>
      <c r="M129" s="130">
        <f t="shared" si="90"/>
        <v>0</v>
      </c>
      <c r="N129" s="130">
        <f t="shared" si="90"/>
        <v>0</v>
      </c>
      <c r="O129" s="130">
        <f t="shared" si="90"/>
        <v>0</v>
      </c>
      <c r="P129" s="130">
        <f t="shared" si="90"/>
        <v>0</v>
      </c>
      <c r="Q129" s="130">
        <f t="shared" si="90"/>
        <v>0</v>
      </c>
      <c r="R129" s="130">
        <f t="shared" si="90"/>
        <v>0</v>
      </c>
      <c r="S129" s="130">
        <f t="shared" si="90"/>
        <v>0</v>
      </c>
      <c r="T129" s="130">
        <f t="shared" si="90"/>
        <v>0</v>
      </c>
      <c r="U129" s="130">
        <f t="shared" ref="U129:AG138" si="91">+IF($H129=U$6,$G129,0)-IF($I129=U$6,$G129,0)</f>
        <v>0</v>
      </c>
      <c r="V129" s="130">
        <f t="shared" si="91"/>
        <v>0</v>
      </c>
      <c r="W129" s="130">
        <f t="shared" si="91"/>
        <v>0</v>
      </c>
      <c r="X129" s="130">
        <f t="shared" si="91"/>
        <v>0</v>
      </c>
      <c r="Y129" s="130">
        <f t="shared" si="91"/>
        <v>0</v>
      </c>
      <c r="Z129" s="130">
        <f t="shared" si="91"/>
        <v>0</v>
      </c>
      <c r="AA129" s="130">
        <f t="shared" si="91"/>
        <v>0</v>
      </c>
      <c r="AB129" s="130">
        <f t="shared" si="91"/>
        <v>0</v>
      </c>
      <c r="AC129" s="130">
        <f t="shared" si="91"/>
        <v>0</v>
      </c>
      <c r="AD129" s="130">
        <f t="shared" si="91"/>
        <v>0</v>
      </c>
      <c r="AE129" s="130">
        <f t="shared" si="91"/>
        <v>0</v>
      </c>
      <c r="AF129" s="130">
        <f t="shared" si="91"/>
        <v>0</v>
      </c>
      <c r="AG129" s="130">
        <f t="shared" si="91"/>
        <v>0</v>
      </c>
      <c r="AH129" s="130">
        <f t="shared" ref="AH129:AJ148" si="92">+IF($H129=AH$6,$C129,0)-IF($I129=AH$6,$C129,0)</f>
        <v>0</v>
      </c>
      <c r="AI129" s="130">
        <f t="shared" si="92"/>
        <v>0</v>
      </c>
      <c r="AJ129" s="130">
        <f t="shared" si="92"/>
        <v>0</v>
      </c>
      <c r="AK129" s="130">
        <f t="shared" si="75"/>
        <v>0</v>
      </c>
      <c r="AL129" s="130">
        <f t="shared" si="76"/>
        <v>0</v>
      </c>
      <c r="AM129" s="130">
        <f t="shared" si="77"/>
        <v>0</v>
      </c>
      <c r="AN129" s="130">
        <f t="shared" si="78"/>
        <v>0</v>
      </c>
      <c r="AO129" s="130">
        <f t="shared" ref="AO129:BA138" si="93">+IF($H129=AO$6,$G129,0)-IF($I129=AO$6,$G129,0)</f>
        <v>0</v>
      </c>
      <c r="AP129" s="130">
        <f t="shared" si="93"/>
        <v>0</v>
      </c>
      <c r="AQ129" s="130">
        <f t="shared" si="93"/>
        <v>0</v>
      </c>
      <c r="AR129" s="130">
        <f t="shared" si="93"/>
        <v>0</v>
      </c>
      <c r="AS129" s="130">
        <f t="shared" si="93"/>
        <v>0</v>
      </c>
      <c r="AT129" s="130">
        <f t="shared" si="93"/>
        <v>0</v>
      </c>
      <c r="AU129" s="130">
        <f t="shared" si="93"/>
        <v>0</v>
      </c>
      <c r="AV129" s="130">
        <f t="shared" si="93"/>
        <v>0</v>
      </c>
      <c r="AW129" s="130">
        <f t="shared" si="93"/>
        <v>0</v>
      </c>
      <c r="AX129" s="130">
        <f t="shared" si="93"/>
        <v>0</v>
      </c>
      <c r="AY129" s="130">
        <f t="shared" si="93"/>
        <v>0</v>
      </c>
      <c r="AZ129" s="130">
        <f t="shared" si="93"/>
        <v>0</v>
      </c>
      <c r="BA129" s="130">
        <f t="shared" si="93"/>
        <v>0</v>
      </c>
      <c r="BB129" s="130">
        <f t="shared" ref="BB129:BE148" si="94">+IF($H129=BB$6,$C129,0)-IF($I129=BB$6,$C129,0)</f>
        <v>0</v>
      </c>
      <c r="BC129" s="130">
        <f t="shared" si="94"/>
        <v>0</v>
      </c>
      <c r="BD129" s="130">
        <f t="shared" si="94"/>
        <v>0</v>
      </c>
      <c r="BE129" s="130">
        <f t="shared" si="94"/>
        <v>0</v>
      </c>
      <c r="BF129" s="130">
        <f>+IF($H129=BF$6,$C129,0)-IF($I129=BF$6,$C129,0)</f>
        <v>0</v>
      </c>
      <c r="BG129" s="130">
        <f>+IF($H129=BG$6,$C129,0)-IF($I129=BG$6,$C129,0)</f>
        <v>0</v>
      </c>
      <c r="BH129" s="130">
        <f>+IF($H129=BH$6,$C129,0)-IF($I129=BH$6,$C129,0)</f>
        <v>0</v>
      </c>
      <c r="BI129" s="130">
        <f t="shared" ref="BI129:BQ138" si="95">+IF($H129=BI$6,$G129,0)-IF($I129=BI$6,$G129,0)</f>
        <v>0</v>
      </c>
      <c r="BJ129" s="130">
        <f t="shared" si="95"/>
        <v>0</v>
      </c>
      <c r="BK129" s="130">
        <f t="shared" si="95"/>
        <v>0</v>
      </c>
      <c r="BL129" s="130">
        <f t="shared" si="95"/>
        <v>0</v>
      </c>
      <c r="BM129" s="130">
        <f t="shared" si="95"/>
        <v>0</v>
      </c>
      <c r="BN129" s="130">
        <f t="shared" si="95"/>
        <v>0</v>
      </c>
      <c r="BO129" s="130">
        <f t="shared" si="95"/>
        <v>0</v>
      </c>
      <c r="BP129" s="130">
        <f t="shared" si="95"/>
        <v>0</v>
      </c>
      <c r="BQ129" s="130">
        <f t="shared" si="95"/>
        <v>0</v>
      </c>
      <c r="BR129" s="130">
        <f t="shared" si="79"/>
        <v>0</v>
      </c>
    </row>
    <row r="130" spans="2:70" s="119" customFormat="1" x14ac:dyDescent="0.2">
      <c r="B130" s="128"/>
      <c r="C130" s="129"/>
      <c r="D130" s="129"/>
      <c r="E130" s="129" t="e">
        <f>ROUND(IF(D130=#REF!,0,IF($H130=$S$6,(C130/1.14975*0.05*0.5),C130/1.14975*0.05)),2)</f>
        <v>#REF!</v>
      </c>
      <c r="F130" s="129" t="e">
        <f>ROUND(IF(D130=#REF!,0,IF($H130=$S$6,C130/1.14975*0.09975*0.5,C130/1.14975*0.09975)),2)</f>
        <v>#REF!</v>
      </c>
      <c r="G130" s="129" t="e">
        <f t="shared" si="73"/>
        <v>#REF!</v>
      </c>
      <c r="J130" s="130">
        <f t="shared" si="74"/>
        <v>0</v>
      </c>
      <c r="K130" s="130">
        <f t="shared" si="90"/>
        <v>0</v>
      </c>
      <c r="L130" s="130">
        <f t="shared" si="90"/>
        <v>0</v>
      </c>
      <c r="M130" s="130">
        <f t="shared" si="90"/>
        <v>0</v>
      </c>
      <c r="N130" s="130">
        <f t="shared" si="90"/>
        <v>0</v>
      </c>
      <c r="O130" s="130">
        <f t="shared" si="90"/>
        <v>0</v>
      </c>
      <c r="P130" s="130">
        <f t="shared" si="90"/>
        <v>0</v>
      </c>
      <c r="Q130" s="130">
        <f t="shared" si="90"/>
        <v>0</v>
      </c>
      <c r="R130" s="130">
        <f t="shared" si="90"/>
        <v>0</v>
      </c>
      <c r="S130" s="130">
        <f t="shared" si="90"/>
        <v>0</v>
      </c>
      <c r="T130" s="130">
        <f t="shared" si="90"/>
        <v>0</v>
      </c>
      <c r="U130" s="130">
        <f t="shared" si="91"/>
        <v>0</v>
      </c>
      <c r="V130" s="130">
        <f t="shared" si="91"/>
        <v>0</v>
      </c>
      <c r="W130" s="130">
        <f t="shared" si="91"/>
        <v>0</v>
      </c>
      <c r="X130" s="130">
        <f t="shared" si="91"/>
        <v>0</v>
      </c>
      <c r="Y130" s="130">
        <f t="shared" si="91"/>
        <v>0</v>
      </c>
      <c r="Z130" s="130">
        <f t="shared" si="91"/>
        <v>0</v>
      </c>
      <c r="AA130" s="130">
        <f t="shared" si="91"/>
        <v>0</v>
      </c>
      <c r="AB130" s="130">
        <f t="shared" si="91"/>
        <v>0</v>
      </c>
      <c r="AC130" s="130">
        <f t="shared" si="91"/>
        <v>0</v>
      </c>
      <c r="AD130" s="130">
        <f t="shared" si="91"/>
        <v>0</v>
      </c>
      <c r="AE130" s="130">
        <f t="shared" si="91"/>
        <v>0</v>
      </c>
      <c r="AF130" s="130">
        <f t="shared" si="91"/>
        <v>0</v>
      </c>
      <c r="AG130" s="130">
        <f t="shared" si="91"/>
        <v>0</v>
      </c>
      <c r="AH130" s="130">
        <f t="shared" si="92"/>
        <v>0</v>
      </c>
      <c r="AI130" s="130">
        <f t="shared" si="92"/>
        <v>0</v>
      </c>
      <c r="AJ130" s="130">
        <f t="shared" si="92"/>
        <v>0</v>
      </c>
      <c r="AK130" s="130">
        <f t="shared" si="75"/>
        <v>0</v>
      </c>
      <c r="AL130" s="130">
        <f t="shared" si="76"/>
        <v>0</v>
      </c>
      <c r="AM130" s="130">
        <f t="shared" si="77"/>
        <v>0</v>
      </c>
      <c r="AN130" s="130">
        <f t="shared" si="78"/>
        <v>0</v>
      </c>
      <c r="AO130" s="130">
        <f t="shared" si="93"/>
        <v>0</v>
      </c>
      <c r="AP130" s="130">
        <f t="shared" si="93"/>
        <v>0</v>
      </c>
      <c r="AQ130" s="130">
        <f t="shared" si="93"/>
        <v>0</v>
      </c>
      <c r="AR130" s="130">
        <f t="shared" si="93"/>
        <v>0</v>
      </c>
      <c r="AS130" s="130">
        <f t="shared" si="93"/>
        <v>0</v>
      </c>
      <c r="AT130" s="130">
        <f t="shared" si="93"/>
        <v>0</v>
      </c>
      <c r="AU130" s="130">
        <f t="shared" si="93"/>
        <v>0</v>
      </c>
      <c r="AV130" s="130">
        <f t="shared" si="93"/>
        <v>0</v>
      </c>
      <c r="AW130" s="130">
        <f t="shared" si="93"/>
        <v>0</v>
      </c>
      <c r="AX130" s="130">
        <f t="shared" si="93"/>
        <v>0</v>
      </c>
      <c r="AY130" s="130">
        <f t="shared" si="93"/>
        <v>0</v>
      </c>
      <c r="AZ130" s="130">
        <f t="shared" si="93"/>
        <v>0</v>
      </c>
      <c r="BA130" s="130">
        <f t="shared" si="93"/>
        <v>0</v>
      </c>
      <c r="BB130" s="130">
        <f t="shared" si="94"/>
        <v>0</v>
      </c>
      <c r="BC130" s="130">
        <f t="shared" si="94"/>
        <v>0</v>
      </c>
      <c r="BD130" s="130">
        <f t="shared" si="94"/>
        <v>0</v>
      </c>
      <c r="BE130" s="130">
        <f t="shared" si="94"/>
        <v>0</v>
      </c>
      <c r="BF130" s="130" t="e">
        <f>+IF($H130=#REF!,$C130,0)-IF($I130=#REF!,$C130,0)</f>
        <v>#REF!</v>
      </c>
      <c r="BG130" s="130" t="e">
        <f>+IF($H130=#REF!,$C130,0)-IF($I130=#REF!,$C130,0)</f>
        <v>#REF!</v>
      </c>
      <c r="BH130" s="130" t="e">
        <f>+IF($H130=#REF!,$C130,0)-IF($I130=#REF!,$C130,0)</f>
        <v>#REF!</v>
      </c>
      <c r="BI130" s="130">
        <f t="shared" si="95"/>
        <v>0</v>
      </c>
      <c r="BJ130" s="130">
        <f t="shared" si="95"/>
        <v>0</v>
      </c>
      <c r="BK130" s="130">
        <f t="shared" si="95"/>
        <v>0</v>
      </c>
      <c r="BL130" s="130">
        <f t="shared" si="95"/>
        <v>0</v>
      </c>
      <c r="BM130" s="130">
        <f t="shared" si="95"/>
        <v>0</v>
      </c>
      <c r="BN130" s="130">
        <f t="shared" si="95"/>
        <v>0</v>
      </c>
      <c r="BO130" s="130">
        <f t="shared" si="95"/>
        <v>0</v>
      </c>
      <c r="BP130" s="130">
        <f t="shared" si="95"/>
        <v>0</v>
      </c>
      <c r="BQ130" s="130">
        <f t="shared" si="95"/>
        <v>0</v>
      </c>
      <c r="BR130" s="130" t="e">
        <f t="shared" si="79"/>
        <v>#REF!</v>
      </c>
    </row>
    <row r="131" spans="2:70" s="119" customFormat="1" x14ac:dyDescent="0.2">
      <c r="B131" s="128"/>
      <c r="C131" s="129"/>
      <c r="D131" s="129"/>
      <c r="E131" s="129" t="e">
        <f>ROUND(IF(D131=#REF!,0,IF($H131=$S$6,(C131/1.14975*0.05*0.5),C131/1.14975*0.05)),2)</f>
        <v>#REF!</v>
      </c>
      <c r="F131" s="129" t="e">
        <f>ROUND(IF(D131=#REF!,0,IF($H131=$S$6,C131/1.14975*0.09975*0.5,C131/1.14975*0.09975)),2)</f>
        <v>#REF!</v>
      </c>
      <c r="G131" s="129" t="e">
        <f t="shared" si="73"/>
        <v>#REF!</v>
      </c>
      <c r="J131" s="130">
        <f t="shared" si="74"/>
        <v>0</v>
      </c>
      <c r="K131" s="130">
        <f t="shared" si="90"/>
        <v>0</v>
      </c>
      <c r="L131" s="130">
        <f t="shared" si="90"/>
        <v>0</v>
      </c>
      <c r="M131" s="130">
        <f t="shared" si="90"/>
        <v>0</v>
      </c>
      <c r="N131" s="130">
        <f t="shared" si="90"/>
        <v>0</v>
      </c>
      <c r="O131" s="130">
        <f t="shared" si="90"/>
        <v>0</v>
      </c>
      <c r="P131" s="130">
        <f t="shared" si="90"/>
        <v>0</v>
      </c>
      <c r="Q131" s="130">
        <f t="shared" si="90"/>
        <v>0</v>
      </c>
      <c r="R131" s="130">
        <f t="shared" si="90"/>
        <v>0</v>
      </c>
      <c r="S131" s="130">
        <f t="shared" si="90"/>
        <v>0</v>
      </c>
      <c r="T131" s="130">
        <f t="shared" si="90"/>
        <v>0</v>
      </c>
      <c r="U131" s="130">
        <f t="shared" si="91"/>
        <v>0</v>
      </c>
      <c r="V131" s="130">
        <f t="shared" si="91"/>
        <v>0</v>
      </c>
      <c r="W131" s="130">
        <f t="shared" si="91"/>
        <v>0</v>
      </c>
      <c r="X131" s="130">
        <f t="shared" si="91"/>
        <v>0</v>
      </c>
      <c r="Y131" s="130">
        <f t="shared" si="91"/>
        <v>0</v>
      </c>
      <c r="Z131" s="130">
        <f t="shared" si="91"/>
        <v>0</v>
      </c>
      <c r="AA131" s="130">
        <f t="shared" si="91"/>
        <v>0</v>
      </c>
      <c r="AB131" s="130">
        <f t="shared" si="91"/>
        <v>0</v>
      </c>
      <c r="AC131" s="130">
        <f t="shared" si="91"/>
        <v>0</v>
      </c>
      <c r="AD131" s="130">
        <f t="shared" si="91"/>
        <v>0</v>
      </c>
      <c r="AE131" s="130">
        <f t="shared" si="91"/>
        <v>0</v>
      </c>
      <c r="AF131" s="130">
        <f t="shared" si="91"/>
        <v>0</v>
      </c>
      <c r="AG131" s="130">
        <f t="shared" si="91"/>
        <v>0</v>
      </c>
      <c r="AH131" s="130">
        <f t="shared" si="92"/>
        <v>0</v>
      </c>
      <c r="AI131" s="130">
        <f t="shared" si="92"/>
        <v>0</v>
      </c>
      <c r="AJ131" s="130">
        <f t="shared" si="92"/>
        <v>0</v>
      </c>
      <c r="AK131" s="130">
        <f t="shared" si="75"/>
        <v>0</v>
      </c>
      <c r="AL131" s="130">
        <f t="shared" si="76"/>
        <v>0</v>
      </c>
      <c r="AM131" s="130">
        <f t="shared" si="77"/>
        <v>0</v>
      </c>
      <c r="AN131" s="130">
        <f t="shared" si="78"/>
        <v>0</v>
      </c>
      <c r="AO131" s="130">
        <f t="shared" si="93"/>
        <v>0</v>
      </c>
      <c r="AP131" s="130">
        <f t="shared" si="93"/>
        <v>0</v>
      </c>
      <c r="AQ131" s="130">
        <f t="shared" si="93"/>
        <v>0</v>
      </c>
      <c r="AR131" s="130">
        <f t="shared" si="93"/>
        <v>0</v>
      </c>
      <c r="AS131" s="130">
        <f t="shared" si="93"/>
        <v>0</v>
      </c>
      <c r="AT131" s="130">
        <f t="shared" si="93"/>
        <v>0</v>
      </c>
      <c r="AU131" s="130">
        <f t="shared" si="93"/>
        <v>0</v>
      </c>
      <c r="AV131" s="130">
        <f t="shared" si="93"/>
        <v>0</v>
      </c>
      <c r="AW131" s="130">
        <f t="shared" si="93"/>
        <v>0</v>
      </c>
      <c r="AX131" s="130">
        <f t="shared" si="93"/>
        <v>0</v>
      </c>
      <c r="AY131" s="130">
        <f t="shared" si="93"/>
        <v>0</v>
      </c>
      <c r="AZ131" s="130">
        <f t="shared" si="93"/>
        <v>0</v>
      </c>
      <c r="BA131" s="130">
        <f t="shared" si="93"/>
        <v>0</v>
      </c>
      <c r="BB131" s="130">
        <f t="shared" si="94"/>
        <v>0</v>
      </c>
      <c r="BC131" s="130">
        <f t="shared" si="94"/>
        <v>0</v>
      </c>
      <c r="BD131" s="130">
        <f t="shared" si="94"/>
        <v>0</v>
      </c>
      <c r="BE131" s="130">
        <f t="shared" si="94"/>
        <v>0</v>
      </c>
      <c r="BF131" s="130" t="e">
        <f>+IF($H131=#REF!,$C131,0)-IF($I131=#REF!,$C131,0)</f>
        <v>#REF!</v>
      </c>
      <c r="BG131" s="130" t="e">
        <f>+IF($H131=#REF!,$C131,0)-IF($I131=#REF!,$C131,0)</f>
        <v>#REF!</v>
      </c>
      <c r="BH131" s="130" t="e">
        <f>+IF($H131=#REF!,$C131,0)-IF($I131=#REF!,$C131,0)</f>
        <v>#REF!</v>
      </c>
      <c r="BI131" s="130">
        <f t="shared" si="95"/>
        <v>0</v>
      </c>
      <c r="BJ131" s="130">
        <f t="shared" si="95"/>
        <v>0</v>
      </c>
      <c r="BK131" s="130">
        <f t="shared" si="95"/>
        <v>0</v>
      </c>
      <c r="BL131" s="130">
        <f t="shared" si="95"/>
        <v>0</v>
      </c>
      <c r="BM131" s="130">
        <f t="shared" si="95"/>
        <v>0</v>
      </c>
      <c r="BN131" s="130">
        <f t="shared" si="95"/>
        <v>0</v>
      </c>
      <c r="BO131" s="130">
        <f t="shared" si="95"/>
        <v>0</v>
      </c>
      <c r="BP131" s="130">
        <f t="shared" si="95"/>
        <v>0</v>
      </c>
      <c r="BQ131" s="130">
        <f t="shared" si="95"/>
        <v>0</v>
      </c>
      <c r="BR131" s="130" t="e">
        <f t="shared" si="79"/>
        <v>#REF!</v>
      </c>
    </row>
    <row r="132" spans="2:70" s="119" customFormat="1" x14ac:dyDescent="0.2">
      <c r="B132" s="128"/>
      <c r="C132" s="129"/>
      <c r="D132" s="129"/>
      <c r="E132" s="129" t="e">
        <f>ROUND(IF(D132=#REF!,0,IF($H132=$S$6,(C132/1.14975*0.05*0.5),C132/1.14975*0.05)),2)</f>
        <v>#REF!</v>
      </c>
      <c r="F132" s="129" t="e">
        <f>ROUND(IF(D132=#REF!,0,IF($H132=$S$6,C132/1.14975*0.09975*0.5,C132/1.14975*0.09975)),2)</f>
        <v>#REF!</v>
      </c>
      <c r="G132" s="129" t="e">
        <f t="shared" si="73"/>
        <v>#REF!</v>
      </c>
      <c r="J132" s="130">
        <f t="shared" si="74"/>
        <v>0</v>
      </c>
      <c r="K132" s="130">
        <f t="shared" si="90"/>
        <v>0</v>
      </c>
      <c r="L132" s="130">
        <f t="shared" si="90"/>
        <v>0</v>
      </c>
      <c r="M132" s="130">
        <f t="shared" si="90"/>
        <v>0</v>
      </c>
      <c r="N132" s="130">
        <f t="shared" si="90"/>
        <v>0</v>
      </c>
      <c r="O132" s="130">
        <f t="shared" si="90"/>
        <v>0</v>
      </c>
      <c r="P132" s="130">
        <f t="shared" si="90"/>
        <v>0</v>
      </c>
      <c r="Q132" s="130">
        <f t="shared" si="90"/>
        <v>0</v>
      </c>
      <c r="R132" s="130">
        <f t="shared" si="90"/>
        <v>0</v>
      </c>
      <c r="S132" s="130">
        <f t="shared" si="90"/>
        <v>0</v>
      </c>
      <c r="T132" s="130">
        <f t="shared" si="90"/>
        <v>0</v>
      </c>
      <c r="U132" s="130">
        <f t="shared" si="91"/>
        <v>0</v>
      </c>
      <c r="V132" s="130">
        <f t="shared" si="91"/>
        <v>0</v>
      </c>
      <c r="W132" s="130">
        <f t="shared" si="91"/>
        <v>0</v>
      </c>
      <c r="X132" s="130">
        <f t="shared" si="91"/>
        <v>0</v>
      </c>
      <c r="Y132" s="130">
        <f t="shared" si="91"/>
        <v>0</v>
      </c>
      <c r="Z132" s="130">
        <f t="shared" si="91"/>
        <v>0</v>
      </c>
      <c r="AA132" s="130">
        <f t="shared" si="91"/>
        <v>0</v>
      </c>
      <c r="AB132" s="130">
        <f t="shared" si="91"/>
        <v>0</v>
      </c>
      <c r="AC132" s="130">
        <f t="shared" si="91"/>
        <v>0</v>
      </c>
      <c r="AD132" s="130">
        <f t="shared" si="91"/>
        <v>0</v>
      </c>
      <c r="AE132" s="130">
        <f t="shared" si="91"/>
        <v>0</v>
      </c>
      <c r="AF132" s="130">
        <f t="shared" si="91"/>
        <v>0</v>
      </c>
      <c r="AG132" s="130">
        <f t="shared" si="91"/>
        <v>0</v>
      </c>
      <c r="AH132" s="130">
        <f t="shared" si="92"/>
        <v>0</v>
      </c>
      <c r="AI132" s="130">
        <f t="shared" si="92"/>
        <v>0</v>
      </c>
      <c r="AJ132" s="130">
        <f t="shared" si="92"/>
        <v>0</v>
      </c>
      <c r="AK132" s="130">
        <f t="shared" si="75"/>
        <v>0</v>
      </c>
      <c r="AL132" s="130">
        <f t="shared" si="76"/>
        <v>0</v>
      </c>
      <c r="AM132" s="130">
        <f t="shared" si="77"/>
        <v>0</v>
      </c>
      <c r="AN132" s="130">
        <f t="shared" si="78"/>
        <v>0</v>
      </c>
      <c r="AO132" s="130">
        <f t="shared" si="93"/>
        <v>0</v>
      </c>
      <c r="AP132" s="130">
        <f t="shared" si="93"/>
        <v>0</v>
      </c>
      <c r="AQ132" s="130">
        <f t="shared" si="93"/>
        <v>0</v>
      </c>
      <c r="AR132" s="130">
        <f t="shared" si="93"/>
        <v>0</v>
      </c>
      <c r="AS132" s="130">
        <f t="shared" si="93"/>
        <v>0</v>
      </c>
      <c r="AT132" s="130">
        <f t="shared" si="93"/>
        <v>0</v>
      </c>
      <c r="AU132" s="130">
        <f t="shared" si="93"/>
        <v>0</v>
      </c>
      <c r="AV132" s="130">
        <f t="shared" si="93"/>
        <v>0</v>
      </c>
      <c r="AW132" s="130">
        <f t="shared" si="93"/>
        <v>0</v>
      </c>
      <c r="AX132" s="130">
        <f t="shared" si="93"/>
        <v>0</v>
      </c>
      <c r="AY132" s="130">
        <f t="shared" si="93"/>
        <v>0</v>
      </c>
      <c r="AZ132" s="130">
        <f t="shared" si="93"/>
        <v>0</v>
      </c>
      <c r="BA132" s="130">
        <f t="shared" si="93"/>
        <v>0</v>
      </c>
      <c r="BB132" s="130">
        <f t="shared" si="94"/>
        <v>0</v>
      </c>
      <c r="BC132" s="130">
        <f t="shared" si="94"/>
        <v>0</v>
      </c>
      <c r="BD132" s="130">
        <f t="shared" si="94"/>
        <v>0</v>
      </c>
      <c r="BE132" s="130">
        <f t="shared" si="94"/>
        <v>0</v>
      </c>
      <c r="BF132" s="130" t="e">
        <f>+IF($H132=#REF!,$C132,0)-IF($I132=#REF!,$C132,0)</f>
        <v>#REF!</v>
      </c>
      <c r="BG132" s="130" t="e">
        <f>+IF($H132=#REF!,$C132,0)-IF($I132=#REF!,$C132,0)</f>
        <v>#REF!</v>
      </c>
      <c r="BH132" s="130" t="e">
        <f>+IF($H132=#REF!,$C132,0)-IF($I132=#REF!,$C132,0)</f>
        <v>#REF!</v>
      </c>
      <c r="BI132" s="130">
        <f t="shared" si="95"/>
        <v>0</v>
      </c>
      <c r="BJ132" s="130">
        <f t="shared" si="95"/>
        <v>0</v>
      </c>
      <c r="BK132" s="130">
        <f t="shared" si="95"/>
        <v>0</v>
      </c>
      <c r="BL132" s="130">
        <f t="shared" si="95"/>
        <v>0</v>
      </c>
      <c r="BM132" s="130">
        <f t="shared" si="95"/>
        <v>0</v>
      </c>
      <c r="BN132" s="130">
        <f t="shared" si="95"/>
        <v>0</v>
      </c>
      <c r="BO132" s="130">
        <f t="shared" si="95"/>
        <v>0</v>
      </c>
      <c r="BP132" s="130">
        <f t="shared" si="95"/>
        <v>0</v>
      </c>
      <c r="BQ132" s="130">
        <f t="shared" si="95"/>
        <v>0</v>
      </c>
      <c r="BR132" s="130" t="e">
        <f t="shared" si="79"/>
        <v>#REF!</v>
      </c>
    </row>
    <row r="133" spans="2:70" s="119" customFormat="1" x14ac:dyDescent="0.2">
      <c r="B133" s="128"/>
      <c r="C133" s="129"/>
      <c r="D133" s="129"/>
      <c r="E133" s="129" t="e">
        <f>ROUND(IF(D133=#REF!,0,IF($H133=$S$6,(C133/1.14975*0.05*0.5),C133/1.14975*0.05)),2)</f>
        <v>#REF!</v>
      </c>
      <c r="F133" s="129" t="e">
        <f>ROUND(IF(D133=#REF!,0,IF($H133=$S$6,C133/1.14975*0.09975*0.5,C133/1.14975*0.09975)),2)</f>
        <v>#REF!</v>
      </c>
      <c r="G133" s="129" t="e">
        <f t="shared" si="73"/>
        <v>#REF!</v>
      </c>
      <c r="J133" s="130">
        <f t="shared" si="74"/>
        <v>0</v>
      </c>
      <c r="K133" s="130">
        <f t="shared" si="90"/>
        <v>0</v>
      </c>
      <c r="L133" s="130">
        <f t="shared" si="90"/>
        <v>0</v>
      </c>
      <c r="M133" s="130">
        <f t="shared" si="90"/>
        <v>0</v>
      </c>
      <c r="N133" s="130">
        <f t="shared" si="90"/>
        <v>0</v>
      </c>
      <c r="O133" s="130">
        <f t="shared" si="90"/>
        <v>0</v>
      </c>
      <c r="P133" s="130">
        <f t="shared" si="90"/>
        <v>0</v>
      </c>
      <c r="Q133" s="130">
        <f t="shared" si="90"/>
        <v>0</v>
      </c>
      <c r="R133" s="130">
        <f t="shared" si="90"/>
        <v>0</v>
      </c>
      <c r="S133" s="130">
        <f t="shared" si="90"/>
        <v>0</v>
      </c>
      <c r="T133" s="130">
        <f t="shared" si="90"/>
        <v>0</v>
      </c>
      <c r="U133" s="130">
        <f t="shared" si="91"/>
        <v>0</v>
      </c>
      <c r="V133" s="130">
        <f t="shared" si="91"/>
        <v>0</v>
      </c>
      <c r="W133" s="130">
        <f t="shared" si="91"/>
        <v>0</v>
      </c>
      <c r="X133" s="130">
        <f t="shared" si="91"/>
        <v>0</v>
      </c>
      <c r="Y133" s="130">
        <f t="shared" si="91"/>
        <v>0</v>
      </c>
      <c r="Z133" s="130">
        <f t="shared" si="91"/>
        <v>0</v>
      </c>
      <c r="AA133" s="130">
        <f t="shared" si="91"/>
        <v>0</v>
      </c>
      <c r="AB133" s="130">
        <f t="shared" si="91"/>
        <v>0</v>
      </c>
      <c r="AC133" s="130">
        <f t="shared" si="91"/>
        <v>0</v>
      </c>
      <c r="AD133" s="130">
        <f t="shared" si="91"/>
        <v>0</v>
      </c>
      <c r="AE133" s="130">
        <f t="shared" si="91"/>
        <v>0</v>
      </c>
      <c r="AF133" s="130">
        <f t="shared" si="91"/>
        <v>0</v>
      </c>
      <c r="AG133" s="130">
        <f t="shared" si="91"/>
        <v>0</v>
      </c>
      <c r="AH133" s="130">
        <f t="shared" si="92"/>
        <v>0</v>
      </c>
      <c r="AI133" s="130">
        <f t="shared" si="92"/>
        <v>0</v>
      </c>
      <c r="AJ133" s="130">
        <f t="shared" si="92"/>
        <v>0</v>
      </c>
      <c r="AK133" s="130">
        <f t="shared" si="75"/>
        <v>0</v>
      </c>
      <c r="AL133" s="130">
        <f t="shared" si="76"/>
        <v>0</v>
      </c>
      <c r="AM133" s="130">
        <f t="shared" si="77"/>
        <v>0</v>
      </c>
      <c r="AN133" s="130">
        <f t="shared" si="78"/>
        <v>0</v>
      </c>
      <c r="AO133" s="130">
        <f t="shared" si="93"/>
        <v>0</v>
      </c>
      <c r="AP133" s="130">
        <f t="shared" si="93"/>
        <v>0</v>
      </c>
      <c r="AQ133" s="130">
        <f t="shared" si="93"/>
        <v>0</v>
      </c>
      <c r="AR133" s="130">
        <f t="shared" si="93"/>
        <v>0</v>
      </c>
      <c r="AS133" s="130">
        <f t="shared" si="93"/>
        <v>0</v>
      </c>
      <c r="AT133" s="130">
        <f t="shared" si="93"/>
        <v>0</v>
      </c>
      <c r="AU133" s="130">
        <f t="shared" si="93"/>
        <v>0</v>
      </c>
      <c r="AV133" s="130">
        <f t="shared" si="93"/>
        <v>0</v>
      </c>
      <c r="AW133" s="130">
        <f t="shared" si="93"/>
        <v>0</v>
      </c>
      <c r="AX133" s="130">
        <f t="shared" si="93"/>
        <v>0</v>
      </c>
      <c r="AY133" s="130">
        <f t="shared" si="93"/>
        <v>0</v>
      </c>
      <c r="AZ133" s="130">
        <f t="shared" si="93"/>
        <v>0</v>
      </c>
      <c r="BA133" s="130">
        <f t="shared" si="93"/>
        <v>0</v>
      </c>
      <c r="BB133" s="130">
        <f t="shared" si="94"/>
        <v>0</v>
      </c>
      <c r="BC133" s="130">
        <f t="shared" si="94"/>
        <v>0</v>
      </c>
      <c r="BD133" s="130">
        <f t="shared" si="94"/>
        <v>0</v>
      </c>
      <c r="BE133" s="130">
        <f t="shared" si="94"/>
        <v>0</v>
      </c>
      <c r="BF133" s="130" t="e">
        <f>+IF($H133=#REF!,$C133,0)-IF($I133=#REF!,$C133,0)</f>
        <v>#REF!</v>
      </c>
      <c r="BG133" s="130" t="e">
        <f>+IF($H133=#REF!,$C133,0)-IF($I133=#REF!,$C133,0)</f>
        <v>#REF!</v>
      </c>
      <c r="BH133" s="130" t="e">
        <f>+IF($H133=#REF!,$C133,0)-IF($I133=#REF!,$C133,0)</f>
        <v>#REF!</v>
      </c>
      <c r="BI133" s="130">
        <f t="shared" si="95"/>
        <v>0</v>
      </c>
      <c r="BJ133" s="130">
        <f t="shared" si="95"/>
        <v>0</v>
      </c>
      <c r="BK133" s="130">
        <f t="shared" si="95"/>
        <v>0</v>
      </c>
      <c r="BL133" s="130">
        <f t="shared" si="95"/>
        <v>0</v>
      </c>
      <c r="BM133" s="130">
        <f t="shared" si="95"/>
        <v>0</v>
      </c>
      <c r="BN133" s="130">
        <f t="shared" si="95"/>
        <v>0</v>
      </c>
      <c r="BO133" s="130">
        <f t="shared" si="95"/>
        <v>0</v>
      </c>
      <c r="BP133" s="130">
        <f t="shared" si="95"/>
        <v>0</v>
      </c>
      <c r="BQ133" s="130">
        <f t="shared" si="95"/>
        <v>0</v>
      </c>
      <c r="BR133" s="130" t="e">
        <f t="shared" si="79"/>
        <v>#REF!</v>
      </c>
    </row>
    <row r="134" spans="2:70" s="119" customFormat="1" x14ac:dyDescent="0.2">
      <c r="B134" s="128"/>
      <c r="C134" s="129"/>
      <c r="D134" s="129"/>
      <c r="E134" s="129" t="e">
        <f>ROUND(IF(D134=#REF!,0,IF($H134=$S$6,(C134/1.14975*0.05*0.5),C134/1.14975*0.05)),2)</f>
        <v>#REF!</v>
      </c>
      <c r="F134" s="129" t="e">
        <f>ROUND(IF(D134=#REF!,0,IF($H134=$S$6,C134/1.14975*0.09975*0.5,C134/1.14975*0.09975)),2)</f>
        <v>#REF!</v>
      </c>
      <c r="G134" s="129" t="e">
        <f t="shared" si="73"/>
        <v>#REF!</v>
      </c>
      <c r="J134" s="130">
        <f t="shared" si="74"/>
        <v>0</v>
      </c>
      <c r="K134" s="130">
        <f t="shared" si="90"/>
        <v>0</v>
      </c>
      <c r="L134" s="130">
        <f t="shared" si="90"/>
        <v>0</v>
      </c>
      <c r="M134" s="130">
        <f t="shared" si="90"/>
        <v>0</v>
      </c>
      <c r="N134" s="130">
        <f t="shared" si="90"/>
        <v>0</v>
      </c>
      <c r="O134" s="130">
        <f t="shared" si="90"/>
        <v>0</v>
      </c>
      <c r="P134" s="130">
        <f t="shared" si="90"/>
        <v>0</v>
      </c>
      <c r="Q134" s="130">
        <f t="shared" si="90"/>
        <v>0</v>
      </c>
      <c r="R134" s="130">
        <f t="shared" si="90"/>
        <v>0</v>
      </c>
      <c r="S134" s="130">
        <f t="shared" si="90"/>
        <v>0</v>
      </c>
      <c r="T134" s="130">
        <f t="shared" si="90"/>
        <v>0</v>
      </c>
      <c r="U134" s="130">
        <f t="shared" si="91"/>
        <v>0</v>
      </c>
      <c r="V134" s="130">
        <f t="shared" si="91"/>
        <v>0</v>
      </c>
      <c r="W134" s="130">
        <f t="shared" si="91"/>
        <v>0</v>
      </c>
      <c r="X134" s="130">
        <f t="shared" si="91"/>
        <v>0</v>
      </c>
      <c r="Y134" s="130">
        <f t="shared" si="91"/>
        <v>0</v>
      </c>
      <c r="Z134" s="130">
        <f t="shared" si="91"/>
        <v>0</v>
      </c>
      <c r="AA134" s="130">
        <f t="shared" si="91"/>
        <v>0</v>
      </c>
      <c r="AB134" s="130">
        <f t="shared" si="91"/>
        <v>0</v>
      </c>
      <c r="AC134" s="130">
        <f t="shared" si="91"/>
        <v>0</v>
      </c>
      <c r="AD134" s="130">
        <f t="shared" si="91"/>
        <v>0</v>
      </c>
      <c r="AE134" s="130">
        <f t="shared" si="91"/>
        <v>0</v>
      </c>
      <c r="AF134" s="130">
        <f t="shared" si="91"/>
        <v>0</v>
      </c>
      <c r="AG134" s="130">
        <f t="shared" si="91"/>
        <v>0</v>
      </c>
      <c r="AH134" s="130">
        <f t="shared" si="92"/>
        <v>0</v>
      </c>
      <c r="AI134" s="130">
        <f t="shared" si="92"/>
        <v>0</v>
      </c>
      <c r="AJ134" s="130">
        <f t="shared" si="92"/>
        <v>0</v>
      </c>
      <c r="AK134" s="130">
        <f t="shared" si="75"/>
        <v>0</v>
      </c>
      <c r="AL134" s="130">
        <f t="shared" si="76"/>
        <v>0</v>
      </c>
      <c r="AM134" s="130">
        <f t="shared" si="77"/>
        <v>0</v>
      </c>
      <c r="AN134" s="130">
        <f t="shared" si="78"/>
        <v>0</v>
      </c>
      <c r="AO134" s="130">
        <f t="shared" si="93"/>
        <v>0</v>
      </c>
      <c r="AP134" s="130">
        <f t="shared" si="93"/>
        <v>0</v>
      </c>
      <c r="AQ134" s="130">
        <f t="shared" si="93"/>
        <v>0</v>
      </c>
      <c r="AR134" s="130">
        <f t="shared" si="93"/>
        <v>0</v>
      </c>
      <c r="AS134" s="130">
        <f t="shared" si="93"/>
        <v>0</v>
      </c>
      <c r="AT134" s="130">
        <f t="shared" si="93"/>
        <v>0</v>
      </c>
      <c r="AU134" s="130">
        <f t="shared" si="93"/>
        <v>0</v>
      </c>
      <c r="AV134" s="130">
        <f t="shared" si="93"/>
        <v>0</v>
      </c>
      <c r="AW134" s="130">
        <f t="shared" si="93"/>
        <v>0</v>
      </c>
      <c r="AX134" s="130">
        <f t="shared" si="93"/>
        <v>0</v>
      </c>
      <c r="AY134" s="130">
        <f t="shared" si="93"/>
        <v>0</v>
      </c>
      <c r="AZ134" s="130">
        <f t="shared" si="93"/>
        <v>0</v>
      </c>
      <c r="BA134" s="130">
        <f t="shared" si="93"/>
        <v>0</v>
      </c>
      <c r="BB134" s="130">
        <f t="shared" si="94"/>
        <v>0</v>
      </c>
      <c r="BC134" s="130">
        <f t="shared" si="94"/>
        <v>0</v>
      </c>
      <c r="BD134" s="130">
        <f t="shared" si="94"/>
        <v>0</v>
      </c>
      <c r="BE134" s="130">
        <f t="shared" si="94"/>
        <v>0</v>
      </c>
      <c r="BF134" s="130" t="e">
        <f>+IF($H134=#REF!,$C134,0)-IF($I134=#REF!,$C134,0)</f>
        <v>#REF!</v>
      </c>
      <c r="BG134" s="130" t="e">
        <f>+IF($H134=#REF!,$C134,0)-IF($I134=#REF!,$C134,0)</f>
        <v>#REF!</v>
      </c>
      <c r="BH134" s="130" t="e">
        <f>+IF($H134=#REF!,$C134,0)-IF($I134=#REF!,$C134,0)</f>
        <v>#REF!</v>
      </c>
      <c r="BI134" s="130">
        <f t="shared" si="95"/>
        <v>0</v>
      </c>
      <c r="BJ134" s="130">
        <f t="shared" si="95"/>
        <v>0</v>
      </c>
      <c r="BK134" s="130">
        <f t="shared" si="95"/>
        <v>0</v>
      </c>
      <c r="BL134" s="130">
        <f t="shared" si="95"/>
        <v>0</v>
      </c>
      <c r="BM134" s="130">
        <f t="shared" si="95"/>
        <v>0</v>
      </c>
      <c r="BN134" s="130">
        <f t="shared" si="95"/>
        <v>0</v>
      </c>
      <c r="BO134" s="130">
        <f t="shared" si="95"/>
        <v>0</v>
      </c>
      <c r="BP134" s="130">
        <f t="shared" si="95"/>
        <v>0</v>
      </c>
      <c r="BQ134" s="130">
        <f t="shared" si="95"/>
        <v>0</v>
      </c>
      <c r="BR134" s="130" t="e">
        <f t="shared" si="79"/>
        <v>#REF!</v>
      </c>
    </row>
    <row r="135" spans="2:70" s="119" customFormat="1" x14ac:dyDescent="0.2">
      <c r="B135" s="128"/>
      <c r="C135" s="129"/>
      <c r="D135" s="129"/>
      <c r="E135" s="129" t="e">
        <f>ROUND(IF(D135=#REF!,0,IF($H135=$S$6,(C135/1.14975*0.05*0.5),C135/1.14975*0.05)),2)</f>
        <v>#REF!</v>
      </c>
      <c r="F135" s="129" t="e">
        <f>ROUND(IF(D135=#REF!,0,IF($H135=$S$6,C135/1.14975*0.09975*0.5,C135/1.14975*0.09975)),2)</f>
        <v>#REF!</v>
      </c>
      <c r="G135" s="129" t="e">
        <f t="shared" si="73"/>
        <v>#REF!</v>
      </c>
      <c r="J135" s="130">
        <f t="shared" si="74"/>
        <v>0</v>
      </c>
      <c r="K135" s="130">
        <f t="shared" si="90"/>
        <v>0</v>
      </c>
      <c r="L135" s="130">
        <f t="shared" si="90"/>
        <v>0</v>
      </c>
      <c r="M135" s="130">
        <f t="shared" si="90"/>
        <v>0</v>
      </c>
      <c r="N135" s="130">
        <f t="shared" si="90"/>
        <v>0</v>
      </c>
      <c r="O135" s="130">
        <f t="shared" si="90"/>
        <v>0</v>
      </c>
      <c r="P135" s="130">
        <f t="shared" si="90"/>
        <v>0</v>
      </c>
      <c r="Q135" s="130">
        <f t="shared" si="90"/>
        <v>0</v>
      </c>
      <c r="R135" s="130">
        <f t="shared" si="90"/>
        <v>0</v>
      </c>
      <c r="S135" s="130">
        <f t="shared" si="90"/>
        <v>0</v>
      </c>
      <c r="T135" s="130">
        <f t="shared" si="90"/>
        <v>0</v>
      </c>
      <c r="U135" s="130">
        <f t="shared" si="91"/>
        <v>0</v>
      </c>
      <c r="V135" s="130">
        <f t="shared" si="91"/>
        <v>0</v>
      </c>
      <c r="W135" s="130">
        <f t="shared" si="91"/>
        <v>0</v>
      </c>
      <c r="X135" s="130">
        <f t="shared" si="91"/>
        <v>0</v>
      </c>
      <c r="Y135" s="130">
        <f t="shared" si="91"/>
        <v>0</v>
      </c>
      <c r="Z135" s="130">
        <f t="shared" si="91"/>
        <v>0</v>
      </c>
      <c r="AA135" s="130">
        <f t="shared" si="91"/>
        <v>0</v>
      </c>
      <c r="AB135" s="130">
        <f t="shared" si="91"/>
        <v>0</v>
      </c>
      <c r="AC135" s="130">
        <f t="shared" si="91"/>
        <v>0</v>
      </c>
      <c r="AD135" s="130">
        <f t="shared" si="91"/>
        <v>0</v>
      </c>
      <c r="AE135" s="130">
        <f t="shared" si="91"/>
        <v>0</v>
      </c>
      <c r="AF135" s="130">
        <f t="shared" si="91"/>
        <v>0</v>
      </c>
      <c r="AG135" s="130">
        <f t="shared" si="91"/>
        <v>0</v>
      </c>
      <c r="AH135" s="130">
        <f t="shared" si="92"/>
        <v>0</v>
      </c>
      <c r="AI135" s="130">
        <f t="shared" si="92"/>
        <v>0</v>
      </c>
      <c r="AJ135" s="130">
        <f t="shared" si="92"/>
        <v>0</v>
      </c>
      <c r="AK135" s="130">
        <f t="shared" si="75"/>
        <v>0</v>
      </c>
      <c r="AL135" s="130">
        <f t="shared" si="76"/>
        <v>0</v>
      </c>
      <c r="AM135" s="130">
        <f t="shared" si="77"/>
        <v>0</v>
      </c>
      <c r="AN135" s="130">
        <f t="shared" si="78"/>
        <v>0</v>
      </c>
      <c r="AO135" s="130">
        <f t="shared" si="93"/>
        <v>0</v>
      </c>
      <c r="AP135" s="130">
        <f t="shared" si="93"/>
        <v>0</v>
      </c>
      <c r="AQ135" s="130">
        <f t="shared" si="93"/>
        <v>0</v>
      </c>
      <c r="AR135" s="130">
        <f t="shared" si="93"/>
        <v>0</v>
      </c>
      <c r="AS135" s="130">
        <f t="shared" si="93"/>
        <v>0</v>
      </c>
      <c r="AT135" s="130">
        <f t="shared" si="93"/>
        <v>0</v>
      </c>
      <c r="AU135" s="130">
        <f t="shared" si="93"/>
        <v>0</v>
      </c>
      <c r="AV135" s="130">
        <f t="shared" si="93"/>
        <v>0</v>
      </c>
      <c r="AW135" s="130">
        <f t="shared" si="93"/>
        <v>0</v>
      </c>
      <c r="AX135" s="130">
        <f t="shared" si="93"/>
        <v>0</v>
      </c>
      <c r="AY135" s="130">
        <f t="shared" si="93"/>
        <v>0</v>
      </c>
      <c r="AZ135" s="130">
        <f t="shared" si="93"/>
        <v>0</v>
      </c>
      <c r="BA135" s="130">
        <f t="shared" si="93"/>
        <v>0</v>
      </c>
      <c r="BB135" s="130">
        <f t="shared" si="94"/>
        <v>0</v>
      </c>
      <c r="BC135" s="130">
        <f t="shared" si="94"/>
        <v>0</v>
      </c>
      <c r="BD135" s="130">
        <f t="shared" si="94"/>
        <v>0</v>
      </c>
      <c r="BE135" s="130">
        <f t="shared" si="94"/>
        <v>0</v>
      </c>
      <c r="BF135" s="130" t="e">
        <f>+IF($H135=#REF!,$C135,0)-IF($I135=#REF!,$C135,0)</f>
        <v>#REF!</v>
      </c>
      <c r="BG135" s="130" t="e">
        <f>+IF($H135=#REF!,$C135,0)-IF($I135=#REF!,$C135,0)</f>
        <v>#REF!</v>
      </c>
      <c r="BH135" s="130" t="e">
        <f>+IF($H135=#REF!,$C135,0)-IF($I135=#REF!,$C135,0)</f>
        <v>#REF!</v>
      </c>
      <c r="BI135" s="130">
        <f t="shared" si="95"/>
        <v>0</v>
      </c>
      <c r="BJ135" s="130">
        <f t="shared" si="95"/>
        <v>0</v>
      </c>
      <c r="BK135" s="130">
        <f t="shared" si="95"/>
        <v>0</v>
      </c>
      <c r="BL135" s="130">
        <f t="shared" si="95"/>
        <v>0</v>
      </c>
      <c r="BM135" s="130">
        <f t="shared" si="95"/>
        <v>0</v>
      </c>
      <c r="BN135" s="130">
        <f t="shared" si="95"/>
        <v>0</v>
      </c>
      <c r="BO135" s="130">
        <f t="shared" si="95"/>
        <v>0</v>
      </c>
      <c r="BP135" s="130">
        <f t="shared" si="95"/>
        <v>0</v>
      </c>
      <c r="BQ135" s="130">
        <f t="shared" si="95"/>
        <v>0</v>
      </c>
      <c r="BR135" s="130" t="e">
        <f t="shared" si="79"/>
        <v>#REF!</v>
      </c>
    </row>
    <row r="136" spans="2:70" s="119" customFormat="1" x14ac:dyDescent="0.2">
      <c r="B136" s="128"/>
      <c r="C136" s="129"/>
      <c r="D136" s="129"/>
      <c r="E136" s="129" t="e">
        <f>ROUND(IF(D136=#REF!,0,IF($H136=$S$6,(C136/1.14975*0.05*0.5),C136/1.14975*0.05)),2)</f>
        <v>#REF!</v>
      </c>
      <c r="F136" s="129" t="e">
        <f>ROUND(IF(D136=#REF!,0,IF($H136=$S$6,C136/1.14975*0.09975*0.5,C136/1.14975*0.09975)),2)</f>
        <v>#REF!</v>
      </c>
      <c r="G136" s="129" t="e">
        <f t="shared" si="73"/>
        <v>#REF!</v>
      </c>
      <c r="J136" s="130">
        <f t="shared" si="74"/>
        <v>0</v>
      </c>
      <c r="K136" s="130">
        <f t="shared" si="90"/>
        <v>0</v>
      </c>
      <c r="L136" s="130">
        <f t="shared" si="90"/>
        <v>0</v>
      </c>
      <c r="M136" s="130">
        <f t="shared" si="90"/>
        <v>0</v>
      </c>
      <c r="N136" s="130">
        <f t="shared" si="90"/>
        <v>0</v>
      </c>
      <c r="O136" s="130">
        <f t="shared" si="90"/>
        <v>0</v>
      </c>
      <c r="P136" s="130">
        <f t="shared" si="90"/>
        <v>0</v>
      </c>
      <c r="Q136" s="130">
        <f t="shared" si="90"/>
        <v>0</v>
      </c>
      <c r="R136" s="130">
        <f t="shared" si="90"/>
        <v>0</v>
      </c>
      <c r="S136" s="130">
        <f t="shared" si="90"/>
        <v>0</v>
      </c>
      <c r="T136" s="130">
        <f t="shared" si="90"/>
        <v>0</v>
      </c>
      <c r="U136" s="130">
        <f t="shared" si="91"/>
        <v>0</v>
      </c>
      <c r="V136" s="130">
        <f t="shared" si="91"/>
        <v>0</v>
      </c>
      <c r="W136" s="130">
        <f t="shared" si="91"/>
        <v>0</v>
      </c>
      <c r="X136" s="130">
        <f t="shared" si="91"/>
        <v>0</v>
      </c>
      <c r="Y136" s="130">
        <f t="shared" si="91"/>
        <v>0</v>
      </c>
      <c r="Z136" s="130">
        <f t="shared" si="91"/>
        <v>0</v>
      </c>
      <c r="AA136" s="130">
        <f t="shared" si="91"/>
        <v>0</v>
      </c>
      <c r="AB136" s="130">
        <f t="shared" si="91"/>
        <v>0</v>
      </c>
      <c r="AC136" s="130">
        <f t="shared" si="91"/>
        <v>0</v>
      </c>
      <c r="AD136" s="130">
        <f t="shared" si="91"/>
        <v>0</v>
      </c>
      <c r="AE136" s="130">
        <f t="shared" si="91"/>
        <v>0</v>
      </c>
      <c r="AF136" s="130">
        <f t="shared" si="91"/>
        <v>0</v>
      </c>
      <c r="AG136" s="130">
        <f t="shared" si="91"/>
        <v>0</v>
      </c>
      <c r="AH136" s="130">
        <f t="shared" si="92"/>
        <v>0</v>
      </c>
      <c r="AI136" s="130">
        <f t="shared" si="92"/>
        <v>0</v>
      </c>
      <c r="AJ136" s="130">
        <f t="shared" si="92"/>
        <v>0</v>
      </c>
      <c r="AK136" s="130">
        <f t="shared" si="75"/>
        <v>0</v>
      </c>
      <c r="AL136" s="130">
        <f t="shared" si="76"/>
        <v>0</v>
      </c>
      <c r="AM136" s="130">
        <f t="shared" si="77"/>
        <v>0</v>
      </c>
      <c r="AN136" s="130">
        <f t="shared" si="78"/>
        <v>0</v>
      </c>
      <c r="AO136" s="130">
        <f t="shared" si="93"/>
        <v>0</v>
      </c>
      <c r="AP136" s="130">
        <f t="shared" si="93"/>
        <v>0</v>
      </c>
      <c r="AQ136" s="130">
        <f t="shared" si="93"/>
        <v>0</v>
      </c>
      <c r="AR136" s="130">
        <f t="shared" si="93"/>
        <v>0</v>
      </c>
      <c r="AS136" s="130">
        <f t="shared" si="93"/>
        <v>0</v>
      </c>
      <c r="AT136" s="130">
        <f t="shared" si="93"/>
        <v>0</v>
      </c>
      <c r="AU136" s="130">
        <f t="shared" si="93"/>
        <v>0</v>
      </c>
      <c r="AV136" s="130">
        <f t="shared" si="93"/>
        <v>0</v>
      </c>
      <c r="AW136" s="130">
        <f t="shared" si="93"/>
        <v>0</v>
      </c>
      <c r="AX136" s="130">
        <f t="shared" si="93"/>
        <v>0</v>
      </c>
      <c r="AY136" s="130">
        <f t="shared" si="93"/>
        <v>0</v>
      </c>
      <c r="AZ136" s="130">
        <f t="shared" si="93"/>
        <v>0</v>
      </c>
      <c r="BA136" s="130">
        <f t="shared" si="93"/>
        <v>0</v>
      </c>
      <c r="BB136" s="130">
        <f t="shared" si="94"/>
        <v>0</v>
      </c>
      <c r="BC136" s="130">
        <f t="shared" si="94"/>
        <v>0</v>
      </c>
      <c r="BD136" s="130">
        <f t="shared" si="94"/>
        <v>0</v>
      </c>
      <c r="BE136" s="130">
        <f t="shared" si="94"/>
        <v>0</v>
      </c>
      <c r="BF136" s="130" t="e">
        <f>+IF($H136=#REF!,$C136,0)-IF($I136=#REF!,$C136,0)</f>
        <v>#REF!</v>
      </c>
      <c r="BG136" s="130" t="e">
        <f>+IF($H136=#REF!,$C136,0)-IF($I136=#REF!,$C136,0)</f>
        <v>#REF!</v>
      </c>
      <c r="BH136" s="130" t="e">
        <f>+IF($H136=#REF!,$C136,0)-IF($I136=#REF!,$C136,0)</f>
        <v>#REF!</v>
      </c>
      <c r="BI136" s="130">
        <f t="shared" si="95"/>
        <v>0</v>
      </c>
      <c r="BJ136" s="130">
        <f t="shared" si="95"/>
        <v>0</v>
      </c>
      <c r="BK136" s="130">
        <f t="shared" si="95"/>
        <v>0</v>
      </c>
      <c r="BL136" s="130">
        <f t="shared" si="95"/>
        <v>0</v>
      </c>
      <c r="BM136" s="130">
        <f t="shared" si="95"/>
        <v>0</v>
      </c>
      <c r="BN136" s="130">
        <f t="shared" si="95"/>
        <v>0</v>
      </c>
      <c r="BO136" s="130">
        <f t="shared" si="95"/>
        <v>0</v>
      </c>
      <c r="BP136" s="130">
        <f t="shared" si="95"/>
        <v>0</v>
      </c>
      <c r="BQ136" s="130">
        <f t="shared" si="95"/>
        <v>0</v>
      </c>
      <c r="BR136" s="130" t="e">
        <f t="shared" si="79"/>
        <v>#REF!</v>
      </c>
    </row>
    <row r="137" spans="2:70" s="119" customFormat="1" x14ac:dyDescent="0.2">
      <c r="B137" s="128"/>
      <c r="C137" s="129"/>
      <c r="D137" s="129"/>
      <c r="E137" s="129" t="e">
        <f>ROUND(IF(D137=#REF!,0,IF($H137=$S$6,(C137/1.14975*0.05*0.5),C137/1.14975*0.05)),2)</f>
        <v>#REF!</v>
      </c>
      <c r="F137" s="129" t="e">
        <f>ROUND(IF(D137=#REF!,0,IF($H137=$S$6,C137/1.14975*0.09975*0.5,C137/1.14975*0.09975)),2)</f>
        <v>#REF!</v>
      </c>
      <c r="G137" s="129" t="e">
        <f t="shared" ref="G137:G168" si="96">C137-E137-F137</f>
        <v>#REF!</v>
      </c>
      <c r="J137" s="130">
        <f t="shared" ref="J137:J168" si="97">+IF($H137=$J$6,$G137,0)-IF($I137=$J$6,$G137,0)</f>
        <v>0</v>
      </c>
      <c r="K137" s="130">
        <f t="shared" si="90"/>
        <v>0</v>
      </c>
      <c r="L137" s="130">
        <f t="shared" si="90"/>
        <v>0</v>
      </c>
      <c r="M137" s="130">
        <f t="shared" si="90"/>
        <v>0</v>
      </c>
      <c r="N137" s="130">
        <f t="shared" si="90"/>
        <v>0</v>
      </c>
      <c r="O137" s="130">
        <f t="shared" si="90"/>
        <v>0</v>
      </c>
      <c r="P137" s="130">
        <f t="shared" si="90"/>
        <v>0</v>
      </c>
      <c r="Q137" s="130">
        <f t="shared" si="90"/>
        <v>0</v>
      </c>
      <c r="R137" s="130">
        <f t="shared" si="90"/>
        <v>0</v>
      </c>
      <c r="S137" s="130">
        <f t="shared" si="90"/>
        <v>0</v>
      </c>
      <c r="T137" s="130">
        <f t="shared" si="90"/>
        <v>0</v>
      </c>
      <c r="U137" s="130">
        <f t="shared" si="91"/>
        <v>0</v>
      </c>
      <c r="V137" s="130">
        <f t="shared" si="91"/>
        <v>0</v>
      </c>
      <c r="W137" s="130">
        <f t="shared" si="91"/>
        <v>0</v>
      </c>
      <c r="X137" s="130">
        <f t="shared" si="91"/>
        <v>0</v>
      </c>
      <c r="Y137" s="130">
        <f t="shared" si="91"/>
        <v>0</v>
      </c>
      <c r="Z137" s="130">
        <f t="shared" si="91"/>
        <v>0</v>
      </c>
      <c r="AA137" s="130">
        <f t="shared" si="91"/>
        <v>0</v>
      </c>
      <c r="AB137" s="130">
        <f t="shared" si="91"/>
        <v>0</v>
      </c>
      <c r="AC137" s="130">
        <f t="shared" si="91"/>
        <v>0</v>
      </c>
      <c r="AD137" s="130">
        <f t="shared" si="91"/>
        <v>0</v>
      </c>
      <c r="AE137" s="130">
        <f t="shared" si="91"/>
        <v>0</v>
      </c>
      <c r="AF137" s="130">
        <f t="shared" si="91"/>
        <v>0</v>
      </c>
      <c r="AG137" s="130">
        <f t="shared" si="91"/>
        <v>0</v>
      </c>
      <c r="AH137" s="130">
        <f t="shared" si="92"/>
        <v>0</v>
      </c>
      <c r="AI137" s="130">
        <f t="shared" si="92"/>
        <v>0</v>
      </c>
      <c r="AJ137" s="130">
        <f t="shared" si="92"/>
        <v>0</v>
      </c>
      <c r="AK137" s="130">
        <f t="shared" ref="AK137:AK168" si="98">IF(D137="payée",$E137,0)</f>
        <v>0</v>
      </c>
      <c r="AL137" s="130">
        <f t="shared" ref="AL137:AL168" si="99">IF(D137="payée",$F137,0)</f>
        <v>0</v>
      </c>
      <c r="AM137" s="130">
        <f t="shared" ref="AM137:AM168" si="100">IF(D137="perçue",-$E137,0)</f>
        <v>0</v>
      </c>
      <c r="AN137" s="130">
        <f t="shared" ref="AN137:AN168" si="101">IF(D137="perçue",-$F137,0)</f>
        <v>0</v>
      </c>
      <c r="AO137" s="130">
        <f t="shared" si="93"/>
        <v>0</v>
      </c>
      <c r="AP137" s="130">
        <f t="shared" si="93"/>
        <v>0</v>
      </c>
      <c r="AQ137" s="130">
        <f t="shared" si="93"/>
        <v>0</v>
      </c>
      <c r="AR137" s="130">
        <f t="shared" si="93"/>
        <v>0</v>
      </c>
      <c r="AS137" s="130">
        <f t="shared" si="93"/>
        <v>0</v>
      </c>
      <c r="AT137" s="130">
        <f t="shared" si="93"/>
        <v>0</v>
      </c>
      <c r="AU137" s="130">
        <f t="shared" si="93"/>
        <v>0</v>
      </c>
      <c r="AV137" s="130">
        <f t="shared" si="93"/>
        <v>0</v>
      </c>
      <c r="AW137" s="130">
        <f t="shared" si="93"/>
        <v>0</v>
      </c>
      <c r="AX137" s="130">
        <f t="shared" si="93"/>
        <v>0</v>
      </c>
      <c r="AY137" s="130">
        <f t="shared" si="93"/>
        <v>0</v>
      </c>
      <c r="AZ137" s="130">
        <f t="shared" si="93"/>
        <v>0</v>
      </c>
      <c r="BA137" s="130">
        <f t="shared" si="93"/>
        <v>0</v>
      </c>
      <c r="BB137" s="130">
        <f t="shared" si="94"/>
        <v>0</v>
      </c>
      <c r="BC137" s="130">
        <f t="shared" si="94"/>
        <v>0</v>
      </c>
      <c r="BD137" s="130">
        <f t="shared" si="94"/>
        <v>0</v>
      </c>
      <c r="BE137" s="130">
        <f t="shared" si="94"/>
        <v>0</v>
      </c>
      <c r="BF137" s="130" t="e">
        <f>+IF($H137=#REF!,$C137,0)-IF($I137=#REF!,$C137,0)</f>
        <v>#REF!</v>
      </c>
      <c r="BG137" s="130" t="e">
        <f>+IF($H137=#REF!,$C137,0)-IF($I137=#REF!,$C137,0)</f>
        <v>#REF!</v>
      </c>
      <c r="BH137" s="130" t="e">
        <f>+IF($H137=#REF!,$C137,0)-IF($I137=#REF!,$C137,0)</f>
        <v>#REF!</v>
      </c>
      <c r="BI137" s="130">
        <f t="shared" si="95"/>
        <v>0</v>
      </c>
      <c r="BJ137" s="130">
        <f t="shared" si="95"/>
        <v>0</v>
      </c>
      <c r="BK137" s="130">
        <f t="shared" si="95"/>
        <v>0</v>
      </c>
      <c r="BL137" s="130">
        <f t="shared" si="95"/>
        <v>0</v>
      </c>
      <c r="BM137" s="130">
        <f t="shared" si="95"/>
        <v>0</v>
      </c>
      <c r="BN137" s="130">
        <f t="shared" si="95"/>
        <v>0</v>
      </c>
      <c r="BO137" s="130">
        <f t="shared" si="95"/>
        <v>0</v>
      </c>
      <c r="BP137" s="130">
        <f t="shared" si="95"/>
        <v>0</v>
      </c>
      <c r="BQ137" s="130">
        <f t="shared" si="95"/>
        <v>0</v>
      </c>
      <c r="BR137" s="130" t="e">
        <f t="shared" ref="BR137:BR168" si="102">SUM(J137:BQ137)</f>
        <v>#REF!</v>
      </c>
    </row>
    <row r="138" spans="2:70" s="119" customFormat="1" x14ac:dyDescent="0.2">
      <c r="B138" s="128"/>
      <c r="C138" s="129"/>
      <c r="D138" s="129"/>
      <c r="E138" s="129" t="e">
        <f>ROUND(IF(D138=#REF!,0,IF($H138=$S$6,(C138/1.14975*0.05*0.5),C138/1.14975*0.05)),2)</f>
        <v>#REF!</v>
      </c>
      <c r="F138" s="129" t="e">
        <f>ROUND(IF(D138=#REF!,0,IF($H138=$S$6,C138/1.14975*0.09975*0.5,C138/1.14975*0.09975)),2)</f>
        <v>#REF!</v>
      </c>
      <c r="G138" s="129" t="e">
        <f t="shared" si="96"/>
        <v>#REF!</v>
      </c>
      <c r="J138" s="130">
        <f t="shared" si="97"/>
        <v>0</v>
      </c>
      <c r="K138" s="130">
        <f t="shared" si="90"/>
        <v>0</v>
      </c>
      <c r="L138" s="130">
        <f t="shared" si="90"/>
        <v>0</v>
      </c>
      <c r="M138" s="130">
        <f t="shared" si="90"/>
        <v>0</v>
      </c>
      <c r="N138" s="130">
        <f t="shared" si="90"/>
        <v>0</v>
      </c>
      <c r="O138" s="130">
        <f t="shared" si="90"/>
        <v>0</v>
      </c>
      <c r="P138" s="130">
        <f t="shared" si="90"/>
        <v>0</v>
      </c>
      <c r="Q138" s="130">
        <f t="shared" si="90"/>
        <v>0</v>
      </c>
      <c r="R138" s="130">
        <f t="shared" si="90"/>
        <v>0</v>
      </c>
      <c r="S138" s="130">
        <f t="shared" si="90"/>
        <v>0</v>
      </c>
      <c r="T138" s="130">
        <f t="shared" si="90"/>
        <v>0</v>
      </c>
      <c r="U138" s="130">
        <f t="shared" si="91"/>
        <v>0</v>
      </c>
      <c r="V138" s="130">
        <f t="shared" si="91"/>
        <v>0</v>
      </c>
      <c r="W138" s="130">
        <f t="shared" si="91"/>
        <v>0</v>
      </c>
      <c r="X138" s="130">
        <f t="shared" si="91"/>
        <v>0</v>
      </c>
      <c r="Y138" s="130">
        <f t="shared" si="91"/>
        <v>0</v>
      </c>
      <c r="Z138" s="130">
        <f t="shared" si="91"/>
        <v>0</v>
      </c>
      <c r="AA138" s="130">
        <f t="shared" si="91"/>
        <v>0</v>
      </c>
      <c r="AB138" s="130">
        <f t="shared" si="91"/>
        <v>0</v>
      </c>
      <c r="AC138" s="130">
        <f t="shared" si="91"/>
        <v>0</v>
      </c>
      <c r="AD138" s="130">
        <f t="shared" si="91"/>
        <v>0</v>
      </c>
      <c r="AE138" s="130">
        <f t="shared" si="91"/>
        <v>0</v>
      </c>
      <c r="AF138" s="130">
        <f t="shared" si="91"/>
        <v>0</v>
      </c>
      <c r="AG138" s="130">
        <f t="shared" si="91"/>
        <v>0</v>
      </c>
      <c r="AH138" s="130">
        <f t="shared" si="92"/>
        <v>0</v>
      </c>
      <c r="AI138" s="130">
        <f t="shared" si="92"/>
        <v>0</v>
      </c>
      <c r="AJ138" s="130">
        <f t="shared" si="92"/>
        <v>0</v>
      </c>
      <c r="AK138" s="130">
        <f t="shared" si="98"/>
        <v>0</v>
      </c>
      <c r="AL138" s="130">
        <f t="shared" si="99"/>
        <v>0</v>
      </c>
      <c r="AM138" s="130">
        <f t="shared" si="100"/>
        <v>0</v>
      </c>
      <c r="AN138" s="130">
        <f t="shared" si="101"/>
        <v>0</v>
      </c>
      <c r="AO138" s="130">
        <f t="shared" si="93"/>
        <v>0</v>
      </c>
      <c r="AP138" s="130">
        <f t="shared" si="93"/>
        <v>0</v>
      </c>
      <c r="AQ138" s="130">
        <f t="shared" si="93"/>
        <v>0</v>
      </c>
      <c r="AR138" s="130">
        <f t="shared" si="93"/>
        <v>0</v>
      </c>
      <c r="AS138" s="130">
        <f t="shared" si="93"/>
        <v>0</v>
      </c>
      <c r="AT138" s="130">
        <f t="shared" si="93"/>
        <v>0</v>
      </c>
      <c r="AU138" s="130">
        <f t="shared" si="93"/>
        <v>0</v>
      </c>
      <c r="AV138" s="130">
        <f t="shared" si="93"/>
        <v>0</v>
      </c>
      <c r="AW138" s="130">
        <f t="shared" si="93"/>
        <v>0</v>
      </c>
      <c r="AX138" s="130">
        <f t="shared" si="93"/>
        <v>0</v>
      </c>
      <c r="AY138" s="130">
        <f t="shared" si="93"/>
        <v>0</v>
      </c>
      <c r="AZ138" s="130">
        <f t="shared" si="93"/>
        <v>0</v>
      </c>
      <c r="BA138" s="130">
        <f t="shared" si="93"/>
        <v>0</v>
      </c>
      <c r="BB138" s="130">
        <f t="shared" si="94"/>
        <v>0</v>
      </c>
      <c r="BC138" s="130">
        <f t="shared" si="94"/>
        <v>0</v>
      </c>
      <c r="BD138" s="130">
        <f t="shared" si="94"/>
        <v>0</v>
      </c>
      <c r="BE138" s="130">
        <f t="shared" si="94"/>
        <v>0</v>
      </c>
      <c r="BF138" s="130" t="e">
        <f>+IF($H138=#REF!,$C138,0)-IF($I138=#REF!,$C138,0)</f>
        <v>#REF!</v>
      </c>
      <c r="BG138" s="130" t="e">
        <f>+IF($H138=#REF!,$C138,0)-IF($I138=#REF!,$C138,0)</f>
        <v>#REF!</v>
      </c>
      <c r="BH138" s="130" t="e">
        <f>+IF($H138=#REF!,$C138,0)-IF($I138=#REF!,$C138,0)</f>
        <v>#REF!</v>
      </c>
      <c r="BI138" s="130">
        <f t="shared" si="95"/>
        <v>0</v>
      </c>
      <c r="BJ138" s="130">
        <f t="shared" si="95"/>
        <v>0</v>
      </c>
      <c r="BK138" s="130">
        <f t="shared" si="95"/>
        <v>0</v>
      </c>
      <c r="BL138" s="130">
        <f t="shared" si="95"/>
        <v>0</v>
      </c>
      <c r="BM138" s="130">
        <f t="shared" si="95"/>
        <v>0</v>
      </c>
      <c r="BN138" s="130">
        <f t="shared" si="95"/>
        <v>0</v>
      </c>
      <c r="BO138" s="130">
        <f t="shared" si="95"/>
        <v>0</v>
      </c>
      <c r="BP138" s="130">
        <f t="shared" si="95"/>
        <v>0</v>
      </c>
      <c r="BQ138" s="130">
        <f t="shared" si="95"/>
        <v>0</v>
      </c>
      <c r="BR138" s="130" t="e">
        <f t="shared" si="102"/>
        <v>#REF!</v>
      </c>
    </row>
    <row r="139" spans="2:70" s="119" customFormat="1" x14ac:dyDescent="0.2">
      <c r="B139" s="128"/>
      <c r="C139" s="129"/>
      <c r="D139" s="129"/>
      <c r="E139" s="129" t="e">
        <f>ROUND(IF(D139=#REF!,0,IF($H139=$S$6,(C139/1.14975*0.05*0.5),C139/1.14975*0.05)),2)</f>
        <v>#REF!</v>
      </c>
      <c r="F139" s="129" t="e">
        <f>ROUND(IF(D139=#REF!,0,IF($H139=$S$6,C139/1.14975*0.09975*0.5,C139/1.14975*0.09975)),2)</f>
        <v>#REF!</v>
      </c>
      <c r="G139" s="129" t="e">
        <f t="shared" si="96"/>
        <v>#REF!</v>
      </c>
      <c r="J139" s="130">
        <f t="shared" si="97"/>
        <v>0</v>
      </c>
      <c r="K139" s="130">
        <f t="shared" ref="K139:T148" si="103">+IF($H139=K$6,$G139,0)-IF($I139=K$6,$G139,0)</f>
        <v>0</v>
      </c>
      <c r="L139" s="130">
        <f t="shared" si="103"/>
        <v>0</v>
      </c>
      <c r="M139" s="130">
        <f t="shared" si="103"/>
        <v>0</v>
      </c>
      <c r="N139" s="130">
        <f t="shared" si="103"/>
        <v>0</v>
      </c>
      <c r="O139" s="130">
        <f t="shared" si="103"/>
        <v>0</v>
      </c>
      <c r="P139" s="130">
        <f t="shared" si="103"/>
        <v>0</v>
      </c>
      <c r="Q139" s="130">
        <f t="shared" si="103"/>
        <v>0</v>
      </c>
      <c r="R139" s="130">
        <f t="shared" si="103"/>
        <v>0</v>
      </c>
      <c r="S139" s="130">
        <f t="shared" si="103"/>
        <v>0</v>
      </c>
      <c r="T139" s="130">
        <f t="shared" si="103"/>
        <v>0</v>
      </c>
      <c r="U139" s="130">
        <f t="shared" ref="U139:AG148" si="104">+IF($H139=U$6,$G139,0)-IF($I139=U$6,$G139,0)</f>
        <v>0</v>
      </c>
      <c r="V139" s="130">
        <f t="shared" si="104"/>
        <v>0</v>
      </c>
      <c r="W139" s="130">
        <f t="shared" si="104"/>
        <v>0</v>
      </c>
      <c r="X139" s="130">
        <f t="shared" si="104"/>
        <v>0</v>
      </c>
      <c r="Y139" s="130">
        <f t="shared" si="104"/>
        <v>0</v>
      </c>
      <c r="Z139" s="130">
        <f t="shared" si="104"/>
        <v>0</v>
      </c>
      <c r="AA139" s="130">
        <f t="shared" si="104"/>
        <v>0</v>
      </c>
      <c r="AB139" s="130">
        <f t="shared" si="104"/>
        <v>0</v>
      </c>
      <c r="AC139" s="130">
        <f t="shared" si="104"/>
        <v>0</v>
      </c>
      <c r="AD139" s="130">
        <f t="shared" si="104"/>
        <v>0</v>
      </c>
      <c r="AE139" s="130">
        <f t="shared" si="104"/>
        <v>0</v>
      </c>
      <c r="AF139" s="130">
        <f t="shared" si="104"/>
        <v>0</v>
      </c>
      <c r="AG139" s="130">
        <f t="shared" si="104"/>
        <v>0</v>
      </c>
      <c r="AH139" s="130">
        <f t="shared" si="92"/>
        <v>0</v>
      </c>
      <c r="AI139" s="130">
        <f t="shared" si="92"/>
        <v>0</v>
      </c>
      <c r="AJ139" s="130">
        <f t="shared" si="92"/>
        <v>0</v>
      </c>
      <c r="AK139" s="130">
        <f t="shared" si="98"/>
        <v>0</v>
      </c>
      <c r="AL139" s="130">
        <f t="shared" si="99"/>
        <v>0</v>
      </c>
      <c r="AM139" s="130">
        <f t="shared" si="100"/>
        <v>0</v>
      </c>
      <c r="AN139" s="130">
        <f t="shared" si="101"/>
        <v>0</v>
      </c>
      <c r="AO139" s="130">
        <f t="shared" ref="AO139:BA148" si="105">+IF($H139=AO$6,$G139,0)-IF($I139=AO$6,$G139,0)</f>
        <v>0</v>
      </c>
      <c r="AP139" s="130">
        <f t="shared" si="105"/>
        <v>0</v>
      </c>
      <c r="AQ139" s="130">
        <f t="shared" si="105"/>
        <v>0</v>
      </c>
      <c r="AR139" s="130">
        <f t="shared" si="105"/>
        <v>0</v>
      </c>
      <c r="AS139" s="130">
        <f t="shared" si="105"/>
        <v>0</v>
      </c>
      <c r="AT139" s="130">
        <f t="shared" si="105"/>
        <v>0</v>
      </c>
      <c r="AU139" s="130">
        <f t="shared" si="105"/>
        <v>0</v>
      </c>
      <c r="AV139" s="130">
        <f t="shared" si="105"/>
        <v>0</v>
      </c>
      <c r="AW139" s="130">
        <f t="shared" si="105"/>
        <v>0</v>
      </c>
      <c r="AX139" s="130">
        <f t="shared" si="105"/>
        <v>0</v>
      </c>
      <c r="AY139" s="130">
        <f t="shared" si="105"/>
        <v>0</v>
      </c>
      <c r="AZ139" s="130">
        <f t="shared" si="105"/>
        <v>0</v>
      </c>
      <c r="BA139" s="130">
        <f t="shared" si="105"/>
        <v>0</v>
      </c>
      <c r="BB139" s="130">
        <f t="shared" si="94"/>
        <v>0</v>
      </c>
      <c r="BC139" s="130">
        <f t="shared" si="94"/>
        <v>0</v>
      </c>
      <c r="BD139" s="130">
        <f t="shared" si="94"/>
        <v>0</v>
      </c>
      <c r="BE139" s="130">
        <f t="shared" si="94"/>
        <v>0</v>
      </c>
      <c r="BF139" s="130">
        <f>+IF($H139=BF$6,$C139,0)-IF($I139=BF$6,$C139,0)</f>
        <v>0</v>
      </c>
      <c r="BG139" s="130">
        <f>+IF($H139=BG$6,$C139,0)-IF($I139=BG$6,$C139,0)</f>
        <v>0</v>
      </c>
      <c r="BH139" s="130">
        <f>+IF($H139=BH$6,$C139,0)-IF($I139=BH$6,$C139,0)</f>
        <v>0</v>
      </c>
      <c r="BI139" s="130">
        <f t="shared" ref="BI139:BQ148" si="106">+IF($H139=BI$6,$G139,0)-IF($I139=BI$6,$G139,0)</f>
        <v>0</v>
      </c>
      <c r="BJ139" s="130">
        <f t="shared" si="106"/>
        <v>0</v>
      </c>
      <c r="BK139" s="130">
        <f t="shared" si="106"/>
        <v>0</v>
      </c>
      <c r="BL139" s="130">
        <f t="shared" si="106"/>
        <v>0</v>
      </c>
      <c r="BM139" s="130">
        <f t="shared" si="106"/>
        <v>0</v>
      </c>
      <c r="BN139" s="130">
        <f t="shared" si="106"/>
        <v>0</v>
      </c>
      <c r="BO139" s="130">
        <f t="shared" si="106"/>
        <v>0</v>
      </c>
      <c r="BP139" s="130">
        <f t="shared" si="106"/>
        <v>0</v>
      </c>
      <c r="BQ139" s="130">
        <f t="shared" si="106"/>
        <v>0</v>
      </c>
      <c r="BR139" s="130">
        <f t="shared" si="102"/>
        <v>0</v>
      </c>
    </row>
    <row r="140" spans="2:70" s="119" customFormat="1" x14ac:dyDescent="0.2">
      <c r="B140" s="128"/>
      <c r="C140" s="129"/>
      <c r="D140" s="129"/>
      <c r="E140" s="129" t="e">
        <f>ROUND(IF(D140=#REF!,0,IF($H140=$S$6,(C140/1.14975*0.05*0.5),C140/1.14975*0.05)),2)</f>
        <v>#REF!</v>
      </c>
      <c r="F140" s="129" t="e">
        <f>ROUND(IF(D140=#REF!,0,IF($H140=$S$6,C140/1.14975*0.09975*0.5,C140/1.14975*0.09975)),2)</f>
        <v>#REF!</v>
      </c>
      <c r="G140" s="129" t="e">
        <f t="shared" si="96"/>
        <v>#REF!</v>
      </c>
      <c r="J140" s="130">
        <f t="shared" si="97"/>
        <v>0</v>
      </c>
      <c r="K140" s="130">
        <f t="shared" si="103"/>
        <v>0</v>
      </c>
      <c r="L140" s="130">
        <f t="shared" si="103"/>
        <v>0</v>
      </c>
      <c r="M140" s="130">
        <f t="shared" si="103"/>
        <v>0</v>
      </c>
      <c r="N140" s="130">
        <f t="shared" si="103"/>
        <v>0</v>
      </c>
      <c r="O140" s="130">
        <f t="shared" si="103"/>
        <v>0</v>
      </c>
      <c r="P140" s="130">
        <f t="shared" si="103"/>
        <v>0</v>
      </c>
      <c r="Q140" s="130">
        <f t="shared" si="103"/>
        <v>0</v>
      </c>
      <c r="R140" s="130">
        <f t="shared" si="103"/>
        <v>0</v>
      </c>
      <c r="S140" s="130">
        <f t="shared" si="103"/>
        <v>0</v>
      </c>
      <c r="T140" s="130">
        <f t="shared" si="103"/>
        <v>0</v>
      </c>
      <c r="U140" s="130">
        <f t="shared" si="104"/>
        <v>0</v>
      </c>
      <c r="V140" s="130">
        <f t="shared" si="104"/>
        <v>0</v>
      </c>
      <c r="W140" s="130">
        <f t="shared" si="104"/>
        <v>0</v>
      </c>
      <c r="X140" s="130">
        <f t="shared" si="104"/>
        <v>0</v>
      </c>
      <c r="Y140" s="130">
        <f t="shared" si="104"/>
        <v>0</v>
      </c>
      <c r="Z140" s="130">
        <f t="shared" si="104"/>
        <v>0</v>
      </c>
      <c r="AA140" s="130">
        <f t="shared" si="104"/>
        <v>0</v>
      </c>
      <c r="AB140" s="130">
        <f t="shared" si="104"/>
        <v>0</v>
      </c>
      <c r="AC140" s="130">
        <f t="shared" si="104"/>
        <v>0</v>
      </c>
      <c r="AD140" s="130">
        <f t="shared" si="104"/>
        <v>0</v>
      </c>
      <c r="AE140" s="130">
        <f t="shared" si="104"/>
        <v>0</v>
      </c>
      <c r="AF140" s="130">
        <f t="shared" si="104"/>
        <v>0</v>
      </c>
      <c r="AG140" s="130">
        <f t="shared" si="104"/>
        <v>0</v>
      </c>
      <c r="AH140" s="130">
        <f t="shared" si="92"/>
        <v>0</v>
      </c>
      <c r="AI140" s="130">
        <f t="shared" si="92"/>
        <v>0</v>
      </c>
      <c r="AJ140" s="130">
        <f t="shared" si="92"/>
        <v>0</v>
      </c>
      <c r="AK140" s="130">
        <f t="shared" si="98"/>
        <v>0</v>
      </c>
      <c r="AL140" s="130">
        <f t="shared" si="99"/>
        <v>0</v>
      </c>
      <c r="AM140" s="130">
        <f t="shared" si="100"/>
        <v>0</v>
      </c>
      <c r="AN140" s="130">
        <f t="shared" si="101"/>
        <v>0</v>
      </c>
      <c r="AO140" s="130">
        <f t="shared" si="105"/>
        <v>0</v>
      </c>
      <c r="AP140" s="130">
        <f t="shared" si="105"/>
        <v>0</v>
      </c>
      <c r="AQ140" s="130">
        <f t="shared" si="105"/>
        <v>0</v>
      </c>
      <c r="AR140" s="130">
        <f t="shared" si="105"/>
        <v>0</v>
      </c>
      <c r="AS140" s="130">
        <f t="shared" si="105"/>
        <v>0</v>
      </c>
      <c r="AT140" s="130">
        <f t="shared" si="105"/>
        <v>0</v>
      </c>
      <c r="AU140" s="130">
        <f t="shared" si="105"/>
        <v>0</v>
      </c>
      <c r="AV140" s="130">
        <f t="shared" si="105"/>
        <v>0</v>
      </c>
      <c r="AW140" s="130">
        <f t="shared" si="105"/>
        <v>0</v>
      </c>
      <c r="AX140" s="130">
        <f t="shared" si="105"/>
        <v>0</v>
      </c>
      <c r="AY140" s="130">
        <f t="shared" si="105"/>
        <v>0</v>
      </c>
      <c r="AZ140" s="130">
        <f t="shared" si="105"/>
        <v>0</v>
      </c>
      <c r="BA140" s="130">
        <f t="shared" si="105"/>
        <v>0</v>
      </c>
      <c r="BB140" s="130">
        <f t="shared" si="94"/>
        <v>0</v>
      </c>
      <c r="BC140" s="130">
        <f t="shared" si="94"/>
        <v>0</v>
      </c>
      <c r="BD140" s="130">
        <f t="shared" si="94"/>
        <v>0</v>
      </c>
      <c r="BE140" s="130">
        <f t="shared" si="94"/>
        <v>0</v>
      </c>
      <c r="BF140" s="130" t="e">
        <f>+IF($H140=#REF!,$C140,0)-IF($I140=#REF!,$C140,0)</f>
        <v>#REF!</v>
      </c>
      <c r="BG140" s="130" t="e">
        <f>+IF($H140=#REF!,$C140,0)-IF($I140=#REF!,$C140,0)</f>
        <v>#REF!</v>
      </c>
      <c r="BH140" s="130" t="e">
        <f>+IF($H140=#REF!,$C140,0)-IF($I140=#REF!,$C140,0)</f>
        <v>#REF!</v>
      </c>
      <c r="BI140" s="130">
        <f t="shared" si="106"/>
        <v>0</v>
      </c>
      <c r="BJ140" s="130">
        <f t="shared" si="106"/>
        <v>0</v>
      </c>
      <c r="BK140" s="130">
        <f t="shared" si="106"/>
        <v>0</v>
      </c>
      <c r="BL140" s="130">
        <f t="shared" si="106"/>
        <v>0</v>
      </c>
      <c r="BM140" s="130">
        <f t="shared" si="106"/>
        <v>0</v>
      </c>
      <c r="BN140" s="130">
        <f t="shared" si="106"/>
        <v>0</v>
      </c>
      <c r="BO140" s="130">
        <f t="shared" si="106"/>
        <v>0</v>
      </c>
      <c r="BP140" s="130">
        <f t="shared" si="106"/>
        <v>0</v>
      </c>
      <c r="BQ140" s="130">
        <f t="shared" si="106"/>
        <v>0</v>
      </c>
      <c r="BR140" s="130" t="e">
        <f t="shared" si="102"/>
        <v>#REF!</v>
      </c>
    </row>
    <row r="141" spans="2:70" s="119" customFormat="1" x14ac:dyDescent="0.2">
      <c r="B141" s="128"/>
      <c r="C141" s="129"/>
      <c r="D141" s="129"/>
      <c r="E141" s="129" t="e">
        <f>ROUND(IF(D141=#REF!,0,IF($H141=$S$6,(C141/1.14975*0.05*0.5),C141/1.14975*0.05)),2)</f>
        <v>#REF!</v>
      </c>
      <c r="F141" s="129" t="e">
        <f>ROUND(IF(D141=#REF!,0,IF($H141=$S$6,C141/1.14975*0.09975*0.5,C141/1.14975*0.09975)),2)</f>
        <v>#REF!</v>
      </c>
      <c r="G141" s="129" t="e">
        <f t="shared" si="96"/>
        <v>#REF!</v>
      </c>
      <c r="J141" s="130">
        <f t="shared" si="97"/>
        <v>0</v>
      </c>
      <c r="K141" s="130">
        <f t="shared" si="103"/>
        <v>0</v>
      </c>
      <c r="L141" s="130">
        <f t="shared" si="103"/>
        <v>0</v>
      </c>
      <c r="M141" s="130">
        <f t="shared" si="103"/>
        <v>0</v>
      </c>
      <c r="N141" s="130">
        <f t="shared" si="103"/>
        <v>0</v>
      </c>
      <c r="O141" s="130">
        <f t="shared" si="103"/>
        <v>0</v>
      </c>
      <c r="P141" s="130">
        <f t="shared" si="103"/>
        <v>0</v>
      </c>
      <c r="Q141" s="130">
        <f t="shared" si="103"/>
        <v>0</v>
      </c>
      <c r="R141" s="130">
        <f t="shared" si="103"/>
        <v>0</v>
      </c>
      <c r="S141" s="130">
        <f t="shared" si="103"/>
        <v>0</v>
      </c>
      <c r="T141" s="130">
        <f t="shared" si="103"/>
        <v>0</v>
      </c>
      <c r="U141" s="130">
        <f t="shared" si="104"/>
        <v>0</v>
      </c>
      <c r="V141" s="130">
        <f t="shared" si="104"/>
        <v>0</v>
      </c>
      <c r="W141" s="130">
        <f t="shared" si="104"/>
        <v>0</v>
      </c>
      <c r="X141" s="130">
        <f t="shared" si="104"/>
        <v>0</v>
      </c>
      <c r="Y141" s="130">
        <f t="shared" si="104"/>
        <v>0</v>
      </c>
      <c r="Z141" s="130">
        <f t="shared" si="104"/>
        <v>0</v>
      </c>
      <c r="AA141" s="130">
        <f t="shared" si="104"/>
        <v>0</v>
      </c>
      <c r="AB141" s="130">
        <f t="shared" si="104"/>
        <v>0</v>
      </c>
      <c r="AC141" s="130">
        <f t="shared" si="104"/>
        <v>0</v>
      </c>
      <c r="AD141" s="130">
        <f t="shared" si="104"/>
        <v>0</v>
      </c>
      <c r="AE141" s="130">
        <f t="shared" si="104"/>
        <v>0</v>
      </c>
      <c r="AF141" s="130">
        <f t="shared" si="104"/>
        <v>0</v>
      </c>
      <c r="AG141" s="130">
        <f t="shared" si="104"/>
        <v>0</v>
      </c>
      <c r="AH141" s="130">
        <f t="shared" si="92"/>
        <v>0</v>
      </c>
      <c r="AI141" s="130">
        <f t="shared" si="92"/>
        <v>0</v>
      </c>
      <c r="AJ141" s="130">
        <f t="shared" si="92"/>
        <v>0</v>
      </c>
      <c r="AK141" s="130">
        <f t="shared" si="98"/>
        <v>0</v>
      </c>
      <c r="AL141" s="130">
        <f t="shared" si="99"/>
        <v>0</v>
      </c>
      <c r="AM141" s="130">
        <f t="shared" si="100"/>
        <v>0</v>
      </c>
      <c r="AN141" s="130">
        <f t="shared" si="101"/>
        <v>0</v>
      </c>
      <c r="AO141" s="130">
        <f t="shared" si="105"/>
        <v>0</v>
      </c>
      <c r="AP141" s="130">
        <f t="shared" si="105"/>
        <v>0</v>
      </c>
      <c r="AQ141" s="130">
        <f t="shared" si="105"/>
        <v>0</v>
      </c>
      <c r="AR141" s="130">
        <f t="shared" si="105"/>
        <v>0</v>
      </c>
      <c r="AS141" s="130">
        <f t="shared" si="105"/>
        <v>0</v>
      </c>
      <c r="AT141" s="130">
        <f t="shared" si="105"/>
        <v>0</v>
      </c>
      <c r="AU141" s="130">
        <f t="shared" si="105"/>
        <v>0</v>
      </c>
      <c r="AV141" s="130">
        <f t="shared" si="105"/>
        <v>0</v>
      </c>
      <c r="AW141" s="130">
        <f t="shared" si="105"/>
        <v>0</v>
      </c>
      <c r="AX141" s="130">
        <f t="shared" si="105"/>
        <v>0</v>
      </c>
      <c r="AY141" s="130">
        <f t="shared" si="105"/>
        <v>0</v>
      </c>
      <c r="AZ141" s="130">
        <f t="shared" si="105"/>
        <v>0</v>
      </c>
      <c r="BA141" s="130">
        <f t="shared" si="105"/>
        <v>0</v>
      </c>
      <c r="BB141" s="130">
        <f t="shared" si="94"/>
        <v>0</v>
      </c>
      <c r="BC141" s="130">
        <f t="shared" si="94"/>
        <v>0</v>
      </c>
      <c r="BD141" s="130">
        <f t="shared" si="94"/>
        <v>0</v>
      </c>
      <c r="BE141" s="130">
        <f t="shared" si="94"/>
        <v>0</v>
      </c>
      <c r="BF141" s="130">
        <f>+IF($H141=BF$6,$C141,0)-IF($I141=BF$6,$C141,0)</f>
        <v>0</v>
      </c>
      <c r="BG141" s="130">
        <f>+IF($H141=BG$6,$C141,0)-IF($I141=BG$6,$C141,0)</f>
        <v>0</v>
      </c>
      <c r="BH141" s="130">
        <f>+IF($H141=BH$6,$C141,0)-IF($I141=BH$6,$C141,0)</f>
        <v>0</v>
      </c>
      <c r="BI141" s="130">
        <f t="shared" si="106"/>
        <v>0</v>
      </c>
      <c r="BJ141" s="130">
        <f t="shared" si="106"/>
        <v>0</v>
      </c>
      <c r="BK141" s="130">
        <f t="shared" si="106"/>
        <v>0</v>
      </c>
      <c r="BL141" s="130">
        <f t="shared" si="106"/>
        <v>0</v>
      </c>
      <c r="BM141" s="130">
        <f t="shared" si="106"/>
        <v>0</v>
      </c>
      <c r="BN141" s="130">
        <f t="shared" si="106"/>
        <v>0</v>
      </c>
      <c r="BO141" s="130">
        <f t="shared" si="106"/>
        <v>0</v>
      </c>
      <c r="BP141" s="130">
        <f t="shared" si="106"/>
        <v>0</v>
      </c>
      <c r="BQ141" s="130">
        <f t="shared" si="106"/>
        <v>0</v>
      </c>
      <c r="BR141" s="130">
        <f t="shared" si="102"/>
        <v>0</v>
      </c>
    </row>
    <row r="142" spans="2:70" s="119" customFormat="1" x14ac:dyDescent="0.2">
      <c r="B142" s="128"/>
      <c r="C142" s="129"/>
      <c r="D142" s="129"/>
      <c r="E142" s="129" t="e">
        <f>ROUND(IF(D142=#REF!,0,IF($H142=$S$6,(C142/1.14975*0.05*0.5),C142/1.14975*0.05)),2)</f>
        <v>#REF!</v>
      </c>
      <c r="F142" s="129" t="e">
        <f>ROUND(IF(D142=#REF!,0,IF($H142=$S$6,C142/1.14975*0.09975*0.5,C142/1.14975*0.09975)),2)</f>
        <v>#REF!</v>
      </c>
      <c r="G142" s="129" t="e">
        <f t="shared" si="96"/>
        <v>#REF!</v>
      </c>
      <c r="J142" s="130">
        <f t="shared" si="97"/>
        <v>0</v>
      </c>
      <c r="K142" s="130">
        <f t="shared" si="103"/>
        <v>0</v>
      </c>
      <c r="L142" s="130">
        <f t="shared" si="103"/>
        <v>0</v>
      </c>
      <c r="M142" s="130">
        <f t="shared" si="103"/>
        <v>0</v>
      </c>
      <c r="N142" s="130">
        <f t="shared" si="103"/>
        <v>0</v>
      </c>
      <c r="O142" s="130">
        <f t="shared" si="103"/>
        <v>0</v>
      </c>
      <c r="P142" s="130">
        <f t="shared" si="103"/>
        <v>0</v>
      </c>
      <c r="Q142" s="130">
        <f t="shared" si="103"/>
        <v>0</v>
      </c>
      <c r="R142" s="130">
        <f t="shared" si="103"/>
        <v>0</v>
      </c>
      <c r="S142" s="130">
        <f t="shared" si="103"/>
        <v>0</v>
      </c>
      <c r="T142" s="130">
        <f t="shared" si="103"/>
        <v>0</v>
      </c>
      <c r="U142" s="130">
        <f t="shared" si="104"/>
        <v>0</v>
      </c>
      <c r="V142" s="130">
        <f t="shared" si="104"/>
        <v>0</v>
      </c>
      <c r="W142" s="130">
        <f t="shared" si="104"/>
        <v>0</v>
      </c>
      <c r="X142" s="130">
        <f t="shared" si="104"/>
        <v>0</v>
      </c>
      <c r="Y142" s="130">
        <f t="shared" si="104"/>
        <v>0</v>
      </c>
      <c r="Z142" s="130">
        <f t="shared" si="104"/>
        <v>0</v>
      </c>
      <c r="AA142" s="130">
        <f t="shared" si="104"/>
        <v>0</v>
      </c>
      <c r="AB142" s="130">
        <f t="shared" si="104"/>
        <v>0</v>
      </c>
      <c r="AC142" s="130">
        <f t="shared" si="104"/>
        <v>0</v>
      </c>
      <c r="AD142" s="130">
        <f t="shared" si="104"/>
        <v>0</v>
      </c>
      <c r="AE142" s="130">
        <f t="shared" si="104"/>
        <v>0</v>
      </c>
      <c r="AF142" s="130">
        <f t="shared" si="104"/>
        <v>0</v>
      </c>
      <c r="AG142" s="130">
        <f t="shared" si="104"/>
        <v>0</v>
      </c>
      <c r="AH142" s="130">
        <f t="shared" si="92"/>
        <v>0</v>
      </c>
      <c r="AI142" s="130">
        <f t="shared" si="92"/>
        <v>0</v>
      </c>
      <c r="AJ142" s="130">
        <f t="shared" si="92"/>
        <v>0</v>
      </c>
      <c r="AK142" s="130">
        <f t="shared" si="98"/>
        <v>0</v>
      </c>
      <c r="AL142" s="130">
        <f t="shared" si="99"/>
        <v>0</v>
      </c>
      <c r="AM142" s="130">
        <f t="shared" si="100"/>
        <v>0</v>
      </c>
      <c r="AN142" s="130">
        <f t="shared" si="101"/>
        <v>0</v>
      </c>
      <c r="AO142" s="130">
        <f t="shared" si="105"/>
        <v>0</v>
      </c>
      <c r="AP142" s="130">
        <f t="shared" si="105"/>
        <v>0</v>
      </c>
      <c r="AQ142" s="130">
        <f t="shared" si="105"/>
        <v>0</v>
      </c>
      <c r="AR142" s="130">
        <f t="shared" si="105"/>
        <v>0</v>
      </c>
      <c r="AS142" s="130">
        <f t="shared" si="105"/>
        <v>0</v>
      </c>
      <c r="AT142" s="130">
        <f t="shared" si="105"/>
        <v>0</v>
      </c>
      <c r="AU142" s="130">
        <f t="shared" si="105"/>
        <v>0</v>
      </c>
      <c r="AV142" s="130">
        <f t="shared" si="105"/>
        <v>0</v>
      </c>
      <c r="AW142" s="130">
        <f t="shared" si="105"/>
        <v>0</v>
      </c>
      <c r="AX142" s="130">
        <f t="shared" si="105"/>
        <v>0</v>
      </c>
      <c r="AY142" s="130">
        <f t="shared" si="105"/>
        <v>0</v>
      </c>
      <c r="AZ142" s="130">
        <f t="shared" si="105"/>
        <v>0</v>
      </c>
      <c r="BA142" s="130">
        <f t="shared" si="105"/>
        <v>0</v>
      </c>
      <c r="BB142" s="130">
        <f t="shared" si="94"/>
        <v>0</v>
      </c>
      <c r="BC142" s="130">
        <f t="shared" si="94"/>
        <v>0</v>
      </c>
      <c r="BD142" s="130">
        <f t="shared" si="94"/>
        <v>0</v>
      </c>
      <c r="BE142" s="130">
        <f t="shared" si="94"/>
        <v>0</v>
      </c>
      <c r="BF142" s="130" t="e">
        <f>+IF($H142=#REF!,$C142,0)-IF($I142=#REF!,$C142,0)</f>
        <v>#REF!</v>
      </c>
      <c r="BG142" s="130" t="e">
        <f>+IF($H142=#REF!,$C142,0)-IF($I142=#REF!,$C142,0)</f>
        <v>#REF!</v>
      </c>
      <c r="BH142" s="130" t="e">
        <f>+IF($H142=#REF!,$C142,0)-IF($I142=#REF!,$C142,0)</f>
        <v>#REF!</v>
      </c>
      <c r="BI142" s="130">
        <f t="shared" si="106"/>
        <v>0</v>
      </c>
      <c r="BJ142" s="130">
        <f t="shared" si="106"/>
        <v>0</v>
      </c>
      <c r="BK142" s="130">
        <f t="shared" si="106"/>
        <v>0</v>
      </c>
      <c r="BL142" s="130">
        <f t="shared" si="106"/>
        <v>0</v>
      </c>
      <c r="BM142" s="130">
        <f t="shared" si="106"/>
        <v>0</v>
      </c>
      <c r="BN142" s="130">
        <f t="shared" si="106"/>
        <v>0</v>
      </c>
      <c r="BO142" s="130">
        <f t="shared" si="106"/>
        <v>0</v>
      </c>
      <c r="BP142" s="130">
        <f t="shared" si="106"/>
        <v>0</v>
      </c>
      <c r="BQ142" s="130">
        <f t="shared" si="106"/>
        <v>0</v>
      </c>
      <c r="BR142" s="130" t="e">
        <f t="shared" si="102"/>
        <v>#REF!</v>
      </c>
    </row>
    <row r="143" spans="2:70" s="119" customFormat="1" x14ac:dyDescent="0.2">
      <c r="B143" s="128"/>
      <c r="C143" s="129"/>
      <c r="D143" s="129"/>
      <c r="E143" s="129" t="e">
        <f>ROUND(IF(D143=#REF!,0,IF($H143=$S$6,(C143/1.14975*0.05*0.5),C143/1.14975*0.05)),2)</f>
        <v>#REF!</v>
      </c>
      <c r="F143" s="129" t="e">
        <f>ROUND(IF(D143=#REF!,0,IF($H143=$S$6,C143/1.14975*0.09975*0.5,C143/1.14975*0.09975)),2)</f>
        <v>#REF!</v>
      </c>
      <c r="G143" s="129" t="e">
        <f t="shared" si="96"/>
        <v>#REF!</v>
      </c>
      <c r="J143" s="130">
        <f t="shared" si="97"/>
        <v>0</v>
      </c>
      <c r="K143" s="130">
        <f t="shared" si="103"/>
        <v>0</v>
      </c>
      <c r="L143" s="130">
        <f t="shared" si="103"/>
        <v>0</v>
      </c>
      <c r="M143" s="130">
        <f t="shared" si="103"/>
        <v>0</v>
      </c>
      <c r="N143" s="130">
        <f t="shared" si="103"/>
        <v>0</v>
      </c>
      <c r="O143" s="130">
        <f t="shared" si="103"/>
        <v>0</v>
      </c>
      <c r="P143" s="130">
        <f t="shared" si="103"/>
        <v>0</v>
      </c>
      <c r="Q143" s="130">
        <f t="shared" si="103"/>
        <v>0</v>
      </c>
      <c r="R143" s="130">
        <f t="shared" si="103"/>
        <v>0</v>
      </c>
      <c r="S143" s="130">
        <f t="shared" si="103"/>
        <v>0</v>
      </c>
      <c r="T143" s="130">
        <f t="shared" si="103"/>
        <v>0</v>
      </c>
      <c r="U143" s="130">
        <f t="shared" si="104"/>
        <v>0</v>
      </c>
      <c r="V143" s="130">
        <f t="shared" si="104"/>
        <v>0</v>
      </c>
      <c r="W143" s="130">
        <f t="shared" si="104"/>
        <v>0</v>
      </c>
      <c r="X143" s="130">
        <f t="shared" si="104"/>
        <v>0</v>
      </c>
      <c r="Y143" s="130">
        <f t="shared" si="104"/>
        <v>0</v>
      </c>
      <c r="Z143" s="130">
        <f t="shared" si="104"/>
        <v>0</v>
      </c>
      <c r="AA143" s="130">
        <f t="shared" si="104"/>
        <v>0</v>
      </c>
      <c r="AB143" s="130">
        <f t="shared" si="104"/>
        <v>0</v>
      </c>
      <c r="AC143" s="130">
        <f t="shared" si="104"/>
        <v>0</v>
      </c>
      <c r="AD143" s="130">
        <f t="shared" si="104"/>
        <v>0</v>
      </c>
      <c r="AE143" s="130">
        <f t="shared" si="104"/>
        <v>0</v>
      </c>
      <c r="AF143" s="130">
        <f t="shared" si="104"/>
        <v>0</v>
      </c>
      <c r="AG143" s="130">
        <f t="shared" si="104"/>
        <v>0</v>
      </c>
      <c r="AH143" s="130">
        <f t="shared" si="92"/>
        <v>0</v>
      </c>
      <c r="AI143" s="130">
        <f t="shared" si="92"/>
        <v>0</v>
      </c>
      <c r="AJ143" s="130">
        <f t="shared" si="92"/>
        <v>0</v>
      </c>
      <c r="AK143" s="130">
        <f t="shared" si="98"/>
        <v>0</v>
      </c>
      <c r="AL143" s="130">
        <f t="shared" si="99"/>
        <v>0</v>
      </c>
      <c r="AM143" s="130">
        <f t="shared" si="100"/>
        <v>0</v>
      </c>
      <c r="AN143" s="130">
        <f t="shared" si="101"/>
        <v>0</v>
      </c>
      <c r="AO143" s="130">
        <f t="shared" si="105"/>
        <v>0</v>
      </c>
      <c r="AP143" s="130">
        <f t="shared" si="105"/>
        <v>0</v>
      </c>
      <c r="AQ143" s="130">
        <f t="shared" si="105"/>
        <v>0</v>
      </c>
      <c r="AR143" s="130">
        <f t="shared" si="105"/>
        <v>0</v>
      </c>
      <c r="AS143" s="130">
        <f t="shared" si="105"/>
        <v>0</v>
      </c>
      <c r="AT143" s="130">
        <f t="shared" si="105"/>
        <v>0</v>
      </c>
      <c r="AU143" s="130">
        <f t="shared" si="105"/>
        <v>0</v>
      </c>
      <c r="AV143" s="130">
        <f t="shared" si="105"/>
        <v>0</v>
      </c>
      <c r="AW143" s="130">
        <f t="shared" si="105"/>
        <v>0</v>
      </c>
      <c r="AX143" s="130">
        <f t="shared" si="105"/>
        <v>0</v>
      </c>
      <c r="AY143" s="130">
        <f t="shared" si="105"/>
        <v>0</v>
      </c>
      <c r="AZ143" s="130">
        <f t="shared" si="105"/>
        <v>0</v>
      </c>
      <c r="BA143" s="130">
        <f t="shared" si="105"/>
        <v>0</v>
      </c>
      <c r="BB143" s="130">
        <f t="shared" si="94"/>
        <v>0</v>
      </c>
      <c r="BC143" s="130">
        <f t="shared" si="94"/>
        <v>0</v>
      </c>
      <c r="BD143" s="130">
        <f t="shared" si="94"/>
        <v>0</v>
      </c>
      <c r="BE143" s="130">
        <f t="shared" si="94"/>
        <v>0</v>
      </c>
      <c r="BF143" s="130" t="e">
        <f>+IF($H143=#REF!,$C143,0)-IF($I143=#REF!,$C143,0)</f>
        <v>#REF!</v>
      </c>
      <c r="BG143" s="130" t="e">
        <f>+IF($H143=#REF!,$C143,0)-IF($I143=#REF!,$C143,0)</f>
        <v>#REF!</v>
      </c>
      <c r="BH143" s="130" t="e">
        <f>+IF($H143=#REF!,$C143,0)-IF($I143=#REF!,$C143,0)</f>
        <v>#REF!</v>
      </c>
      <c r="BI143" s="130">
        <f t="shared" si="106"/>
        <v>0</v>
      </c>
      <c r="BJ143" s="130">
        <f t="shared" si="106"/>
        <v>0</v>
      </c>
      <c r="BK143" s="130">
        <f t="shared" si="106"/>
        <v>0</v>
      </c>
      <c r="BL143" s="130">
        <f t="shared" si="106"/>
        <v>0</v>
      </c>
      <c r="BM143" s="130">
        <f t="shared" si="106"/>
        <v>0</v>
      </c>
      <c r="BN143" s="130">
        <f t="shared" si="106"/>
        <v>0</v>
      </c>
      <c r="BO143" s="130">
        <f t="shared" si="106"/>
        <v>0</v>
      </c>
      <c r="BP143" s="130">
        <f t="shared" si="106"/>
        <v>0</v>
      </c>
      <c r="BQ143" s="130">
        <f t="shared" si="106"/>
        <v>0</v>
      </c>
      <c r="BR143" s="130" t="e">
        <f t="shared" si="102"/>
        <v>#REF!</v>
      </c>
    </row>
    <row r="144" spans="2:70" s="119" customFormat="1" x14ac:dyDescent="0.2">
      <c r="B144" s="128"/>
      <c r="C144" s="129"/>
      <c r="D144" s="129"/>
      <c r="E144" s="129" t="e">
        <f>ROUND(IF(D144=#REF!,0,IF($H144=$S$6,(C144/1.14975*0.05*0.5),C144/1.14975*0.05)),2)</f>
        <v>#REF!</v>
      </c>
      <c r="F144" s="129" t="e">
        <f>ROUND(IF(D144=#REF!,0,IF($H144=$S$6,C144/1.14975*0.09975*0.5,C144/1.14975*0.09975)),2)</f>
        <v>#REF!</v>
      </c>
      <c r="G144" s="129" t="e">
        <f t="shared" si="96"/>
        <v>#REF!</v>
      </c>
      <c r="J144" s="130">
        <f t="shared" si="97"/>
        <v>0</v>
      </c>
      <c r="K144" s="130">
        <f t="shared" si="103"/>
        <v>0</v>
      </c>
      <c r="L144" s="130">
        <f t="shared" si="103"/>
        <v>0</v>
      </c>
      <c r="M144" s="130">
        <f t="shared" si="103"/>
        <v>0</v>
      </c>
      <c r="N144" s="130">
        <f t="shared" si="103"/>
        <v>0</v>
      </c>
      <c r="O144" s="130">
        <f t="shared" si="103"/>
        <v>0</v>
      </c>
      <c r="P144" s="130">
        <f t="shared" si="103"/>
        <v>0</v>
      </c>
      <c r="Q144" s="130">
        <f t="shared" si="103"/>
        <v>0</v>
      </c>
      <c r="R144" s="130">
        <f t="shared" si="103"/>
        <v>0</v>
      </c>
      <c r="S144" s="130">
        <f t="shared" si="103"/>
        <v>0</v>
      </c>
      <c r="T144" s="130">
        <f t="shared" si="103"/>
        <v>0</v>
      </c>
      <c r="U144" s="130">
        <f t="shared" si="104"/>
        <v>0</v>
      </c>
      <c r="V144" s="130">
        <f t="shared" si="104"/>
        <v>0</v>
      </c>
      <c r="W144" s="130">
        <f t="shared" si="104"/>
        <v>0</v>
      </c>
      <c r="X144" s="130">
        <f t="shared" si="104"/>
        <v>0</v>
      </c>
      <c r="Y144" s="130">
        <f t="shared" si="104"/>
        <v>0</v>
      </c>
      <c r="Z144" s="130">
        <f t="shared" si="104"/>
        <v>0</v>
      </c>
      <c r="AA144" s="130">
        <f t="shared" si="104"/>
        <v>0</v>
      </c>
      <c r="AB144" s="130">
        <f t="shared" si="104"/>
        <v>0</v>
      </c>
      <c r="AC144" s="130">
        <f t="shared" si="104"/>
        <v>0</v>
      </c>
      <c r="AD144" s="130">
        <f t="shared" si="104"/>
        <v>0</v>
      </c>
      <c r="AE144" s="130">
        <f t="shared" si="104"/>
        <v>0</v>
      </c>
      <c r="AF144" s="130">
        <f t="shared" si="104"/>
        <v>0</v>
      </c>
      <c r="AG144" s="130">
        <f t="shared" si="104"/>
        <v>0</v>
      </c>
      <c r="AH144" s="130">
        <f t="shared" si="92"/>
        <v>0</v>
      </c>
      <c r="AI144" s="130">
        <f t="shared" si="92"/>
        <v>0</v>
      </c>
      <c r="AJ144" s="130">
        <f t="shared" si="92"/>
        <v>0</v>
      </c>
      <c r="AK144" s="130">
        <f t="shared" si="98"/>
        <v>0</v>
      </c>
      <c r="AL144" s="130">
        <f t="shared" si="99"/>
        <v>0</v>
      </c>
      <c r="AM144" s="130">
        <f t="shared" si="100"/>
        <v>0</v>
      </c>
      <c r="AN144" s="130">
        <f t="shared" si="101"/>
        <v>0</v>
      </c>
      <c r="AO144" s="130">
        <f t="shared" si="105"/>
        <v>0</v>
      </c>
      <c r="AP144" s="130">
        <f t="shared" si="105"/>
        <v>0</v>
      </c>
      <c r="AQ144" s="130">
        <f t="shared" si="105"/>
        <v>0</v>
      </c>
      <c r="AR144" s="130">
        <f t="shared" si="105"/>
        <v>0</v>
      </c>
      <c r="AS144" s="130">
        <f t="shared" si="105"/>
        <v>0</v>
      </c>
      <c r="AT144" s="130">
        <f t="shared" si="105"/>
        <v>0</v>
      </c>
      <c r="AU144" s="130">
        <f t="shared" si="105"/>
        <v>0</v>
      </c>
      <c r="AV144" s="130">
        <f t="shared" si="105"/>
        <v>0</v>
      </c>
      <c r="AW144" s="130">
        <f t="shared" si="105"/>
        <v>0</v>
      </c>
      <c r="AX144" s="130">
        <f t="shared" si="105"/>
        <v>0</v>
      </c>
      <c r="AY144" s="130">
        <f t="shared" si="105"/>
        <v>0</v>
      </c>
      <c r="AZ144" s="130">
        <f t="shared" si="105"/>
        <v>0</v>
      </c>
      <c r="BA144" s="130">
        <f t="shared" si="105"/>
        <v>0</v>
      </c>
      <c r="BB144" s="130">
        <f t="shared" si="94"/>
        <v>0</v>
      </c>
      <c r="BC144" s="130">
        <f t="shared" si="94"/>
        <v>0</v>
      </c>
      <c r="BD144" s="130">
        <f t="shared" si="94"/>
        <v>0</v>
      </c>
      <c r="BE144" s="130">
        <f t="shared" si="94"/>
        <v>0</v>
      </c>
      <c r="BF144" s="130" t="e">
        <f>+IF($H144=#REF!,$C144,0)-IF($I144=#REF!,$C144,0)</f>
        <v>#REF!</v>
      </c>
      <c r="BG144" s="130" t="e">
        <f>+IF($H144=#REF!,$C144,0)-IF($I144=#REF!,$C144,0)</f>
        <v>#REF!</v>
      </c>
      <c r="BH144" s="130" t="e">
        <f>+IF($H144=#REF!,$C144,0)-IF($I144=#REF!,$C144,0)</f>
        <v>#REF!</v>
      </c>
      <c r="BI144" s="130">
        <f t="shared" si="106"/>
        <v>0</v>
      </c>
      <c r="BJ144" s="130">
        <f t="shared" si="106"/>
        <v>0</v>
      </c>
      <c r="BK144" s="130">
        <f t="shared" si="106"/>
        <v>0</v>
      </c>
      <c r="BL144" s="130">
        <f t="shared" si="106"/>
        <v>0</v>
      </c>
      <c r="BM144" s="130">
        <f t="shared" si="106"/>
        <v>0</v>
      </c>
      <c r="BN144" s="130">
        <f t="shared" si="106"/>
        <v>0</v>
      </c>
      <c r="BO144" s="130">
        <f t="shared" si="106"/>
        <v>0</v>
      </c>
      <c r="BP144" s="130">
        <f t="shared" si="106"/>
        <v>0</v>
      </c>
      <c r="BQ144" s="130">
        <f t="shared" si="106"/>
        <v>0</v>
      </c>
      <c r="BR144" s="130" t="e">
        <f t="shared" si="102"/>
        <v>#REF!</v>
      </c>
    </row>
    <row r="145" spans="2:70" s="119" customFormat="1" x14ac:dyDescent="0.2">
      <c r="B145" s="128"/>
      <c r="C145" s="129"/>
      <c r="D145" s="129"/>
      <c r="E145" s="129" t="e">
        <f>ROUND(IF(D145=#REF!,0,IF($H145=$S$6,(C145/1.14975*0.05*0.5),C145/1.14975*0.05)),2)</f>
        <v>#REF!</v>
      </c>
      <c r="F145" s="129" t="e">
        <f>ROUND(IF(D145=#REF!,0,IF($H145=$S$6,C145/1.14975*0.09975*0.5,C145/1.14975*0.09975)),2)</f>
        <v>#REF!</v>
      </c>
      <c r="G145" s="129" t="e">
        <f t="shared" si="96"/>
        <v>#REF!</v>
      </c>
      <c r="J145" s="130">
        <f t="shared" si="97"/>
        <v>0</v>
      </c>
      <c r="K145" s="130">
        <f t="shared" si="103"/>
        <v>0</v>
      </c>
      <c r="L145" s="130">
        <f t="shared" si="103"/>
        <v>0</v>
      </c>
      <c r="M145" s="130">
        <f t="shared" si="103"/>
        <v>0</v>
      </c>
      <c r="N145" s="130">
        <f t="shared" si="103"/>
        <v>0</v>
      </c>
      <c r="O145" s="130">
        <f t="shared" si="103"/>
        <v>0</v>
      </c>
      <c r="P145" s="130">
        <f t="shared" si="103"/>
        <v>0</v>
      </c>
      <c r="Q145" s="130">
        <f t="shared" si="103"/>
        <v>0</v>
      </c>
      <c r="R145" s="130">
        <f t="shared" si="103"/>
        <v>0</v>
      </c>
      <c r="S145" s="130">
        <f t="shared" si="103"/>
        <v>0</v>
      </c>
      <c r="T145" s="130">
        <f t="shared" si="103"/>
        <v>0</v>
      </c>
      <c r="U145" s="130">
        <f t="shared" si="104"/>
        <v>0</v>
      </c>
      <c r="V145" s="130">
        <f t="shared" si="104"/>
        <v>0</v>
      </c>
      <c r="W145" s="130">
        <f t="shared" si="104"/>
        <v>0</v>
      </c>
      <c r="X145" s="130">
        <f t="shared" si="104"/>
        <v>0</v>
      </c>
      <c r="Y145" s="130">
        <f t="shared" si="104"/>
        <v>0</v>
      </c>
      <c r="Z145" s="130">
        <f t="shared" si="104"/>
        <v>0</v>
      </c>
      <c r="AA145" s="130">
        <f t="shared" si="104"/>
        <v>0</v>
      </c>
      <c r="AB145" s="130">
        <f t="shared" si="104"/>
        <v>0</v>
      </c>
      <c r="AC145" s="130">
        <f t="shared" si="104"/>
        <v>0</v>
      </c>
      <c r="AD145" s="130">
        <f t="shared" si="104"/>
        <v>0</v>
      </c>
      <c r="AE145" s="130">
        <f t="shared" si="104"/>
        <v>0</v>
      </c>
      <c r="AF145" s="130">
        <f t="shared" si="104"/>
        <v>0</v>
      </c>
      <c r="AG145" s="130">
        <f t="shared" si="104"/>
        <v>0</v>
      </c>
      <c r="AH145" s="130">
        <f t="shared" si="92"/>
        <v>0</v>
      </c>
      <c r="AI145" s="130">
        <f t="shared" si="92"/>
        <v>0</v>
      </c>
      <c r="AJ145" s="130">
        <f t="shared" si="92"/>
        <v>0</v>
      </c>
      <c r="AK145" s="130">
        <f t="shared" si="98"/>
        <v>0</v>
      </c>
      <c r="AL145" s="130">
        <f t="shared" si="99"/>
        <v>0</v>
      </c>
      <c r="AM145" s="130">
        <f t="shared" si="100"/>
        <v>0</v>
      </c>
      <c r="AN145" s="130">
        <f t="shared" si="101"/>
        <v>0</v>
      </c>
      <c r="AO145" s="130">
        <f t="shared" si="105"/>
        <v>0</v>
      </c>
      <c r="AP145" s="130">
        <f t="shared" si="105"/>
        <v>0</v>
      </c>
      <c r="AQ145" s="130">
        <f t="shared" si="105"/>
        <v>0</v>
      </c>
      <c r="AR145" s="130">
        <f t="shared" si="105"/>
        <v>0</v>
      </c>
      <c r="AS145" s="130">
        <f t="shared" si="105"/>
        <v>0</v>
      </c>
      <c r="AT145" s="130">
        <f t="shared" si="105"/>
        <v>0</v>
      </c>
      <c r="AU145" s="130">
        <f t="shared" si="105"/>
        <v>0</v>
      </c>
      <c r="AV145" s="130">
        <f t="shared" si="105"/>
        <v>0</v>
      </c>
      <c r="AW145" s="130">
        <f t="shared" si="105"/>
        <v>0</v>
      </c>
      <c r="AX145" s="130">
        <f t="shared" si="105"/>
        <v>0</v>
      </c>
      <c r="AY145" s="130">
        <f t="shared" si="105"/>
        <v>0</v>
      </c>
      <c r="AZ145" s="130">
        <f t="shared" si="105"/>
        <v>0</v>
      </c>
      <c r="BA145" s="130">
        <f t="shared" si="105"/>
        <v>0</v>
      </c>
      <c r="BB145" s="130">
        <f t="shared" si="94"/>
        <v>0</v>
      </c>
      <c r="BC145" s="130">
        <f t="shared" si="94"/>
        <v>0</v>
      </c>
      <c r="BD145" s="130">
        <f t="shared" si="94"/>
        <v>0</v>
      </c>
      <c r="BE145" s="130">
        <f t="shared" si="94"/>
        <v>0</v>
      </c>
      <c r="BF145" s="130" t="e">
        <f>+IF($H145=#REF!,$C145,0)-IF($I145=#REF!,$C145,0)</f>
        <v>#REF!</v>
      </c>
      <c r="BG145" s="130" t="e">
        <f>+IF($H145=#REF!,$C145,0)-IF($I145=#REF!,$C145,0)</f>
        <v>#REF!</v>
      </c>
      <c r="BH145" s="130" t="e">
        <f>+IF($H145=#REF!,$C145,0)-IF($I145=#REF!,$C145,0)</f>
        <v>#REF!</v>
      </c>
      <c r="BI145" s="130">
        <f t="shared" si="106"/>
        <v>0</v>
      </c>
      <c r="BJ145" s="130">
        <f t="shared" si="106"/>
        <v>0</v>
      </c>
      <c r="BK145" s="130">
        <f t="shared" si="106"/>
        <v>0</v>
      </c>
      <c r="BL145" s="130">
        <f t="shared" si="106"/>
        <v>0</v>
      </c>
      <c r="BM145" s="130">
        <f t="shared" si="106"/>
        <v>0</v>
      </c>
      <c r="BN145" s="130">
        <f t="shared" si="106"/>
        <v>0</v>
      </c>
      <c r="BO145" s="130">
        <f t="shared" si="106"/>
        <v>0</v>
      </c>
      <c r="BP145" s="130">
        <f t="shared" si="106"/>
        <v>0</v>
      </c>
      <c r="BQ145" s="130">
        <f t="shared" si="106"/>
        <v>0</v>
      </c>
      <c r="BR145" s="130" t="e">
        <f t="shared" si="102"/>
        <v>#REF!</v>
      </c>
    </row>
    <row r="146" spans="2:70" s="119" customFormat="1" x14ac:dyDescent="0.2">
      <c r="B146" s="128"/>
      <c r="C146" s="129"/>
      <c r="D146" s="129"/>
      <c r="E146" s="129" t="e">
        <f>ROUND(IF(D146=#REF!,0,IF($H146=$S$6,(C146/1.14975*0.05*0.5),C146/1.14975*0.05)),2)</f>
        <v>#REF!</v>
      </c>
      <c r="F146" s="129" t="e">
        <f>ROUND(IF(D146=#REF!,0,IF($H146=$S$6,C146/1.14975*0.09975*0.5,C146/1.14975*0.09975)),2)</f>
        <v>#REF!</v>
      </c>
      <c r="G146" s="129" t="e">
        <f t="shared" si="96"/>
        <v>#REF!</v>
      </c>
      <c r="J146" s="130">
        <f t="shared" si="97"/>
        <v>0</v>
      </c>
      <c r="K146" s="130">
        <f t="shared" si="103"/>
        <v>0</v>
      </c>
      <c r="L146" s="130">
        <f t="shared" si="103"/>
        <v>0</v>
      </c>
      <c r="M146" s="130">
        <f t="shared" si="103"/>
        <v>0</v>
      </c>
      <c r="N146" s="130">
        <f t="shared" si="103"/>
        <v>0</v>
      </c>
      <c r="O146" s="130">
        <f t="shared" si="103"/>
        <v>0</v>
      </c>
      <c r="P146" s="130">
        <f t="shared" si="103"/>
        <v>0</v>
      </c>
      <c r="Q146" s="130">
        <f t="shared" si="103"/>
        <v>0</v>
      </c>
      <c r="R146" s="130">
        <f t="shared" si="103"/>
        <v>0</v>
      </c>
      <c r="S146" s="130">
        <f t="shared" si="103"/>
        <v>0</v>
      </c>
      <c r="T146" s="130">
        <f t="shared" si="103"/>
        <v>0</v>
      </c>
      <c r="U146" s="130">
        <f t="shared" si="104"/>
        <v>0</v>
      </c>
      <c r="V146" s="130">
        <f t="shared" si="104"/>
        <v>0</v>
      </c>
      <c r="W146" s="130">
        <f t="shared" si="104"/>
        <v>0</v>
      </c>
      <c r="X146" s="130">
        <f t="shared" si="104"/>
        <v>0</v>
      </c>
      <c r="Y146" s="130">
        <f t="shared" si="104"/>
        <v>0</v>
      </c>
      <c r="Z146" s="130">
        <f t="shared" si="104"/>
        <v>0</v>
      </c>
      <c r="AA146" s="130">
        <f t="shared" si="104"/>
        <v>0</v>
      </c>
      <c r="AB146" s="130">
        <f t="shared" si="104"/>
        <v>0</v>
      </c>
      <c r="AC146" s="130">
        <f t="shared" si="104"/>
        <v>0</v>
      </c>
      <c r="AD146" s="130">
        <f t="shared" si="104"/>
        <v>0</v>
      </c>
      <c r="AE146" s="130">
        <f t="shared" si="104"/>
        <v>0</v>
      </c>
      <c r="AF146" s="130">
        <f t="shared" si="104"/>
        <v>0</v>
      </c>
      <c r="AG146" s="130">
        <f t="shared" si="104"/>
        <v>0</v>
      </c>
      <c r="AH146" s="130">
        <f t="shared" si="92"/>
        <v>0</v>
      </c>
      <c r="AI146" s="130">
        <f t="shared" si="92"/>
        <v>0</v>
      </c>
      <c r="AJ146" s="130">
        <f t="shared" si="92"/>
        <v>0</v>
      </c>
      <c r="AK146" s="130">
        <f t="shared" si="98"/>
        <v>0</v>
      </c>
      <c r="AL146" s="130">
        <f t="shared" si="99"/>
        <v>0</v>
      </c>
      <c r="AM146" s="130">
        <f t="shared" si="100"/>
        <v>0</v>
      </c>
      <c r="AN146" s="130">
        <f t="shared" si="101"/>
        <v>0</v>
      </c>
      <c r="AO146" s="130">
        <f t="shared" si="105"/>
        <v>0</v>
      </c>
      <c r="AP146" s="130">
        <f t="shared" si="105"/>
        <v>0</v>
      </c>
      <c r="AQ146" s="130">
        <f t="shared" si="105"/>
        <v>0</v>
      </c>
      <c r="AR146" s="130">
        <f t="shared" si="105"/>
        <v>0</v>
      </c>
      <c r="AS146" s="130">
        <f t="shared" si="105"/>
        <v>0</v>
      </c>
      <c r="AT146" s="130">
        <f t="shared" si="105"/>
        <v>0</v>
      </c>
      <c r="AU146" s="130">
        <f t="shared" si="105"/>
        <v>0</v>
      </c>
      <c r="AV146" s="130">
        <f t="shared" si="105"/>
        <v>0</v>
      </c>
      <c r="AW146" s="130">
        <f t="shared" si="105"/>
        <v>0</v>
      </c>
      <c r="AX146" s="130">
        <f t="shared" si="105"/>
        <v>0</v>
      </c>
      <c r="AY146" s="130">
        <f t="shared" si="105"/>
        <v>0</v>
      </c>
      <c r="AZ146" s="130">
        <f t="shared" si="105"/>
        <v>0</v>
      </c>
      <c r="BA146" s="130">
        <f t="shared" si="105"/>
        <v>0</v>
      </c>
      <c r="BB146" s="130">
        <f t="shared" si="94"/>
        <v>0</v>
      </c>
      <c r="BC146" s="130">
        <f t="shared" si="94"/>
        <v>0</v>
      </c>
      <c r="BD146" s="130">
        <f t="shared" si="94"/>
        <v>0</v>
      </c>
      <c r="BE146" s="130">
        <f t="shared" si="94"/>
        <v>0</v>
      </c>
      <c r="BF146" s="130" t="e">
        <f>+IF($H146=#REF!,$C146,0)-IF($I146=#REF!,$C146,0)</f>
        <v>#REF!</v>
      </c>
      <c r="BG146" s="130" t="e">
        <f>+IF($H146=#REF!,$C146,0)-IF($I146=#REF!,$C146,0)</f>
        <v>#REF!</v>
      </c>
      <c r="BH146" s="130" t="e">
        <f>+IF($H146=#REF!,$C146,0)-IF($I146=#REF!,$C146,0)</f>
        <v>#REF!</v>
      </c>
      <c r="BI146" s="130">
        <f t="shared" si="106"/>
        <v>0</v>
      </c>
      <c r="BJ146" s="130">
        <f t="shared" si="106"/>
        <v>0</v>
      </c>
      <c r="BK146" s="130">
        <f t="shared" si="106"/>
        <v>0</v>
      </c>
      <c r="BL146" s="130">
        <f t="shared" si="106"/>
        <v>0</v>
      </c>
      <c r="BM146" s="130">
        <f t="shared" si="106"/>
        <v>0</v>
      </c>
      <c r="BN146" s="130">
        <f t="shared" si="106"/>
        <v>0</v>
      </c>
      <c r="BO146" s="130">
        <f t="shared" si="106"/>
        <v>0</v>
      </c>
      <c r="BP146" s="130">
        <f t="shared" si="106"/>
        <v>0</v>
      </c>
      <c r="BQ146" s="130">
        <f t="shared" si="106"/>
        <v>0</v>
      </c>
      <c r="BR146" s="130" t="e">
        <f t="shared" si="102"/>
        <v>#REF!</v>
      </c>
    </row>
    <row r="147" spans="2:70" s="119" customFormat="1" x14ac:dyDescent="0.2">
      <c r="B147" s="128"/>
      <c r="C147" s="129"/>
      <c r="D147" s="129"/>
      <c r="E147" s="129" t="e">
        <f>ROUND(IF(D147=#REF!,0,IF($H147=$S$6,(C147/1.14975*0.05*0.5),C147/1.14975*0.05)),2)</f>
        <v>#REF!</v>
      </c>
      <c r="F147" s="129" t="e">
        <f>ROUND(IF(D147=#REF!,0,IF($H147=$S$6,C147/1.14975*0.09975*0.5,C147/1.14975*0.09975)),2)</f>
        <v>#REF!</v>
      </c>
      <c r="G147" s="129" t="e">
        <f t="shared" si="96"/>
        <v>#REF!</v>
      </c>
      <c r="J147" s="130">
        <f t="shared" si="97"/>
        <v>0</v>
      </c>
      <c r="K147" s="130">
        <f t="shared" si="103"/>
        <v>0</v>
      </c>
      <c r="L147" s="130">
        <f t="shared" si="103"/>
        <v>0</v>
      </c>
      <c r="M147" s="130">
        <f t="shared" si="103"/>
        <v>0</v>
      </c>
      <c r="N147" s="130">
        <f t="shared" si="103"/>
        <v>0</v>
      </c>
      <c r="O147" s="130">
        <f t="shared" si="103"/>
        <v>0</v>
      </c>
      <c r="P147" s="130">
        <f t="shared" si="103"/>
        <v>0</v>
      </c>
      <c r="Q147" s="130">
        <f t="shared" si="103"/>
        <v>0</v>
      </c>
      <c r="R147" s="130">
        <f t="shared" si="103"/>
        <v>0</v>
      </c>
      <c r="S147" s="130">
        <f t="shared" si="103"/>
        <v>0</v>
      </c>
      <c r="T147" s="130">
        <f t="shared" si="103"/>
        <v>0</v>
      </c>
      <c r="U147" s="130">
        <f t="shared" si="104"/>
        <v>0</v>
      </c>
      <c r="V147" s="130">
        <f t="shared" si="104"/>
        <v>0</v>
      </c>
      <c r="W147" s="130">
        <f t="shared" si="104"/>
        <v>0</v>
      </c>
      <c r="X147" s="130">
        <f t="shared" si="104"/>
        <v>0</v>
      </c>
      <c r="Y147" s="130">
        <f t="shared" si="104"/>
        <v>0</v>
      </c>
      <c r="Z147" s="130">
        <f t="shared" si="104"/>
        <v>0</v>
      </c>
      <c r="AA147" s="130">
        <f t="shared" si="104"/>
        <v>0</v>
      </c>
      <c r="AB147" s="130">
        <f t="shared" si="104"/>
        <v>0</v>
      </c>
      <c r="AC147" s="130">
        <f t="shared" si="104"/>
        <v>0</v>
      </c>
      <c r="AD147" s="130">
        <f t="shared" si="104"/>
        <v>0</v>
      </c>
      <c r="AE147" s="130">
        <f t="shared" si="104"/>
        <v>0</v>
      </c>
      <c r="AF147" s="130">
        <f t="shared" si="104"/>
        <v>0</v>
      </c>
      <c r="AG147" s="130">
        <f t="shared" si="104"/>
        <v>0</v>
      </c>
      <c r="AH147" s="130">
        <f t="shared" si="92"/>
        <v>0</v>
      </c>
      <c r="AI147" s="130">
        <f t="shared" si="92"/>
        <v>0</v>
      </c>
      <c r="AJ147" s="130">
        <f t="shared" si="92"/>
        <v>0</v>
      </c>
      <c r="AK147" s="130">
        <f t="shared" si="98"/>
        <v>0</v>
      </c>
      <c r="AL147" s="130">
        <f t="shared" si="99"/>
        <v>0</v>
      </c>
      <c r="AM147" s="130">
        <f t="shared" si="100"/>
        <v>0</v>
      </c>
      <c r="AN147" s="130">
        <f t="shared" si="101"/>
        <v>0</v>
      </c>
      <c r="AO147" s="130">
        <f t="shared" si="105"/>
        <v>0</v>
      </c>
      <c r="AP147" s="130">
        <f t="shared" si="105"/>
        <v>0</v>
      </c>
      <c r="AQ147" s="130">
        <f t="shared" si="105"/>
        <v>0</v>
      </c>
      <c r="AR147" s="130">
        <f t="shared" si="105"/>
        <v>0</v>
      </c>
      <c r="AS147" s="130">
        <f t="shared" si="105"/>
        <v>0</v>
      </c>
      <c r="AT147" s="130">
        <f t="shared" si="105"/>
        <v>0</v>
      </c>
      <c r="AU147" s="130">
        <f t="shared" si="105"/>
        <v>0</v>
      </c>
      <c r="AV147" s="130">
        <f t="shared" si="105"/>
        <v>0</v>
      </c>
      <c r="AW147" s="130">
        <f t="shared" si="105"/>
        <v>0</v>
      </c>
      <c r="AX147" s="130">
        <f t="shared" si="105"/>
        <v>0</v>
      </c>
      <c r="AY147" s="130">
        <f t="shared" si="105"/>
        <v>0</v>
      </c>
      <c r="AZ147" s="130">
        <f t="shared" si="105"/>
        <v>0</v>
      </c>
      <c r="BA147" s="130">
        <f t="shared" si="105"/>
        <v>0</v>
      </c>
      <c r="BB147" s="130">
        <f t="shared" si="94"/>
        <v>0</v>
      </c>
      <c r="BC147" s="130">
        <f t="shared" si="94"/>
        <v>0</v>
      </c>
      <c r="BD147" s="130">
        <f t="shared" si="94"/>
        <v>0</v>
      </c>
      <c r="BE147" s="130">
        <f t="shared" si="94"/>
        <v>0</v>
      </c>
      <c r="BF147" s="130" t="e">
        <f>+IF($H147=#REF!,$C147,0)-IF($I147=#REF!,$C147,0)</f>
        <v>#REF!</v>
      </c>
      <c r="BG147" s="130" t="e">
        <f>+IF($H147=#REF!,$C147,0)-IF($I147=#REF!,$C147,0)</f>
        <v>#REF!</v>
      </c>
      <c r="BH147" s="130" t="e">
        <f>+IF($H147=#REF!,$C147,0)-IF($I147=#REF!,$C147,0)</f>
        <v>#REF!</v>
      </c>
      <c r="BI147" s="130">
        <f t="shared" si="106"/>
        <v>0</v>
      </c>
      <c r="BJ147" s="130">
        <f t="shared" si="106"/>
        <v>0</v>
      </c>
      <c r="BK147" s="130">
        <f t="shared" si="106"/>
        <v>0</v>
      </c>
      <c r="BL147" s="130">
        <f t="shared" si="106"/>
        <v>0</v>
      </c>
      <c r="BM147" s="130">
        <f t="shared" si="106"/>
        <v>0</v>
      </c>
      <c r="BN147" s="130">
        <f t="shared" si="106"/>
        <v>0</v>
      </c>
      <c r="BO147" s="130">
        <f t="shared" si="106"/>
        <v>0</v>
      </c>
      <c r="BP147" s="130">
        <f t="shared" si="106"/>
        <v>0</v>
      </c>
      <c r="BQ147" s="130">
        <f t="shared" si="106"/>
        <v>0</v>
      </c>
      <c r="BR147" s="130" t="e">
        <f t="shared" si="102"/>
        <v>#REF!</v>
      </c>
    </row>
    <row r="148" spans="2:70" s="119" customFormat="1" x14ac:dyDescent="0.2">
      <c r="B148" s="128"/>
      <c r="C148" s="129"/>
      <c r="D148" s="129"/>
      <c r="E148" s="129" t="e">
        <f>ROUND(IF(D148=#REF!,0,IF($H148=$S$6,(C148/1.14975*0.05*0.5),C148/1.14975*0.05)),2)</f>
        <v>#REF!</v>
      </c>
      <c r="F148" s="129" t="e">
        <f>ROUND(IF(D148=#REF!,0,IF($H148=$S$6,C148/1.14975*0.09975*0.5,C148/1.14975*0.09975)),2)</f>
        <v>#REF!</v>
      </c>
      <c r="G148" s="129" t="e">
        <f t="shared" si="96"/>
        <v>#REF!</v>
      </c>
      <c r="J148" s="130">
        <f t="shared" si="97"/>
        <v>0</v>
      </c>
      <c r="K148" s="130">
        <f t="shared" si="103"/>
        <v>0</v>
      </c>
      <c r="L148" s="130">
        <f t="shared" si="103"/>
        <v>0</v>
      </c>
      <c r="M148" s="130">
        <f t="shared" si="103"/>
        <v>0</v>
      </c>
      <c r="N148" s="130">
        <f t="shared" si="103"/>
        <v>0</v>
      </c>
      <c r="O148" s="130">
        <f t="shared" si="103"/>
        <v>0</v>
      </c>
      <c r="P148" s="130">
        <f t="shared" si="103"/>
        <v>0</v>
      </c>
      <c r="Q148" s="130">
        <f t="shared" si="103"/>
        <v>0</v>
      </c>
      <c r="R148" s="130">
        <f t="shared" si="103"/>
        <v>0</v>
      </c>
      <c r="S148" s="130">
        <f t="shared" si="103"/>
        <v>0</v>
      </c>
      <c r="T148" s="130">
        <f t="shared" si="103"/>
        <v>0</v>
      </c>
      <c r="U148" s="130">
        <f t="shared" si="104"/>
        <v>0</v>
      </c>
      <c r="V148" s="130">
        <f t="shared" si="104"/>
        <v>0</v>
      </c>
      <c r="W148" s="130">
        <f t="shared" si="104"/>
        <v>0</v>
      </c>
      <c r="X148" s="130">
        <f t="shared" si="104"/>
        <v>0</v>
      </c>
      <c r="Y148" s="130">
        <f t="shared" si="104"/>
        <v>0</v>
      </c>
      <c r="Z148" s="130">
        <f t="shared" si="104"/>
        <v>0</v>
      </c>
      <c r="AA148" s="130">
        <f t="shared" si="104"/>
        <v>0</v>
      </c>
      <c r="AB148" s="130">
        <f t="shared" si="104"/>
        <v>0</v>
      </c>
      <c r="AC148" s="130">
        <f t="shared" si="104"/>
        <v>0</v>
      </c>
      <c r="AD148" s="130">
        <f t="shared" si="104"/>
        <v>0</v>
      </c>
      <c r="AE148" s="130">
        <f t="shared" si="104"/>
        <v>0</v>
      </c>
      <c r="AF148" s="130">
        <f t="shared" si="104"/>
        <v>0</v>
      </c>
      <c r="AG148" s="130">
        <f t="shared" si="104"/>
        <v>0</v>
      </c>
      <c r="AH148" s="130">
        <f t="shared" si="92"/>
        <v>0</v>
      </c>
      <c r="AI148" s="130">
        <f t="shared" si="92"/>
        <v>0</v>
      </c>
      <c r="AJ148" s="130">
        <f t="shared" si="92"/>
        <v>0</v>
      </c>
      <c r="AK148" s="130">
        <f t="shared" si="98"/>
        <v>0</v>
      </c>
      <c r="AL148" s="130">
        <f t="shared" si="99"/>
        <v>0</v>
      </c>
      <c r="AM148" s="130">
        <f t="shared" si="100"/>
        <v>0</v>
      </c>
      <c r="AN148" s="130">
        <f t="shared" si="101"/>
        <v>0</v>
      </c>
      <c r="AO148" s="130">
        <f t="shared" si="105"/>
        <v>0</v>
      </c>
      <c r="AP148" s="130">
        <f t="shared" si="105"/>
        <v>0</v>
      </c>
      <c r="AQ148" s="130">
        <f t="shared" si="105"/>
        <v>0</v>
      </c>
      <c r="AR148" s="130">
        <f t="shared" si="105"/>
        <v>0</v>
      </c>
      <c r="AS148" s="130">
        <f t="shared" si="105"/>
        <v>0</v>
      </c>
      <c r="AT148" s="130">
        <f t="shared" si="105"/>
        <v>0</v>
      </c>
      <c r="AU148" s="130">
        <f t="shared" si="105"/>
        <v>0</v>
      </c>
      <c r="AV148" s="130">
        <f t="shared" si="105"/>
        <v>0</v>
      </c>
      <c r="AW148" s="130">
        <f t="shared" si="105"/>
        <v>0</v>
      </c>
      <c r="AX148" s="130">
        <f t="shared" si="105"/>
        <v>0</v>
      </c>
      <c r="AY148" s="130">
        <f t="shared" si="105"/>
        <v>0</v>
      </c>
      <c r="AZ148" s="130">
        <f t="shared" si="105"/>
        <v>0</v>
      </c>
      <c r="BA148" s="130">
        <f t="shared" si="105"/>
        <v>0</v>
      </c>
      <c r="BB148" s="130">
        <f t="shared" si="94"/>
        <v>0</v>
      </c>
      <c r="BC148" s="130">
        <f t="shared" si="94"/>
        <v>0</v>
      </c>
      <c r="BD148" s="130">
        <f t="shared" si="94"/>
        <v>0</v>
      </c>
      <c r="BE148" s="130">
        <f t="shared" si="94"/>
        <v>0</v>
      </c>
      <c r="BF148" s="130" t="e">
        <f>+IF($H148=#REF!,$C148,0)-IF($I148=#REF!,$C148,0)</f>
        <v>#REF!</v>
      </c>
      <c r="BG148" s="130" t="e">
        <f>+IF($H148=#REF!,$C148,0)-IF($I148=#REF!,$C148,0)</f>
        <v>#REF!</v>
      </c>
      <c r="BH148" s="130" t="e">
        <f>+IF($H148=#REF!,$C148,0)-IF($I148=#REF!,$C148,0)</f>
        <v>#REF!</v>
      </c>
      <c r="BI148" s="130">
        <f t="shared" si="106"/>
        <v>0</v>
      </c>
      <c r="BJ148" s="130">
        <f t="shared" si="106"/>
        <v>0</v>
      </c>
      <c r="BK148" s="130">
        <f t="shared" si="106"/>
        <v>0</v>
      </c>
      <c r="BL148" s="130">
        <f t="shared" si="106"/>
        <v>0</v>
      </c>
      <c r="BM148" s="130">
        <f t="shared" si="106"/>
        <v>0</v>
      </c>
      <c r="BN148" s="130">
        <f t="shared" si="106"/>
        <v>0</v>
      </c>
      <c r="BO148" s="130">
        <f t="shared" si="106"/>
        <v>0</v>
      </c>
      <c r="BP148" s="130">
        <f t="shared" si="106"/>
        <v>0</v>
      </c>
      <c r="BQ148" s="130">
        <f t="shared" si="106"/>
        <v>0</v>
      </c>
      <c r="BR148" s="130" t="e">
        <f t="shared" si="102"/>
        <v>#REF!</v>
      </c>
    </row>
    <row r="149" spans="2:70" s="119" customFormat="1" x14ac:dyDescent="0.2">
      <c r="C149" s="129"/>
      <c r="D149" s="129"/>
      <c r="E149" s="129" t="e">
        <f>ROUND(IF(D149=#REF!,0,IF($H149=$S$6,(C149/1.14975*0.05*0.5),C149/1.14975*0.05)),2)</f>
        <v>#REF!</v>
      </c>
      <c r="F149" s="129" t="e">
        <f>ROUND(IF(D149=#REF!,0,IF($H149=$S$6,C149/1.14975*0.09975*0.5,C149/1.14975*0.09975)),2)</f>
        <v>#REF!</v>
      </c>
      <c r="G149" s="129" t="e">
        <f t="shared" si="96"/>
        <v>#REF!</v>
      </c>
      <c r="J149" s="130">
        <f t="shared" si="97"/>
        <v>0</v>
      </c>
      <c r="K149" s="130">
        <f t="shared" ref="K149:T158" si="107">+IF($H149=K$6,$G149,0)-IF($I149=K$6,$G149,0)</f>
        <v>0</v>
      </c>
      <c r="L149" s="130">
        <f t="shared" si="107"/>
        <v>0</v>
      </c>
      <c r="M149" s="130">
        <f t="shared" si="107"/>
        <v>0</v>
      </c>
      <c r="N149" s="130">
        <f t="shared" si="107"/>
        <v>0</v>
      </c>
      <c r="O149" s="130">
        <f t="shared" si="107"/>
        <v>0</v>
      </c>
      <c r="P149" s="130">
        <f t="shared" si="107"/>
        <v>0</v>
      </c>
      <c r="Q149" s="130">
        <f t="shared" si="107"/>
        <v>0</v>
      </c>
      <c r="R149" s="130">
        <f t="shared" si="107"/>
        <v>0</v>
      </c>
      <c r="S149" s="130">
        <f t="shared" si="107"/>
        <v>0</v>
      </c>
      <c r="T149" s="130">
        <f t="shared" si="107"/>
        <v>0</v>
      </c>
      <c r="U149" s="130">
        <f t="shared" ref="U149:AG158" si="108">+IF($H149=U$6,$G149,0)-IF($I149=U$6,$G149,0)</f>
        <v>0</v>
      </c>
      <c r="V149" s="130">
        <f t="shared" si="108"/>
        <v>0</v>
      </c>
      <c r="W149" s="130">
        <f t="shared" si="108"/>
        <v>0</v>
      </c>
      <c r="X149" s="130">
        <f t="shared" si="108"/>
        <v>0</v>
      </c>
      <c r="Y149" s="130">
        <f t="shared" si="108"/>
        <v>0</v>
      </c>
      <c r="Z149" s="130">
        <f t="shared" si="108"/>
        <v>0</v>
      </c>
      <c r="AA149" s="130">
        <f t="shared" si="108"/>
        <v>0</v>
      </c>
      <c r="AB149" s="130">
        <f t="shared" si="108"/>
        <v>0</v>
      </c>
      <c r="AC149" s="130">
        <f t="shared" si="108"/>
        <v>0</v>
      </c>
      <c r="AD149" s="130">
        <f t="shared" si="108"/>
        <v>0</v>
      </c>
      <c r="AE149" s="130">
        <f t="shared" si="108"/>
        <v>0</v>
      </c>
      <c r="AF149" s="130">
        <f t="shared" si="108"/>
        <v>0</v>
      </c>
      <c r="AG149" s="130">
        <f t="shared" si="108"/>
        <v>0</v>
      </c>
      <c r="AH149" s="130">
        <f t="shared" ref="AH149:AJ168" si="109">+IF($H149=AH$6,$C149,0)-IF($I149=AH$6,$C149,0)</f>
        <v>0</v>
      </c>
      <c r="AI149" s="130">
        <f t="shared" si="109"/>
        <v>0</v>
      </c>
      <c r="AJ149" s="130">
        <f t="shared" si="109"/>
        <v>0</v>
      </c>
      <c r="AK149" s="130">
        <f t="shared" si="98"/>
        <v>0</v>
      </c>
      <c r="AL149" s="130">
        <f t="shared" si="99"/>
        <v>0</v>
      </c>
      <c r="AM149" s="130">
        <f t="shared" si="100"/>
        <v>0</v>
      </c>
      <c r="AN149" s="130">
        <f t="shared" si="101"/>
        <v>0</v>
      </c>
      <c r="AO149" s="130">
        <f t="shared" ref="AO149:BA158" si="110">+IF($H149=AO$6,$G149,0)-IF($I149=AO$6,$G149,0)</f>
        <v>0</v>
      </c>
      <c r="AP149" s="130">
        <f t="shared" si="110"/>
        <v>0</v>
      </c>
      <c r="AQ149" s="130">
        <f t="shared" si="110"/>
        <v>0</v>
      </c>
      <c r="AR149" s="130">
        <f t="shared" si="110"/>
        <v>0</v>
      </c>
      <c r="AS149" s="130">
        <f t="shared" si="110"/>
        <v>0</v>
      </c>
      <c r="AT149" s="130">
        <f t="shared" si="110"/>
        <v>0</v>
      </c>
      <c r="AU149" s="130">
        <f t="shared" si="110"/>
        <v>0</v>
      </c>
      <c r="AV149" s="130">
        <f t="shared" si="110"/>
        <v>0</v>
      </c>
      <c r="AW149" s="130">
        <f t="shared" si="110"/>
        <v>0</v>
      </c>
      <c r="AX149" s="130">
        <f t="shared" si="110"/>
        <v>0</v>
      </c>
      <c r="AY149" s="130">
        <f t="shared" si="110"/>
        <v>0</v>
      </c>
      <c r="AZ149" s="130">
        <f t="shared" si="110"/>
        <v>0</v>
      </c>
      <c r="BA149" s="130">
        <f t="shared" si="110"/>
        <v>0</v>
      </c>
      <c r="BB149" s="130">
        <f t="shared" ref="BB149:BE168" si="111">+IF($H149=BB$6,$C149,0)-IF($I149=BB$6,$C149,0)</f>
        <v>0</v>
      </c>
      <c r="BC149" s="130">
        <f t="shared" si="111"/>
        <v>0</v>
      </c>
      <c r="BD149" s="130">
        <f t="shared" si="111"/>
        <v>0</v>
      </c>
      <c r="BE149" s="130">
        <f t="shared" si="111"/>
        <v>0</v>
      </c>
      <c r="BF149" s="130" t="e">
        <f>+IF($H149=#REF!,$C149,0)-IF($I149=#REF!,$C149,0)</f>
        <v>#REF!</v>
      </c>
      <c r="BG149" s="130" t="e">
        <f>+IF($H149=#REF!,$C149,0)-IF($I149=#REF!,$C149,0)</f>
        <v>#REF!</v>
      </c>
      <c r="BH149" s="130" t="e">
        <f>+IF($H149=#REF!,$C149,0)-IF($I149=#REF!,$C149,0)</f>
        <v>#REF!</v>
      </c>
      <c r="BI149" s="130">
        <f t="shared" ref="BI149:BQ158" si="112">+IF($H149=BI$6,$G149,0)-IF($I149=BI$6,$G149,0)</f>
        <v>0</v>
      </c>
      <c r="BJ149" s="130">
        <f t="shared" si="112"/>
        <v>0</v>
      </c>
      <c r="BK149" s="130">
        <f t="shared" si="112"/>
        <v>0</v>
      </c>
      <c r="BL149" s="130">
        <f t="shared" si="112"/>
        <v>0</v>
      </c>
      <c r="BM149" s="130">
        <f t="shared" si="112"/>
        <v>0</v>
      </c>
      <c r="BN149" s="130">
        <f t="shared" si="112"/>
        <v>0</v>
      </c>
      <c r="BO149" s="130">
        <f t="shared" si="112"/>
        <v>0</v>
      </c>
      <c r="BP149" s="130">
        <f t="shared" si="112"/>
        <v>0</v>
      </c>
      <c r="BQ149" s="130">
        <f t="shared" si="112"/>
        <v>0</v>
      </c>
      <c r="BR149" s="130" t="e">
        <f t="shared" si="102"/>
        <v>#REF!</v>
      </c>
    </row>
    <row r="150" spans="2:70" s="119" customFormat="1" x14ac:dyDescent="0.2">
      <c r="B150" s="128"/>
      <c r="C150" s="129"/>
      <c r="D150" s="129"/>
      <c r="E150" s="129" t="e">
        <f>ROUND(IF(D150=#REF!,0,IF($H150=$S$6,(C150/1.14975*0.05*0.5),C150/1.14975*0.05)),2)</f>
        <v>#REF!</v>
      </c>
      <c r="F150" s="129" t="e">
        <f>ROUND(IF(D150=#REF!,0,IF($H150=$S$6,C150/1.14975*0.09975*0.5,C150/1.14975*0.09975)),2)</f>
        <v>#REF!</v>
      </c>
      <c r="G150" s="129" t="e">
        <f t="shared" si="96"/>
        <v>#REF!</v>
      </c>
      <c r="J150" s="130">
        <f t="shared" si="97"/>
        <v>0</v>
      </c>
      <c r="K150" s="130">
        <f t="shared" si="107"/>
        <v>0</v>
      </c>
      <c r="L150" s="130">
        <f t="shared" si="107"/>
        <v>0</v>
      </c>
      <c r="M150" s="130">
        <f t="shared" si="107"/>
        <v>0</v>
      </c>
      <c r="N150" s="130">
        <f t="shared" si="107"/>
        <v>0</v>
      </c>
      <c r="O150" s="130">
        <f t="shared" si="107"/>
        <v>0</v>
      </c>
      <c r="P150" s="130">
        <f t="shared" si="107"/>
        <v>0</v>
      </c>
      <c r="Q150" s="130">
        <f t="shared" si="107"/>
        <v>0</v>
      </c>
      <c r="R150" s="130">
        <f t="shared" si="107"/>
        <v>0</v>
      </c>
      <c r="S150" s="130">
        <f t="shared" si="107"/>
        <v>0</v>
      </c>
      <c r="T150" s="130">
        <f t="shared" si="107"/>
        <v>0</v>
      </c>
      <c r="U150" s="130">
        <f t="shared" si="108"/>
        <v>0</v>
      </c>
      <c r="V150" s="130">
        <f t="shared" si="108"/>
        <v>0</v>
      </c>
      <c r="W150" s="130">
        <f t="shared" si="108"/>
        <v>0</v>
      </c>
      <c r="X150" s="130">
        <f t="shared" si="108"/>
        <v>0</v>
      </c>
      <c r="Y150" s="130">
        <f t="shared" si="108"/>
        <v>0</v>
      </c>
      <c r="Z150" s="130">
        <f t="shared" si="108"/>
        <v>0</v>
      </c>
      <c r="AA150" s="130">
        <f t="shared" si="108"/>
        <v>0</v>
      </c>
      <c r="AB150" s="130">
        <f t="shared" si="108"/>
        <v>0</v>
      </c>
      <c r="AC150" s="130">
        <f t="shared" si="108"/>
        <v>0</v>
      </c>
      <c r="AD150" s="130">
        <f t="shared" si="108"/>
        <v>0</v>
      </c>
      <c r="AE150" s="130">
        <f t="shared" si="108"/>
        <v>0</v>
      </c>
      <c r="AF150" s="130">
        <f t="shared" si="108"/>
        <v>0</v>
      </c>
      <c r="AG150" s="130">
        <f t="shared" si="108"/>
        <v>0</v>
      </c>
      <c r="AH150" s="130">
        <f t="shared" si="109"/>
        <v>0</v>
      </c>
      <c r="AI150" s="130">
        <f t="shared" si="109"/>
        <v>0</v>
      </c>
      <c r="AJ150" s="130">
        <f t="shared" si="109"/>
        <v>0</v>
      </c>
      <c r="AK150" s="130">
        <f t="shared" si="98"/>
        <v>0</v>
      </c>
      <c r="AL150" s="130">
        <f t="shared" si="99"/>
        <v>0</v>
      </c>
      <c r="AM150" s="130">
        <f t="shared" si="100"/>
        <v>0</v>
      </c>
      <c r="AN150" s="130">
        <f t="shared" si="101"/>
        <v>0</v>
      </c>
      <c r="AO150" s="130">
        <f t="shared" si="110"/>
        <v>0</v>
      </c>
      <c r="AP150" s="130">
        <f t="shared" si="110"/>
        <v>0</v>
      </c>
      <c r="AQ150" s="130">
        <f t="shared" si="110"/>
        <v>0</v>
      </c>
      <c r="AR150" s="130">
        <f t="shared" si="110"/>
        <v>0</v>
      </c>
      <c r="AS150" s="130">
        <f t="shared" si="110"/>
        <v>0</v>
      </c>
      <c r="AT150" s="130">
        <f t="shared" si="110"/>
        <v>0</v>
      </c>
      <c r="AU150" s="130">
        <f t="shared" si="110"/>
        <v>0</v>
      </c>
      <c r="AV150" s="130">
        <f t="shared" si="110"/>
        <v>0</v>
      </c>
      <c r="AW150" s="130">
        <f t="shared" si="110"/>
        <v>0</v>
      </c>
      <c r="AX150" s="130">
        <f t="shared" si="110"/>
        <v>0</v>
      </c>
      <c r="AY150" s="130">
        <f t="shared" si="110"/>
        <v>0</v>
      </c>
      <c r="AZ150" s="130">
        <f t="shared" si="110"/>
        <v>0</v>
      </c>
      <c r="BA150" s="130">
        <f t="shared" si="110"/>
        <v>0</v>
      </c>
      <c r="BB150" s="130">
        <f t="shared" si="111"/>
        <v>0</v>
      </c>
      <c r="BC150" s="130">
        <f t="shared" si="111"/>
        <v>0</v>
      </c>
      <c r="BD150" s="130">
        <f t="shared" si="111"/>
        <v>0</v>
      </c>
      <c r="BE150" s="130">
        <f t="shared" si="111"/>
        <v>0</v>
      </c>
      <c r="BF150" s="130" t="e">
        <f>+IF($H150=#REF!,$C150,0)-IF($I150=#REF!,$C150,0)</f>
        <v>#REF!</v>
      </c>
      <c r="BG150" s="130" t="e">
        <f>+IF($H150=#REF!,$C150,0)-IF($I150=#REF!,$C150,0)</f>
        <v>#REF!</v>
      </c>
      <c r="BH150" s="130" t="e">
        <f>+IF($H150=#REF!,$C150,0)-IF($I150=#REF!,$C150,0)</f>
        <v>#REF!</v>
      </c>
      <c r="BI150" s="130">
        <f t="shared" si="112"/>
        <v>0</v>
      </c>
      <c r="BJ150" s="130">
        <f t="shared" si="112"/>
        <v>0</v>
      </c>
      <c r="BK150" s="130">
        <f t="shared" si="112"/>
        <v>0</v>
      </c>
      <c r="BL150" s="130">
        <f t="shared" si="112"/>
        <v>0</v>
      </c>
      <c r="BM150" s="130">
        <f t="shared" si="112"/>
        <v>0</v>
      </c>
      <c r="BN150" s="130">
        <f t="shared" si="112"/>
        <v>0</v>
      </c>
      <c r="BO150" s="130">
        <f t="shared" si="112"/>
        <v>0</v>
      </c>
      <c r="BP150" s="130">
        <f t="shared" si="112"/>
        <v>0</v>
      </c>
      <c r="BQ150" s="130">
        <f t="shared" si="112"/>
        <v>0</v>
      </c>
      <c r="BR150" s="130" t="e">
        <f t="shared" si="102"/>
        <v>#REF!</v>
      </c>
    </row>
    <row r="151" spans="2:70" s="119" customFormat="1" x14ac:dyDescent="0.2">
      <c r="B151" s="128"/>
      <c r="C151" s="129"/>
      <c r="D151" s="129"/>
      <c r="E151" s="129" t="e">
        <f>ROUND(IF(D151=#REF!,0,IF($H151=$S$6,(C151/1.14975*0.05*0.5),C151/1.14975*0.05)),2)</f>
        <v>#REF!</v>
      </c>
      <c r="F151" s="129" t="e">
        <f>ROUND(IF(D151=#REF!,0,IF($H151=$S$6,C151/1.14975*0.09975*0.5,C151/1.14975*0.09975)),2)</f>
        <v>#REF!</v>
      </c>
      <c r="G151" s="129" t="e">
        <f t="shared" si="96"/>
        <v>#REF!</v>
      </c>
      <c r="J151" s="130">
        <f t="shared" si="97"/>
        <v>0</v>
      </c>
      <c r="K151" s="130">
        <f t="shared" si="107"/>
        <v>0</v>
      </c>
      <c r="L151" s="130">
        <f t="shared" si="107"/>
        <v>0</v>
      </c>
      <c r="M151" s="130">
        <f t="shared" si="107"/>
        <v>0</v>
      </c>
      <c r="N151" s="130">
        <f t="shared" si="107"/>
        <v>0</v>
      </c>
      <c r="O151" s="130">
        <f t="shared" si="107"/>
        <v>0</v>
      </c>
      <c r="P151" s="130">
        <f t="shared" si="107"/>
        <v>0</v>
      </c>
      <c r="Q151" s="130">
        <f t="shared" si="107"/>
        <v>0</v>
      </c>
      <c r="R151" s="130">
        <f t="shared" si="107"/>
        <v>0</v>
      </c>
      <c r="S151" s="130">
        <f t="shared" si="107"/>
        <v>0</v>
      </c>
      <c r="T151" s="130">
        <f t="shared" si="107"/>
        <v>0</v>
      </c>
      <c r="U151" s="130">
        <f t="shared" si="108"/>
        <v>0</v>
      </c>
      <c r="V151" s="130">
        <f t="shared" si="108"/>
        <v>0</v>
      </c>
      <c r="W151" s="130">
        <f t="shared" si="108"/>
        <v>0</v>
      </c>
      <c r="X151" s="130">
        <f t="shared" si="108"/>
        <v>0</v>
      </c>
      <c r="Y151" s="130">
        <f t="shared" si="108"/>
        <v>0</v>
      </c>
      <c r="Z151" s="130">
        <f t="shared" si="108"/>
        <v>0</v>
      </c>
      <c r="AA151" s="130">
        <f t="shared" si="108"/>
        <v>0</v>
      </c>
      <c r="AB151" s="130">
        <f t="shared" si="108"/>
        <v>0</v>
      </c>
      <c r="AC151" s="130">
        <f t="shared" si="108"/>
        <v>0</v>
      </c>
      <c r="AD151" s="130">
        <f t="shared" si="108"/>
        <v>0</v>
      </c>
      <c r="AE151" s="130">
        <f t="shared" si="108"/>
        <v>0</v>
      </c>
      <c r="AF151" s="130">
        <f t="shared" si="108"/>
        <v>0</v>
      </c>
      <c r="AG151" s="130">
        <f t="shared" si="108"/>
        <v>0</v>
      </c>
      <c r="AH151" s="130">
        <f t="shared" si="109"/>
        <v>0</v>
      </c>
      <c r="AI151" s="130">
        <f t="shared" si="109"/>
        <v>0</v>
      </c>
      <c r="AJ151" s="130">
        <f t="shared" si="109"/>
        <v>0</v>
      </c>
      <c r="AK151" s="130">
        <f t="shared" si="98"/>
        <v>0</v>
      </c>
      <c r="AL151" s="130">
        <f t="shared" si="99"/>
        <v>0</v>
      </c>
      <c r="AM151" s="130">
        <f t="shared" si="100"/>
        <v>0</v>
      </c>
      <c r="AN151" s="130">
        <f t="shared" si="101"/>
        <v>0</v>
      </c>
      <c r="AO151" s="130">
        <f t="shared" si="110"/>
        <v>0</v>
      </c>
      <c r="AP151" s="130">
        <f t="shared" si="110"/>
        <v>0</v>
      </c>
      <c r="AQ151" s="130">
        <f t="shared" si="110"/>
        <v>0</v>
      </c>
      <c r="AR151" s="130">
        <f t="shared" si="110"/>
        <v>0</v>
      </c>
      <c r="AS151" s="130">
        <f t="shared" si="110"/>
        <v>0</v>
      </c>
      <c r="AT151" s="130">
        <f t="shared" si="110"/>
        <v>0</v>
      </c>
      <c r="AU151" s="130">
        <f t="shared" si="110"/>
        <v>0</v>
      </c>
      <c r="AV151" s="130">
        <f t="shared" si="110"/>
        <v>0</v>
      </c>
      <c r="AW151" s="130">
        <f t="shared" si="110"/>
        <v>0</v>
      </c>
      <c r="AX151" s="130">
        <f t="shared" si="110"/>
        <v>0</v>
      </c>
      <c r="AY151" s="130">
        <f t="shared" si="110"/>
        <v>0</v>
      </c>
      <c r="AZ151" s="130">
        <f t="shared" si="110"/>
        <v>0</v>
      </c>
      <c r="BA151" s="130">
        <f t="shared" si="110"/>
        <v>0</v>
      </c>
      <c r="BB151" s="130">
        <f t="shared" si="111"/>
        <v>0</v>
      </c>
      <c r="BC151" s="130">
        <f t="shared" si="111"/>
        <v>0</v>
      </c>
      <c r="BD151" s="130">
        <f t="shared" si="111"/>
        <v>0</v>
      </c>
      <c r="BE151" s="130">
        <f t="shared" si="111"/>
        <v>0</v>
      </c>
      <c r="BF151" s="130" t="e">
        <f>+IF($H151=#REF!,$C151,0)-IF($I151=#REF!,$C151,0)</f>
        <v>#REF!</v>
      </c>
      <c r="BG151" s="130" t="e">
        <f>+IF($H151=#REF!,$C151,0)-IF($I151=#REF!,$C151,0)</f>
        <v>#REF!</v>
      </c>
      <c r="BH151" s="130" t="e">
        <f>+IF($H151=#REF!,$C151,0)-IF($I151=#REF!,$C151,0)</f>
        <v>#REF!</v>
      </c>
      <c r="BI151" s="130">
        <f t="shared" si="112"/>
        <v>0</v>
      </c>
      <c r="BJ151" s="130">
        <f t="shared" si="112"/>
        <v>0</v>
      </c>
      <c r="BK151" s="130">
        <f t="shared" si="112"/>
        <v>0</v>
      </c>
      <c r="BL151" s="130">
        <f t="shared" si="112"/>
        <v>0</v>
      </c>
      <c r="BM151" s="130">
        <f t="shared" si="112"/>
        <v>0</v>
      </c>
      <c r="BN151" s="130">
        <f t="shared" si="112"/>
        <v>0</v>
      </c>
      <c r="BO151" s="130">
        <f t="shared" si="112"/>
        <v>0</v>
      </c>
      <c r="BP151" s="130">
        <f t="shared" si="112"/>
        <v>0</v>
      </c>
      <c r="BQ151" s="130">
        <f t="shared" si="112"/>
        <v>0</v>
      </c>
      <c r="BR151" s="130" t="e">
        <f t="shared" si="102"/>
        <v>#REF!</v>
      </c>
    </row>
    <row r="152" spans="2:70" s="119" customFormat="1" x14ac:dyDescent="0.2">
      <c r="B152" s="128"/>
      <c r="C152" s="129"/>
      <c r="D152" s="129"/>
      <c r="E152" s="129" t="e">
        <f>ROUND(IF(D152=#REF!,0,IF($H152=$S$6,(C152/1.14975*0.05*0.5),C152/1.14975*0.05)),2)</f>
        <v>#REF!</v>
      </c>
      <c r="F152" s="129" t="e">
        <f>ROUND(IF(D152=#REF!,0,IF($H152=$S$6,C152/1.14975*0.09975*0.5,C152/1.14975*0.09975)),2)</f>
        <v>#REF!</v>
      </c>
      <c r="G152" s="129" t="e">
        <f t="shared" si="96"/>
        <v>#REF!</v>
      </c>
      <c r="J152" s="130">
        <f t="shared" si="97"/>
        <v>0</v>
      </c>
      <c r="K152" s="130">
        <f t="shared" si="107"/>
        <v>0</v>
      </c>
      <c r="L152" s="130">
        <f t="shared" si="107"/>
        <v>0</v>
      </c>
      <c r="M152" s="130">
        <f t="shared" si="107"/>
        <v>0</v>
      </c>
      <c r="N152" s="130">
        <f t="shared" si="107"/>
        <v>0</v>
      </c>
      <c r="O152" s="130">
        <f t="shared" si="107"/>
        <v>0</v>
      </c>
      <c r="P152" s="130">
        <f t="shared" si="107"/>
        <v>0</v>
      </c>
      <c r="Q152" s="130">
        <f t="shared" si="107"/>
        <v>0</v>
      </c>
      <c r="R152" s="130">
        <f t="shared" si="107"/>
        <v>0</v>
      </c>
      <c r="S152" s="130">
        <f t="shared" si="107"/>
        <v>0</v>
      </c>
      <c r="T152" s="130">
        <f t="shared" si="107"/>
        <v>0</v>
      </c>
      <c r="U152" s="130">
        <f t="shared" si="108"/>
        <v>0</v>
      </c>
      <c r="V152" s="130">
        <f t="shared" si="108"/>
        <v>0</v>
      </c>
      <c r="W152" s="130">
        <f t="shared" si="108"/>
        <v>0</v>
      </c>
      <c r="X152" s="130">
        <f t="shared" si="108"/>
        <v>0</v>
      </c>
      <c r="Y152" s="130">
        <f t="shared" si="108"/>
        <v>0</v>
      </c>
      <c r="Z152" s="130">
        <f t="shared" si="108"/>
        <v>0</v>
      </c>
      <c r="AA152" s="130">
        <f t="shared" si="108"/>
        <v>0</v>
      </c>
      <c r="AB152" s="130">
        <f t="shared" si="108"/>
        <v>0</v>
      </c>
      <c r="AC152" s="130">
        <f t="shared" si="108"/>
        <v>0</v>
      </c>
      <c r="AD152" s="130">
        <f t="shared" si="108"/>
        <v>0</v>
      </c>
      <c r="AE152" s="130">
        <f t="shared" si="108"/>
        <v>0</v>
      </c>
      <c r="AF152" s="130">
        <f t="shared" si="108"/>
        <v>0</v>
      </c>
      <c r="AG152" s="130">
        <f t="shared" si="108"/>
        <v>0</v>
      </c>
      <c r="AH152" s="130">
        <f t="shared" si="109"/>
        <v>0</v>
      </c>
      <c r="AI152" s="130">
        <f t="shared" si="109"/>
        <v>0</v>
      </c>
      <c r="AJ152" s="130">
        <f t="shared" si="109"/>
        <v>0</v>
      </c>
      <c r="AK152" s="130">
        <f t="shared" si="98"/>
        <v>0</v>
      </c>
      <c r="AL152" s="130">
        <f t="shared" si="99"/>
        <v>0</v>
      </c>
      <c r="AM152" s="130">
        <f t="shared" si="100"/>
        <v>0</v>
      </c>
      <c r="AN152" s="130">
        <f t="shared" si="101"/>
        <v>0</v>
      </c>
      <c r="AO152" s="130">
        <f t="shared" si="110"/>
        <v>0</v>
      </c>
      <c r="AP152" s="130">
        <f t="shared" si="110"/>
        <v>0</v>
      </c>
      <c r="AQ152" s="130">
        <f t="shared" si="110"/>
        <v>0</v>
      </c>
      <c r="AR152" s="130">
        <f t="shared" si="110"/>
        <v>0</v>
      </c>
      <c r="AS152" s="130">
        <f t="shared" si="110"/>
        <v>0</v>
      </c>
      <c r="AT152" s="130">
        <f t="shared" si="110"/>
        <v>0</v>
      </c>
      <c r="AU152" s="130">
        <f t="shared" si="110"/>
        <v>0</v>
      </c>
      <c r="AV152" s="130">
        <f t="shared" si="110"/>
        <v>0</v>
      </c>
      <c r="AW152" s="130">
        <f t="shared" si="110"/>
        <v>0</v>
      </c>
      <c r="AX152" s="130">
        <f t="shared" si="110"/>
        <v>0</v>
      </c>
      <c r="AY152" s="130">
        <f t="shared" si="110"/>
        <v>0</v>
      </c>
      <c r="AZ152" s="130">
        <f t="shared" si="110"/>
        <v>0</v>
      </c>
      <c r="BA152" s="130">
        <f t="shared" si="110"/>
        <v>0</v>
      </c>
      <c r="BB152" s="130">
        <f t="shared" si="111"/>
        <v>0</v>
      </c>
      <c r="BC152" s="130">
        <f t="shared" si="111"/>
        <v>0</v>
      </c>
      <c r="BD152" s="130">
        <f t="shared" si="111"/>
        <v>0</v>
      </c>
      <c r="BE152" s="130">
        <f t="shared" si="111"/>
        <v>0</v>
      </c>
      <c r="BF152" s="130" t="e">
        <f>+IF($H152=#REF!,$C152,0)-IF($I152=#REF!,$C152,0)</f>
        <v>#REF!</v>
      </c>
      <c r="BG152" s="130" t="e">
        <f>+IF($H152=#REF!,$C152,0)-IF($I152=#REF!,$C152,0)</f>
        <v>#REF!</v>
      </c>
      <c r="BH152" s="130" t="e">
        <f>+IF($H152=#REF!,$C152,0)-IF($I152=#REF!,$C152,0)</f>
        <v>#REF!</v>
      </c>
      <c r="BI152" s="130">
        <f t="shared" si="112"/>
        <v>0</v>
      </c>
      <c r="BJ152" s="130">
        <f t="shared" si="112"/>
        <v>0</v>
      </c>
      <c r="BK152" s="130">
        <f t="shared" si="112"/>
        <v>0</v>
      </c>
      <c r="BL152" s="130">
        <f t="shared" si="112"/>
        <v>0</v>
      </c>
      <c r="BM152" s="130">
        <f t="shared" si="112"/>
        <v>0</v>
      </c>
      <c r="BN152" s="130">
        <f t="shared" si="112"/>
        <v>0</v>
      </c>
      <c r="BO152" s="130">
        <f t="shared" si="112"/>
        <v>0</v>
      </c>
      <c r="BP152" s="130">
        <f t="shared" si="112"/>
        <v>0</v>
      </c>
      <c r="BQ152" s="130">
        <f t="shared" si="112"/>
        <v>0</v>
      </c>
      <c r="BR152" s="130" t="e">
        <f t="shared" si="102"/>
        <v>#REF!</v>
      </c>
    </row>
    <row r="153" spans="2:70" s="119" customFormat="1" x14ac:dyDescent="0.2">
      <c r="B153" s="128"/>
      <c r="C153" s="129"/>
      <c r="D153" s="129"/>
      <c r="E153" s="129" t="e">
        <f>ROUND(IF(D153=#REF!,0,IF($H153=$S$6,(C153/1.14975*0.05*0.5),C153/1.14975*0.05)),2)</f>
        <v>#REF!</v>
      </c>
      <c r="F153" s="129" t="e">
        <f>ROUND(IF(D153=#REF!,0,IF($H153=$S$6,C153/1.14975*0.09975*0.5,C153/1.14975*0.09975)),2)</f>
        <v>#REF!</v>
      </c>
      <c r="G153" s="129" t="e">
        <f t="shared" si="96"/>
        <v>#REF!</v>
      </c>
      <c r="J153" s="130">
        <f t="shared" si="97"/>
        <v>0</v>
      </c>
      <c r="K153" s="130">
        <f t="shared" si="107"/>
        <v>0</v>
      </c>
      <c r="L153" s="130">
        <f t="shared" si="107"/>
        <v>0</v>
      </c>
      <c r="M153" s="130">
        <f t="shared" si="107"/>
        <v>0</v>
      </c>
      <c r="N153" s="130">
        <f t="shared" si="107"/>
        <v>0</v>
      </c>
      <c r="O153" s="130">
        <f t="shared" si="107"/>
        <v>0</v>
      </c>
      <c r="P153" s="130">
        <f t="shared" si="107"/>
        <v>0</v>
      </c>
      <c r="Q153" s="130">
        <f t="shared" si="107"/>
        <v>0</v>
      </c>
      <c r="R153" s="130">
        <f t="shared" si="107"/>
        <v>0</v>
      </c>
      <c r="S153" s="130">
        <f t="shared" si="107"/>
        <v>0</v>
      </c>
      <c r="T153" s="130">
        <f t="shared" si="107"/>
        <v>0</v>
      </c>
      <c r="U153" s="130">
        <f t="shared" si="108"/>
        <v>0</v>
      </c>
      <c r="V153" s="130">
        <f t="shared" si="108"/>
        <v>0</v>
      </c>
      <c r="W153" s="130">
        <f t="shared" si="108"/>
        <v>0</v>
      </c>
      <c r="X153" s="130">
        <f t="shared" si="108"/>
        <v>0</v>
      </c>
      <c r="Y153" s="130">
        <f t="shared" si="108"/>
        <v>0</v>
      </c>
      <c r="Z153" s="130">
        <f t="shared" si="108"/>
        <v>0</v>
      </c>
      <c r="AA153" s="130">
        <f t="shared" si="108"/>
        <v>0</v>
      </c>
      <c r="AB153" s="130">
        <f t="shared" si="108"/>
        <v>0</v>
      </c>
      <c r="AC153" s="130">
        <f t="shared" si="108"/>
        <v>0</v>
      </c>
      <c r="AD153" s="130">
        <f t="shared" si="108"/>
        <v>0</v>
      </c>
      <c r="AE153" s="130">
        <f t="shared" si="108"/>
        <v>0</v>
      </c>
      <c r="AF153" s="130">
        <f t="shared" si="108"/>
        <v>0</v>
      </c>
      <c r="AG153" s="130">
        <f t="shared" si="108"/>
        <v>0</v>
      </c>
      <c r="AH153" s="130">
        <f t="shared" si="109"/>
        <v>0</v>
      </c>
      <c r="AI153" s="130">
        <f t="shared" si="109"/>
        <v>0</v>
      </c>
      <c r="AJ153" s="130">
        <f t="shared" si="109"/>
        <v>0</v>
      </c>
      <c r="AK153" s="130">
        <f t="shared" si="98"/>
        <v>0</v>
      </c>
      <c r="AL153" s="130">
        <f t="shared" si="99"/>
        <v>0</v>
      </c>
      <c r="AM153" s="130">
        <f t="shared" si="100"/>
        <v>0</v>
      </c>
      <c r="AN153" s="130">
        <f t="shared" si="101"/>
        <v>0</v>
      </c>
      <c r="AO153" s="130">
        <f t="shared" si="110"/>
        <v>0</v>
      </c>
      <c r="AP153" s="130">
        <f t="shared" si="110"/>
        <v>0</v>
      </c>
      <c r="AQ153" s="130">
        <f t="shared" si="110"/>
        <v>0</v>
      </c>
      <c r="AR153" s="130">
        <f t="shared" si="110"/>
        <v>0</v>
      </c>
      <c r="AS153" s="130">
        <f t="shared" si="110"/>
        <v>0</v>
      </c>
      <c r="AT153" s="130">
        <f t="shared" si="110"/>
        <v>0</v>
      </c>
      <c r="AU153" s="130">
        <f t="shared" si="110"/>
        <v>0</v>
      </c>
      <c r="AV153" s="130">
        <f t="shared" si="110"/>
        <v>0</v>
      </c>
      <c r="AW153" s="130">
        <f t="shared" si="110"/>
        <v>0</v>
      </c>
      <c r="AX153" s="130">
        <f t="shared" si="110"/>
        <v>0</v>
      </c>
      <c r="AY153" s="130">
        <f t="shared" si="110"/>
        <v>0</v>
      </c>
      <c r="AZ153" s="130">
        <f t="shared" si="110"/>
        <v>0</v>
      </c>
      <c r="BA153" s="130">
        <f t="shared" si="110"/>
        <v>0</v>
      </c>
      <c r="BB153" s="130">
        <f t="shared" si="111"/>
        <v>0</v>
      </c>
      <c r="BC153" s="130">
        <f t="shared" si="111"/>
        <v>0</v>
      </c>
      <c r="BD153" s="130">
        <f t="shared" si="111"/>
        <v>0</v>
      </c>
      <c r="BE153" s="130">
        <f t="shared" si="111"/>
        <v>0</v>
      </c>
      <c r="BF153" s="130" t="e">
        <f>+IF($H153=#REF!,$C153,0)-IF($I153=#REF!,$C153,0)</f>
        <v>#REF!</v>
      </c>
      <c r="BG153" s="130" t="e">
        <f>+IF($H153=#REF!,$C153,0)-IF($I153=#REF!,$C153,0)</f>
        <v>#REF!</v>
      </c>
      <c r="BH153" s="130" t="e">
        <f>+IF($H153=#REF!,$C153,0)-IF($I153=#REF!,$C153,0)</f>
        <v>#REF!</v>
      </c>
      <c r="BI153" s="130">
        <f t="shared" si="112"/>
        <v>0</v>
      </c>
      <c r="BJ153" s="130">
        <f t="shared" si="112"/>
        <v>0</v>
      </c>
      <c r="BK153" s="130">
        <f t="shared" si="112"/>
        <v>0</v>
      </c>
      <c r="BL153" s="130">
        <f t="shared" si="112"/>
        <v>0</v>
      </c>
      <c r="BM153" s="130">
        <f t="shared" si="112"/>
        <v>0</v>
      </c>
      <c r="BN153" s="130">
        <f t="shared" si="112"/>
        <v>0</v>
      </c>
      <c r="BO153" s="130">
        <f t="shared" si="112"/>
        <v>0</v>
      </c>
      <c r="BP153" s="130">
        <f t="shared" si="112"/>
        <v>0</v>
      </c>
      <c r="BQ153" s="130">
        <f t="shared" si="112"/>
        <v>0</v>
      </c>
      <c r="BR153" s="130" t="e">
        <f t="shared" si="102"/>
        <v>#REF!</v>
      </c>
    </row>
    <row r="154" spans="2:70" s="119" customFormat="1" x14ac:dyDescent="0.2">
      <c r="B154" s="128"/>
      <c r="C154" s="129"/>
      <c r="D154" s="129"/>
      <c r="E154" s="129" t="e">
        <f>ROUND(IF(D154=#REF!,0,IF($H154=$S$6,(C154/1.14975*0.05*0.5),C154/1.14975*0.05)),2)</f>
        <v>#REF!</v>
      </c>
      <c r="F154" s="129" t="e">
        <f>ROUND(IF(D154=#REF!,0,IF($H154=$S$6,C154/1.14975*0.09975*0.5,C154/1.14975*0.09975)),2)</f>
        <v>#REF!</v>
      </c>
      <c r="G154" s="129" t="e">
        <f t="shared" si="96"/>
        <v>#REF!</v>
      </c>
      <c r="J154" s="130">
        <f t="shared" si="97"/>
        <v>0</v>
      </c>
      <c r="K154" s="130">
        <f t="shared" si="107"/>
        <v>0</v>
      </c>
      <c r="L154" s="130">
        <f t="shared" si="107"/>
        <v>0</v>
      </c>
      <c r="M154" s="130">
        <f t="shared" si="107"/>
        <v>0</v>
      </c>
      <c r="N154" s="130">
        <f t="shared" si="107"/>
        <v>0</v>
      </c>
      <c r="O154" s="130">
        <f t="shared" si="107"/>
        <v>0</v>
      </c>
      <c r="P154" s="130">
        <f t="shared" si="107"/>
        <v>0</v>
      </c>
      <c r="Q154" s="130">
        <f t="shared" si="107"/>
        <v>0</v>
      </c>
      <c r="R154" s="130">
        <f t="shared" si="107"/>
        <v>0</v>
      </c>
      <c r="S154" s="130">
        <f t="shared" si="107"/>
        <v>0</v>
      </c>
      <c r="T154" s="130">
        <f t="shared" si="107"/>
        <v>0</v>
      </c>
      <c r="U154" s="130">
        <f t="shared" si="108"/>
        <v>0</v>
      </c>
      <c r="V154" s="130">
        <f t="shared" si="108"/>
        <v>0</v>
      </c>
      <c r="W154" s="130">
        <f t="shared" si="108"/>
        <v>0</v>
      </c>
      <c r="X154" s="130">
        <f t="shared" si="108"/>
        <v>0</v>
      </c>
      <c r="Y154" s="130">
        <f t="shared" si="108"/>
        <v>0</v>
      </c>
      <c r="Z154" s="130">
        <f t="shared" si="108"/>
        <v>0</v>
      </c>
      <c r="AA154" s="130">
        <f t="shared" si="108"/>
        <v>0</v>
      </c>
      <c r="AB154" s="130">
        <f t="shared" si="108"/>
        <v>0</v>
      </c>
      <c r="AC154" s="130">
        <f t="shared" si="108"/>
        <v>0</v>
      </c>
      <c r="AD154" s="130">
        <f t="shared" si="108"/>
        <v>0</v>
      </c>
      <c r="AE154" s="130">
        <f t="shared" si="108"/>
        <v>0</v>
      </c>
      <c r="AF154" s="130">
        <f t="shared" si="108"/>
        <v>0</v>
      </c>
      <c r="AG154" s="130">
        <f t="shared" si="108"/>
        <v>0</v>
      </c>
      <c r="AH154" s="130">
        <f t="shared" si="109"/>
        <v>0</v>
      </c>
      <c r="AI154" s="130">
        <f t="shared" si="109"/>
        <v>0</v>
      </c>
      <c r="AJ154" s="130">
        <f t="shared" si="109"/>
        <v>0</v>
      </c>
      <c r="AK154" s="130">
        <f t="shared" si="98"/>
        <v>0</v>
      </c>
      <c r="AL154" s="130">
        <f t="shared" si="99"/>
        <v>0</v>
      </c>
      <c r="AM154" s="130">
        <f t="shared" si="100"/>
        <v>0</v>
      </c>
      <c r="AN154" s="130">
        <f t="shared" si="101"/>
        <v>0</v>
      </c>
      <c r="AO154" s="130">
        <f t="shared" si="110"/>
        <v>0</v>
      </c>
      <c r="AP154" s="130">
        <f t="shared" si="110"/>
        <v>0</v>
      </c>
      <c r="AQ154" s="130">
        <f t="shared" si="110"/>
        <v>0</v>
      </c>
      <c r="AR154" s="130">
        <f t="shared" si="110"/>
        <v>0</v>
      </c>
      <c r="AS154" s="130">
        <f t="shared" si="110"/>
        <v>0</v>
      </c>
      <c r="AT154" s="130">
        <f t="shared" si="110"/>
        <v>0</v>
      </c>
      <c r="AU154" s="130">
        <f t="shared" si="110"/>
        <v>0</v>
      </c>
      <c r="AV154" s="130">
        <f t="shared" si="110"/>
        <v>0</v>
      </c>
      <c r="AW154" s="130">
        <f t="shared" si="110"/>
        <v>0</v>
      </c>
      <c r="AX154" s="130">
        <f t="shared" si="110"/>
        <v>0</v>
      </c>
      <c r="AY154" s="130">
        <f t="shared" si="110"/>
        <v>0</v>
      </c>
      <c r="AZ154" s="130">
        <f t="shared" si="110"/>
        <v>0</v>
      </c>
      <c r="BA154" s="130">
        <f t="shared" si="110"/>
        <v>0</v>
      </c>
      <c r="BB154" s="130">
        <f t="shared" si="111"/>
        <v>0</v>
      </c>
      <c r="BC154" s="130">
        <f t="shared" si="111"/>
        <v>0</v>
      </c>
      <c r="BD154" s="130">
        <f t="shared" si="111"/>
        <v>0</v>
      </c>
      <c r="BE154" s="130">
        <f t="shared" si="111"/>
        <v>0</v>
      </c>
      <c r="BF154" s="130" t="e">
        <f>+IF($H154=#REF!,$C154,0)-IF($I154=#REF!,$C154,0)</f>
        <v>#REF!</v>
      </c>
      <c r="BG154" s="130" t="e">
        <f>+IF($H154=#REF!,$C154,0)-IF($I154=#REF!,$C154,0)</f>
        <v>#REF!</v>
      </c>
      <c r="BH154" s="130" t="e">
        <f>+IF($H154=#REF!,$C154,0)-IF($I154=#REF!,$C154,0)</f>
        <v>#REF!</v>
      </c>
      <c r="BI154" s="130">
        <f t="shared" si="112"/>
        <v>0</v>
      </c>
      <c r="BJ154" s="130">
        <f t="shared" si="112"/>
        <v>0</v>
      </c>
      <c r="BK154" s="130">
        <f t="shared" si="112"/>
        <v>0</v>
      </c>
      <c r="BL154" s="130">
        <f t="shared" si="112"/>
        <v>0</v>
      </c>
      <c r="BM154" s="130">
        <f t="shared" si="112"/>
        <v>0</v>
      </c>
      <c r="BN154" s="130">
        <f t="shared" si="112"/>
        <v>0</v>
      </c>
      <c r="BO154" s="130">
        <f t="shared" si="112"/>
        <v>0</v>
      </c>
      <c r="BP154" s="130">
        <f t="shared" si="112"/>
        <v>0</v>
      </c>
      <c r="BQ154" s="130">
        <f t="shared" si="112"/>
        <v>0</v>
      </c>
      <c r="BR154" s="130" t="e">
        <f t="shared" si="102"/>
        <v>#REF!</v>
      </c>
    </row>
    <row r="155" spans="2:70" s="119" customFormat="1" x14ac:dyDescent="0.2">
      <c r="B155" s="128"/>
      <c r="C155" s="129"/>
      <c r="D155" s="129"/>
      <c r="E155" s="129" t="e">
        <f>ROUND(IF(D155=#REF!,0,IF($H155=$S$6,(C155/1.14975*0.05*0.5),C155/1.14975*0.05)),2)</f>
        <v>#REF!</v>
      </c>
      <c r="F155" s="129" t="e">
        <f>ROUND(IF(D155=#REF!,0,IF($H155=$S$6,C155/1.14975*0.09975*0.5,C155/1.14975*0.09975)),2)</f>
        <v>#REF!</v>
      </c>
      <c r="G155" s="129" t="e">
        <f t="shared" si="96"/>
        <v>#REF!</v>
      </c>
      <c r="J155" s="130">
        <f t="shared" si="97"/>
        <v>0</v>
      </c>
      <c r="K155" s="130">
        <f t="shared" si="107"/>
        <v>0</v>
      </c>
      <c r="L155" s="130">
        <f t="shared" si="107"/>
        <v>0</v>
      </c>
      <c r="M155" s="130">
        <f t="shared" si="107"/>
        <v>0</v>
      </c>
      <c r="N155" s="130">
        <f t="shared" si="107"/>
        <v>0</v>
      </c>
      <c r="O155" s="130">
        <f t="shared" si="107"/>
        <v>0</v>
      </c>
      <c r="P155" s="130">
        <f t="shared" si="107"/>
        <v>0</v>
      </c>
      <c r="Q155" s="130">
        <f t="shared" si="107"/>
        <v>0</v>
      </c>
      <c r="R155" s="130">
        <f t="shared" si="107"/>
        <v>0</v>
      </c>
      <c r="S155" s="130">
        <f t="shared" si="107"/>
        <v>0</v>
      </c>
      <c r="T155" s="130">
        <f t="shared" si="107"/>
        <v>0</v>
      </c>
      <c r="U155" s="130">
        <f t="shared" si="108"/>
        <v>0</v>
      </c>
      <c r="V155" s="130">
        <f t="shared" si="108"/>
        <v>0</v>
      </c>
      <c r="W155" s="130">
        <f t="shared" si="108"/>
        <v>0</v>
      </c>
      <c r="X155" s="130">
        <f t="shared" si="108"/>
        <v>0</v>
      </c>
      <c r="Y155" s="130">
        <f t="shared" si="108"/>
        <v>0</v>
      </c>
      <c r="Z155" s="130">
        <f t="shared" si="108"/>
        <v>0</v>
      </c>
      <c r="AA155" s="130">
        <f t="shared" si="108"/>
        <v>0</v>
      </c>
      <c r="AB155" s="130">
        <f t="shared" si="108"/>
        <v>0</v>
      </c>
      <c r="AC155" s="130">
        <f t="shared" si="108"/>
        <v>0</v>
      </c>
      <c r="AD155" s="130">
        <f t="shared" si="108"/>
        <v>0</v>
      </c>
      <c r="AE155" s="130">
        <f t="shared" si="108"/>
        <v>0</v>
      </c>
      <c r="AF155" s="130">
        <f t="shared" si="108"/>
        <v>0</v>
      </c>
      <c r="AG155" s="130">
        <f t="shared" si="108"/>
        <v>0</v>
      </c>
      <c r="AH155" s="130">
        <f t="shared" si="109"/>
        <v>0</v>
      </c>
      <c r="AI155" s="130">
        <f t="shared" si="109"/>
        <v>0</v>
      </c>
      <c r="AJ155" s="130">
        <f t="shared" si="109"/>
        <v>0</v>
      </c>
      <c r="AK155" s="130">
        <f t="shared" si="98"/>
        <v>0</v>
      </c>
      <c r="AL155" s="130">
        <f t="shared" si="99"/>
        <v>0</v>
      </c>
      <c r="AM155" s="130">
        <f t="shared" si="100"/>
        <v>0</v>
      </c>
      <c r="AN155" s="130">
        <f t="shared" si="101"/>
        <v>0</v>
      </c>
      <c r="AO155" s="130">
        <f t="shared" si="110"/>
        <v>0</v>
      </c>
      <c r="AP155" s="130">
        <f t="shared" si="110"/>
        <v>0</v>
      </c>
      <c r="AQ155" s="130">
        <f t="shared" si="110"/>
        <v>0</v>
      </c>
      <c r="AR155" s="130">
        <f t="shared" si="110"/>
        <v>0</v>
      </c>
      <c r="AS155" s="130">
        <f t="shared" si="110"/>
        <v>0</v>
      </c>
      <c r="AT155" s="130">
        <f t="shared" si="110"/>
        <v>0</v>
      </c>
      <c r="AU155" s="130">
        <f t="shared" si="110"/>
        <v>0</v>
      </c>
      <c r="AV155" s="130">
        <f t="shared" si="110"/>
        <v>0</v>
      </c>
      <c r="AW155" s="130">
        <f t="shared" si="110"/>
        <v>0</v>
      </c>
      <c r="AX155" s="130">
        <f t="shared" si="110"/>
        <v>0</v>
      </c>
      <c r="AY155" s="130">
        <f t="shared" si="110"/>
        <v>0</v>
      </c>
      <c r="AZ155" s="130">
        <f t="shared" si="110"/>
        <v>0</v>
      </c>
      <c r="BA155" s="130">
        <f t="shared" si="110"/>
        <v>0</v>
      </c>
      <c r="BB155" s="130">
        <f t="shared" si="111"/>
        <v>0</v>
      </c>
      <c r="BC155" s="130">
        <f t="shared" si="111"/>
        <v>0</v>
      </c>
      <c r="BD155" s="130">
        <f t="shared" si="111"/>
        <v>0</v>
      </c>
      <c r="BE155" s="130">
        <f t="shared" si="111"/>
        <v>0</v>
      </c>
      <c r="BF155" s="130" t="e">
        <f>+IF($H155=#REF!,$C155,0)-IF($I155=#REF!,$C155,0)</f>
        <v>#REF!</v>
      </c>
      <c r="BG155" s="130" t="e">
        <f>+IF($H155=#REF!,$C155,0)-IF($I155=#REF!,$C155,0)</f>
        <v>#REF!</v>
      </c>
      <c r="BH155" s="130" t="e">
        <f>+IF($H155=#REF!,$C155,0)-IF($I155=#REF!,$C155,0)</f>
        <v>#REF!</v>
      </c>
      <c r="BI155" s="130">
        <f t="shared" si="112"/>
        <v>0</v>
      </c>
      <c r="BJ155" s="130">
        <f t="shared" si="112"/>
        <v>0</v>
      </c>
      <c r="BK155" s="130">
        <f t="shared" si="112"/>
        <v>0</v>
      </c>
      <c r="BL155" s="130">
        <f t="shared" si="112"/>
        <v>0</v>
      </c>
      <c r="BM155" s="130">
        <f t="shared" si="112"/>
        <v>0</v>
      </c>
      <c r="BN155" s="130">
        <f t="shared" si="112"/>
        <v>0</v>
      </c>
      <c r="BO155" s="130">
        <f t="shared" si="112"/>
        <v>0</v>
      </c>
      <c r="BP155" s="130">
        <f t="shared" si="112"/>
        <v>0</v>
      </c>
      <c r="BQ155" s="130">
        <f t="shared" si="112"/>
        <v>0</v>
      </c>
      <c r="BR155" s="130" t="e">
        <f t="shared" si="102"/>
        <v>#REF!</v>
      </c>
    </row>
    <row r="156" spans="2:70" s="119" customFormat="1" x14ac:dyDescent="0.2">
      <c r="B156" s="128"/>
      <c r="C156" s="129"/>
      <c r="D156" s="129"/>
      <c r="E156" s="129" t="e">
        <f>ROUND(IF(D156=#REF!,0,IF($H156=$S$6,(C156/1.14975*0.05*0.5),C156/1.14975*0.05)),2)</f>
        <v>#REF!</v>
      </c>
      <c r="F156" s="129" t="e">
        <f>ROUND(IF(D156=#REF!,0,IF($H156=$S$6,C156/1.14975*0.09975*0.5,C156/1.14975*0.09975)),2)</f>
        <v>#REF!</v>
      </c>
      <c r="G156" s="129" t="e">
        <f t="shared" si="96"/>
        <v>#REF!</v>
      </c>
      <c r="J156" s="130">
        <f t="shared" si="97"/>
        <v>0</v>
      </c>
      <c r="K156" s="130">
        <f t="shared" si="107"/>
        <v>0</v>
      </c>
      <c r="L156" s="130">
        <f t="shared" si="107"/>
        <v>0</v>
      </c>
      <c r="M156" s="130">
        <f t="shared" si="107"/>
        <v>0</v>
      </c>
      <c r="N156" s="130">
        <f t="shared" si="107"/>
        <v>0</v>
      </c>
      <c r="O156" s="130">
        <f t="shared" si="107"/>
        <v>0</v>
      </c>
      <c r="P156" s="130">
        <f t="shared" si="107"/>
        <v>0</v>
      </c>
      <c r="Q156" s="130">
        <f t="shared" si="107"/>
        <v>0</v>
      </c>
      <c r="R156" s="130">
        <f t="shared" si="107"/>
        <v>0</v>
      </c>
      <c r="S156" s="130">
        <f t="shared" si="107"/>
        <v>0</v>
      </c>
      <c r="T156" s="130">
        <f t="shared" si="107"/>
        <v>0</v>
      </c>
      <c r="U156" s="130">
        <f t="shared" si="108"/>
        <v>0</v>
      </c>
      <c r="V156" s="130">
        <f t="shared" si="108"/>
        <v>0</v>
      </c>
      <c r="W156" s="130">
        <f t="shared" si="108"/>
        <v>0</v>
      </c>
      <c r="X156" s="130">
        <f t="shared" si="108"/>
        <v>0</v>
      </c>
      <c r="Y156" s="130">
        <f t="shared" si="108"/>
        <v>0</v>
      </c>
      <c r="Z156" s="130">
        <f t="shared" si="108"/>
        <v>0</v>
      </c>
      <c r="AA156" s="130">
        <f t="shared" si="108"/>
        <v>0</v>
      </c>
      <c r="AB156" s="130">
        <f t="shared" si="108"/>
        <v>0</v>
      </c>
      <c r="AC156" s="130">
        <f t="shared" si="108"/>
        <v>0</v>
      </c>
      <c r="AD156" s="130">
        <f t="shared" si="108"/>
        <v>0</v>
      </c>
      <c r="AE156" s="130">
        <f t="shared" si="108"/>
        <v>0</v>
      </c>
      <c r="AF156" s="130">
        <f t="shared" si="108"/>
        <v>0</v>
      </c>
      <c r="AG156" s="130">
        <f t="shared" si="108"/>
        <v>0</v>
      </c>
      <c r="AH156" s="130">
        <f t="shared" si="109"/>
        <v>0</v>
      </c>
      <c r="AI156" s="130">
        <f t="shared" si="109"/>
        <v>0</v>
      </c>
      <c r="AJ156" s="130">
        <f t="shared" si="109"/>
        <v>0</v>
      </c>
      <c r="AK156" s="130">
        <f t="shared" si="98"/>
        <v>0</v>
      </c>
      <c r="AL156" s="130">
        <f t="shared" si="99"/>
        <v>0</v>
      </c>
      <c r="AM156" s="130">
        <f t="shared" si="100"/>
        <v>0</v>
      </c>
      <c r="AN156" s="130">
        <f t="shared" si="101"/>
        <v>0</v>
      </c>
      <c r="AO156" s="130">
        <f t="shared" si="110"/>
        <v>0</v>
      </c>
      <c r="AP156" s="130">
        <f t="shared" si="110"/>
        <v>0</v>
      </c>
      <c r="AQ156" s="130">
        <f t="shared" si="110"/>
        <v>0</v>
      </c>
      <c r="AR156" s="130">
        <f t="shared" si="110"/>
        <v>0</v>
      </c>
      <c r="AS156" s="130">
        <f t="shared" si="110"/>
        <v>0</v>
      </c>
      <c r="AT156" s="130">
        <f t="shared" si="110"/>
        <v>0</v>
      </c>
      <c r="AU156" s="130">
        <f t="shared" si="110"/>
        <v>0</v>
      </c>
      <c r="AV156" s="130">
        <f t="shared" si="110"/>
        <v>0</v>
      </c>
      <c r="AW156" s="130">
        <f t="shared" si="110"/>
        <v>0</v>
      </c>
      <c r="AX156" s="130">
        <f t="shared" si="110"/>
        <v>0</v>
      </c>
      <c r="AY156" s="130">
        <f t="shared" si="110"/>
        <v>0</v>
      </c>
      <c r="AZ156" s="130">
        <f t="shared" si="110"/>
        <v>0</v>
      </c>
      <c r="BA156" s="130">
        <f t="shared" si="110"/>
        <v>0</v>
      </c>
      <c r="BB156" s="130">
        <f t="shared" si="111"/>
        <v>0</v>
      </c>
      <c r="BC156" s="130">
        <f t="shared" si="111"/>
        <v>0</v>
      </c>
      <c r="BD156" s="130">
        <f t="shared" si="111"/>
        <v>0</v>
      </c>
      <c r="BE156" s="130">
        <f t="shared" si="111"/>
        <v>0</v>
      </c>
      <c r="BF156" s="130" t="e">
        <f>+IF($H156=#REF!,$C156,0)-IF($I156=#REF!,$C156,0)</f>
        <v>#REF!</v>
      </c>
      <c r="BG156" s="130" t="e">
        <f>+IF($H156=#REF!,$C156,0)-IF($I156=#REF!,$C156,0)</f>
        <v>#REF!</v>
      </c>
      <c r="BH156" s="130" t="e">
        <f>+IF($H156=#REF!,$C156,0)-IF($I156=#REF!,$C156,0)</f>
        <v>#REF!</v>
      </c>
      <c r="BI156" s="130">
        <f t="shared" si="112"/>
        <v>0</v>
      </c>
      <c r="BJ156" s="130">
        <f t="shared" si="112"/>
        <v>0</v>
      </c>
      <c r="BK156" s="130">
        <f t="shared" si="112"/>
        <v>0</v>
      </c>
      <c r="BL156" s="130">
        <f t="shared" si="112"/>
        <v>0</v>
      </c>
      <c r="BM156" s="130">
        <f t="shared" si="112"/>
        <v>0</v>
      </c>
      <c r="BN156" s="130">
        <f t="shared" si="112"/>
        <v>0</v>
      </c>
      <c r="BO156" s="130">
        <f t="shared" si="112"/>
        <v>0</v>
      </c>
      <c r="BP156" s="130">
        <f t="shared" si="112"/>
        <v>0</v>
      </c>
      <c r="BQ156" s="130">
        <f t="shared" si="112"/>
        <v>0</v>
      </c>
      <c r="BR156" s="130" t="e">
        <f t="shared" si="102"/>
        <v>#REF!</v>
      </c>
    </row>
    <row r="157" spans="2:70" s="119" customFormat="1" x14ac:dyDescent="0.2">
      <c r="B157" s="128"/>
      <c r="C157" s="129"/>
      <c r="D157" s="129"/>
      <c r="E157" s="129" t="e">
        <f>ROUND(IF(D157=#REF!,0,IF($H157=$S$6,(C157/1.14975*0.05*0.5),C157/1.14975*0.05)),2)</f>
        <v>#REF!</v>
      </c>
      <c r="F157" s="129" t="e">
        <f>ROUND(IF(D157=#REF!,0,IF($H157=$S$6,C157/1.14975*0.09975*0.5,C157/1.14975*0.09975)),2)</f>
        <v>#REF!</v>
      </c>
      <c r="G157" s="129" t="e">
        <f t="shared" si="96"/>
        <v>#REF!</v>
      </c>
      <c r="J157" s="130">
        <f t="shared" si="97"/>
        <v>0</v>
      </c>
      <c r="K157" s="130">
        <f t="shared" si="107"/>
        <v>0</v>
      </c>
      <c r="L157" s="130">
        <f t="shared" si="107"/>
        <v>0</v>
      </c>
      <c r="M157" s="130">
        <f t="shared" si="107"/>
        <v>0</v>
      </c>
      <c r="N157" s="130">
        <f t="shared" si="107"/>
        <v>0</v>
      </c>
      <c r="O157" s="130">
        <f t="shared" si="107"/>
        <v>0</v>
      </c>
      <c r="P157" s="130">
        <f t="shared" si="107"/>
        <v>0</v>
      </c>
      <c r="Q157" s="130">
        <f t="shared" si="107"/>
        <v>0</v>
      </c>
      <c r="R157" s="130">
        <f t="shared" si="107"/>
        <v>0</v>
      </c>
      <c r="S157" s="130">
        <f t="shared" si="107"/>
        <v>0</v>
      </c>
      <c r="T157" s="130">
        <f t="shared" si="107"/>
        <v>0</v>
      </c>
      <c r="U157" s="130">
        <f t="shared" si="108"/>
        <v>0</v>
      </c>
      <c r="V157" s="130">
        <f t="shared" si="108"/>
        <v>0</v>
      </c>
      <c r="W157" s="130">
        <f t="shared" si="108"/>
        <v>0</v>
      </c>
      <c r="X157" s="130">
        <f t="shared" si="108"/>
        <v>0</v>
      </c>
      <c r="Y157" s="130">
        <f t="shared" si="108"/>
        <v>0</v>
      </c>
      <c r="Z157" s="130">
        <f t="shared" si="108"/>
        <v>0</v>
      </c>
      <c r="AA157" s="130">
        <f t="shared" si="108"/>
        <v>0</v>
      </c>
      <c r="AB157" s="130">
        <f t="shared" si="108"/>
        <v>0</v>
      </c>
      <c r="AC157" s="130">
        <f t="shared" si="108"/>
        <v>0</v>
      </c>
      <c r="AD157" s="130">
        <f t="shared" si="108"/>
        <v>0</v>
      </c>
      <c r="AE157" s="130">
        <f t="shared" si="108"/>
        <v>0</v>
      </c>
      <c r="AF157" s="130">
        <f t="shared" si="108"/>
        <v>0</v>
      </c>
      <c r="AG157" s="130">
        <f t="shared" si="108"/>
        <v>0</v>
      </c>
      <c r="AH157" s="130">
        <f t="shared" si="109"/>
        <v>0</v>
      </c>
      <c r="AI157" s="130">
        <f t="shared" si="109"/>
        <v>0</v>
      </c>
      <c r="AJ157" s="130">
        <f t="shared" si="109"/>
        <v>0</v>
      </c>
      <c r="AK157" s="130">
        <f t="shared" si="98"/>
        <v>0</v>
      </c>
      <c r="AL157" s="130">
        <f t="shared" si="99"/>
        <v>0</v>
      </c>
      <c r="AM157" s="130">
        <f t="shared" si="100"/>
        <v>0</v>
      </c>
      <c r="AN157" s="130">
        <f t="shared" si="101"/>
        <v>0</v>
      </c>
      <c r="AO157" s="130">
        <f t="shared" si="110"/>
        <v>0</v>
      </c>
      <c r="AP157" s="130">
        <f t="shared" si="110"/>
        <v>0</v>
      </c>
      <c r="AQ157" s="130">
        <f t="shared" si="110"/>
        <v>0</v>
      </c>
      <c r="AR157" s="130">
        <f t="shared" si="110"/>
        <v>0</v>
      </c>
      <c r="AS157" s="130">
        <f t="shared" si="110"/>
        <v>0</v>
      </c>
      <c r="AT157" s="130">
        <f t="shared" si="110"/>
        <v>0</v>
      </c>
      <c r="AU157" s="130">
        <f t="shared" si="110"/>
        <v>0</v>
      </c>
      <c r="AV157" s="130">
        <f t="shared" si="110"/>
        <v>0</v>
      </c>
      <c r="AW157" s="130">
        <f t="shared" si="110"/>
        <v>0</v>
      </c>
      <c r="AX157" s="130">
        <f t="shared" si="110"/>
        <v>0</v>
      </c>
      <c r="AY157" s="130">
        <f t="shared" si="110"/>
        <v>0</v>
      </c>
      <c r="AZ157" s="130">
        <f t="shared" si="110"/>
        <v>0</v>
      </c>
      <c r="BA157" s="130">
        <f t="shared" si="110"/>
        <v>0</v>
      </c>
      <c r="BB157" s="130">
        <f t="shared" si="111"/>
        <v>0</v>
      </c>
      <c r="BC157" s="130">
        <f t="shared" si="111"/>
        <v>0</v>
      </c>
      <c r="BD157" s="130">
        <f t="shared" si="111"/>
        <v>0</v>
      </c>
      <c r="BE157" s="130">
        <f t="shared" si="111"/>
        <v>0</v>
      </c>
      <c r="BF157" s="130" t="e">
        <f>+IF($H157=#REF!,$C157,0)-IF($I157=#REF!,$C157,0)</f>
        <v>#REF!</v>
      </c>
      <c r="BG157" s="130" t="e">
        <f>+IF($H157=#REF!,$C157,0)-IF($I157=#REF!,$C157,0)</f>
        <v>#REF!</v>
      </c>
      <c r="BH157" s="130" t="e">
        <f>+IF($H157=#REF!,$C157,0)-IF($I157=#REF!,$C157,0)</f>
        <v>#REF!</v>
      </c>
      <c r="BI157" s="130">
        <f t="shared" si="112"/>
        <v>0</v>
      </c>
      <c r="BJ157" s="130">
        <f t="shared" si="112"/>
        <v>0</v>
      </c>
      <c r="BK157" s="130">
        <f t="shared" si="112"/>
        <v>0</v>
      </c>
      <c r="BL157" s="130">
        <f t="shared" si="112"/>
        <v>0</v>
      </c>
      <c r="BM157" s="130">
        <f t="shared" si="112"/>
        <v>0</v>
      </c>
      <c r="BN157" s="130">
        <f t="shared" si="112"/>
        <v>0</v>
      </c>
      <c r="BO157" s="130">
        <f t="shared" si="112"/>
        <v>0</v>
      </c>
      <c r="BP157" s="130">
        <f t="shared" si="112"/>
        <v>0</v>
      </c>
      <c r="BQ157" s="130">
        <f t="shared" si="112"/>
        <v>0</v>
      </c>
      <c r="BR157" s="130" t="e">
        <f t="shared" si="102"/>
        <v>#REF!</v>
      </c>
    </row>
    <row r="158" spans="2:70" s="119" customFormat="1" x14ac:dyDescent="0.2">
      <c r="B158" s="128"/>
      <c r="C158" s="129"/>
      <c r="D158" s="129"/>
      <c r="E158" s="129" t="e">
        <f>ROUND(IF(D158=#REF!,0,IF($H158=$S$6,(C158/1.14975*0.05*0.5),C158/1.14975*0.05)),2)</f>
        <v>#REF!</v>
      </c>
      <c r="F158" s="129" t="e">
        <f>ROUND(IF(D158=#REF!,0,IF($H158=$S$6,C158/1.14975*0.09975*0.5,C158/1.14975*0.09975)),2)</f>
        <v>#REF!</v>
      </c>
      <c r="G158" s="129" t="e">
        <f t="shared" si="96"/>
        <v>#REF!</v>
      </c>
      <c r="J158" s="130">
        <f t="shared" si="97"/>
        <v>0</v>
      </c>
      <c r="K158" s="130">
        <f t="shared" si="107"/>
        <v>0</v>
      </c>
      <c r="L158" s="130">
        <f t="shared" si="107"/>
        <v>0</v>
      </c>
      <c r="M158" s="130">
        <f t="shared" si="107"/>
        <v>0</v>
      </c>
      <c r="N158" s="130">
        <f t="shared" si="107"/>
        <v>0</v>
      </c>
      <c r="O158" s="130">
        <f t="shared" si="107"/>
        <v>0</v>
      </c>
      <c r="P158" s="130">
        <f t="shared" si="107"/>
        <v>0</v>
      </c>
      <c r="Q158" s="130">
        <f t="shared" si="107"/>
        <v>0</v>
      </c>
      <c r="R158" s="130">
        <f t="shared" si="107"/>
        <v>0</v>
      </c>
      <c r="S158" s="130">
        <f t="shared" si="107"/>
        <v>0</v>
      </c>
      <c r="T158" s="130">
        <f t="shared" si="107"/>
        <v>0</v>
      </c>
      <c r="U158" s="130">
        <f t="shared" si="108"/>
        <v>0</v>
      </c>
      <c r="V158" s="130">
        <f t="shared" si="108"/>
        <v>0</v>
      </c>
      <c r="W158" s="130">
        <f t="shared" si="108"/>
        <v>0</v>
      </c>
      <c r="X158" s="130">
        <f t="shared" si="108"/>
        <v>0</v>
      </c>
      <c r="Y158" s="130">
        <f t="shared" si="108"/>
        <v>0</v>
      </c>
      <c r="Z158" s="130">
        <f t="shared" si="108"/>
        <v>0</v>
      </c>
      <c r="AA158" s="130">
        <f t="shared" si="108"/>
        <v>0</v>
      </c>
      <c r="AB158" s="130">
        <f t="shared" si="108"/>
        <v>0</v>
      </c>
      <c r="AC158" s="130">
        <f t="shared" si="108"/>
        <v>0</v>
      </c>
      <c r="AD158" s="130">
        <f t="shared" si="108"/>
        <v>0</v>
      </c>
      <c r="AE158" s="130">
        <f t="shared" si="108"/>
        <v>0</v>
      </c>
      <c r="AF158" s="130">
        <f t="shared" si="108"/>
        <v>0</v>
      </c>
      <c r="AG158" s="130">
        <f t="shared" si="108"/>
        <v>0</v>
      </c>
      <c r="AH158" s="130">
        <f t="shared" si="109"/>
        <v>0</v>
      </c>
      <c r="AI158" s="130">
        <f t="shared" si="109"/>
        <v>0</v>
      </c>
      <c r="AJ158" s="130">
        <f t="shared" si="109"/>
        <v>0</v>
      </c>
      <c r="AK158" s="130">
        <f t="shared" si="98"/>
        <v>0</v>
      </c>
      <c r="AL158" s="130">
        <f t="shared" si="99"/>
        <v>0</v>
      </c>
      <c r="AM158" s="130">
        <f t="shared" si="100"/>
        <v>0</v>
      </c>
      <c r="AN158" s="130">
        <f t="shared" si="101"/>
        <v>0</v>
      </c>
      <c r="AO158" s="130">
        <f t="shared" si="110"/>
        <v>0</v>
      </c>
      <c r="AP158" s="130">
        <f t="shared" si="110"/>
        <v>0</v>
      </c>
      <c r="AQ158" s="130">
        <f t="shared" si="110"/>
        <v>0</v>
      </c>
      <c r="AR158" s="130">
        <f t="shared" si="110"/>
        <v>0</v>
      </c>
      <c r="AS158" s="130">
        <f t="shared" si="110"/>
        <v>0</v>
      </c>
      <c r="AT158" s="130">
        <f t="shared" si="110"/>
        <v>0</v>
      </c>
      <c r="AU158" s="130">
        <f t="shared" si="110"/>
        <v>0</v>
      </c>
      <c r="AV158" s="130">
        <f t="shared" si="110"/>
        <v>0</v>
      </c>
      <c r="AW158" s="130">
        <f t="shared" si="110"/>
        <v>0</v>
      </c>
      <c r="AX158" s="130">
        <f t="shared" si="110"/>
        <v>0</v>
      </c>
      <c r="AY158" s="130">
        <f t="shared" si="110"/>
        <v>0</v>
      </c>
      <c r="AZ158" s="130">
        <f t="shared" si="110"/>
        <v>0</v>
      </c>
      <c r="BA158" s="130">
        <f t="shared" si="110"/>
        <v>0</v>
      </c>
      <c r="BB158" s="130">
        <f t="shared" si="111"/>
        <v>0</v>
      </c>
      <c r="BC158" s="130">
        <f t="shared" si="111"/>
        <v>0</v>
      </c>
      <c r="BD158" s="130">
        <f t="shared" si="111"/>
        <v>0</v>
      </c>
      <c r="BE158" s="130">
        <f t="shared" si="111"/>
        <v>0</v>
      </c>
      <c r="BF158" s="130" t="e">
        <f>+IF($H158=#REF!,$C158,0)-IF($I158=#REF!,$C158,0)</f>
        <v>#REF!</v>
      </c>
      <c r="BG158" s="130" t="e">
        <f>+IF($H158=#REF!,$C158,0)-IF($I158=#REF!,$C158,0)</f>
        <v>#REF!</v>
      </c>
      <c r="BH158" s="130" t="e">
        <f>+IF($H158=#REF!,$C158,0)-IF($I158=#REF!,$C158,0)</f>
        <v>#REF!</v>
      </c>
      <c r="BI158" s="130">
        <f t="shared" si="112"/>
        <v>0</v>
      </c>
      <c r="BJ158" s="130">
        <f t="shared" si="112"/>
        <v>0</v>
      </c>
      <c r="BK158" s="130">
        <f t="shared" si="112"/>
        <v>0</v>
      </c>
      <c r="BL158" s="130">
        <f t="shared" si="112"/>
        <v>0</v>
      </c>
      <c r="BM158" s="130">
        <f t="shared" si="112"/>
        <v>0</v>
      </c>
      <c r="BN158" s="130">
        <f t="shared" si="112"/>
        <v>0</v>
      </c>
      <c r="BO158" s="130">
        <f t="shared" si="112"/>
        <v>0</v>
      </c>
      <c r="BP158" s="130">
        <f t="shared" si="112"/>
        <v>0</v>
      </c>
      <c r="BQ158" s="130">
        <f t="shared" si="112"/>
        <v>0</v>
      </c>
      <c r="BR158" s="130" t="e">
        <f t="shared" si="102"/>
        <v>#REF!</v>
      </c>
    </row>
    <row r="159" spans="2:70" s="119" customFormat="1" x14ac:dyDescent="0.2">
      <c r="B159" s="128"/>
      <c r="C159" s="129"/>
      <c r="D159" s="129"/>
      <c r="E159" s="129" t="e">
        <f>ROUND(IF(D159=#REF!,0,IF($H159=$S$6,(C159/1.14975*0.05*0.5),C159/1.14975*0.05)),2)</f>
        <v>#REF!</v>
      </c>
      <c r="F159" s="129" t="e">
        <f>ROUND(IF(D159=#REF!,0,IF($H159=$S$6,C159/1.14975*0.09975*0.5,C159/1.14975*0.09975)),2)</f>
        <v>#REF!</v>
      </c>
      <c r="G159" s="129" t="e">
        <f t="shared" si="96"/>
        <v>#REF!</v>
      </c>
      <c r="J159" s="130">
        <f t="shared" si="97"/>
        <v>0</v>
      </c>
      <c r="K159" s="130">
        <f t="shared" ref="K159:T168" si="113">+IF($H159=K$6,$G159,0)-IF($I159=K$6,$G159,0)</f>
        <v>0</v>
      </c>
      <c r="L159" s="130">
        <f t="shared" si="113"/>
        <v>0</v>
      </c>
      <c r="M159" s="130">
        <f t="shared" si="113"/>
        <v>0</v>
      </c>
      <c r="N159" s="130">
        <f t="shared" si="113"/>
        <v>0</v>
      </c>
      <c r="O159" s="130">
        <f t="shared" si="113"/>
        <v>0</v>
      </c>
      <c r="P159" s="130">
        <f t="shared" si="113"/>
        <v>0</v>
      </c>
      <c r="Q159" s="130">
        <f t="shared" si="113"/>
        <v>0</v>
      </c>
      <c r="R159" s="130">
        <f t="shared" si="113"/>
        <v>0</v>
      </c>
      <c r="S159" s="130">
        <f t="shared" si="113"/>
        <v>0</v>
      </c>
      <c r="T159" s="130">
        <f t="shared" si="113"/>
        <v>0</v>
      </c>
      <c r="U159" s="130">
        <f t="shared" ref="U159:AG168" si="114">+IF($H159=U$6,$G159,0)-IF($I159=U$6,$G159,0)</f>
        <v>0</v>
      </c>
      <c r="V159" s="130">
        <f t="shared" si="114"/>
        <v>0</v>
      </c>
      <c r="W159" s="130">
        <f t="shared" si="114"/>
        <v>0</v>
      </c>
      <c r="X159" s="130">
        <f t="shared" si="114"/>
        <v>0</v>
      </c>
      <c r="Y159" s="130">
        <f t="shared" si="114"/>
        <v>0</v>
      </c>
      <c r="Z159" s="130">
        <f t="shared" si="114"/>
        <v>0</v>
      </c>
      <c r="AA159" s="130">
        <f t="shared" si="114"/>
        <v>0</v>
      </c>
      <c r="AB159" s="130">
        <f t="shared" si="114"/>
        <v>0</v>
      </c>
      <c r="AC159" s="130">
        <f t="shared" si="114"/>
        <v>0</v>
      </c>
      <c r="AD159" s="130">
        <f t="shared" si="114"/>
        <v>0</v>
      </c>
      <c r="AE159" s="130">
        <f t="shared" si="114"/>
        <v>0</v>
      </c>
      <c r="AF159" s="130">
        <f t="shared" si="114"/>
        <v>0</v>
      </c>
      <c r="AG159" s="130">
        <f t="shared" si="114"/>
        <v>0</v>
      </c>
      <c r="AH159" s="130">
        <f t="shared" si="109"/>
        <v>0</v>
      </c>
      <c r="AI159" s="130">
        <f t="shared" si="109"/>
        <v>0</v>
      </c>
      <c r="AJ159" s="130">
        <f t="shared" si="109"/>
        <v>0</v>
      </c>
      <c r="AK159" s="130">
        <f t="shared" si="98"/>
        <v>0</v>
      </c>
      <c r="AL159" s="130">
        <f t="shared" si="99"/>
        <v>0</v>
      </c>
      <c r="AM159" s="130">
        <f t="shared" si="100"/>
        <v>0</v>
      </c>
      <c r="AN159" s="130">
        <f t="shared" si="101"/>
        <v>0</v>
      </c>
      <c r="AO159" s="130">
        <f t="shared" ref="AO159:BA168" si="115">+IF($H159=AO$6,$G159,0)-IF($I159=AO$6,$G159,0)</f>
        <v>0</v>
      </c>
      <c r="AP159" s="130">
        <f t="shared" si="115"/>
        <v>0</v>
      </c>
      <c r="AQ159" s="130">
        <f t="shared" si="115"/>
        <v>0</v>
      </c>
      <c r="AR159" s="130">
        <f t="shared" si="115"/>
        <v>0</v>
      </c>
      <c r="AS159" s="130">
        <f t="shared" si="115"/>
        <v>0</v>
      </c>
      <c r="AT159" s="130">
        <f t="shared" si="115"/>
        <v>0</v>
      </c>
      <c r="AU159" s="130">
        <f t="shared" si="115"/>
        <v>0</v>
      </c>
      <c r="AV159" s="130">
        <f t="shared" si="115"/>
        <v>0</v>
      </c>
      <c r="AW159" s="130">
        <f t="shared" si="115"/>
        <v>0</v>
      </c>
      <c r="AX159" s="130">
        <f t="shared" si="115"/>
        <v>0</v>
      </c>
      <c r="AY159" s="130">
        <f t="shared" si="115"/>
        <v>0</v>
      </c>
      <c r="AZ159" s="130">
        <f t="shared" si="115"/>
        <v>0</v>
      </c>
      <c r="BA159" s="130">
        <f t="shared" si="115"/>
        <v>0</v>
      </c>
      <c r="BB159" s="130">
        <f t="shared" si="111"/>
        <v>0</v>
      </c>
      <c r="BC159" s="130">
        <f t="shared" si="111"/>
        <v>0</v>
      </c>
      <c r="BD159" s="130">
        <f t="shared" si="111"/>
        <v>0</v>
      </c>
      <c r="BE159" s="130">
        <f t="shared" si="111"/>
        <v>0</v>
      </c>
      <c r="BF159" s="130" t="e">
        <f>+IF($H159=#REF!,$C159,0)-IF($I159=#REF!,$C159,0)</f>
        <v>#REF!</v>
      </c>
      <c r="BG159" s="130" t="e">
        <f>+IF($H159=#REF!,$C159,0)-IF($I159=#REF!,$C159,0)</f>
        <v>#REF!</v>
      </c>
      <c r="BH159" s="130" t="e">
        <f>+IF($H159=#REF!,$C159,0)-IF($I159=#REF!,$C159,0)</f>
        <v>#REF!</v>
      </c>
      <c r="BI159" s="130">
        <f t="shared" ref="BI159:BQ168" si="116">+IF($H159=BI$6,$G159,0)-IF($I159=BI$6,$G159,0)</f>
        <v>0</v>
      </c>
      <c r="BJ159" s="130">
        <f t="shared" si="116"/>
        <v>0</v>
      </c>
      <c r="BK159" s="130">
        <f t="shared" si="116"/>
        <v>0</v>
      </c>
      <c r="BL159" s="130">
        <f t="shared" si="116"/>
        <v>0</v>
      </c>
      <c r="BM159" s="130">
        <f t="shared" si="116"/>
        <v>0</v>
      </c>
      <c r="BN159" s="130">
        <f t="shared" si="116"/>
        <v>0</v>
      </c>
      <c r="BO159" s="130">
        <f t="shared" si="116"/>
        <v>0</v>
      </c>
      <c r="BP159" s="130">
        <f t="shared" si="116"/>
        <v>0</v>
      </c>
      <c r="BQ159" s="130">
        <f t="shared" si="116"/>
        <v>0</v>
      </c>
      <c r="BR159" s="130" t="e">
        <f t="shared" si="102"/>
        <v>#REF!</v>
      </c>
    </row>
    <row r="160" spans="2:70" s="119" customFormat="1" x14ac:dyDescent="0.2">
      <c r="B160" s="128"/>
      <c r="C160" s="129"/>
      <c r="D160" s="129"/>
      <c r="E160" s="129" t="e">
        <f>ROUND(IF(D160=#REF!,0,IF($H160=$S$6,(C160/1.14975*0.05*0.5),C160/1.14975*0.05)),2)</f>
        <v>#REF!</v>
      </c>
      <c r="F160" s="129" t="e">
        <f>ROUND(IF(D160=#REF!,0,IF($H160=$S$6,C160/1.14975*0.09975*0.5,C160/1.14975*0.09975)),2)</f>
        <v>#REF!</v>
      </c>
      <c r="G160" s="129" t="e">
        <f t="shared" si="96"/>
        <v>#REF!</v>
      </c>
      <c r="J160" s="130">
        <f t="shared" si="97"/>
        <v>0</v>
      </c>
      <c r="K160" s="130">
        <f t="shared" si="113"/>
        <v>0</v>
      </c>
      <c r="L160" s="130">
        <f t="shared" si="113"/>
        <v>0</v>
      </c>
      <c r="M160" s="130">
        <f t="shared" si="113"/>
        <v>0</v>
      </c>
      <c r="N160" s="130">
        <f t="shared" si="113"/>
        <v>0</v>
      </c>
      <c r="O160" s="130">
        <f t="shared" si="113"/>
        <v>0</v>
      </c>
      <c r="P160" s="130">
        <f t="shared" si="113"/>
        <v>0</v>
      </c>
      <c r="Q160" s="130">
        <f t="shared" si="113"/>
        <v>0</v>
      </c>
      <c r="R160" s="130">
        <f t="shared" si="113"/>
        <v>0</v>
      </c>
      <c r="S160" s="130">
        <f t="shared" si="113"/>
        <v>0</v>
      </c>
      <c r="T160" s="130">
        <f t="shared" si="113"/>
        <v>0</v>
      </c>
      <c r="U160" s="130">
        <f t="shared" si="114"/>
        <v>0</v>
      </c>
      <c r="V160" s="130">
        <f t="shared" si="114"/>
        <v>0</v>
      </c>
      <c r="W160" s="130">
        <f t="shared" si="114"/>
        <v>0</v>
      </c>
      <c r="X160" s="130">
        <f t="shared" si="114"/>
        <v>0</v>
      </c>
      <c r="Y160" s="130">
        <f t="shared" si="114"/>
        <v>0</v>
      </c>
      <c r="Z160" s="130">
        <f t="shared" si="114"/>
        <v>0</v>
      </c>
      <c r="AA160" s="130">
        <f t="shared" si="114"/>
        <v>0</v>
      </c>
      <c r="AB160" s="130">
        <f t="shared" si="114"/>
        <v>0</v>
      </c>
      <c r="AC160" s="130">
        <f t="shared" si="114"/>
        <v>0</v>
      </c>
      <c r="AD160" s="130">
        <f t="shared" si="114"/>
        <v>0</v>
      </c>
      <c r="AE160" s="130">
        <f t="shared" si="114"/>
        <v>0</v>
      </c>
      <c r="AF160" s="130">
        <f t="shared" si="114"/>
        <v>0</v>
      </c>
      <c r="AG160" s="130">
        <f t="shared" si="114"/>
        <v>0</v>
      </c>
      <c r="AH160" s="130">
        <f t="shared" si="109"/>
        <v>0</v>
      </c>
      <c r="AI160" s="130">
        <f t="shared" si="109"/>
        <v>0</v>
      </c>
      <c r="AJ160" s="130">
        <f t="shared" si="109"/>
        <v>0</v>
      </c>
      <c r="AK160" s="130">
        <f t="shared" si="98"/>
        <v>0</v>
      </c>
      <c r="AL160" s="130">
        <f t="shared" si="99"/>
        <v>0</v>
      </c>
      <c r="AM160" s="130">
        <f t="shared" si="100"/>
        <v>0</v>
      </c>
      <c r="AN160" s="130">
        <f t="shared" si="101"/>
        <v>0</v>
      </c>
      <c r="AO160" s="130">
        <f t="shared" si="115"/>
        <v>0</v>
      </c>
      <c r="AP160" s="130">
        <f t="shared" si="115"/>
        <v>0</v>
      </c>
      <c r="AQ160" s="130">
        <f t="shared" si="115"/>
        <v>0</v>
      </c>
      <c r="AR160" s="130">
        <f t="shared" si="115"/>
        <v>0</v>
      </c>
      <c r="AS160" s="130">
        <f t="shared" si="115"/>
        <v>0</v>
      </c>
      <c r="AT160" s="130">
        <f t="shared" si="115"/>
        <v>0</v>
      </c>
      <c r="AU160" s="130">
        <f t="shared" si="115"/>
        <v>0</v>
      </c>
      <c r="AV160" s="130">
        <f t="shared" si="115"/>
        <v>0</v>
      </c>
      <c r="AW160" s="130">
        <f t="shared" si="115"/>
        <v>0</v>
      </c>
      <c r="AX160" s="130">
        <f t="shared" si="115"/>
        <v>0</v>
      </c>
      <c r="AY160" s="130">
        <f t="shared" si="115"/>
        <v>0</v>
      </c>
      <c r="AZ160" s="130">
        <f t="shared" si="115"/>
        <v>0</v>
      </c>
      <c r="BA160" s="130">
        <f t="shared" si="115"/>
        <v>0</v>
      </c>
      <c r="BB160" s="130">
        <f t="shared" si="111"/>
        <v>0</v>
      </c>
      <c r="BC160" s="130">
        <f t="shared" si="111"/>
        <v>0</v>
      </c>
      <c r="BD160" s="130">
        <f t="shared" si="111"/>
        <v>0</v>
      </c>
      <c r="BE160" s="130">
        <f t="shared" si="111"/>
        <v>0</v>
      </c>
      <c r="BF160" s="130" t="e">
        <f>+IF($H160=#REF!,$C160,0)-IF($I160=#REF!,$C160,0)</f>
        <v>#REF!</v>
      </c>
      <c r="BG160" s="130" t="e">
        <f>+IF($H160=#REF!,$C160,0)-IF($I160=#REF!,$C160,0)</f>
        <v>#REF!</v>
      </c>
      <c r="BH160" s="130" t="e">
        <f>+IF($H160=#REF!,$C160,0)-IF($I160=#REF!,$C160,0)</f>
        <v>#REF!</v>
      </c>
      <c r="BI160" s="130">
        <f t="shared" si="116"/>
        <v>0</v>
      </c>
      <c r="BJ160" s="130">
        <f t="shared" si="116"/>
        <v>0</v>
      </c>
      <c r="BK160" s="130">
        <f t="shared" si="116"/>
        <v>0</v>
      </c>
      <c r="BL160" s="130">
        <f t="shared" si="116"/>
        <v>0</v>
      </c>
      <c r="BM160" s="130">
        <f t="shared" si="116"/>
        <v>0</v>
      </c>
      <c r="BN160" s="130">
        <f t="shared" si="116"/>
        <v>0</v>
      </c>
      <c r="BO160" s="130">
        <f t="shared" si="116"/>
        <v>0</v>
      </c>
      <c r="BP160" s="130">
        <f t="shared" si="116"/>
        <v>0</v>
      </c>
      <c r="BQ160" s="130">
        <f t="shared" si="116"/>
        <v>0</v>
      </c>
      <c r="BR160" s="130" t="e">
        <f t="shared" si="102"/>
        <v>#REF!</v>
      </c>
    </row>
    <row r="161" spans="2:70" s="119" customFormat="1" x14ac:dyDescent="0.2">
      <c r="B161" s="128"/>
      <c r="C161" s="129"/>
      <c r="D161" s="129"/>
      <c r="E161" s="129" t="e">
        <f>ROUND(IF(D161=#REF!,0,IF($H161=$S$6,(C161/1.14975*0.05*0.5),C161/1.14975*0.05)),2)</f>
        <v>#REF!</v>
      </c>
      <c r="F161" s="129" t="e">
        <f>ROUND(IF(D161=#REF!,0,IF($H161=$S$6,C161/1.14975*0.09975*0.5,C161/1.14975*0.09975)),2)</f>
        <v>#REF!</v>
      </c>
      <c r="G161" s="129" t="e">
        <f t="shared" si="96"/>
        <v>#REF!</v>
      </c>
      <c r="J161" s="130">
        <f t="shared" si="97"/>
        <v>0</v>
      </c>
      <c r="K161" s="130">
        <f t="shared" si="113"/>
        <v>0</v>
      </c>
      <c r="L161" s="130">
        <f t="shared" si="113"/>
        <v>0</v>
      </c>
      <c r="M161" s="130">
        <f t="shared" si="113"/>
        <v>0</v>
      </c>
      <c r="N161" s="130">
        <f t="shared" si="113"/>
        <v>0</v>
      </c>
      <c r="O161" s="130">
        <f t="shared" si="113"/>
        <v>0</v>
      </c>
      <c r="P161" s="130">
        <f t="shared" si="113"/>
        <v>0</v>
      </c>
      <c r="Q161" s="130">
        <f t="shared" si="113"/>
        <v>0</v>
      </c>
      <c r="R161" s="130">
        <f t="shared" si="113"/>
        <v>0</v>
      </c>
      <c r="S161" s="130">
        <f t="shared" si="113"/>
        <v>0</v>
      </c>
      <c r="T161" s="130">
        <f t="shared" si="113"/>
        <v>0</v>
      </c>
      <c r="U161" s="130">
        <f t="shared" si="114"/>
        <v>0</v>
      </c>
      <c r="V161" s="130">
        <f t="shared" si="114"/>
        <v>0</v>
      </c>
      <c r="W161" s="130">
        <f t="shared" si="114"/>
        <v>0</v>
      </c>
      <c r="X161" s="130">
        <f t="shared" si="114"/>
        <v>0</v>
      </c>
      <c r="Y161" s="130">
        <f t="shared" si="114"/>
        <v>0</v>
      </c>
      <c r="Z161" s="130">
        <f t="shared" si="114"/>
        <v>0</v>
      </c>
      <c r="AA161" s="130">
        <f t="shared" si="114"/>
        <v>0</v>
      </c>
      <c r="AB161" s="130">
        <f t="shared" si="114"/>
        <v>0</v>
      </c>
      <c r="AC161" s="130">
        <f t="shared" si="114"/>
        <v>0</v>
      </c>
      <c r="AD161" s="130">
        <f t="shared" si="114"/>
        <v>0</v>
      </c>
      <c r="AE161" s="130">
        <f t="shared" si="114"/>
        <v>0</v>
      </c>
      <c r="AF161" s="130">
        <f t="shared" si="114"/>
        <v>0</v>
      </c>
      <c r="AG161" s="130">
        <f t="shared" si="114"/>
        <v>0</v>
      </c>
      <c r="AH161" s="130">
        <f t="shared" si="109"/>
        <v>0</v>
      </c>
      <c r="AI161" s="130">
        <f t="shared" si="109"/>
        <v>0</v>
      </c>
      <c r="AJ161" s="130">
        <f t="shared" si="109"/>
        <v>0</v>
      </c>
      <c r="AK161" s="130">
        <f t="shared" si="98"/>
        <v>0</v>
      </c>
      <c r="AL161" s="130">
        <f t="shared" si="99"/>
        <v>0</v>
      </c>
      <c r="AM161" s="130">
        <f t="shared" si="100"/>
        <v>0</v>
      </c>
      <c r="AN161" s="130">
        <f t="shared" si="101"/>
        <v>0</v>
      </c>
      <c r="AO161" s="130">
        <f t="shared" si="115"/>
        <v>0</v>
      </c>
      <c r="AP161" s="130">
        <f t="shared" si="115"/>
        <v>0</v>
      </c>
      <c r="AQ161" s="130">
        <f t="shared" si="115"/>
        <v>0</v>
      </c>
      <c r="AR161" s="130">
        <f t="shared" si="115"/>
        <v>0</v>
      </c>
      <c r="AS161" s="130">
        <f t="shared" si="115"/>
        <v>0</v>
      </c>
      <c r="AT161" s="130">
        <f t="shared" si="115"/>
        <v>0</v>
      </c>
      <c r="AU161" s="130">
        <f t="shared" si="115"/>
        <v>0</v>
      </c>
      <c r="AV161" s="130">
        <f t="shared" si="115"/>
        <v>0</v>
      </c>
      <c r="AW161" s="130">
        <f t="shared" si="115"/>
        <v>0</v>
      </c>
      <c r="AX161" s="130">
        <f t="shared" si="115"/>
        <v>0</v>
      </c>
      <c r="AY161" s="130">
        <f t="shared" si="115"/>
        <v>0</v>
      </c>
      <c r="AZ161" s="130">
        <f t="shared" si="115"/>
        <v>0</v>
      </c>
      <c r="BA161" s="130">
        <f t="shared" si="115"/>
        <v>0</v>
      </c>
      <c r="BB161" s="130">
        <f t="shared" si="111"/>
        <v>0</v>
      </c>
      <c r="BC161" s="130">
        <f t="shared" si="111"/>
        <v>0</v>
      </c>
      <c r="BD161" s="130">
        <f t="shared" si="111"/>
        <v>0</v>
      </c>
      <c r="BE161" s="130">
        <f t="shared" si="111"/>
        <v>0</v>
      </c>
      <c r="BF161" s="130" t="e">
        <f>+IF($H161=#REF!,$C161,0)-IF($I161=#REF!,$C161,0)</f>
        <v>#REF!</v>
      </c>
      <c r="BG161" s="130" t="e">
        <f>+IF($H161=#REF!,$C161,0)-IF($I161=#REF!,$C161,0)</f>
        <v>#REF!</v>
      </c>
      <c r="BH161" s="130" t="e">
        <f>+IF($H161=#REF!,$C161,0)-IF($I161=#REF!,$C161,0)</f>
        <v>#REF!</v>
      </c>
      <c r="BI161" s="130">
        <f t="shared" si="116"/>
        <v>0</v>
      </c>
      <c r="BJ161" s="130">
        <f t="shared" si="116"/>
        <v>0</v>
      </c>
      <c r="BK161" s="130">
        <f t="shared" si="116"/>
        <v>0</v>
      </c>
      <c r="BL161" s="130">
        <f t="shared" si="116"/>
        <v>0</v>
      </c>
      <c r="BM161" s="130">
        <f t="shared" si="116"/>
        <v>0</v>
      </c>
      <c r="BN161" s="130">
        <f t="shared" si="116"/>
        <v>0</v>
      </c>
      <c r="BO161" s="130">
        <f t="shared" si="116"/>
        <v>0</v>
      </c>
      <c r="BP161" s="130">
        <f t="shared" si="116"/>
        <v>0</v>
      </c>
      <c r="BQ161" s="130">
        <f t="shared" si="116"/>
        <v>0</v>
      </c>
      <c r="BR161" s="130" t="e">
        <f t="shared" si="102"/>
        <v>#REF!</v>
      </c>
    </row>
    <row r="162" spans="2:70" s="119" customFormat="1" x14ac:dyDescent="0.2">
      <c r="B162" s="128"/>
      <c r="C162" s="129"/>
      <c r="D162" s="129"/>
      <c r="E162" s="129" t="e">
        <f>ROUND(IF(D162=#REF!,0,IF($H162=$S$6,(C162/1.14975*0.05*0.5),C162/1.14975*0.05)),2)</f>
        <v>#REF!</v>
      </c>
      <c r="F162" s="129" t="e">
        <f>ROUND(IF(D162=#REF!,0,IF($H162=$S$6,C162/1.14975*0.09975*0.5,C162/1.14975*0.09975)),2)</f>
        <v>#REF!</v>
      </c>
      <c r="G162" s="129" t="e">
        <f t="shared" si="96"/>
        <v>#REF!</v>
      </c>
      <c r="J162" s="130">
        <f t="shared" si="97"/>
        <v>0</v>
      </c>
      <c r="K162" s="130">
        <f t="shared" si="113"/>
        <v>0</v>
      </c>
      <c r="L162" s="130">
        <f t="shared" si="113"/>
        <v>0</v>
      </c>
      <c r="M162" s="130">
        <f t="shared" si="113"/>
        <v>0</v>
      </c>
      <c r="N162" s="130">
        <f t="shared" si="113"/>
        <v>0</v>
      </c>
      <c r="O162" s="130">
        <f t="shared" si="113"/>
        <v>0</v>
      </c>
      <c r="P162" s="130">
        <f t="shared" si="113"/>
        <v>0</v>
      </c>
      <c r="Q162" s="130">
        <f t="shared" si="113"/>
        <v>0</v>
      </c>
      <c r="R162" s="130">
        <f t="shared" si="113"/>
        <v>0</v>
      </c>
      <c r="S162" s="130">
        <f t="shared" si="113"/>
        <v>0</v>
      </c>
      <c r="T162" s="130">
        <f t="shared" si="113"/>
        <v>0</v>
      </c>
      <c r="U162" s="130">
        <f t="shared" si="114"/>
        <v>0</v>
      </c>
      <c r="V162" s="130">
        <f t="shared" si="114"/>
        <v>0</v>
      </c>
      <c r="W162" s="130">
        <f t="shared" si="114"/>
        <v>0</v>
      </c>
      <c r="X162" s="130">
        <f t="shared" si="114"/>
        <v>0</v>
      </c>
      <c r="Y162" s="130">
        <f t="shared" si="114"/>
        <v>0</v>
      </c>
      <c r="Z162" s="130">
        <f t="shared" si="114"/>
        <v>0</v>
      </c>
      <c r="AA162" s="130">
        <f t="shared" si="114"/>
        <v>0</v>
      </c>
      <c r="AB162" s="130">
        <f t="shared" si="114"/>
        <v>0</v>
      </c>
      <c r="AC162" s="130">
        <f t="shared" si="114"/>
        <v>0</v>
      </c>
      <c r="AD162" s="130">
        <f t="shared" si="114"/>
        <v>0</v>
      </c>
      <c r="AE162" s="130">
        <f t="shared" si="114"/>
        <v>0</v>
      </c>
      <c r="AF162" s="130">
        <f t="shared" si="114"/>
        <v>0</v>
      </c>
      <c r="AG162" s="130">
        <f t="shared" si="114"/>
        <v>0</v>
      </c>
      <c r="AH162" s="130">
        <f t="shared" si="109"/>
        <v>0</v>
      </c>
      <c r="AI162" s="130">
        <f t="shared" si="109"/>
        <v>0</v>
      </c>
      <c r="AJ162" s="130">
        <f t="shared" si="109"/>
        <v>0</v>
      </c>
      <c r="AK162" s="130">
        <f t="shared" si="98"/>
        <v>0</v>
      </c>
      <c r="AL162" s="130">
        <f t="shared" si="99"/>
        <v>0</v>
      </c>
      <c r="AM162" s="130">
        <f t="shared" si="100"/>
        <v>0</v>
      </c>
      <c r="AN162" s="130">
        <f t="shared" si="101"/>
        <v>0</v>
      </c>
      <c r="AO162" s="130">
        <f t="shared" si="115"/>
        <v>0</v>
      </c>
      <c r="AP162" s="130">
        <f t="shared" si="115"/>
        <v>0</v>
      </c>
      <c r="AQ162" s="130">
        <f t="shared" si="115"/>
        <v>0</v>
      </c>
      <c r="AR162" s="130">
        <f t="shared" si="115"/>
        <v>0</v>
      </c>
      <c r="AS162" s="130">
        <f t="shared" si="115"/>
        <v>0</v>
      </c>
      <c r="AT162" s="130">
        <f t="shared" si="115"/>
        <v>0</v>
      </c>
      <c r="AU162" s="130">
        <f t="shared" si="115"/>
        <v>0</v>
      </c>
      <c r="AV162" s="130">
        <f t="shared" si="115"/>
        <v>0</v>
      </c>
      <c r="AW162" s="130">
        <f t="shared" si="115"/>
        <v>0</v>
      </c>
      <c r="AX162" s="130">
        <f t="shared" si="115"/>
        <v>0</v>
      </c>
      <c r="AY162" s="130">
        <f t="shared" si="115"/>
        <v>0</v>
      </c>
      <c r="AZ162" s="130">
        <f t="shared" si="115"/>
        <v>0</v>
      </c>
      <c r="BA162" s="130">
        <f t="shared" si="115"/>
        <v>0</v>
      </c>
      <c r="BB162" s="130">
        <f t="shared" si="111"/>
        <v>0</v>
      </c>
      <c r="BC162" s="130">
        <f t="shared" si="111"/>
        <v>0</v>
      </c>
      <c r="BD162" s="130">
        <f t="shared" si="111"/>
        <v>0</v>
      </c>
      <c r="BE162" s="130">
        <f t="shared" si="111"/>
        <v>0</v>
      </c>
      <c r="BF162" s="130" t="e">
        <f>+IF($H162=#REF!,$C162,0)-IF($I162=#REF!,$C162,0)</f>
        <v>#REF!</v>
      </c>
      <c r="BG162" s="130" t="e">
        <f>+IF($H162=#REF!,$C162,0)-IF($I162=#REF!,$C162,0)</f>
        <v>#REF!</v>
      </c>
      <c r="BH162" s="130" t="e">
        <f>+IF($H162=#REF!,$C162,0)-IF($I162=#REF!,$C162,0)</f>
        <v>#REF!</v>
      </c>
      <c r="BI162" s="130">
        <f t="shared" si="116"/>
        <v>0</v>
      </c>
      <c r="BJ162" s="130">
        <f t="shared" si="116"/>
        <v>0</v>
      </c>
      <c r="BK162" s="130">
        <f t="shared" si="116"/>
        <v>0</v>
      </c>
      <c r="BL162" s="130">
        <f t="shared" si="116"/>
        <v>0</v>
      </c>
      <c r="BM162" s="130">
        <f t="shared" si="116"/>
        <v>0</v>
      </c>
      <c r="BN162" s="130">
        <f t="shared" si="116"/>
        <v>0</v>
      </c>
      <c r="BO162" s="130">
        <f t="shared" si="116"/>
        <v>0</v>
      </c>
      <c r="BP162" s="130">
        <f t="shared" si="116"/>
        <v>0</v>
      </c>
      <c r="BQ162" s="130">
        <f t="shared" si="116"/>
        <v>0</v>
      </c>
      <c r="BR162" s="130" t="e">
        <f t="shared" si="102"/>
        <v>#REF!</v>
      </c>
    </row>
    <row r="163" spans="2:70" s="119" customFormat="1" x14ac:dyDescent="0.2">
      <c r="B163" s="128"/>
      <c r="C163" s="129"/>
      <c r="D163" s="129"/>
      <c r="E163" s="129" t="e">
        <f>ROUND(IF(D163=#REF!,0,IF($H163=$S$6,(C163/1.14975*0.05*0.5),C163/1.14975*0.05)),2)</f>
        <v>#REF!</v>
      </c>
      <c r="F163" s="129" t="e">
        <f>ROUND(IF(D163=#REF!,0,IF($H163=$S$6,C163/1.14975*0.09975*0.5,C163/1.14975*0.09975)),2)</f>
        <v>#REF!</v>
      </c>
      <c r="G163" s="129" t="e">
        <f t="shared" si="96"/>
        <v>#REF!</v>
      </c>
      <c r="J163" s="130">
        <f t="shared" si="97"/>
        <v>0</v>
      </c>
      <c r="K163" s="130">
        <f t="shared" si="113"/>
        <v>0</v>
      </c>
      <c r="L163" s="130">
        <f t="shared" si="113"/>
        <v>0</v>
      </c>
      <c r="M163" s="130">
        <f t="shared" si="113"/>
        <v>0</v>
      </c>
      <c r="N163" s="130">
        <f t="shared" si="113"/>
        <v>0</v>
      </c>
      <c r="O163" s="130">
        <f t="shared" si="113"/>
        <v>0</v>
      </c>
      <c r="P163" s="130">
        <f t="shared" si="113"/>
        <v>0</v>
      </c>
      <c r="Q163" s="130">
        <f t="shared" si="113"/>
        <v>0</v>
      </c>
      <c r="R163" s="130">
        <f t="shared" si="113"/>
        <v>0</v>
      </c>
      <c r="S163" s="130">
        <f t="shared" si="113"/>
        <v>0</v>
      </c>
      <c r="T163" s="130">
        <f t="shared" si="113"/>
        <v>0</v>
      </c>
      <c r="U163" s="130">
        <f t="shared" si="114"/>
        <v>0</v>
      </c>
      <c r="V163" s="130">
        <f t="shared" si="114"/>
        <v>0</v>
      </c>
      <c r="W163" s="130">
        <f t="shared" si="114"/>
        <v>0</v>
      </c>
      <c r="X163" s="130">
        <f t="shared" si="114"/>
        <v>0</v>
      </c>
      <c r="Y163" s="130">
        <f t="shared" si="114"/>
        <v>0</v>
      </c>
      <c r="Z163" s="130">
        <f t="shared" si="114"/>
        <v>0</v>
      </c>
      <c r="AA163" s="130">
        <f t="shared" si="114"/>
        <v>0</v>
      </c>
      <c r="AB163" s="130">
        <f t="shared" si="114"/>
        <v>0</v>
      </c>
      <c r="AC163" s="130">
        <f t="shared" si="114"/>
        <v>0</v>
      </c>
      <c r="AD163" s="130">
        <f t="shared" si="114"/>
        <v>0</v>
      </c>
      <c r="AE163" s="130">
        <f t="shared" si="114"/>
        <v>0</v>
      </c>
      <c r="AF163" s="130">
        <f t="shared" si="114"/>
        <v>0</v>
      </c>
      <c r="AG163" s="130">
        <f t="shared" si="114"/>
        <v>0</v>
      </c>
      <c r="AH163" s="130">
        <f t="shared" si="109"/>
        <v>0</v>
      </c>
      <c r="AI163" s="130">
        <f t="shared" si="109"/>
        <v>0</v>
      </c>
      <c r="AJ163" s="130">
        <f t="shared" si="109"/>
        <v>0</v>
      </c>
      <c r="AK163" s="130">
        <f t="shared" si="98"/>
        <v>0</v>
      </c>
      <c r="AL163" s="130">
        <f t="shared" si="99"/>
        <v>0</v>
      </c>
      <c r="AM163" s="130">
        <f t="shared" si="100"/>
        <v>0</v>
      </c>
      <c r="AN163" s="130">
        <f t="shared" si="101"/>
        <v>0</v>
      </c>
      <c r="AO163" s="130">
        <f t="shared" si="115"/>
        <v>0</v>
      </c>
      <c r="AP163" s="130">
        <f t="shared" si="115"/>
        <v>0</v>
      </c>
      <c r="AQ163" s="130">
        <f t="shared" si="115"/>
        <v>0</v>
      </c>
      <c r="AR163" s="130">
        <f t="shared" si="115"/>
        <v>0</v>
      </c>
      <c r="AS163" s="130">
        <f t="shared" si="115"/>
        <v>0</v>
      </c>
      <c r="AT163" s="130">
        <f t="shared" si="115"/>
        <v>0</v>
      </c>
      <c r="AU163" s="130">
        <f t="shared" si="115"/>
        <v>0</v>
      </c>
      <c r="AV163" s="130">
        <f t="shared" si="115"/>
        <v>0</v>
      </c>
      <c r="AW163" s="130">
        <f t="shared" si="115"/>
        <v>0</v>
      </c>
      <c r="AX163" s="130">
        <f t="shared" si="115"/>
        <v>0</v>
      </c>
      <c r="AY163" s="130">
        <f t="shared" si="115"/>
        <v>0</v>
      </c>
      <c r="AZ163" s="130">
        <f t="shared" si="115"/>
        <v>0</v>
      </c>
      <c r="BA163" s="130">
        <f t="shared" si="115"/>
        <v>0</v>
      </c>
      <c r="BB163" s="130">
        <f t="shared" si="111"/>
        <v>0</v>
      </c>
      <c r="BC163" s="130">
        <f t="shared" si="111"/>
        <v>0</v>
      </c>
      <c r="BD163" s="130">
        <f t="shared" si="111"/>
        <v>0</v>
      </c>
      <c r="BE163" s="130">
        <f t="shared" si="111"/>
        <v>0</v>
      </c>
      <c r="BF163" s="130" t="e">
        <f>+IF($H163=#REF!,$C163,0)-IF($I163=#REF!,$C163,0)</f>
        <v>#REF!</v>
      </c>
      <c r="BG163" s="130" t="e">
        <f>+IF($H163=#REF!,$C163,0)-IF($I163=#REF!,$C163,0)</f>
        <v>#REF!</v>
      </c>
      <c r="BH163" s="130" t="e">
        <f>+IF($H163=#REF!,$C163,0)-IF($I163=#REF!,$C163,0)</f>
        <v>#REF!</v>
      </c>
      <c r="BI163" s="130">
        <f t="shared" si="116"/>
        <v>0</v>
      </c>
      <c r="BJ163" s="130">
        <f t="shared" si="116"/>
        <v>0</v>
      </c>
      <c r="BK163" s="130">
        <f t="shared" si="116"/>
        <v>0</v>
      </c>
      <c r="BL163" s="130">
        <f t="shared" si="116"/>
        <v>0</v>
      </c>
      <c r="BM163" s="130">
        <f t="shared" si="116"/>
        <v>0</v>
      </c>
      <c r="BN163" s="130">
        <f t="shared" si="116"/>
        <v>0</v>
      </c>
      <c r="BO163" s="130">
        <f t="shared" si="116"/>
        <v>0</v>
      </c>
      <c r="BP163" s="130">
        <f t="shared" si="116"/>
        <v>0</v>
      </c>
      <c r="BQ163" s="130">
        <f t="shared" si="116"/>
        <v>0</v>
      </c>
      <c r="BR163" s="130" t="e">
        <f t="shared" si="102"/>
        <v>#REF!</v>
      </c>
    </row>
    <row r="164" spans="2:70" s="119" customFormat="1" x14ac:dyDescent="0.2">
      <c r="B164" s="128"/>
      <c r="C164" s="129"/>
      <c r="D164" s="129"/>
      <c r="E164" s="129" t="e">
        <f>ROUND(IF(D164=#REF!,0,IF($H164=$S$6,(C164/1.14975*0.05*0.5),C164/1.14975*0.05)),2)</f>
        <v>#REF!</v>
      </c>
      <c r="F164" s="129" t="e">
        <f>ROUND(IF(D164=#REF!,0,IF($H164=$S$6,C164/1.14975*0.09975*0.5,C164/1.14975*0.09975)),2)</f>
        <v>#REF!</v>
      </c>
      <c r="G164" s="129" t="e">
        <f t="shared" si="96"/>
        <v>#REF!</v>
      </c>
      <c r="J164" s="130">
        <f t="shared" si="97"/>
        <v>0</v>
      </c>
      <c r="K164" s="130">
        <f t="shared" si="113"/>
        <v>0</v>
      </c>
      <c r="L164" s="130">
        <f t="shared" si="113"/>
        <v>0</v>
      </c>
      <c r="M164" s="130">
        <f t="shared" si="113"/>
        <v>0</v>
      </c>
      <c r="N164" s="130">
        <f t="shared" si="113"/>
        <v>0</v>
      </c>
      <c r="O164" s="130">
        <f t="shared" si="113"/>
        <v>0</v>
      </c>
      <c r="P164" s="130">
        <f t="shared" si="113"/>
        <v>0</v>
      </c>
      <c r="Q164" s="130">
        <f t="shared" si="113"/>
        <v>0</v>
      </c>
      <c r="R164" s="130">
        <f t="shared" si="113"/>
        <v>0</v>
      </c>
      <c r="S164" s="130">
        <f t="shared" si="113"/>
        <v>0</v>
      </c>
      <c r="T164" s="130">
        <f t="shared" si="113"/>
        <v>0</v>
      </c>
      <c r="U164" s="130">
        <f t="shared" si="114"/>
        <v>0</v>
      </c>
      <c r="V164" s="130">
        <f t="shared" si="114"/>
        <v>0</v>
      </c>
      <c r="W164" s="130">
        <f t="shared" si="114"/>
        <v>0</v>
      </c>
      <c r="X164" s="130">
        <f t="shared" si="114"/>
        <v>0</v>
      </c>
      <c r="Y164" s="130">
        <f t="shared" si="114"/>
        <v>0</v>
      </c>
      <c r="Z164" s="130">
        <f t="shared" si="114"/>
        <v>0</v>
      </c>
      <c r="AA164" s="130">
        <f t="shared" si="114"/>
        <v>0</v>
      </c>
      <c r="AB164" s="130">
        <f t="shared" si="114"/>
        <v>0</v>
      </c>
      <c r="AC164" s="130">
        <f t="shared" si="114"/>
        <v>0</v>
      </c>
      <c r="AD164" s="130">
        <f t="shared" si="114"/>
        <v>0</v>
      </c>
      <c r="AE164" s="130">
        <f t="shared" si="114"/>
        <v>0</v>
      </c>
      <c r="AF164" s="130">
        <f t="shared" si="114"/>
        <v>0</v>
      </c>
      <c r="AG164" s="130">
        <f t="shared" si="114"/>
        <v>0</v>
      </c>
      <c r="AH164" s="130">
        <f t="shared" si="109"/>
        <v>0</v>
      </c>
      <c r="AI164" s="130">
        <f t="shared" si="109"/>
        <v>0</v>
      </c>
      <c r="AJ164" s="130">
        <f t="shared" si="109"/>
        <v>0</v>
      </c>
      <c r="AK164" s="130">
        <f t="shared" si="98"/>
        <v>0</v>
      </c>
      <c r="AL164" s="130">
        <f t="shared" si="99"/>
        <v>0</v>
      </c>
      <c r="AM164" s="130">
        <f t="shared" si="100"/>
        <v>0</v>
      </c>
      <c r="AN164" s="130">
        <f t="shared" si="101"/>
        <v>0</v>
      </c>
      <c r="AO164" s="130">
        <f t="shared" si="115"/>
        <v>0</v>
      </c>
      <c r="AP164" s="130">
        <f t="shared" si="115"/>
        <v>0</v>
      </c>
      <c r="AQ164" s="130">
        <f t="shared" si="115"/>
        <v>0</v>
      </c>
      <c r="AR164" s="130">
        <f t="shared" si="115"/>
        <v>0</v>
      </c>
      <c r="AS164" s="130">
        <f t="shared" si="115"/>
        <v>0</v>
      </c>
      <c r="AT164" s="130">
        <f t="shared" si="115"/>
        <v>0</v>
      </c>
      <c r="AU164" s="130">
        <f t="shared" si="115"/>
        <v>0</v>
      </c>
      <c r="AV164" s="130">
        <f t="shared" si="115"/>
        <v>0</v>
      </c>
      <c r="AW164" s="130">
        <f t="shared" si="115"/>
        <v>0</v>
      </c>
      <c r="AX164" s="130">
        <f t="shared" si="115"/>
        <v>0</v>
      </c>
      <c r="AY164" s="130">
        <f t="shared" si="115"/>
        <v>0</v>
      </c>
      <c r="AZ164" s="130">
        <f t="shared" si="115"/>
        <v>0</v>
      </c>
      <c r="BA164" s="130">
        <f t="shared" si="115"/>
        <v>0</v>
      </c>
      <c r="BB164" s="130">
        <f t="shared" si="111"/>
        <v>0</v>
      </c>
      <c r="BC164" s="130">
        <f t="shared" si="111"/>
        <v>0</v>
      </c>
      <c r="BD164" s="130">
        <f t="shared" si="111"/>
        <v>0</v>
      </c>
      <c r="BE164" s="130">
        <f t="shared" si="111"/>
        <v>0</v>
      </c>
      <c r="BF164" s="130" t="e">
        <f>+IF($H164=#REF!,$C164,0)-IF($I164=#REF!,$C164,0)</f>
        <v>#REF!</v>
      </c>
      <c r="BG164" s="130" t="e">
        <f>+IF($H164=#REF!,$C164,0)-IF($I164=#REF!,$C164,0)</f>
        <v>#REF!</v>
      </c>
      <c r="BH164" s="130" t="e">
        <f>+IF($H164=#REF!,$C164,0)-IF($I164=#REF!,$C164,0)</f>
        <v>#REF!</v>
      </c>
      <c r="BI164" s="130">
        <f t="shared" si="116"/>
        <v>0</v>
      </c>
      <c r="BJ164" s="130">
        <f t="shared" si="116"/>
        <v>0</v>
      </c>
      <c r="BK164" s="130">
        <f t="shared" si="116"/>
        <v>0</v>
      </c>
      <c r="BL164" s="130">
        <f t="shared" si="116"/>
        <v>0</v>
      </c>
      <c r="BM164" s="130">
        <f t="shared" si="116"/>
        <v>0</v>
      </c>
      <c r="BN164" s="130">
        <f t="shared" si="116"/>
        <v>0</v>
      </c>
      <c r="BO164" s="130">
        <f t="shared" si="116"/>
        <v>0</v>
      </c>
      <c r="BP164" s="130">
        <f t="shared" si="116"/>
        <v>0</v>
      </c>
      <c r="BQ164" s="130">
        <f t="shared" si="116"/>
        <v>0</v>
      </c>
      <c r="BR164" s="130" t="e">
        <f t="shared" si="102"/>
        <v>#REF!</v>
      </c>
    </row>
    <row r="165" spans="2:70" s="119" customFormat="1" x14ac:dyDescent="0.2">
      <c r="B165" s="128"/>
      <c r="C165" s="129"/>
      <c r="D165" s="129"/>
      <c r="E165" s="129" t="e">
        <f>ROUND(IF(D165=#REF!,0,IF($H165=$S$6,(C165/1.14975*0.05*0.5),C165/1.14975*0.05)),2)</f>
        <v>#REF!</v>
      </c>
      <c r="F165" s="129" t="e">
        <f>ROUND(IF(D165=#REF!,0,IF($H165=$S$6,C165/1.14975*0.09975*0.5,C165/1.14975*0.09975)),2)</f>
        <v>#REF!</v>
      </c>
      <c r="G165" s="129" t="e">
        <f t="shared" si="96"/>
        <v>#REF!</v>
      </c>
      <c r="J165" s="130">
        <f t="shared" si="97"/>
        <v>0</v>
      </c>
      <c r="K165" s="130">
        <f t="shared" si="113"/>
        <v>0</v>
      </c>
      <c r="L165" s="130">
        <f t="shared" si="113"/>
        <v>0</v>
      </c>
      <c r="M165" s="130">
        <f t="shared" si="113"/>
        <v>0</v>
      </c>
      <c r="N165" s="130">
        <f t="shared" si="113"/>
        <v>0</v>
      </c>
      <c r="O165" s="130">
        <f t="shared" si="113"/>
        <v>0</v>
      </c>
      <c r="P165" s="130">
        <f t="shared" si="113"/>
        <v>0</v>
      </c>
      <c r="Q165" s="130">
        <f t="shared" si="113"/>
        <v>0</v>
      </c>
      <c r="R165" s="130">
        <f t="shared" si="113"/>
        <v>0</v>
      </c>
      <c r="S165" s="130">
        <f t="shared" si="113"/>
        <v>0</v>
      </c>
      <c r="T165" s="130">
        <f t="shared" si="113"/>
        <v>0</v>
      </c>
      <c r="U165" s="130">
        <f t="shared" si="114"/>
        <v>0</v>
      </c>
      <c r="V165" s="130">
        <f t="shared" si="114"/>
        <v>0</v>
      </c>
      <c r="W165" s="130">
        <f t="shared" si="114"/>
        <v>0</v>
      </c>
      <c r="X165" s="130">
        <f t="shared" si="114"/>
        <v>0</v>
      </c>
      <c r="Y165" s="130">
        <f t="shared" si="114"/>
        <v>0</v>
      </c>
      <c r="Z165" s="130">
        <f t="shared" si="114"/>
        <v>0</v>
      </c>
      <c r="AA165" s="130">
        <f t="shared" si="114"/>
        <v>0</v>
      </c>
      <c r="AB165" s="130">
        <f t="shared" si="114"/>
        <v>0</v>
      </c>
      <c r="AC165" s="130">
        <f t="shared" si="114"/>
        <v>0</v>
      </c>
      <c r="AD165" s="130">
        <f t="shared" si="114"/>
        <v>0</v>
      </c>
      <c r="AE165" s="130">
        <f t="shared" si="114"/>
        <v>0</v>
      </c>
      <c r="AF165" s="130">
        <f t="shared" si="114"/>
        <v>0</v>
      </c>
      <c r="AG165" s="130">
        <f t="shared" si="114"/>
        <v>0</v>
      </c>
      <c r="AH165" s="130">
        <f t="shared" si="109"/>
        <v>0</v>
      </c>
      <c r="AI165" s="130">
        <f t="shared" si="109"/>
        <v>0</v>
      </c>
      <c r="AJ165" s="130">
        <f t="shared" si="109"/>
        <v>0</v>
      </c>
      <c r="AK165" s="130">
        <f t="shared" si="98"/>
        <v>0</v>
      </c>
      <c r="AL165" s="130">
        <f t="shared" si="99"/>
        <v>0</v>
      </c>
      <c r="AM165" s="130">
        <f t="shared" si="100"/>
        <v>0</v>
      </c>
      <c r="AN165" s="130">
        <f t="shared" si="101"/>
        <v>0</v>
      </c>
      <c r="AO165" s="130">
        <f t="shared" si="115"/>
        <v>0</v>
      </c>
      <c r="AP165" s="130">
        <f t="shared" si="115"/>
        <v>0</v>
      </c>
      <c r="AQ165" s="130">
        <f t="shared" si="115"/>
        <v>0</v>
      </c>
      <c r="AR165" s="130">
        <f t="shared" si="115"/>
        <v>0</v>
      </c>
      <c r="AS165" s="130">
        <f t="shared" si="115"/>
        <v>0</v>
      </c>
      <c r="AT165" s="130">
        <f t="shared" si="115"/>
        <v>0</v>
      </c>
      <c r="AU165" s="130">
        <f t="shared" si="115"/>
        <v>0</v>
      </c>
      <c r="AV165" s="130">
        <f t="shared" si="115"/>
        <v>0</v>
      </c>
      <c r="AW165" s="130">
        <f t="shared" si="115"/>
        <v>0</v>
      </c>
      <c r="AX165" s="130">
        <f t="shared" si="115"/>
        <v>0</v>
      </c>
      <c r="AY165" s="130">
        <f t="shared" si="115"/>
        <v>0</v>
      </c>
      <c r="AZ165" s="130">
        <f t="shared" si="115"/>
        <v>0</v>
      </c>
      <c r="BA165" s="130">
        <f t="shared" si="115"/>
        <v>0</v>
      </c>
      <c r="BB165" s="130">
        <f t="shared" si="111"/>
        <v>0</v>
      </c>
      <c r="BC165" s="130">
        <f t="shared" si="111"/>
        <v>0</v>
      </c>
      <c r="BD165" s="130">
        <f t="shared" si="111"/>
        <v>0</v>
      </c>
      <c r="BE165" s="130">
        <f t="shared" si="111"/>
        <v>0</v>
      </c>
      <c r="BF165" s="130" t="e">
        <f>+IF($H165=#REF!,$C165,0)-IF($I165=#REF!,$C165,0)</f>
        <v>#REF!</v>
      </c>
      <c r="BG165" s="130" t="e">
        <f>+IF($H165=#REF!,$C165,0)-IF($I165=#REF!,$C165,0)</f>
        <v>#REF!</v>
      </c>
      <c r="BH165" s="130" t="e">
        <f>+IF($H165=#REF!,$C165,0)-IF($I165=#REF!,$C165,0)</f>
        <v>#REF!</v>
      </c>
      <c r="BI165" s="130">
        <f t="shared" si="116"/>
        <v>0</v>
      </c>
      <c r="BJ165" s="130">
        <f t="shared" si="116"/>
        <v>0</v>
      </c>
      <c r="BK165" s="130">
        <f t="shared" si="116"/>
        <v>0</v>
      </c>
      <c r="BL165" s="130">
        <f t="shared" si="116"/>
        <v>0</v>
      </c>
      <c r="BM165" s="130">
        <f t="shared" si="116"/>
        <v>0</v>
      </c>
      <c r="BN165" s="130">
        <f t="shared" si="116"/>
        <v>0</v>
      </c>
      <c r="BO165" s="130">
        <f t="shared" si="116"/>
        <v>0</v>
      </c>
      <c r="BP165" s="130">
        <f t="shared" si="116"/>
        <v>0</v>
      </c>
      <c r="BQ165" s="130">
        <f t="shared" si="116"/>
        <v>0</v>
      </c>
      <c r="BR165" s="130" t="e">
        <f t="shared" si="102"/>
        <v>#REF!</v>
      </c>
    </row>
    <row r="166" spans="2:70" s="119" customFormat="1" x14ac:dyDescent="0.2">
      <c r="B166" s="128"/>
      <c r="C166" s="129"/>
      <c r="D166" s="129"/>
      <c r="E166" s="129" t="e">
        <f>ROUND(IF(D166=#REF!,0,IF($H166=$S$6,(C166/1.14975*0.05*0.5),C166/1.14975*0.05)),2)</f>
        <v>#REF!</v>
      </c>
      <c r="F166" s="129" t="e">
        <f>ROUND(IF(D166=#REF!,0,IF($H166=$S$6,C166/1.14975*0.09975*0.5,C166/1.14975*0.09975)),2)</f>
        <v>#REF!</v>
      </c>
      <c r="G166" s="129" t="e">
        <f t="shared" si="96"/>
        <v>#REF!</v>
      </c>
      <c r="J166" s="130">
        <f t="shared" si="97"/>
        <v>0</v>
      </c>
      <c r="K166" s="130">
        <f t="shared" si="113"/>
        <v>0</v>
      </c>
      <c r="L166" s="130">
        <f t="shared" si="113"/>
        <v>0</v>
      </c>
      <c r="M166" s="130">
        <f t="shared" si="113"/>
        <v>0</v>
      </c>
      <c r="N166" s="130">
        <f t="shared" si="113"/>
        <v>0</v>
      </c>
      <c r="O166" s="130">
        <f t="shared" si="113"/>
        <v>0</v>
      </c>
      <c r="P166" s="130">
        <f t="shared" si="113"/>
        <v>0</v>
      </c>
      <c r="Q166" s="130">
        <f t="shared" si="113"/>
        <v>0</v>
      </c>
      <c r="R166" s="130">
        <f t="shared" si="113"/>
        <v>0</v>
      </c>
      <c r="S166" s="130">
        <f t="shared" si="113"/>
        <v>0</v>
      </c>
      <c r="T166" s="130">
        <f t="shared" si="113"/>
        <v>0</v>
      </c>
      <c r="U166" s="130">
        <f t="shared" si="114"/>
        <v>0</v>
      </c>
      <c r="V166" s="130">
        <f t="shared" si="114"/>
        <v>0</v>
      </c>
      <c r="W166" s="130">
        <f t="shared" si="114"/>
        <v>0</v>
      </c>
      <c r="X166" s="130">
        <f t="shared" si="114"/>
        <v>0</v>
      </c>
      <c r="Y166" s="130">
        <f t="shared" si="114"/>
        <v>0</v>
      </c>
      <c r="Z166" s="130">
        <f t="shared" si="114"/>
        <v>0</v>
      </c>
      <c r="AA166" s="130">
        <f t="shared" si="114"/>
        <v>0</v>
      </c>
      <c r="AB166" s="130">
        <f t="shared" si="114"/>
        <v>0</v>
      </c>
      <c r="AC166" s="130">
        <f t="shared" si="114"/>
        <v>0</v>
      </c>
      <c r="AD166" s="130">
        <f t="shared" si="114"/>
        <v>0</v>
      </c>
      <c r="AE166" s="130">
        <f t="shared" si="114"/>
        <v>0</v>
      </c>
      <c r="AF166" s="130">
        <f t="shared" si="114"/>
        <v>0</v>
      </c>
      <c r="AG166" s="130">
        <f t="shared" si="114"/>
        <v>0</v>
      </c>
      <c r="AH166" s="130">
        <f t="shared" si="109"/>
        <v>0</v>
      </c>
      <c r="AI166" s="130">
        <f t="shared" si="109"/>
        <v>0</v>
      </c>
      <c r="AJ166" s="130">
        <f t="shared" si="109"/>
        <v>0</v>
      </c>
      <c r="AK166" s="130">
        <f t="shared" si="98"/>
        <v>0</v>
      </c>
      <c r="AL166" s="130">
        <f t="shared" si="99"/>
        <v>0</v>
      </c>
      <c r="AM166" s="130">
        <f t="shared" si="100"/>
        <v>0</v>
      </c>
      <c r="AN166" s="130">
        <f t="shared" si="101"/>
        <v>0</v>
      </c>
      <c r="AO166" s="130">
        <f t="shared" si="115"/>
        <v>0</v>
      </c>
      <c r="AP166" s="130">
        <f t="shared" si="115"/>
        <v>0</v>
      </c>
      <c r="AQ166" s="130">
        <f t="shared" si="115"/>
        <v>0</v>
      </c>
      <c r="AR166" s="130">
        <f t="shared" si="115"/>
        <v>0</v>
      </c>
      <c r="AS166" s="130">
        <f t="shared" si="115"/>
        <v>0</v>
      </c>
      <c r="AT166" s="130">
        <f t="shared" si="115"/>
        <v>0</v>
      </c>
      <c r="AU166" s="130">
        <f t="shared" si="115"/>
        <v>0</v>
      </c>
      <c r="AV166" s="130">
        <f t="shared" si="115"/>
        <v>0</v>
      </c>
      <c r="AW166" s="130">
        <f t="shared" si="115"/>
        <v>0</v>
      </c>
      <c r="AX166" s="130">
        <f t="shared" si="115"/>
        <v>0</v>
      </c>
      <c r="AY166" s="130">
        <f t="shared" si="115"/>
        <v>0</v>
      </c>
      <c r="AZ166" s="130">
        <f t="shared" si="115"/>
        <v>0</v>
      </c>
      <c r="BA166" s="130">
        <f t="shared" si="115"/>
        <v>0</v>
      </c>
      <c r="BB166" s="130">
        <f t="shared" si="111"/>
        <v>0</v>
      </c>
      <c r="BC166" s="130">
        <f t="shared" si="111"/>
        <v>0</v>
      </c>
      <c r="BD166" s="130">
        <f t="shared" si="111"/>
        <v>0</v>
      </c>
      <c r="BE166" s="130">
        <f t="shared" si="111"/>
        <v>0</v>
      </c>
      <c r="BF166" s="130" t="e">
        <f>+IF($H166=#REF!,$C166,0)-IF($I166=#REF!,$C166,0)</f>
        <v>#REF!</v>
      </c>
      <c r="BG166" s="130" t="e">
        <f>+IF($H166=#REF!,$C166,0)-IF($I166=#REF!,$C166,0)</f>
        <v>#REF!</v>
      </c>
      <c r="BH166" s="130" t="e">
        <f>+IF($H166=#REF!,$C166,0)-IF($I166=#REF!,$C166,0)</f>
        <v>#REF!</v>
      </c>
      <c r="BI166" s="130">
        <f t="shared" si="116"/>
        <v>0</v>
      </c>
      <c r="BJ166" s="130">
        <f t="shared" si="116"/>
        <v>0</v>
      </c>
      <c r="BK166" s="130">
        <f t="shared" si="116"/>
        <v>0</v>
      </c>
      <c r="BL166" s="130">
        <f t="shared" si="116"/>
        <v>0</v>
      </c>
      <c r="BM166" s="130">
        <f t="shared" si="116"/>
        <v>0</v>
      </c>
      <c r="BN166" s="130">
        <f t="shared" si="116"/>
        <v>0</v>
      </c>
      <c r="BO166" s="130">
        <f t="shared" si="116"/>
        <v>0</v>
      </c>
      <c r="BP166" s="130">
        <f t="shared" si="116"/>
        <v>0</v>
      </c>
      <c r="BQ166" s="130">
        <f t="shared" si="116"/>
        <v>0</v>
      </c>
      <c r="BR166" s="130" t="e">
        <f t="shared" si="102"/>
        <v>#REF!</v>
      </c>
    </row>
    <row r="167" spans="2:70" s="119" customFormat="1" x14ac:dyDescent="0.2">
      <c r="B167" s="128"/>
      <c r="C167" s="129"/>
      <c r="D167" s="129"/>
      <c r="E167" s="129" t="e">
        <f>ROUND(IF(D167=#REF!,0,IF($H167=$S$6,(C167/1.14975*0.05*0.5),C167/1.14975*0.05)),2)</f>
        <v>#REF!</v>
      </c>
      <c r="F167" s="129" t="e">
        <f>ROUND(IF(D167=#REF!,0,IF($H167=$S$6,C167/1.14975*0.09975*0.5,C167/1.14975*0.09975)),2)</f>
        <v>#REF!</v>
      </c>
      <c r="G167" s="129" t="e">
        <f t="shared" si="96"/>
        <v>#REF!</v>
      </c>
      <c r="J167" s="130">
        <f t="shared" si="97"/>
        <v>0</v>
      </c>
      <c r="K167" s="130">
        <f t="shared" si="113"/>
        <v>0</v>
      </c>
      <c r="L167" s="130">
        <f t="shared" si="113"/>
        <v>0</v>
      </c>
      <c r="M167" s="130">
        <f t="shared" si="113"/>
        <v>0</v>
      </c>
      <c r="N167" s="130">
        <f t="shared" si="113"/>
        <v>0</v>
      </c>
      <c r="O167" s="130">
        <f t="shared" si="113"/>
        <v>0</v>
      </c>
      <c r="P167" s="130">
        <f t="shared" si="113"/>
        <v>0</v>
      </c>
      <c r="Q167" s="130">
        <f t="shared" si="113"/>
        <v>0</v>
      </c>
      <c r="R167" s="130">
        <f t="shared" si="113"/>
        <v>0</v>
      </c>
      <c r="S167" s="130">
        <f t="shared" si="113"/>
        <v>0</v>
      </c>
      <c r="T167" s="130">
        <f t="shared" si="113"/>
        <v>0</v>
      </c>
      <c r="U167" s="130">
        <f t="shared" si="114"/>
        <v>0</v>
      </c>
      <c r="V167" s="130">
        <f t="shared" si="114"/>
        <v>0</v>
      </c>
      <c r="W167" s="130">
        <f t="shared" si="114"/>
        <v>0</v>
      </c>
      <c r="X167" s="130">
        <f t="shared" si="114"/>
        <v>0</v>
      </c>
      <c r="Y167" s="130">
        <f t="shared" si="114"/>
        <v>0</v>
      </c>
      <c r="Z167" s="130">
        <f t="shared" si="114"/>
        <v>0</v>
      </c>
      <c r="AA167" s="130">
        <f t="shared" si="114"/>
        <v>0</v>
      </c>
      <c r="AB167" s="130">
        <f t="shared" si="114"/>
        <v>0</v>
      </c>
      <c r="AC167" s="130">
        <f t="shared" si="114"/>
        <v>0</v>
      </c>
      <c r="AD167" s="130">
        <f t="shared" si="114"/>
        <v>0</v>
      </c>
      <c r="AE167" s="130">
        <f t="shared" si="114"/>
        <v>0</v>
      </c>
      <c r="AF167" s="130">
        <f t="shared" si="114"/>
        <v>0</v>
      </c>
      <c r="AG167" s="130">
        <f t="shared" si="114"/>
        <v>0</v>
      </c>
      <c r="AH167" s="130">
        <f t="shared" si="109"/>
        <v>0</v>
      </c>
      <c r="AI167" s="130">
        <f t="shared" si="109"/>
        <v>0</v>
      </c>
      <c r="AJ167" s="130">
        <f t="shared" si="109"/>
        <v>0</v>
      </c>
      <c r="AK167" s="130">
        <f t="shared" si="98"/>
        <v>0</v>
      </c>
      <c r="AL167" s="130">
        <f t="shared" si="99"/>
        <v>0</v>
      </c>
      <c r="AM167" s="130">
        <f t="shared" si="100"/>
        <v>0</v>
      </c>
      <c r="AN167" s="130">
        <f t="shared" si="101"/>
        <v>0</v>
      </c>
      <c r="AO167" s="130">
        <f t="shared" si="115"/>
        <v>0</v>
      </c>
      <c r="AP167" s="130">
        <f t="shared" si="115"/>
        <v>0</v>
      </c>
      <c r="AQ167" s="130">
        <f t="shared" si="115"/>
        <v>0</v>
      </c>
      <c r="AR167" s="130">
        <f t="shared" si="115"/>
        <v>0</v>
      </c>
      <c r="AS167" s="130">
        <f t="shared" si="115"/>
        <v>0</v>
      </c>
      <c r="AT167" s="130">
        <f t="shared" si="115"/>
        <v>0</v>
      </c>
      <c r="AU167" s="130">
        <f t="shared" si="115"/>
        <v>0</v>
      </c>
      <c r="AV167" s="130">
        <f t="shared" si="115"/>
        <v>0</v>
      </c>
      <c r="AW167" s="130">
        <f t="shared" si="115"/>
        <v>0</v>
      </c>
      <c r="AX167" s="130">
        <f t="shared" si="115"/>
        <v>0</v>
      </c>
      <c r="AY167" s="130">
        <f t="shared" si="115"/>
        <v>0</v>
      </c>
      <c r="AZ167" s="130">
        <f t="shared" si="115"/>
        <v>0</v>
      </c>
      <c r="BA167" s="130">
        <f t="shared" si="115"/>
        <v>0</v>
      </c>
      <c r="BB167" s="130">
        <f t="shared" si="111"/>
        <v>0</v>
      </c>
      <c r="BC167" s="130">
        <f t="shared" si="111"/>
        <v>0</v>
      </c>
      <c r="BD167" s="130">
        <f t="shared" si="111"/>
        <v>0</v>
      </c>
      <c r="BE167" s="130">
        <f t="shared" si="111"/>
        <v>0</v>
      </c>
      <c r="BF167" s="130" t="e">
        <f>+IF($H167=#REF!,$C167,0)-IF($I167=#REF!,$C167,0)</f>
        <v>#REF!</v>
      </c>
      <c r="BG167" s="130" t="e">
        <f>+IF($H167=#REF!,$C167,0)-IF($I167=#REF!,$C167,0)</f>
        <v>#REF!</v>
      </c>
      <c r="BH167" s="130" t="e">
        <f>+IF($H167=#REF!,$C167,0)-IF($I167=#REF!,$C167,0)</f>
        <v>#REF!</v>
      </c>
      <c r="BI167" s="130">
        <f t="shared" si="116"/>
        <v>0</v>
      </c>
      <c r="BJ167" s="130">
        <f t="shared" si="116"/>
        <v>0</v>
      </c>
      <c r="BK167" s="130">
        <f t="shared" si="116"/>
        <v>0</v>
      </c>
      <c r="BL167" s="130">
        <f t="shared" si="116"/>
        <v>0</v>
      </c>
      <c r="BM167" s="130">
        <f t="shared" si="116"/>
        <v>0</v>
      </c>
      <c r="BN167" s="130">
        <f t="shared" si="116"/>
        <v>0</v>
      </c>
      <c r="BO167" s="130">
        <f t="shared" si="116"/>
        <v>0</v>
      </c>
      <c r="BP167" s="130">
        <f t="shared" si="116"/>
        <v>0</v>
      </c>
      <c r="BQ167" s="130">
        <f t="shared" si="116"/>
        <v>0</v>
      </c>
      <c r="BR167" s="130" t="e">
        <f t="shared" si="102"/>
        <v>#REF!</v>
      </c>
    </row>
    <row r="168" spans="2:70" s="119" customFormat="1" x14ac:dyDescent="0.2">
      <c r="B168" s="128"/>
      <c r="C168" s="129"/>
      <c r="D168" s="129"/>
      <c r="E168" s="129" t="e">
        <f>ROUND(IF(D168=#REF!,0,IF($H168=$S$6,(C168/1.14975*0.05*0.5),C168/1.14975*0.05)),2)</f>
        <v>#REF!</v>
      </c>
      <c r="F168" s="129" t="e">
        <f>ROUND(IF(D168=#REF!,0,IF($H168=$S$6,C168/1.14975*0.09975*0.5,C168/1.14975*0.09975)),2)</f>
        <v>#REF!</v>
      </c>
      <c r="G168" s="129" t="e">
        <f t="shared" si="96"/>
        <v>#REF!</v>
      </c>
      <c r="J168" s="130">
        <f t="shared" si="97"/>
        <v>0</v>
      </c>
      <c r="K168" s="130">
        <f t="shared" si="113"/>
        <v>0</v>
      </c>
      <c r="L168" s="130">
        <f t="shared" si="113"/>
        <v>0</v>
      </c>
      <c r="M168" s="130">
        <f t="shared" si="113"/>
        <v>0</v>
      </c>
      <c r="N168" s="130">
        <f t="shared" si="113"/>
        <v>0</v>
      </c>
      <c r="O168" s="130">
        <f t="shared" si="113"/>
        <v>0</v>
      </c>
      <c r="P168" s="130">
        <f t="shared" si="113"/>
        <v>0</v>
      </c>
      <c r="Q168" s="130">
        <f t="shared" si="113"/>
        <v>0</v>
      </c>
      <c r="R168" s="130">
        <f t="shared" si="113"/>
        <v>0</v>
      </c>
      <c r="S168" s="130">
        <f t="shared" si="113"/>
        <v>0</v>
      </c>
      <c r="T168" s="130">
        <f t="shared" si="113"/>
        <v>0</v>
      </c>
      <c r="U168" s="130">
        <f t="shared" si="114"/>
        <v>0</v>
      </c>
      <c r="V168" s="130">
        <f t="shared" si="114"/>
        <v>0</v>
      </c>
      <c r="W168" s="130">
        <f t="shared" si="114"/>
        <v>0</v>
      </c>
      <c r="X168" s="130">
        <f t="shared" si="114"/>
        <v>0</v>
      </c>
      <c r="Y168" s="130">
        <f t="shared" si="114"/>
        <v>0</v>
      </c>
      <c r="Z168" s="130">
        <f t="shared" si="114"/>
        <v>0</v>
      </c>
      <c r="AA168" s="130">
        <f t="shared" si="114"/>
        <v>0</v>
      </c>
      <c r="AB168" s="130">
        <f t="shared" si="114"/>
        <v>0</v>
      </c>
      <c r="AC168" s="130">
        <f t="shared" si="114"/>
        <v>0</v>
      </c>
      <c r="AD168" s="130">
        <f t="shared" si="114"/>
        <v>0</v>
      </c>
      <c r="AE168" s="130">
        <f t="shared" si="114"/>
        <v>0</v>
      </c>
      <c r="AF168" s="130">
        <f t="shared" si="114"/>
        <v>0</v>
      </c>
      <c r="AG168" s="130">
        <f t="shared" si="114"/>
        <v>0</v>
      </c>
      <c r="AH168" s="130">
        <f t="shared" si="109"/>
        <v>0</v>
      </c>
      <c r="AI168" s="130">
        <f t="shared" si="109"/>
        <v>0</v>
      </c>
      <c r="AJ168" s="130">
        <f t="shared" si="109"/>
        <v>0</v>
      </c>
      <c r="AK168" s="130">
        <f t="shared" si="98"/>
        <v>0</v>
      </c>
      <c r="AL168" s="130">
        <f t="shared" si="99"/>
        <v>0</v>
      </c>
      <c r="AM168" s="130">
        <f t="shared" si="100"/>
        <v>0</v>
      </c>
      <c r="AN168" s="130">
        <f t="shared" si="101"/>
        <v>0</v>
      </c>
      <c r="AO168" s="130">
        <f t="shared" si="115"/>
        <v>0</v>
      </c>
      <c r="AP168" s="130">
        <f t="shared" si="115"/>
        <v>0</v>
      </c>
      <c r="AQ168" s="130">
        <f t="shared" si="115"/>
        <v>0</v>
      </c>
      <c r="AR168" s="130">
        <f t="shared" si="115"/>
        <v>0</v>
      </c>
      <c r="AS168" s="130">
        <f t="shared" si="115"/>
        <v>0</v>
      </c>
      <c r="AT168" s="130">
        <f t="shared" si="115"/>
        <v>0</v>
      </c>
      <c r="AU168" s="130">
        <f t="shared" si="115"/>
        <v>0</v>
      </c>
      <c r="AV168" s="130">
        <f t="shared" si="115"/>
        <v>0</v>
      </c>
      <c r="AW168" s="130">
        <f t="shared" si="115"/>
        <v>0</v>
      </c>
      <c r="AX168" s="130">
        <f t="shared" si="115"/>
        <v>0</v>
      </c>
      <c r="AY168" s="130">
        <f t="shared" si="115"/>
        <v>0</v>
      </c>
      <c r="AZ168" s="130">
        <f t="shared" si="115"/>
        <v>0</v>
      </c>
      <c r="BA168" s="130">
        <f t="shared" si="115"/>
        <v>0</v>
      </c>
      <c r="BB168" s="130">
        <f t="shared" si="111"/>
        <v>0</v>
      </c>
      <c r="BC168" s="130">
        <f t="shared" si="111"/>
        <v>0</v>
      </c>
      <c r="BD168" s="130">
        <f t="shared" si="111"/>
        <v>0</v>
      </c>
      <c r="BE168" s="130">
        <f t="shared" si="111"/>
        <v>0</v>
      </c>
      <c r="BF168" s="130" t="e">
        <f>+IF($H168=#REF!,$C168,0)-IF($I168=#REF!,$C168,0)</f>
        <v>#REF!</v>
      </c>
      <c r="BG168" s="130" t="e">
        <f>+IF($H168=#REF!,$C168,0)-IF($I168=#REF!,$C168,0)</f>
        <v>#REF!</v>
      </c>
      <c r="BH168" s="130" t="e">
        <f>+IF($H168=#REF!,$C168,0)-IF($I168=#REF!,$C168,0)</f>
        <v>#REF!</v>
      </c>
      <c r="BI168" s="130">
        <f t="shared" si="116"/>
        <v>0</v>
      </c>
      <c r="BJ168" s="130">
        <f t="shared" si="116"/>
        <v>0</v>
      </c>
      <c r="BK168" s="130">
        <f t="shared" si="116"/>
        <v>0</v>
      </c>
      <c r="BL168" s="130">
        <f t="shared" si="116"/>
        <v>0</v>
      </c>
      <c r="BM168" s="130">
        <f t="shared" si="116"/>
        <v>0</v>
      </c>
      <c r="BN168" s="130">
        <f t="shared" si="116"/>
        <v>0</v>
      </c>
      <c r="BO168" s="130">
        <f t="shared" si="116"/>
        <v>0</v>
      </c>
      <c r="BP168" s="130">
        <f t="shared" si="116"/>
        <v>0</v>
      </c>
      <c r="BQ168" s="130">
        <f t="shared" si="116"/>
        <v>0</v>
      </c>
      <c r="BR168" s="130" t="e">
        <f t="shared" si="102"/>
        <v>#REF!</v>
      </c>
    </row>
    <row r="169" spans="2:70" s="119" customFormat="1" x14ac:dyDescent="0.2">
      <c r="B169" s="128"/>
      <c r="C169" s="129"/>
      <c r="D169" s="129"/>
      <c r="E169" s="129" t="e">
        <f>ROUND(IF(D169=#REF!,0,IF($H169=$S$6,(C169/1.14975*0.05*0.5),C169/1.14975*0.05)),2)</f>
        <v>#REF!</v>
      </c>
      <c r="F169" s="129" t="e">
        <f>ROUND(IF(D169=#REF!,0,IF($H169=$S$6,C169/1.14975*0.09975*0.5,C169/1.14975*0.09975)),2)</f>
        <v>#REF!</v>
      </c>
      <c r="G169" s="129" t="e">
        <f t="shared" ref="G169:G183" si="117">C169-E169-F169</f>
        <v>#REF!</v>
      </c>
      <c r="J169" s="130">
        <f t="shared" ref="J169:J183" si="118">+IF($H169=$J$6,$G169,0)-IF($I169=$J$6,$G169,0)</f>
        <v>0</v>
      </c>
      <c r="K169" s="130">
        <f t="shared" ref="K169:T183" si="119">+IF($H169=K$6,$G169,0)-IF($I169=K$6,$G169,0)</f>
        <v>0</v>
      </c>
      <c r="L169" s="130">
        <f t="shared" si="119"/>
        <v>0</v>
      </c>
      <c r="M169" s="130">
        <f t="shared" si="119"/>
        <v>0</v>
      </c>
      <c r="N169" s="130">
        <f t="shared" si="119"/>
        <v>0</v>
      </c>
      <c r="O169" s="130">
        <f t="shared" si="119"/>
        <v>0</v>
      </c>
      <c r="P169" s="130">
        <f t="shared" si="119"/>
        <v>0</v>
      </c>
      <c r="Q169" s="130">
        <f t="shared" si="119"/>
        <v>0</v>
      </c>
      <c r="R169" s="130">
        <f t="shared" si="119"/>
        <v>0</v>
      </c>
      <c r="S169" s="130">
        <f t="shared" si="119"/>
        <v>0</v>
      </c>
      <c r="T169" s="130">
        <f t="shared" si="119"/>
        <v>0</v>
      </c>
      <c r="U169" s="130">
        <f t="shared" ref="U169:AG183" si="120">+IF($H169=U$6,$G169,0)-IF($I169=U$6,$G169,0)</f>
        <v>0</v>
      </c>
      <c r="V169" s="130">
        <f t="shared" si="120"/>
        <v>0</v>
      </c>
      <c r="W169" s="130">
        <f t="shared" si="120"/>
        <v>0</v>
      </c>
      <c r="X169" s="130">
        <f t="shared" si="120"/>
        <v>0</v>
      </c>
      <c r="Y169" s="130">
        <f t="shared" si="120"/>
        <v>0</v>
      </c>
      <c r="Z169" s="130">
        <f t="shared" si="120"/>
        <v>0</v>
      </c>
      <c r="AA169" s="130">
        <f t="shared" si="120"/>
        <v>0</v>
      </c>
      <c r="AB169" s="130">
        <f t="shared" si="120"/>
        <v>0</v>
      </c>
      <c r="AC169" s="130">
        <f t="shared" si="120"/>
        <v>0</v>
      </c>
      <c r="AD169" s="130">
        <f t="shared" si="120"/>
        <v>0</v>
      </c>
      <c r="AE169" s="130">
        <f t="shared" si="120"/>
        <v>0</v>
      </c>
      <c r="AF169" s="130">
        <f t="shared" si="120"/>
        <v>0</v>
      </c>
      <c r="AG169" s="130">
        <f t="shared" si="120"/>
        <v>0</v>
      </c>
      <c r="AH169" s="130">
        <f t="shared" ref="AH169:AJ183" si="121">+IF($H169=AH$6,$C169,0)-IF($I169=AH$6,$C169,0)</f>
        <v>0</v>
      </c>
      <c r="AI169" s="130">
        <f t="shared" si="121"/>
        <v>0</v>
      </c>
      <c r="AJ169" s="130">
        <f t="shared" si="121"/>
        <v>0</v>
      </c>
      <c r="AK169" s="130">
        <f t="shared" ref="AK169:AK183" si="122">IF(D169="payée",$E169,0)</f>
        <v>0</v>
      </c>
      <c r="AL169" s="130">
        <f t="shared" ref="AL169:AL183" si="123">IF(D169="payée",$F169,0)</f>
        <v>0</v>
      </c>
      <c r="AM169" s="130">
        <f t="shared" ref="AM169:AM183" si="124">IF(D169="perçue",-$E169,0)</f>
        <v>0</v>
      </c>
      <c r="AN169" s="130">
        <f t="shared" ref="AN169:AN183" si="125">IF(D169="perçue",-$F169,0)</f>
        <v>0</v>
      </c>
      <c r="AO169" s="130">
        <f t="shared" ref="AO169:BA183" si="126">+IF($H169=AO$6,$G169,0)-IF($I169=AO$6,$G169,0)</f>
        <v>0</v>
      </c>
      <c r="AP169" s="130">
        <f t="shared" si="126"/>
        <v>0</v>
      </c>
      <c r="AQ169" s="130">
        <f t="shared" si="126"/>
        <v>0</v>
      </c>
      <c r="AR169" s="130">
        <f t="shared" si="126"/>
        <v>0</v>
      </c>
      <c r="AS169" s="130">
        <f t="shared" si="126"/>
        <v>0</v>
      </c>
      <c r="AT169" s="130">
        <f t="shared" si="126"/>
        <v>0</v>
      </c>
      <c r="AU169" s="130">
        <f t="shared" si="126"/>
        <v>0</v>
      </c>
      <c r="AV169" s="130">
        <f t="shared" si="126"/>
        <v>0</v>
      </c>
      <c r="AW169" s="130">
        <f t="shared" si="126"/>
        <v>0</v>
      </c>
      <c r="AX169" s="130">
        <f t="shared" si="126"/>
        <v>0</v>
      </c>
      <c r="AY169" s="130">
        <f t="shared" si="126"/>
        <v>0</v>
      </c>
      <c r="AZ169" s="130">
        <f t="shared" si="126"/>
        <v>0</v>
      </c>
      <c r="BA169" s="130">
        <f t="shared" si="126"/>
        <v>0</v>
      </c>
      <c r="BB169" s="130">
        <f t="shared" ref="BB169:BE183" si="127">+IF($H169=BB$6,$C169,0)-IF($I169=BB$6,$C169,0)</f>
        <v>0</v>
      </c>
      <c r="BC169" s="130">
        <f t="shared" si="127"/>
        <v>0</v>
      </c>
      <c r="BD169" s="130">
        <f t="shared" si="127"/>
        <v>0</v>
      </c>
      <c r="BE169" s="130">
        <f t="shared" si="127"/>
        <v>0</v>
      </c>
      <c r="BF169" s="130" t="e">
        <f>+IF($H169=#REF!,$C169,0)-IF($I169=#REF!,$C169,0)</f>
        <v>#REF!</v>
      </c>
      <c r="BG169" s="130" t="e">
        <f>+IF($H169=#REF!,$C169,0)-IF($I169=#REF!,$C169,0)</f>
        <v>#REF!</v>
      </c>
      <c r="BH169" s="130" t="e">
        <f>+IF($H169=#REF!,$C169,0)-IF($I169=#REF!,$C169,0)</f>
        <v>#REF!</v>
      </c>
      <c r="BI169" s="130">
        <f t="shared" ref="BI169:BQ183" si="128">+IF($H169=BI$6,$G169,0)-IF($I169=BI$6,$G169,0)</f>
        <v>0</v>
      </c>
      <c r="BJ169" s="130">
        <f t="shared" si="128"/>
        <v>0</v>
      </c>
      <c r="BK169" s="130">
        <f t="shared" si="128"/>
        <v>0</v>
      </c>
      <c r="BL169" s="130">
        <f t="shared" si="128"/>
        <v>0</v>
      </c>
      <c r="BM169" s="130">
        <f t="shared" si="128"/>
        <v>0</v>
      </c>
      <c r="BN169" s="130">
        <f t="shared" si="128"/>
        <v>0</v>
      </c>
      <c r="BO169" s="130">
        <f t="shared" si="128"/>
        <v>0</v>
      </c>
      <c r="BP169" s="130">
        <f t="shared" si="128"/>
        <v>0</v>
      </c>
      <c r="BQ169" s="130">
        <f t="shared" si="128"/>
        <v>0</v>
      </c>
      <c r="BR169" s="130" t="e">
        <f t="shared" ref="BR169:BR183" si="129">SUM(J169:BQ169)</f>
        <v>#REF!</v>
      </c>
    </row>
    <row r="170" spans="2:70" s="119" customFormat="1" x14ac:dyDescent="0.2">
      <c r="B170" s="128"/>
      <c r="C170" s="129"/>
      <c r="D170" s="129"/>
      <c r="E170" s="129" t="e">
        <f>ROUND(IF(D170=#REF!,0,IF($H170=$S$6,(C170/1.14975*0.05*0.5),C170/1.14975*0.05)),2)</f>
        <v>#REF!</v>
      </c>
      <c r="F170" s="129" t="e">
        <f>ROUND(IF(D170=#REF!,0,IF($H170=$S$6,C170/1.14975*0.09975*0.5,C170/1.14975*0.09975)),2)</f>
        <v>#REF!</v>
      </c>
      <c r="G170" s="129" t="e">
        <f t="shared" si="117"/>
        <v>#REF!</v>
      </c>
      <c r="J170" s="130">
        <f t="shared" si="118"/>
        <v>0</v>
      </c>
      <c r="K170" s="130">
        <f t="shared" si="119"/>
        <v>0</v>
      </c>
      <c r="L170" s="130">
        <f t="shared" si="119"/>
        <v>0</v>
      </c>
      <c r="M170" s="130">
        <f t="shared" si="119"/>
        <v>0</v>
      </c>
      <c r="N170" s="130">
        <f t="shared" si="119"/>
        <v>0</v>
      </c>
      <c r="O170" s="130">
        <f t="shared" si="119"/>
        <v>0</v>
      </c>
      <c r="P170" s="130">
        <f t="shared" si="119"/>
        <v>0</v>
      </c>
      <c r="Q170" s="130">
        <f t="shared" si="119"/>
        <v>0</v>
      </c>
      <c r="R170" s="130">
        <f t="shared" si="119"/>
        <v>0</v>
      </c>
      <c r="S170" s="130">
        <f t="shared" si="119"/>
        <v>0</v>
      </c>
      <c r="T170" s="130">
        <f t="shared" si="119"/>
        <v>0</v>
      </c>
      <c r="U170" s="130">
        <f t="shared" si="120"/>
        <v>0</v>
      </c>
      <c r="V170" s="130">
        <f t="shared" si="120"/>
        <v>0</v>
      </c>
      <c r="W170" s="130">
        <f t="shared" si="120"/>
        <v>0</v>
      </c>
      <c r="X170" s="130">
        <f t="shared" si="120"/>
        <v>0</v>
      </c>
      <c r="Y170" s="130">
        <f t="shared" si="120"/>
        <v>0</v>
      </c>
      <c r="Z170" s="130">
        <f t="shared" si="120"/>
        <v>0</v>
      </c>
      <c r="AA170" s="130">
        <f t="shared" si="120"/>
        <v>0</v>
      </c>
      <c r="AB170" s="130">
        <f t="shared" si="120"/>
        <v>0</v>
      </c>
      <c r="AC170" s="130">
        <f t="shared" si="120"/>
        <v>0</v>
      </c>
      <c r="AD170" s="130">
        <f t="shared" si="120"/>
        <v>0</v>
      </c>
      <c r="AE170" s="130">
        <f t="shared" si="120"/>
        <v>0</v>
      </c>
      <c r="AF170" s="130">
        <f t="shared" si="120"/>
        <v>0</v>
      </c>
      <c r="AG170" s="130">
        <f t="shared" si="120"/>
        <v>0</v>
      </c>
      <c r="AH170" s="130">
        <f t="shared" si="121"/>
        <v>0</v>
      </c>
      <c r="AI170" s="130">
        <f t="shared" si="121"/>
        <v>0</v>
      </c>
      <c r="AJ170" s="130">
        <f t="shared" si="121"/>
        <v>0</v>
      </c>
      <c r="AK170" s="130">
        <f t="shared" si="122"/>
        <v>0</v>
      </c>
      <c r="AL170" s="130">
        <f t="shared" si="123"/>
        <v>0</v>
      </c>
      <c r="AM170" s="130">
        <f t="shared" si="124"/>
        <v>0</v>
      </c>
      <c r="AN170" s="130">
        <f t="shared" si="125"/>
        <v>0</v>
      </c>
      <c r="AO170" s="130">
        <f t="shared" si="126"/>
        <v>0</v>
      </c>
      <c r="AP170" s="130">
        <f t="shared" si="126"/>
        <v>0</v>
      </c>
      <c r="AQ170" s="130">
        <f t="shared" si="126"/>
        <v>0</v>
      </c>
      <c r="AR170" s="130">
        <f t="shared" si="126"/>
        <v>0</v>
      </c>
      <c r="AS170" s="130">
        <f t="shared" si="126"/>
        <v>0</v>
      </c>
      <c r="AT170" s="130">
        <f t="shared" si="126"/>
        <v>0</v>
      </c>
      <c r="AU170" s="130">
        <f t="shared" si="126"/>
        <v>0</v>
      </c>
      <c r="AV170" s="130">
        <f t="shared" si="126"/>
        <v>0</v>
      </c>
      <c r="AW170" s="130">
        <f t="shared" si="126"/>
        <v>0</v>
      </c>
      <c r="AX170" s="130">
        <f t="shared" si="126"/>
        <v>0</v>
      </c>
      <c r="AY170" s="130">
        <f t="shared" si="126"/>
        <v>0</v>
      </c>
      <c r="AZ170" s="130">
        <f t="shared" si="126"/>
        <v>0</v>
      </c>
      <c r="BA170" s="130">
        <f t="shared" si="126"/>
        <v>0</v>
      </c>
      <c r="BB170" s="130">
        <f t="shared" si="127"/>
        <v>0</v>
      </c>
      <c r="BC170" s="130">
        <f t="shared" si="127"/>
        <v>0</v>
      </c>
      <c r="BD170" s="130">
        <f t="shared" si="127"/>
        <v>0</v>
      </c>
      <c r="BE170" s="130">
        <f t="shared" si="127"/>
        <v>0</v>
      </c>
      <c r="BF170" s="130" t="e">
        <f>+IF($H170=#REF!,$C170,0)-IF($I170=#REF!,$C170,0)</f>
        <v>#REF!</v>
      </c>
      <c r="BG170" s="130" t="e">
        <f>+IF($H170=#REF!,$C170,0)-IF($I170=#REF!,$C170,0)</f>
        <v>#REF!</v>
      </c>
      <c r="BH170" s="130" t="e">
        <f>+IF($H170=#REF!,$C170,0)-IF($I170=#REF!,$C170,0)</f>
        <v>#REF!</v>
      </c>
      <c r="BI170" s="130">
        <f t="shared" si="128"/>
        <v>0</v>
      </c>
      <c r="BJ170" s="130">
        <f t="shared" si="128"/>
        <v>0</v>
      </c>
      <c r="BK170" s="130">
        <f t="shared" si="128"/>
        <v>0</v>
      </c>
      <c r="BL170" s="130">
        <f t="shared" si="128"/>
        <v>0</v>
      </c>
      <c r="BM170" s="130">
        <f t="shared" si="128"/>
        <v>0</v>
      </c>
      <c r="BN170" s="130">
        <f t="shared" si="128"/>
        <v>0</v>
      </c>
      <c r="BO170" s="130">
        <f t="shared" si="128"/>
        <v>0</v>
      </c>
      <c r="BP170" s="130">
        <f t="shared" si="128"/>
        <v>0</v>
      </c>
      <c r="BQ170" s="130">
        <f t="shared" si="128"/>
        <v>0</v>
      </c>
      <c r="BR170" s="130" t="e">
        <f t="shared" si="129"/>
        <v>#REF!</v>
      </c>
    </row>
    <row r="171" spans="2:70" s="119" customFormat="1" x14ac:dyDescent="0.2">
      <c r="B171" s="128"/>
      <c r="C171" s="129"/>
      <c r="D171" s="129"/>
      <c r="E171" s="129" t="e">
        <f>ROUND(IF(D171=#REF!,0,IF($H171=$S$6,(C171/1.14975*0.05*0.5),C171/1.14975*0.05)),2)</f>
        <v>#REF!</v>
      </c>
      <c r="F171" s="129" t="e">
        <f>ROUND(IF(D171=#REF!,0,IF($H171=$S$6,C171/1.14975*0.09975*0.5,C171/1.14975*0.09975)),2)</f>
        <v>#REF!</v>
      </c>
      <c r="G171" s="129" t="e">
        <f t="shared" si="117"/>
        <v>#REF!</v>
      </c>
      <c r="J171" s="130">
        <f t="shared" si="118"/>
        <v>0</v>
      </c>
      <c r="K171" s="130">
        <f t="shared" si="119"/>
        <v>0</v>
      </c>
      <c r="L171" s="130">
        <f t="shared" si="119"/>
        <v>0</v>
      </c>
      <c r="M171" s="130">
        <f t="shared" si="119"/>
        <v>0</v>
      </c>
      <c r="N171" s="130">
        <f t="shared" si="119"/>
        <v>0</v>
      </c>
      <c r="O171" s="130">
        <f t="shared" si="119"/>
        <v>0</v>
      </c>
      <c r="P171" s="130">
        <f t="shared" si="119"/>
        <v>0</v>
      </c>
      <c r="Q171" s="130">
        <f t="shared" si="119"/>
        <v>0</v>
      </c>
      <c r="R171" s="130">
        <f t="shared" si="119"/>
        <v>0</v>
      </c>
      <c r="S171" s="130">
        <f t="shared" si="119"/>
        <v>0</v>
      </c>
      <c r="T171" s="130">
        <f t="shared" si="119"/>
        <v>0</v>
      </c>
      <c r="U171" s="130">
        <f t="shared" si="120"/>
        <v>0</v>
      </c>
      <c r="V171" s="130">
        <f t="shared" si="120"/>
        <v>0</v>
      </c>
      <c r="W171" s="130">
        <f t="shared" si="120"/>
        <v>0</v>
      </c>
      <c r="X171" s="130">
        <f t="shared" si="120"/>
        <v>0</v>
      </c>
      <c r="Y171" s="130">
        <f t="shared" si="120"/>
        <v>0</v>
      </c>
      <c r="Z171" s="130">
        <f t="shared" si="120"/>
        <v>0</v>
      </c>
      <c r="AA171" s="130">
        <f t="shared" si="120"/>
        <v>0</v>
      </c>
      <c r="AB171" s="130">
        <f t="shared" si="120"/>
        <v>0</v>
      </c>
      <c r="AC171" s="130">
        <f t="shared" si="120"/>
        <v>0</v>
      </c>
      <c r="AD171" s="130">
        <f t="shared" si="120"/>
        <v>0</v>
      </c>
      <c r="AE171" s="130">
        <f t="shared" si="120"/>
        <v>0</v>
      </c>
      <c r="AF171" s="130">
        <f t="shared" si="120"/>
        <v>0</v>
      </c>
      <c r="AG171" s="130">
        <f t="shared" si="120"/>
        <v>0</v>
      </c>
      <c r="AH171" s="130">
        <f t="shared" si="121"/>
        <v>0</v>
      </c>
      <c r="AI171" s="130">
        <f t="shared" si="121"/>
        <v>0</v>
      </c>
      <c r="AJ171" s="130">
        <f t="shared" si="121"/>
        <v>0</v>
      </c>
      <c r="AK171" s="130">
        <f t="shared" si="122"/>
        <v>0</v>
      </c>
      <c r="AL171" s="130">
        <f t="shared" si="123"/>
        <v>0</v>
      </c>
      <c r="AM171" s="130">
        <f t="shared" si="124"/>
        <v>0</v>
      </c>
      <c r="AN171" s="130">
        <f t="shared" si="125"/>
        <v>0</v>
      </c>
      <c r="AO171" s="130">
        <f t="shared" si="126"/>
        <v>0</v>
      </c>
      <c r="AP171" s="130">
        <f t="shared" si="126"/>
        <v>0</v>
      </c>
      <c r="AQ171" s="130">
        <f t="shared" si="126"/>
        <v>0</v>
      </c>
      <c r="AR171" s="130">
        <f t="shared" si="126"/>
        <v>0</v>
      </c>
      <c r="AS171" s="130">
        <f t="shared" si="126"/>
        <v>0</v>
      </c>
      <c r="AT171" s="130">
        <f t="shared" si="126"/>
        <v>0</v>
      </c>
      <c r="AU171" s="130">
        <f t="shared" si="126"/>
        <v>0</v>
      </c>
      <c r="AV171" s="130">
        <f t="shared" si="126"/>
        <v>0</v>
      </c>
      <c r="AW171" s="130">
        <f t="shared" si="126"/>
        <v>0</v>
      </c>
      <c r="AX171" s="130">
        <f t="shared" si="126"/>
        <v>0</v>
      </c>
      <c r="AY171" s="130">
        <f t="shared" si="126"/>
        <v>0</v>
      </c>
      <c r="AZ171" s="130">
        <f t="shared" si="126"/>
        <v>0</v>
      </c>
      <c r="BA171" s="130">
        <f t="shared" si="126"/>
        <v>0</v>
      </c>
      <c r="BB171" s="130">
        <f t="shared" si="127"/>
        <v>0</v>
      </c>
      <c r="BC171" s="130">
        <f t="shared" si="127"/>
        <v>0</v>
      </c>
      <c r="BD171" s="130">
        <f t="shared" si="127"/>
        <v>0</v>
      </c>
      <c r="BE171" s="130">
        <f t="shared" si="127"/>
        <v>0</v>
      </c>
      <c r="BF171" s="130" t="e">
        <f>+IF($H171=#REF!,$C171,0)-IF($I171=#REF!,$C171,0)</f>
        <v>#REF!</v>
      </c>
      <c r="BG171" s="130" t="e">
        <f>+IF($H171=#REF!,$C171,0)-IF($I171=#REF!,$C171,0)</f>
        <v>#REF!</v>
      </c>
      <c r="BH171" s="130" t="e">
        <f>+IF($H171=#REF!,$C171,0)-IF($I171=#REF!,$C171,0)</f>
        <v>#REF!</v>
      </c>
      <c r="BI171" s="130">
        <f t="shared" si="128"/>
        <v>0</v>
      </c>
      <c r="BJ171" s="130">
        <f t="shared" si="128"/>
        <v>0</v>
      </c>
      <c r="BK171" s="130">
        <f t="shared" si="128"/>
        <v>0</v>
      </c>
      <c r="BL171" s="130">
        <f t="shared" si="128"/>
        <v>0</v>
      </c>
      <c r="BM171" s="130">
        <f t="shared" si="128"/>
        <v>0</v>
      </c>
      <c r="BN171" s="130">
        <f t="shared" si="128"/>
        <v>0</v>
      </c>
      <c r="BO171" s="130">
        <f t="shared" si="128"/>
        <v>0</v>
      </c>
      <c r="BP171" s="130">
        <f t="shared" si="128"/>
        <v>0</v>
      </c>
      <c r="BQ171" s="130">
        <f t="shared" si="128"/>
        <v>0</v>
      </c>
      <c r="BR171" s="130" t="e">
        <f t="shared" si="129"/>
        <v>#REF!</v>
      </c>
    </row>
    <row r="172" spans="2:70" s="119" customFormat="1" x14ac:dyDescent="0.2">
      <c r="B172" s="128"/>
      <c r="C172" s="129"/>
      <c r="D172" s="129"/>
      <c r="E172" s="129" t="e">
        <f>ROUND(IF(D172=#REF!,0,IF($H172=$S$6,(C172/1.14975*0.05*0.5),C172/1.14975*0.05)),2)</f>
        <v>#REF!</v>
      </c>
      <c r="F172" s="129" t="e">
        <f>ROUND(IF(D172=#REF!,0,IF($H172=$S$6,C172/1.14975*0.09975*0.5,C172/1.14975*0.09975)),2)</f>
        <v>#REF!</v>
      </c>
      <c r="G172" s="129" t="e">
        <f t="shared" si="117"/>
        <v>#REF!</v>
      </c>
      <c r="J172" s="130">
        <f t="shared" si="118"/>
        <v>0</v>
      </c>
      <c r="K172" s="130">
        <f t="shared" si="119"/>
        <v>0</v>
      </c>
      <c r="L172" s="130">
        <f t="shared" si="119"/>
        <v>0</v>
      </c>
      <c r="M172" s="130">
        <f t="shared" si="119"/>
        <v>0</v>
      </c>
      <c r="N172" s="130">
        <f t="shared" si="119"/>
        <v>0</v>
      </c>
      <c r="O172" s="130">
        <f t="shared" si="119"/>
        <v>0</v>
      </c>
      <c r="P172" s="130">
        <f t="shared" si="119"/>
        <v>0</v>
      </c>
      <c r="Q172" s="130">
        <f t="shared" si="119"/>
        <v>0</v>
      </c>
      <c r="R172" s="130">
        <f t="shared" si="119"/>
        <v>0</v>
      </c>
      <c r="S172" s="130">
        <f t="shared" si="119"/>
        <v>0</v>
      </c>
      <c r="T172" s="130">
        <f t="shared" si="119"/>
        <v>0</v>
      </c>
      <c r="U172" s="130">
        <f t="shared" si="120"/>
        <v>0</v>
      </c>
      <c r="V172" s="130">
        <f t="shared" si="120"/>
        <v>0</v>
      </c>
      <c r="W172" s="130">
        <f t="shared" si="120"/>
        <v>0</v>
      </c>
      <c r="X172" s="130">
        <f t="shared" si="120"/>
        <v>0</v>
      </c>
      <c r="Y172" s="130">
        <f t="shared" si="120"/>
        <v>0</v>
      </c>
      <c r="Z172" s="130">
        <f t="shared" si="120"/>
        <v>0</v>
      </c>
      <c r="AA172" s="130">
        <f t="shared" si="120"/>
        <v>0</v>
      </c>
      <c r="AB172" s="130">
        <f t="shared" si="120"/>
        <v>0</v>
      </c>
      <c r="AC172" s="130">
        <f t="shared" si="120"/>
        <v>0</v>
      </c>
      <c r="AD172" s="130">
        <f t="shared" si="120"/>
        <v>0</v>
      </c>
      <c r="AE172" s="130">
        <f t="shared" si="120"/>
        <v>0</v>
      </c>
      <c r="AF172" s="130">
        <f t="shared" si="120"/>
        <v>0</v>
      </c>
      <c r="AG172" s="130">
        <f t="shared" si="120"/>
        <v>0</v>
      </c>
      <c r="AH172" s="130">
        <f t="shared" si="121"/>
        <v>0</v>
      </c>
      <c r="AI172" s="130">
        <f t="shared" si="121"/>
        <v>0</v>
      </c>
      <c r="AJ172" s="130">
        <f t="shared" si="121"/>
        <v>0</v>
      </c>
      <c r="AK172" s="130">
        <f t="shared" si="122"/>
        <v>0</v>
      </c>
      <c r="AL172" s="130">
        <f t="shared" si="123"/>
        <v>0</v>
      </c>
      <c r="AM172" s="130">
        <f t="shared" si="124"/>
        <v>0</v>
      </c>
      <c r="AN172" s="130">
        <f t="shared" si="125"/>
        <v>0</v>
      </c>
      <c r="AO172" s="130">
        <f t="shared" si="126"/>
        <v>0</v>
      </c>
      <c r="AP172" s="130">
        <f t="shared" si="126"/>
        <v>0</v>
      </c>
      <c r="AQ172" s="130">
        <f t="shared" si="126"/>
        <v>0</v>
      </c>
      <c r="AR172" s="130">
        <f t="shared" si="126"/>
        <v>0</v>
      </c>
      <c r="AS172" s="130">
        <f t="shared" si="126"/>
        <v>0</v>
      </c>
      <c r="AT172" s="130">
        <f t="shared" si="126"/>
        <v>0</v>
      </c>
      <c r="AU172" s="130">
        <f t="shared" si="126"/>
        <v>0</v>
      </c>
      <c r="AV172" s="130">
        <f t="shared" si="126"/>
        <v>0</v>
      </c>
      <c r="AW172" s="130">
        <f t="shared" si="126"/>
        <v>0</v>
      </c>
      <c r="AX172" s="130">
        <f t="shared" si="126"/>
        <v>0</v>
      </c>
      <c r="AY172" s="130">
        <f t="shared" si="126"/>
        <v>0</v>
      </c>
      <c r="AZ172" s="130">
        <f t="shared" si="126"/>
        <v>0</v>
      </c>
      <c r="BA172" s="130">
        <f t="shared" si="126"/>
        <v>0</v>
      </c>
      <c r="BB172" s="130">
        <f t="shared" si="127"/>
        <v>0</v>
      </c>
      <c r="BC172" s="130">
        <f t="shared" si="127"/>
        <v>0</v>
      </c>
      <c r="BD172" s="130">
        <f t="shared" si="127"/>
        <v>0</v>
      </c>
      <c r="BE172" s="130">
        <f t="shared" si="127"/>
        <v>0</v>
      </c>
      <c r="BF172" s="130" t="e">
        <f>+IF($H172=#REF!,$C172,0)-IF($I172=#REF!,$C172,0)</f>
        <v>#REF!</v>
      </c>
      <c r="BG172" s="130" t="e">
        <f>+IF($H172=#REF!,$C172,0)-IF($I172=#REF!,$C172,0)</f>
        <v>#REF!</v>
      </c>
      <c r="BH172" s="130" t="e">
        <f>+IF($H172=#REF!,$C172,0)-IF($I172=#REF!,$C172,0)</f>
        <v>#REF!</v>
      </c>
      <c r="BI172" s="130">
        <f t="shared" si="128"/>
        <v>0</v>
      </c>
      <c r="BJ172" s="130">
        <f t="shared" si="128"/>
        <v>0</v>
      </c>
      <c r="BK172" s="130">
        <f t="shared" si="128"/>
        <v>0</v>
      </c>
      <c r="BL172" s="130">
        <f t="shared" si="128"/>
        <v>0</v>
      </c>
      <c r="BM172" s="130">
        <f t="shared" si="128"/>
        <v>0</v>
      </c>
      <c r="BN172" s="130">
        <f t="shared" si="128"/>
        <v>0</v>
      </c>
      <c r="BO172" s="130">
        <f t="shared" si="128"/>
        <v>0</v>
      </c>
      <c r="BP172" s="130">
        <f t="shared" si="128"/>
        <v>0</v>
      </c>
      <c r="BQ172" s="130">
        <f t="shared" si="128"/>
        <v>0</v>
      </c>
      <c r="BR172" s="130" t="e">
        <f t="shared" si="129"/>
        <v>#REF!</v>
      </c>
    </row>
    <row r="173" spans="2:70" s="119" customFormat="1" x14ac:dyDescent="0.2">
      <c r="B173" s="128"/>
      <c r="C173" s="129"/>
      <c r="D173" s="129"/>
      <c r="E173" s="129" t="e">
        <f>ROUND(IF(D173=#REF!,0,IF($H173=$S$6,(C173/1.14975*0.05*0.5),C173/1.14975*0.05)),2)</f>
        <v>#REF!</v>
      </c>
      <c r="F173" s="129" t="e">
        <f>ROUND(IF(D173=#REF!,0,IF($H173=$S$6,C173/1.14975*0.09975*0.5,C173/1.14975*0.09975)),2)</f>
        <v>#REF!</v>
      </c>
      <c r="G173" s="129" t="e">
        <f t="shared" si="117"/>
        <v>#REF!</v>
      </c>
      <c r="J173" s="130">
        <f t="shared" si="118"/>
        <v>0</v>
      </c>
      <c r="K173" s="130">
        <f t="shared" si="119"/>
        <v>0</v>
      </c>
      <c r="L173" s="130">
        <f t="shared" si="119"/>
        <v>0</v>
      </c>
      <c r="M173" s="130">
        <f t="shared" si="119"/>
        <v>0</v>
      </c>
      <c r="N173" s="130">
        <f t="shared" si="119"/>
        <v>0</v>
      </c>
      <c r="O173" s="130">
        <f t="shared" si="119"/>
        <v>0</v>
      </c>
      <c r="P173" s="130">
        <f t="shared" si="119"/>
        <v>0</v>
      </c>
      <c r="Q173" s="130">
        <f t="shared" si="119"/>
        <v>0</v>
      </c>
      <c r="R173" s="130">
        <f t="shared" si="119"/>
        <v>0</v>
      </c>
      <c r="S173" s="130">
        <f t="shared" si="119"/>
        <v>0</v>
      </c>
      <c r="T173" s="130">
        <f t="shared" si="119"/>
        <v>0</v>
      </c>
      <c r="U173" s="130">
        <f t="shared" si="120"/>
        <v>0</v>
      </c>
      <c r="V173" s="130">
        <f t="shared" si="120"/>
        <v>0</v>
      </c>
      <c r="W173" s="130">
        <f t="shared" si="120"/>
        <v>0</v>
      </c>
      <c r="X173" s="130">
        <f t="shared" si="120"/>
        <v>0</v>
      </c>
      <c r="Y173" s="130">
        <f t="shared" si="120"/>
        <v>0</v>
      </c>
      <c r="Z173" s="130">
        <f t="shared" si="120"/>
        <v>0</v>
      </c>
      <c r="AA173" s="130">
        <f t="shared" si="120"/>
        <v>0</v>
      </c>
      <c r="AB173" s="130">
        <f t="shared" si="120"/>
        <v>0</v>
      </c>
      <c r="AC173" s="130">
        <f t="shared" si="120"/>
        <v>0</v>
      </c>
      <c r="AD173" s="130">
        <f t="shared" si="120"/>
        <v>0</v>
      </c>
      <c r="AE173" s="130">
        <f t="shared" si="120"/>
        <v>0</v>
      </c>
      <c r="AF173" s="130">
        <f t="shared" si="120"/>
        <v>0</v>
      </c>
      <c r="AG173" s="130">
        <f t="shared" si="120"/>
        <v>0</v>
      </c>
      <c r="AH173" s="130">
        <f t="shared" si="121"/>
        <v>0</v>
      </c>
      <c r="AI173" s="130">
        <f t="shared" si="121"/>
        <v>0</v>
      </c>
      <c r="AJ173" s="130">
        <f t="shared" si="121"/>
        <v>0</v>
      </c>
      <c r="AK173" s="130">
        <f t="shared" si="122"/>
        <v>0</v>
      </c>
      <c r="AL173" s="130">
        <f t="shared" si="123"/>
        <v>0</v>
      </c>
      <c r="AM173" s="130">
        <f t="shared" si="124"/>
        <v>0</v>
      </c>
      <c r="AN173" s="130">
        <f t="shared" si="125"/>
        <v>0</v>
      </c>
      <c r="AO173" s="130">
        <f t="shared" si="126"/>
        <v>0</v>
      </c>
      <c r="AP173" s="130">
        <f t="shared" si="126"/>
        <v>0</v>
      </c>
      <c r="AQ173" s="130">
        <f t="shared" si="126"/>
        <v>0</v>
      </c>
      <c r="AR173" s="130">
        <f t="shared" si="126"/>
        <v>0</v>
      </c>
      <c r="AS173" s="130">
        <f t="shared" si="126"/>
        <v>0</v>
      </c>
      <c r="AT173" s="130">
        <f t="shared" si="126"/>
        <v>0</v>
      </c>
      <c r="AU173" s="130">
        <f t="shared" si="126"/>
        <v>0</v>
      </c>
      <c r="AV173" s="130">
        <f t="shared" si="126"/>
        <v>0</v>
      </c>
      <c r="AW173" s="130">
        <f t="shared" si="126"/>
        <v>0</v>
      </c>
      <c r="AX173" s="130">
        <f t="shared" si="126"/>
        <v>0</v>
      </c>
      <c r="AY173" s="130">
        <f t="shared" si="126"/>
        <v>0</v>
      </c>
      <c r="AZ173" s="130">
        <f t="shared" si="126"/>
        <v>0</v>
      </c>
      <c r="BA173" s="130">
        <f t="shared" si="126"/>
        <v>0</v>
      </c>
      <c r="BB173" s="130">
        <f t="shared" si="127"/>
        <v>0</v>
      </c>
      <c r="BC173" s="130">
        <f t="shared" si="127"/>
        <v>0</v>
      </c>
      <c r="BD173" s="130">
        <f t="shared" si="127"/>
        <v>0</v>
      </c>
      <c r="BE173" s="130">
        <f t="shared" si="127"/>
        <v>0</v>
      </c>
      <c r="BF173" s="130" t="e">
        <f>+IF($H173=#REF!,$C173,0)-IF($I173=#REF!,$C173,0)</f>
        <v>#REF!</v>
      </c>
      <c r="BG173" s="130" t="e">
        <f>+IF($H173=#REF!,$C173,0)-IF($I173=#REF!,$C173,0)</f>
        <v>#REF!</v>
      </c>
      <c r="BH173" s="130" t="e">
        <f>+IF($H173=#REF!,$C173,0)-IF($I173=#REF!,$C173,0)</f>
        <v>#REF!</v>
      </c>
      <c r="BI173" s="130">
        <f t="shared" si="128"/>
        <v>0</v>
      </c>
      <c r="BJ173" s="130">
        <f t="shared" si="128"/>
        <v>0</v>
      </c>
      <c r="BK173" s="130">
        <f t="shared" si="128"/>
        <v>0</v>
      </c>
      <c r="BL173" s="130">
        <f t="shared" si="128"/>
        <v>0</v>
      </c>
      <c r="BM173" s="130">
        <f t="shared" si="128"/>
        <v>0</v>
      </c>
      <c r="BN173" s="130">
        <f t="shared" si="128"/>
        <v>0</v>
      </c>
      <c r="BO173" s="130">
        <f t="shared" si="128"/>
        <v>0</v>
      </c>
      <c r="BP173" s="130">
        <f t="shared" si="128"/>
        <v>0</v>
      </c>
      <c r="BQ173" s="130">
        <f t="shared" si="128"/>
        <v>0</v>
      </c>
      <c r="BR173" s="130" t="e">
        <f t="shared" si="129"/>
        <v>#REF!</v>
      </c>
    </row>
    <row r="174" spans="2:70" s="119" customFormat="1" x14ac:dyDescent="0.2">
      <c r="B174" s="128"/>
      <c r="C174" s="129"/>
      <c r="D174" s="129"/>
      <c r="E174" s="129" t="e">
        <f>ROUND(IF(D174=#REF!,0,IF($H174=$S$6,(C174/1.14975*0.05*0.5),C174/1.14975*0.05)),2)</f>
        <v>#REF!</v>
      </c>
      <c r="F174" s="129" t="e">
        <f>ROUND(IF(D174=#REF!,0,IF($H174=$S$6,C174/1.14975*0.09975*0.5,C174/1.14975*0.09975)),2)</f>
        <v>#REF!</v>
      </c>
      <c r="G174" s="129" t="e">
        <f t="shared" si="117"/>
        <v>#REF!</v>
      </c>
      <c r="J174" s="130">
        <f t="shared" si="118"/>
        <v>0</v>
      </c>
      <c r="K174" s="130">
        <f t="shared" si="119"/>
        <v>0</v>
      </c>
      <c r="L174" s="130">
        <f t="shared" si="119"/>
        <v>0</v>
      </c>
      <c r="M174" s="130">
        <f t="shared" si="119"/>
        <v>0</v>
      </c>
      <c r="N174" s="130">
        <f t="shared" si="119"/>
        <v>0</v>
      </c>
      <c r="O174" s="130">
        <f t="shared" si="119"/>
        <v>0</v>
      </c>
      <c r="P174" s="130">
        <f t="shared" si="119"/>
        <v>0</v>
      </c>
      <c r="Q174" s="130">
        <f t="shared" si="119"/>
        <v>0</v>
      </c>
      <c r="R174" s="130">
        <f t="shared" si="119"/>
        <v>0</v>
      </c>
      <c r="S174" s="130">
        <f t="shared" si="119"/>
        <v>0</v>
      </c>
      <c r="T174" s="130">
        <f t="shared" si="119"/>
        <v>0</v>
      </c>
      <c r="U174" s="130">
        <f t="shared" si="120"/>
        <v>0</v>
      </c>
      <c r="V174" s="130">
        <f t="shared" si="120"/>
        <v>0</v>
      </c>
      <c r="W174" s="130">
        <f t="shared" si="120"/>
        <v>0</v>
      </c>
      <c r="X174" s="130">
        <f t="shared" si="120"/>
        <v>0</v>
      </c>
      <c r="Y174" s="130">
        <f t="shared" si="120"/>
        <v>0</v>
      </c>
      <c r="Z174" s="130">
        <f t="shared" si="120"/>
        <v>0</v>
      </c>
      <c r="AA174" s="130">
        <f t="shared" si="120"/>
        <v>0</v>
      </c>
      <c r="AB174" s="130">
        <f t="shared" si="120"/>
        <v>0</v>
      </c>
      <c r="AC174" s="130">
        <f t="shared" si="120"/>
        <v>0</v>
      </c>
      <c r="AD174" s="130">
        <f t="shared" si="120"/>
        <v>0</v>
      </c>
      <c r="AE174" s="130">
        <f t="shared" si="120"/>
        <v>0</v>
      </c>
      <c r="AF174" s="130">
        <f t="shared" si="120"/>
        <v>0</v>
      </c>
      <c r="AG174" s="130">
        <f t="shared" si="120"/>
        <v>0</v>
      </c>
      <c r="AH174" s="130">
        <f t="shared" si="121"/>
        <v>0</v>
      </c>
      <c r="AI174" s="130">
        <f t="shared" si="121"/>
        <v>0</v>
      </c>
      <c r="AJ174" s="130">
        <f t="shared" si="121"/>
        <v>0</v>
      </c>
      <c r="AK174" s="130">
        <f t="shared" si="122"/>
        <v>0</v>
      </c>
      <c r="AL174" s="130">
        <f t="shared" si="123"/>
        <v>0</v>
      </c>
      <c r="AM174" s="130">
        <f t="shared" si="124"/>
        <v>0</v>
      </c>
      <c r="AN174" s="130">
        <f t="shared" si="125"/>
        <v>0</v>
      </c>
      <c r="AO174" s="130">
        <f t="shared" si="126"/>
        <v>0</v>
      </c>
      <c r="AP174" s="130">
        <f t="shared" si="126"/>
        <v>0</v>
      </c>
      <c r="AQ174" s="130">
        <f t="shared" si="126"/>
        <v>0</v>
      </c>
      <c r="AR174" s="130">
        <f t="shared" si="126"/>
        <v>0</v>
      </c>
      <c r="AS174" s="130">
        <f t="shared" si="126"/>
        <v>0</v>
      </c>
      <c r="AT174" s="130">
        <f t="shared" si="126"/>
        <v>0</v>
      </c>
      <c r="AU174" s="130">
        <f t="shared" si="126"/>
        <v>0</v>
      </c>
      <c r="AV174" s="130">
        <f t="shared" si="126"/>
        <v>0</v>
      </c>
      <c r="AW174" s="130">
        <f t="shared" si="126"/>
        <v>0</v>
      </c>
      <c r="AX174" s="130">
        <f t="shared" si="126"/>
        <v>0</v>
      </c>
      <c r="AY174" s="130">
        <f t="shared" si="126"/>
        <v>0</v>
      </c>
      <c r="AZ174" s="130">
        <f t="shared" si="126"/>
        <v>0</v>
      </c>
      <c r="BA174" s="130">
        <f t="shared" si="126"/>
        <v>0</v>
      </c>
      <c r="BB174" s="130">
        <f t="shared" si="127"/>
        <v>0</v>
      </c>
      <c r="BC174" s="130">
        <f t="shared" si="127"/>
        <v>0</v>
      </c>
      <c r="BD174" s="130">
        <f t="shared" si="127"/>
        <v>0</v>
      </c>
      <c r="BE174" s="130">
        <f t="shared" si="127"/>
        <v>0</v>
      </c>
      <c r="BF174" s="130" t="e">
        <f>+IF($H174=#REF!,$C174,0)-IF($I174=#REF!,$C174,0)</f>
        <v>#REF!</v>
      </c>
      <c r="BG174" s="130" t="e">
        <f>+IF($H174=#REF!,$C174,0)-IF($I174=#REF!,$C174,0)</f>
        <v>#REF!</v>
      </c>
      <c r="BH174" s="130" t="e">
        <f>+IF($H174=#REF!,$C174,0)-IF($I174=#REF!,$C174,0)</f>
        <v>#REF!</v>
      </c>
      <c r="BI174" s="130">
        <f t="shared" si="128"/>
        <v>0</v>
      </c>
      <c r="BJ174" s="130">
        <f t="shared" si="128"/>
        <v>0</v>
      </c>
      <c r="BK174" s="130">
        <f t="shared" si="128"/>
        <v>0</v>
      </c>
      <c r="BL174" s="130">
        <f t="shared" si="128"/>
        <v>0</v>
      </c>
      <c r="BM174" s="130">
        <f t="shared" si="128"/>
        <v>0</v>
      </c>
      <c r="BN174" s="130">
        <f t="shared" si="128"/>
        <v>0</v>
      </c>
      <c r="BO174" s="130">
        <f t="shared" si="128"/>
        <v>0</v>
      </c>
      <c r="BP174" s="130">
        <f t="shared" si="128"/>
        <v>0</v>
      </c>
      <c r="BQ174" s="130">
        <f t="shared" si="128"/>
        <v>0</v>
      </c>
      <c r="BR174" s="130" t="e">
        <f t="shared" si="129"/>
        <v>#REF!</v>
      </c>
    </row>
    <row r="175" spans="2:70" s="119" customFormat="1" x14ac:dyDescent="0.2">
      <c r="B175" s="128"/>
      <c r="C175" s="129"/>
      <c r="D175" s="129"/>
      <c r="E175" s="129" t="e">
        <f>ROUND(IF(D175=#REF!,0,IF($H175=$S$6,(C175/1.14975*0.05*0.5),C175/1.14975*0.05)),2)</f>
        <v>#REF!</v>
      </c>
      <c r="F175" s="129" t="e">
        <f>ROUND(IF(D175=#REF!,0,IF($H175=$S$6,C175/1.14975*0.09975*0.5,C175/1.14975*0.09975)),2)</f>
        <v>#REF!</v>
      </c>
      <c r="G175" s="129" t="e">
        <f t="shared" si="117"/>
        <v>#REF!</v>
      </c>
      <c r="J175" s="130">
        <f t="shared" si="118"/>
        <v>0</v>
      </c>
      <c r="K175" s="130">
        <f t="shared" si="119"/>
        <v>0</v>
      </c>
      <c r="L175" s="130">
        <f t="shared" si="119"/>
        <v>0</v>
      </c>
      <c r="M175" s="130">
        <f t="shared" si="119"/>
        <v>0</v>
      </c>
      <c r="N175" s="130">
        <f t="shared" si="119"/>
        <v>0</v>
      </c>
      <c r="O175" s="130">
        <f t="shared" si="119"/>
        <v>0</v>
      </c>
      <c r="P175" s="130">
        <f t="shared" si="119"/>
        <v>0</v>
      </c>
      <c r="Q175" s="130">
        <f t="shared" si="119"/>
        <v>0</v>
      </c>
      <c r="R175" s="130">
        <f t="shared" si="119"/>
        <v>0</v>
      </c>
      <c r="S175" s="130">
        <f t="shared" si="119"/>
        <v>0</v>
      </c>
      <c r="T175" s="130">
        <f t="shared" si="119"/>
        <v>0</v>
      </c>
      <c r="U175" s="130">
        <f t="shared" si="120"/>
        <v>0</v>
      </c>
      <c r="V175" s="130">
        <f t="shared" si="120"/>
        <v>0</v>
      </c>
      <c r="W175" s="130">
        <f t="shared" si="120"/>
        <v>0</v>
      </c>
      <c r="X175" s="130">
        <f t="shared" si="120"/>
        <v>0</v>
      </c>
      <c r="Y175" s="130">
        <f t="shared" si="120"/>
        <v>0</v>
      </c>
      <c r="Z175" s="130">
        <f t="shared" si="120"/>
        <v>0</v>
      </c>
      <c r="AA175" s="130">
        <f t="shared" si="120"/>
        <v>0</v>
      </c>
      <c r="AB175" s="130">
        <f t="shared" si="120"/>
        <v>0</v>
      </c>
      <c r="AC175" s="130">
        <f t="shared" si="120"/>
        <v>0</v>
      </c>
      <c r="AD175" s="130">
        <f t="shared" si="120"/>
        <v>0</v>
      </c>
      <c r="AE175" s="130">
        <f t="shared" si="120"/>
        <v>0</v>
      </c>
      <c r="AF175" s="130">
        <f t="shared" si="120"/>
        <v>0</v>
      </c>
      <c r="AG175" s="130">
        <f t="shared" si="120"/>
        <v>0</v>
      </c>
      <c r="AH175" s="130">
        <f t="shared" si="121"/>
        <v>0</v>
      </c>
      <c r="AI175" s="130">
        <f t="shared" si="121"/>
        <v>0</v>
      </c>
      <c r="AJ175" s="130">
        <f t="shared" si="121"/>
        <v>0</v>
      </c>
      <c r="AK175" s="130">
        <f t="shared" si="122"/>
        <v>0</v>
      </c>
      <c r="AL175" s="130">
        <f t="shared" si="123"/>
        <v>0</v>
      </c>
      <c r="AM175" s="130">
        <f t="shared" si="124"/>
        <v>0</v>
      </c>
      <c r="AN175" s="130">
        <f t="shared" si="125"/>
        <v>0</v>
      </c>
      <c r="AO175" s="130">
        <f t="shared" si="126"/>
        <v>0</v>
      </c>
      <c r="AP175" s="130">
        <f t="shared" si="126"/>
        <v>0</v>
      </c>
      <c r="AQ175" s="130">
        <f t="shared" si="126"/>
        <v>0</v>
      </c>
      <c r="AR175" s="130">
        <f t="shared" si="126"/>
        <v>0</v>
      </c>
      <c r="AS175" s="130">
        <f t="shared" si="126"/>
        <v>0</v>
      </c>
      <c r="AT175" s="130">
        <f t="shared" si="126"/>
        <v>0</v>
      </c>
      <c r="AU175" s="130">
        <f t="shared" si="126"/>
        <v>0</v>
      </c>
      <c r="AV175" s="130">
        <f t="shared" si="126"/>
        <v>0</v>
      </c>
      <c r="AW175" s="130">
        <f t="shared" si="126"/>
        <v>0</v>
      </c>
      <c r="AX175" s="130">
        <f t="shared" si="126"/>
        <v>0</v>
      </c>
      <c r="AY175" s="130">
        <f t="shared" si="126"/>
        <v>0</v>
      </c>
      <c r="AZ175" s="130">
        <f t="shared" si="126"/>
        <v>0</v>
      </c>
      <c r="BA175" s="130">
        <f t="shared" si="126"/>
        <v>0</v>
      </c>
      <c r="BB175" s="130">
        <f t="shared" si="127"/>
        <v>0</v>
      </c>
      <c r="BC175" s="130">
        <f t="shared" si="127"/>
        <v>0</v>
      </c>
      <c r="BD175" s="130">
        <f t="shared" si="127"/>
        <v>0</v>
      </c>
      <c r="BE175" s="130">
        <f t="shared" si="127"/>
        <v>0</v>
      </c>
      <c r="BF175" s="130" t="e">
        <f>+IF($H175=#REF!,$C175,0)-IF($I175=#REF!,$C175,0)</f>
        <v>#REF!</v>
      </c>
      <c r="BG175" s="130" t="e">
        <f>+IF($H175=#REF!,$C175,0)-IF($I175=#REF!,$C175,0)</f>
        <v>#REF!</v>
      </c>
      <c r="BH175" s="130" t="e">
        <f>+IF($H175=#REF!,$C175,0)-IF($I175=#REF!,$C175,0)</f>
        <v>#REF!</v>
      </c>
      <c r="BI175" s="130">
        <f t="shared" si="128"/>
        <v>0</v>
      </c>
      <c r="BJ175" s="130">
        <f t="shared" si="128"/>
        <v>0</v>
      </c>
      <c r="BK175" s="130">
        <f t="shared" si="128"/>
        <v>0</v>
      </c>
      <c r="BL175" s="130">
        <f t="shared" si="128"/>
        <v>0</v>
      </c>
      <c r="BM175" s="130">
        <f t="shared" si="128"/>
        <v>0</v>
      </c>
      <c r="BN175" s="130">
        <f t="shared" si="128"/>
        <v>0</v>
      </c>
      <c r="BO175" s="130">
        <f t="shared" si="128"/>
        <v>0</v>
      </c>
      <c r="BP175" s="130">
        <f t="shared" si="128"/>
        <v>0</v>
      </c>
      <c r="BQ175" s="130">
        <f t="shared" si="128"/>
        <v>0</v>
      </c>
      <c r="BR175" s="130" t="e">
        <f t="shared" si="129"/>
        <v>#REF!</v>
      </c>
    </row>
    <row r="176" spans="2:70" s="119" customFormat="1" x14ac:dyDescent="0.2">
      <c r="B176" s="128"/>
      <c r="C176" s="129"/>
      <c r="D176" s="129"/>
      <c r="E176" s="129" t="e">
        <f>ROUND(IF(D176=#REF!,0,IF($H176=$S$6,(C176/1.14975*0.05*0.5),C176/1.14975*0.05)),2)</f>
        <v>#REF!</v>
      </c>
      <c r="F176" s="129" t="e">
        <f>ROUND(IF(D176=#REF!,0,IF($H176=$S$6,C176/1.14975*0.09975*0.5,C176/1.14975*0.09975)),2)</f>
        <v>#REF!</v>
      </c>
      <c r="G176" s="129" t="e">
        <f t="shared" si="117"/>
        <v>#REF!</v>
      </c>
      <c r="J176" s="130">
        <f t="shared" si="118"/>
        <v>0</v>
      </c>
      <c r="K176" s="130">
        <f t="shared" si="119"/>
        <v>0</v>
      </c>
      <c r="L176" s="130">
        <f t="shared" si="119"/>
        <v>0</v>
      </c>
      <c r="M176" s="130">
        <f t="shared" si="119"/>
        <v>0</v>
      </c>
      <c r="N176" s="130">
        <f t="shared" si="119"/>
        <v>0</v>
      </c>
      <c r="O176" s="130">
        <f t="shared" si="119"/>
        <v>0</v>
      </c>
      <c r="P176" s="130">
        <f t="shared" si="119"/>
        <v>0</v>
      </c>
      <c r="Q176" s="130">
        <f t="shared" si="119"/>
        <v>0</v>
      </c>
      <c r="R176" s="130">
        <f t="shared" si="119"/>
        <v>0</v>
      </c>
      <c r="S176" s="130">
        <f t="shared" si="119"/>
        <v>0</v>
      </c>
      <c r="T176" s="130">
        <f t="shared" si="119"/>
        <v>0</v>
      </c>
      <c r="U176" s="130">
        <f t="shared" si="120"/>
        <v>0</v>
      </c>
      <c r="V176" s="130">
        <f t="shared" si="120"/>
        <v>0</v>
      </c>
      <c r="W176" s="130">
        <f t="shared" si="120"/>
        <v>0</v>
      </c>
      <c r="X176" s="130">
        <f t="shared" si="120"/>
        <v>0</v>
      </c>
      <c r="Y176" s="130">
        <f t="shared" si="120"/>
        <v>0</v>
      </c>
      <c r="Z176" s="130">
        <f t="shared" si="120"/>
        <v>0</v>
      </c>
      <c r="AA176" s="130">
        <f t="shared" si="120"/>
        <v>0</v>
      </c>
      <c r="AB176" s="130">
        <f t="shared" si="120"/>
        <v>0</v>
      </c>
      <c r="AC176" s="130">
        <f t="shared" si="120"/>
        <v>0</v>
      </c>
      <c r="AD176" s="130">
        <f t="shared" si="120"/>
        <v>0</v>
      </c>
      <c r="AE176" s="130">
        <f t="shared" si="120"/>
        <v>0</v>
      </c>
      <c r="AF176" s="130">
        <f t="shared" si="120"/>
        <v>0</v>
      </c>
      <c r="AG176" s="130">
        <f t="shared" si="120"/>
        <v>0</v>
      </c>
      <c r="AH176" s="130">
        <f t="shared" si="121"/>
        <v>0</v>
      </c>
      <c r="AI176" s="130">
        <f t="shared" si="121"/>
        <v>0</v>
      </c>
      <c r="AJ176" s="130">
        <f t="shared" si="121"/>
        <v>0</v>
      </c>
      <c r="AK176" s="130">
        <f t="shared" si="122"/>
        <v>0</v>
      </c>
      <c r="AL176" s="130">
        <f t="shared" si="123"/>
        <v>0</v>
      </c>
      <c r="AM176" s="130">
        <f t="shared" si="124"/>
        <v>0</v>
      </c>
      <c r="AN176" s="130">
        <f t="shared" si="125"/>
        <v>0</v>
      </c>
      <c r="AO176" s="130">
        <f t="shared" si="126"/>
        <v>0</v>
      </c>
      <c r="AP176" s="130">
        <f t="shared" si="126"/>
        <v>0</v>
      </c>
      <c r="AQ176" s="130">
        <f t="shared" si="126"/>
        <v>0</v>
      </c>
      <c r="AR176" s="130">
        <f t="shared" si="126"/>
        <v>0</v>
      </c>
      <c r="AS176" s="130">
        <f t="shared" si="126"/>
        <v>0</v>
      </c>
      <c r="AT176" s="130">
        <f t="shared" si="126"/>
        <v>0</v>
      </c>
      <c r="AU176" s="130">
        <f t="shared" si="126"/>
        <v>0</v>
      </c>
      <c r="AV176" s="130">
        <f t="shared" si="126"/>
        <v>0</v>
      </c>
      <c r="AW176" s="130">
        <f t="shared" si="126"/>
        <v>0</v>
      </c>
      <c r="AX176" s="130">
        <f t="shared" si="126"/>
        <v>0</v>
      </c>
      <c r="AY176" s="130">
        <f t="shared" si="126"/>
        <v>0</v>
      </c>
      <c r="AZ176" s="130">
        <f t="shared" si="126"/>
        <v>0</v>
      </c>
      <c r="BA176" s="130">
        <f t="shared" si="126"/>
        <v>0</v>
      </c>
      <c r="BB176" s="130">
        <f t="shared" si="127"/>
        <v>0</v>
      </c>
      <c r="BC176" s="130">
        <f t="shared" si="127"/>
        <v>0</v>
      </c>
      <c r="BD176" s="130">
        <f t="shared" si="127"/>
        <v>0</v>
      </c>
      <c r="BE176" s="130">
        <f t="shared" si="127"/>
        <v>0</v>
      </c>
      <c r="BF176" s="130" t="e">
        <f>+IF($H176=#REF!,$C176,0)-IF($I176=#REF!,$C176,0)</f>
        <v>#REF!</v>
      </c>
      <c r="BG176" s="130" t="e">
        <f>+IF($H176=#REF!,$C176,0)-IF($I176=#REF!,$C176,0)</f>
        <v>#REF!</v>
      </c>
      <c r="BH176" s="130" t="e">
        <f>+IF($H176=#REF!,$C176,0)-IF($I176=#REF!,$C176,0)</f>
        <v>#REF!</v>
      </c>
      <c r="BI176" s="130">
        <f t="shared" si="128"/>
        <v>0</v>
      </c>
      <c r="BJ176" s="130">
        <f t="shared" si="128"/>
        <v>0</v>
      </c>
      <c r="BK176" s="130">
        <f t="shared" si="128"/>
        <v>0</v>
      </c>
      <c r="BL176" s="130">
        <f t="shared" si="128"/>
        <v>0</v>
      </c>
      <c r="BM176" s="130">
        <f t="shared" si="128"/>
        <v>0</v>
      </c>
      <c r="BN176" s="130">
        <f t="shared" si="128"/>
        <v>0</v>
      </c>
      <c r="BO176" s="130">
        <f t="shared" si="128"/>
        <v>0</v>
      </c>
      <c r="BP176" s="130">
        <f t="shared" si="128"/>
        <v>0</v>
      </c>
      <c r="BQ176" s="130">
        <f t="shared" si="128"/>
        <v>0</v>
      </c>
      <c r="BR176" s="130" t="e">
        <f t="shared" si="129"/>
        <v>#REF!</v>
      </c>
    </row>
    <row r="177" spans="2:70" s="119" customFormat="1" x14ac:dyDescent="0.2">
      <c r="B177" s="128"/>
      <c r="C177" s="129"/>
      <c r="D177" s="129"/>
      <c r="E177" s="129" t="e">
        <f>ROUND(IF(D177=#REF!,0,IF($H177=$S$6,(C177/1.14975*0.05*0.5),C177/1.14975*0.05)),2)</f>
        <v>#REF!</v>
      </c>
      <c r="F177" s="129" t="e">
        <f>ROUND(IF(D177=#REF!,0,IF($H177=$S$6,C177/1.14975*0.09975*0.5,C177/1.14975*0.09975)),2)</f>
        <v>#REF!</v>
      </c>
      <c r="G177" s="129" t="e">
        <f t="shared" si="117"/>
        <v>#REF!</v>
      </c>
      <c r="J177" s="130">
        <f t="shared" si="118"/>
        <v>0</v>
      </c>
      <c r="K177" s="130">
        <f t="shared" si="119"/>
        <v>0</v>
      </c>
      <c r="L177" s="130">
        <f t="shared" si="119"/>
        <v>0</v>
      </c>
      <c r="M177" s="130">
        <f t="shared" si="119"/>
        <v>0</v>
      </c>
      <c r="N177" s="130">
        <f t="shared" si="119"/>
        <v>0</v>
      </c>
      <c r="O177" s="130">
        <f t="shared" si="119"/>
        <v>0</v>
      </c>
      <c r="P177" s="130">
        <f t="shared" si="119"/>
        <v>0</v>
      </c>
      <c r="Q177" s="130">
        <f t="shared" si="119"/>
        <v>0</v>
      </c>
      <c r="R177" s="130">
        <f t="shared" si="119"/>
        <v>0</v>
      </c>
      <c r="S177" s="130">
        <f t="shared" si="119"/>
        <v>0</v>
      </c>
      <c r="T177" s="130">
        <f t="shared" si="119"/>
        <v>0</v>
      </c>
      <c r="U177" s="130">
        <f t="shared" si="120"/>
        <v>0</v>
      </c>
      <c r="V177" s="130">
        <f t="shared" si="120"/>
        <v>0</v>
      </c>
      <c r="W177" s="130">
        <f t="shared" si="120"/>
        <v>0</v>
      </c>
      <c r="X177" s="130">
        <f t="shared" si="120"/>
        <v>0</v>
      </c>
      <c r="Y177" s="130">
        <f t="shared" si="120"/>
        <v>0</v>
      </c>
      <c r="Z177" s="130">
        <f t="shared" si="120"/>
        <v>0</v>
      </c>
      <c r="AA177" s="130">
        <f t="shared" si="120"/>
        <v>0</v>
      </c>
      <c r="AB177" s="130">
        <f t="shared" si="120"/>
        <v>0</v>
      </c>
      <c r="AC177" s="130">
        <f t="shared" si="120"/>
        <v>0</v>
      </c>
      <c r="AD177" s="130">
        <f t="shared" si="120"/>
        <v>0</v>
      </c>
      <c r="AE177" s="130">
        <f t="shared" si="120"/>
        <v>0</v>
      </c>
      <c r="AF177" s="130">
        <f t="shared" si="120"/>
        <v>0</v>
      </c>
      <c r="AG177" s="130">
        <f t="shared" si="120"/>
        <v>0</v>
      </c>
      <c r="AH177" s="130">
        <f t="shared" si="121"/>
        <v>0</v>
      </c>
      <c r="AI177" s="130">
        <f t="shared" si="121"/>
        <v>0</v>
      </c>
      <c r="AJ177" s="130">
        <f t="shared" si="121"/>
        <v>0</v>
      </c>
      <c r="AK177" s="130">
        <f t="shared" si="122"/>
        <v>0</v>
      </c>
      <c r="AL177" s="130">
        <f t="shared" si="123"/>
        <v>0</v>
      </c>
      <c r="AM177" s="130">
        <f t="shared" si="124"/>
        <v>0</v>
      </c>
      <c r="AN177" s="130">
        <f t="shared" si="125"/>
        <v>0</v>
      </c>
      <c r="AO177" s="130">
        <f t="shared" si="126"/>
        <v>0</v>
      </c>
      <c r="AP177" s="130">
        <f t="shared" si="126"/>
        <v>0</v>
      </c>
      <c r="AQ177" s="130">
        <f t="shared" si="126"/>
        <v>0</v>
      </c>
      <c r="AR177" s="130">
        <f t="shared" si="126"/>
        <v>0</v>
      </c>
      <c r="AS177" s="130">
        <f t="shared" si="126"/>
        <v>0</v>
      </c>
      <c r="AT177" s="130">
        <f t="shared" si="126"/>
        <v>0</v>
      </c>
      <c r="AU177" s="130">
        <f t="shared" si="126"/>
        <v>0</v>
      </c>
      <c r="AV177" s="130">
        <f t="shared" si="126"/>
        <v>0</v>
      </c>
      <c r="AW177" s="130">
        <f t="shared" si="126"/>
        <v>0</v>
      </c>
      <c r="AX177" s="130">
        <f t="shared" si="126"/>
        <v>0</v>
      </c>
      <c r="AY177" s="130">
        <f t="shared" si="126"/>
        <v>0</v>
      </c>
      <c r="AZ177" s="130">
        <f t="shared" si="126"/>
        <v>0</v>
      </c>
      <c r="BA177" s="130">
        <f t="shared" si="126"/>
        <v>0</v>
      </c>
      <c r="BB177" s="130">
        <f t="shared" si="127"/>
        <v>0</v>
      </c>
      <c r="BC177" s="130">
        <f t="shared" si="127"/>
        <v>0</v>
      </c>
      <c r="BD177" s="130">
        <f t="shared" si="127"/>
        <v>0</v>
      </c>
      <c r="BE177" s="130">
        <f t="shared" si="127"/>
        <v>0</v>
      </c>
      <c r="BF177" s="130" t="e">
        <f>+IF($H177=#REF!,$C177,0)-IF($I177=#REF!,$C177,0)</f>
        <v>#REF!</v>
      </c>
      <c r="BG177" s="130" t="e">
        <f>+IF($H177=#REF!,$C177,0)-IF($I177=#REF!,$C177,0)</f>
        <v>#REF!</v>
      </c>
      <c r="BH177" s="130" t="e">
        <f>+IF($H177=#REF!,$C177,0)-IF($I177=#REF!,$C177,0)</f>
        <v>#REF!</v>
      </c>
      <c r="BI177" s="130">
        <f t="shared" si="128"/>
        <v>0</v>
      </c>
      <c r="BJ177" s="130">
        <f t="shared" si="128"/>
        <v>0</v>
      </c>
      <c r="BK177" s="130">
        <f t="shared" si="128"/>
        <v>0</v>
      </c>
      <c r="BL177" s="130">
        <f t="shared" si="128"/>
        <v>0</v>
      </c>
      <c r="BM177" s="130">
        <f t="shared" si="128"/>
        <v>0</v>
      </c>
      <c r="BN177" s="130">
        <f t="shared" si="128"/>
        <v>0</v>
      </c>
      <c r="BO177" s="130">
        <f t="shared" si="128"/>
        <v>0</v>
      </c>
      <c r="BP177" s="130">
        <f t="shared" si="128"/>
        <v>0</v>
      </c>
      <c r="BQ177" s="130">
        <f t="shared" si="128"/>
        <v>0</v>
      </c>
      <c r="BR177" s="130" t="e">
        <f t="shared" si="129"/>
        <v>#REF!</v>
      </c>
    </row>
    <row r="178" spans="2:70" s="119" customFormat="1" x14ac:dyDescent="0.2">
      <c r="B178" s="128"/>
      <c r="C178" s="129"/>
      <c r="D178" s="129"/>
      <c r="E178" s="129" t="e">
        <f>ROUND(IF(D178=#REF!,0,IF($H178=$S$6,(C178/1.14975*0.05*0.5),C178/1.14975*0.05)),2)</f>
        <v>#REF!</v>
      </c>
      <c r="F178" s="129" t="e">
        <f>ROUND(IF(D178=#REF!,0,IF($H178=$S$6,C178/1.14975*0.09975*0.5,C178/1.14975*0.09975)),2)</f>
        <v>#REF!</v>
      </c>
      <c r="G178" s="129" t="e">
        <f t="shared" si="117"/>
        <v>#REF!</v>
      </c>
      <c r="J178" s="130">
        <f t="shared" si="118"/>
        <v>0</v>
      </c>
      <c r="K178" s="130">
        <f t="shared" si="119"/>
        <v>0</v>
      </c>
      <c r="L178" s="130">
        <f t="shared" si="119"/>
        <v>0</v>
      </c>
      <c r="M178" s="130">
        <f t="shared" si="119"/>
        <v>0</v>
      </c>
      <c r="N178" s="130">
        <f t="shared" si="119"/>
        <v>0</v>
      </c>
      <c r="O178" s="130">
        <f t="shared" si="119"/>
        <v>0</v>
      </c>
      <c r="P178" s="130">
        <f t="shared" si="119"/>
        <v>0</v>
      </c>
      <c r="Q178" s="130">
        <f t="shared" si="119"/>
        <v>0</v>
      </c>
      <c r="R178" s="130">
        <f t="shared" si="119"/>
        <v>0</v>
      </c>
      <c r="S178" s="130">
        <f t="shared" si="119"/>
        <v>0</v>
      </c>
      <c r="T178" s="130">
        <f t="shared" si="119"/>
        <v>0</v>
      </c>
      <c r="U178" s="130">
        <f t="shared" si="120"/>
        <v>0</v>
      </c>
      <c r="V178" s="130">
        <f t="shared" si="120"/>
        <v>0</v>
      </c>
      <c r="W178" s="130">
        <f t="shared" si="120"/>
        <v>0</v>
      </c>
      <c r="X178" s="130">
        <f t="shared" si="120"/>
        <v>0</v>
      </c>
      <c r="Y178" s="130">
        <f t="shared" si="120"/>
        <v>0</v>
      </c>
      <c r="Z178" s="130">
        <f t="shared" si="120"/>
        <v>0</v>
      </c>
      <c r="AA178" s="130">
        <f t="shared" si="120"/>
        <v>0</v>
      </c>
      <c r="AB178" s="130">
        <f t="shared" si="120"/>
        <v>0</v>
      </c>
      <c r="AC178" s="130">
        <f t="shared" si="120"/>
        <v>0</v>
      </c>
      <c r="AD178" s="130">
        <f t="shared" si="120"/>
        <v>0</v>
      </c>
      <c r="AE178" s="130">
        <f t="shared" si="120"/>
        <v>0</v>
      </c>
      <c r="AF178" s="130">
        <f t="shared" si="120"/>
        <v>0</v>
      </c>
      <c r="AG178" s="130">
        <f t="shared" si="120"/>
        <v>0</v>
      </c>
      <c r="AH178" s="130">
        <f t="shared" si="121"/>
        <v>0</v>
      </c>
      <c r="AI178" s="130">
        <f t="shared" si="121"/>
        <v>0</v>
      </c>
      <c r="AJ178" s="130">
        <f t="shared" si="121"/>
        <v>0</v>
      </c>
      <c r="AK178" s="130">
        <f t="shared" si="122"/>
        <v>0</v>
      </c>
      <c r="AL178" s="130">
        <f t="shared" si="123"/>
        <v>0</v>
      </c>
      <c r="AM178" s="130">
        <f t="shared" si="124"/>
        <v>0</v>
      </c>
      <c r="AN178" s="130">
        <f t="shared" si="125"/>
        <v>0</v>
      </c>
      <c r="AO178" s="130">
        <f t="shared" si="126"/>
        <v>0</v>
      </c>
      <c r="AP178" s="130">
        <f t="shared" si="126"/>
        <v>0</v>
      </c>
      <c r="AQ178" s="130">
        <f t="shared" si="126"/>
        <v>0</v>
      </c>
      <c r="AR178" s="130">
        <f t="shared" si="126"/>
        <v>0</v>
      </c>
      <c r="AS178" s="130">
        <f t="shared" si="126"/>
        <v>0</v>
      </c>
      <c r="AT178" s="130">
        <f t="shared" si="126"/>
        <v>0</v>
      </c>
      <c r="AU178" s="130">
        <f t="shared" si="126"/>
        <v>0</v>
      </c>
      <c r="AV178" s="130">
        <f t="shared" si="126"/>
        <v>0</v>
      </c>
      <c r="AW178" s="130">
        <f t="shared" si="126"/>
        <v>0</v>
      </c>
      <c r="AX178" s="130">
        <f t="shared" si="126"/>
        <v>0</v>
      </c>
      <c r="AY178" s="130">
        <f t="shared" si="126"/>
        <v>0</v>
      </c>
      <c r="AZ178" s="130">
        <f t="shared" si="126"/>
        <v>0</v>
      </c>
      <c r="BA178" s="130">
        <f t="shared" si="126"/>
        <v>0</v>
      </c>
      <c r="BB178" s="130">
        <f t="shared" si="127"/>
        <v>0</v>
      </c>
      <c r="BC178" s="130">
        <f t="shared" si="127"/>
        <v>0</v>
      </c>
      <c r="BD178" s="130">
        <f t="shared" si="127"/>
        <v>0</v>
      </c>
      <c r="BE178" s="130">
        <f t="shared" si="127"/>
        <v>0</v>
      </c>
      <c r="BF178" s="130" t="e">
        <f>+IF($H178=#REF!,$C178,0)-IF($I178=#REF!,$C178,0)</f>
        <v>#REF!</v>
      </c>
      <c r="BG178" s="130" t="e">
        <f>+IF($H178=#REF!,$C178,0)-IF($I178=#REF!,$C178,0)</f>
        <v>#REF!</v>
      </c>
      <c r="BH178" s="130" t="e">
        <f>+IF($H178=#REF!,$C178,0)-IF($I178=#REF!,$C178,0)</f>
        <v>#REF!</v>
      </c>
      <c r="BI178" s="130">
        <f t="shared" si="128"/>
        <v>0</v>
      </c>
      <c r="BJ178" s="130">
        <f t="shared" si="128"/>
        <v>0</v>
      </c>
      <c r="BK178" s="130">
        <f t="shared" si="128"/>
        <v>0</v>
      </c>
      <c r="BL178" s="130">
        <f t="shared" si="128"/>
        <v>0</v>
      </c>
      <c r="BM178" s="130">
        <f t="shared" si="128"/>
        <v>0</v>
      </c>
      <c r="BN178" s="130">
        <f t="shared" si="128"/>
        <v>0</v>
      </c>
      <c r="BO178" s="130">
        <f t="shared" si="128"/>
        <v>0</v>
      </c>
      <c r="BP178" s="130">
        <f t="shared" si="128"/>
        <v>0</v>
      </c>
      <c r="BQ178" s="130">
        <f t="shared" si="128"/>
        <v>0</v>
      </c>
      <c r="BR178" s="130" t="e">
        <f t="shared" si="129"/>
        <v>#REF!</v>
      </c>
    </row>
    <row r="179" spans="2:70" s="119" customFormat="1" x14ac:dyDescent="0.2">
      <c r="B179" s="128"/>
      <c r="C179" s="129"/>
      <c r="D179" s="129"/>
      <c r="E179" s="129" t="e">
        <f>ROUND(IF(D179=#REF!,0,IF($H179=$S$6,(C179/1.14975*0.05*0.5),C179/1.14975*0.05)),2)</f>
        <v>#REF!</v>
      </c>
      <c r="F179" s="129" t="e">
        <f>ROUND(IF(D179=#REF!,0,IF($H179=$S$6,C179/1.14975*0.09975*0.5,C179/1.14975*0.09975)),2)</f>
        <v>#REF!</v>
      </c>
      <c r="G179" s="129" t="e">
        <f t="shared" si="117"/>
        <v>#REF!</v>
      </c>
      <c r="J179" s="130">
        <f t="shared" si="118"/>
        <v>0</v>
      </c>
      <c r="K179" s="130">
        <f t="shared" si="119"/>
        <v>0</v>
      </c>
      <c r="L179" s="130">
        <f t="shared" si="119"/>
        <v>0</v>
      </c>
      <c r="M179" s="130">
        <f t="shared" si="119"/>
        <v>0</v>
      </c>
      <c r="N179" s="130">
        <f t="shared" si="119"/>
        <v>0</v>
      </c>
      <c r="O179" s="130">
        <f t="shared" si="119"/>
        <v>0</v>
      </c>
      <c r="P179" s="130">
        <f t="shared" si="119"/>
        <v>0</v>
      </c>
      <c r="Q179" s="130">
        <f t="shared" si="119"/>
        <v>0</v>
      </c>
      <c r="R179" s="130">
        <f t="shared" si="119"/>
        <v>0</v>
      </c>
      <c r="S179" s="130">
        <f t="shared" si="119"/>
        <v>0</v>
      </c>
      <c r="T179" s="130">
        <f t="shared" si="119"/>
        <v>0</v>
      </c>
      <c r="U179" s="130">
        <f t="shared" si="120"/>
        <v>0</v>
      </c>
      <c r="V179" s="130">
        <f t="shared" si="120"/>
        <v>0</v>
      </c>
      <c r="W179" s="130">
        <f t="shared" si="120"/>
        <v>0</v>
      </c>
      <c r="X179" s="130">
        <f t="shared" si="120"/>
        <v>0</v>
      </c>
      <c r="Y179" s="130">
        <f t="shared" si="120"/>
        <v>0</v>
      </c>
      <c r="Z179" s="130">
        <f t="shared" si="120"/>
        <v>0</v>
      </c>
      <c r="AA179" s="130">
        <f t="shared" si="120"/>
        <v>0</v>
      </c>
      <c r="AB179" s="130">
        <f t="shared" si="120"/>
        <v>0</v>
      </c>
      <c r="AC179" s="130">
        <f t="shared" si="120"/>
        <v>0</v>
      </c>
      <c r="AD179" s="130">
        <f t="shared" si="120"/>
        <v>0</v>
      </c>
      <c r="AE179" s="130">
        <f t="shared" si="120"/>
        <v>0</v>
      </c>
      <c r="AF179" s="130">
        <f t="shared" si="120"/>
        <v>0</v>
      </c>
      <c r="AG179" s="130">
        <f t="shared" si="120"/>
        <v>0</v>
      </c>
      <c r="AH179" s="130">
        <f t="shared" si="121"/>
        <v>0</v>
      </c>
      <c r="AI179" s="130">
        <f t="shared" si="121"/>
        <v>0</v>
      </c>
      <c r="AJ179" s="130">
        <f t="shared" si="121"/>
        <v>0</v>
      </c>
      <c r="AK179" s="130">
        <f t="shared" si="122"/>
        <v>0</v>
      </c>
      <c r="AL179" s="130">
        <f t="shared" si="123"/>
        <v>0</v>
      </c>
      <c r="AM179" s="130">
        <f t="shared" si="124"/>
        <v>0</v>
      </c>
      <c r="AN179" s="130">
        <f t="shared" si="125"/>
        <v>0</v>
      </c>
      <c r="AO179" s="130">
        <f t="shared" si="126"/>
        <v>0</v>
      </c>
      <c r="AP179" s="130">
        <f t="shared" si="126"/>
        <v>0</v>
      </c>
      <c r="AQ179" s="130">
        <f t="shared" si="126"/>
        <v>0</v>
      </c>
      <c r="AR179" s="130">
        <f t="shared" si="126"/>
        <v>0</v>
      </c>
      <c r="AS179" s="130">
        <f t="shared" si="126"/>
        <v>0</v>
      </c>
      <c r="AT179" s="130">
        <f t="shared" si="126"/>
        <v>0</v>
      </c>
      <c r="AU179" s="130">
        <f t="shared" si="126"/>
        <v>0</v>
      </c>
      <c r="AV179" s="130">
        <f t="shared" si="126"/>
        <v>0</v>
      </c>
      <c r="AW179" s="130">
        <f t="shared" si="126"/>
        <v>0</v>
      </c>
      <c r="AX179" s="130">
        <f t="shared" si="126"/>
        <v>0</v>
      </c>
      <c r="AY179" s="130">
        <f t="shared" si="126"/>
        <v>0</v>
      </c>
      <c r="AZ179" s="130">
        <f t="shared" si="126"/>
        <v>0</v>
      </c>
      <c r="BA179" s="130">
        <f t="shared" si="126"/>
        <v>0</v>
      </c>
      <c r="BB179" s="130">
        <f t="shared" si="127"/>
        <v>0</v>
      </c>
      <c r="BC179" s="130">
        <f t="shared" si="127"/>
        <v>0</v>
      </c>
      <c r="BD179" s="130">
        <f t="shared" si="127"/>
        <v>0</v>
      </c>
      <c r="BE179" s="130">
        <f t="shared" si="127"/>
        <v>0</v>
      </c>
      <c r="BF179" s="130" t="e">
        <f>+IF($H179=#REF!,$C179,0)-IF($I179=#REF!,$C179,0)</f>
        <v>#REF!</v>
      </c>
      <c r="BG179" s="130" t="e">
        <f>+IF($H179=#REF!,$C179,0)-IF($I179=#REF!,$C179,0)</f>
        <v>#REF!</v>
      </c>
      <c r="BH179" s="130" t="e">
        <f>+IF($H179=#REF!,$C179,0)-IF($I179=#REF!,$C179,0)</f>
        <v>#REF!</v>
      </c>
      <c r="BI179" s="130">
        <f t="shared" si="128"/>
        <v>0</v>
      </c>
      <c r="BJ179" s="130">
        <f t="shared" si="128"/>
        <v>0</v>
      </c>
      <c r="BK179" s="130">
        <f t="shared" si="128"/>
        <v>0</v>
      </c>
      <c r="BL179" s="130">
        <f t="shared" si="128"/>
        <v>0</v>
      </c>
      <c r="BM179" s="130">
        <f t="shared" si="128"/>
        <v>0</v>
      </c>
      <c r="BN179" s="130">
        <f t="shared" si="128"/>
        <v>0</v>
      </c>
      <c r="BO179" s="130">
        <f t="shared" si="128"/>
        <v>0</v>
      </c>
      <c r="BP179" s="130">
        <f t="shared" si="128"/>
        <v>0</v>
      </c>
      <c r="BQ179" s="130">
        <f t="shared" si="128"/>
        <v>0</v>
      </c>
      <c r="BR179" s="130" t="e">
        <f t="shared" si="129"/>
        <v>#REF!</v>
      </c>
    </row>
    <row r="180" spans="2:70" s="119" customFormat="1" x14ac:dyDescent="0.2">
      <c r="B180" s="128"/>
      <c r="C180" s="129"/>
      <c r="D180" s="129"/>
      <c r="E180" s="129" t="e">
        <f>ROUND(IF(D180=#REF!,0,IF($H180=$S$6,(C180/1.14975*0.05*0.5),C180/1.14975*0.05)),2)</f>
        <v>#REF!</v>
      </c>
      <c r="F180" s="129" t="e">
        <f>ROUND(IF(D180=#REF!,0,IF($H180=$S$6,C180/1.14975*0.09975*0.5,C180/1.14975*0.09975)),2)</f>
        <v>#REF!</v>
      </c>
      <c r="G180" s="129" t="e">
        <f t="shared" si="117"/>
        <v>#REF!</v>
      </c>
      <c r="J180" s="130">
        <f t="shared" si="118"/>
        <v>0</v>
      </c>
      <c r="K180" s="130">
        <f t="shared" si="119"/>
        <v>0</v>
      </c>
      <c r="L180" s="130">
        <f t="shared" si="119"/>
        <v>0</v>
      </c>
      <c r="M180" s="130">
        <f t="shared" si="119"/>
        <v>0</v>
      </c>
      <c r="N180" s="130">
        <f t="shared" si="119"/>
        <v>0</v>
      </c>
      <c r="O180" s="130">
        <f t="shared" si="119"/>
        <v>0</v>
      </c>
      <c r="P180" s="130">
        <f t="shared" si="119"/>
        <v>0</v>
      </c>
      <c r="Q180" s="130">
        <f t="shared" si="119"/>
        <v>0</v>
      </c>
      <c r="R180" s="130">
        <f t="shared" si="119"/>
        <v>0</v>
      </c>
      <c r="S180" s="130">
        <f t="shared" si="119"/>
        <v>0</v>
      </c>
      <c r="T180" s="130">
        <f t="shared" si="119"/>
        <v>0</v>
      </c>
      <c r="U180" s="130">
        <f t="shared" si="120"/>
        <v>0</v>
      </c>
      <c r="V180" s="130">
        <f t="shared" si="120"/>
        <v>0</v>
      </c>
      <c r="W180" s="130">
        <f t="shared" si="120"/>
        <v>0</v>
      </c>
      <c r="X180" s="130">
        <f t="shared" si="120"/>
        <v>0</v>
      </c>
      <c r="Y180" s="130">
        <f t="shared" si="120"/>
        <v>0</v>
      </c>
      <c r="Z180" s="130">
        <f t="shared" si="120"/>
        <v>0</v>
      </c>
      <c r="AA180" s="130">
        <f t="shared" si="120"/>
        <v>0</v>
      </c>
      <c r="AB180" s="130">
        <f t="shared" si="120"/>
        <v>0</v>
      </c>
      <c r="AC180" s="130">
        <f t="shared" si="120"/>
        <v>0</v>
      </c>
      <c r="AD180" s="130">
        <f t="shared" si="120"/>
        <v>0</v>
      </c>
      <c r="AE180" s="130">
        <f t="shared" si="120"/>
        <v>0</v>
      </c>
      <c r="AF180" s="130">
        <f t="shared" si="120"/>
        <v>0</v>
      </c>
      <c r="AG180" s="130">
        <f t="shared" si="120"/>
        <v>0</v>
      </c>
      <c r="AH180" s="130">
        <f t="shared" si="121"/>
        <v>0</v>
      </c>
      <c r="AI180" s="130">
        <f t="shared" si="121"/>
        <v>0</v>
      </c>
      <c r="AJ180" s="130">
        <f t="shared" si="121"/>
        <v>0</v>
      </c>
      <c r="AK180" s="130">
        <f t="shared" si="122"/>
        <v>0</v>
      </c>
      <c r="AL180" s="130">
        <f t="shared" si="123"/>
        <v>0</v>
      </c>
      <c r="AM180" s="130">
        <f t="shared" si="124"/>
        <v>0</v>
      </c>
      <c r="AN180" s="130">
        <f t="shared" si="125"/>
        <v>0</v>
      </c>
      <c r="AO180" s="130">
        <f t="shared" si="126"/>
        <v>0</v>
      </c>
      <c r="AP180" s="130">
        <f t="shared" si="126"/>
        <v>0</v>
      </c>
      <c r="AQ180" s="130">
        <f t="shared" si="126"/>
        <v>0</v>
      </c>
      <c r="AR180" s="130">
        <f t="shared" si="126"/>
        <v>0</v>
      </c>
      <c r="AS180" s="130">
        <f t="shared" si="126"/>
        <v>0</v>
      </c>
      <c r="AT180" s="130">
        <f t="shared" si="126"/>
        <v>0</v>
      </c>
      <c r="AU180" s="130">
        <f t="shared" si="126"/>
        <v>0</v>
      </c>
      <c r="AV180" s="130">
        <f t="shared" si="126"/>
        <v>0</v>
      </c>
      <c r="AW180" s="130">
        <f t="shared" si="126"/>
        <v>0</v>
      </c>
      <c r="AX180" s="130">
        <f t="shared" si="126"/>
        <v>0</v>
      </c>
      <c r="AY180" s="130">
        <f t="shared" si="126"/>
        <v>0</v>
      </c>
      <c r="AZ180" s="130">
        <f t="shared" si="126"/>
        <v>0</v>
      </c>
      <c r="BA180" s="130">
        <f t="shared" si="126"/>
        <v>0</v>
      </c>
      <c r="BB180" s="130">
        <f t="shared" si="127"/>
        <v>0</v>
      </c>
      <c r="BC180" s="130">
        <f t="shared" si="127"/>
        <v>0</v>
      </c>
      <c r="BD180" s="130">
        <f t="shared" si="127"/>
        <v>0</v>
      </c>
      <c r="BE180" s="130">
        <f t="shared" si="127"/>
        <v>0</v>
      </c>
      <c r="BF180" s="130" t="e">
        <f>+IF($H180=#REF!,$C180,0)-IF($I180=#REF!,$C180,0)</f>
        <v>#REF!</v>
      </c>
      <c r="BG180" s="130" t="e">
        <f>+IF($H180=#REF!,$C180,0)-IF($I180=#REF!,$C180,0)</f>
        <v>#REF!</v>
      </c>
      <c r="BH180" s="130" t="e">
        <f>+IF($H180=#REF!,$C180,0)-IF($I180=#REF!,$C180,0)</f>
        <v>#REF!</v>
      </c>
      <c r="BI180" s="130">
        <f t="shared" si="128"/>
        <v>0</v>
      </c>
      <c r="BJ180" s="130">
        <f t="shared" si="128"/>
        <v>0</v>
      </c>
      <c r="BK180" s="130">
        <f t="shared" si="128"/>
        <v>0</v>
      </c>
      <c r="BL180" s="130">
        <f t="shared" si="128"/>
        <v>0</v>
      </c>
      <c r="BM180" s="130">
        <f t="shared" si="128"/>
        <v>0</v>
      </c>
      <c r="BN180" s="130">
        <f t="shared" si="128"/>
        <v>0</v>
      </c>
      <c r="BO180" s="130">
        <f t="shared" si="128"/>
        <v>0</v>
      </c>
      <c r="BP180" s="130">
        <f t="shared" si="128"/>
        <v>0</v>
      </c>
      <c r="BQ180" s="130">
        <f t="shared" si="128"/>
        <v>0</v>
      </c>
      <c r="BR180" s="130" t="e">
        <f t="shared" si="129"/>
        <v>#REF!</v>
      </c>
    </row>
    <row r="181" spans="2:70" s="119" customFormat="1" x14ac:dyDescent="0.2">
      <c r="B181" s="128"/>
      <c r="C181" s="129"/>
      <c r="D181" s="129"/>
      <c r="E181" s="129" t="e">
        <f>ROUND(IF(D181=#REF!,0,IF($H181=$S$6,(C181/1.14975*0.05*0.5),C181/1.14975*0.05)),2)</f>
        <v>#REF!</v>
      </c>
      <c r="F181" s="129" t="e">
        <f>ROUND(IF(D181=#REF!,0,IF($H181=$S$6,C181/1.14975*0.09975*0.5,C181/1.14975*0.09975)),2)</f>
        <v>#REF!</v>
      </c>
      <c r="G181" s="129" t="e">
        <f t="shared" si="117"/>
        <v>#REF!</v>
      </c>
      <c r="J181" s="130">
        <f t="shared" si="118"/>
        <v>0</v>
      </c>
      <c r="K181" s="130">
        <f t="shared" si="119"/>
        <v>0</v>
      </c>
      <c r="L181" s="130">
        <f t="shared" si="119"/>
        <v>0</v>
      </c>
      <c r="M181" s="130">
        <f t="shared" si="119"/>
        <v>0</v>
      </c>
      <c r="N181" s="130">
        <f t="shared" si="119"/>
        <v>0</v>
      </c>
      <c r="O181" s="130">
        <f t="shared" si="119"/>
        <v>0</v>
      </c>
      <c r="P181" s="130">
        <f t="shared" si="119"/>
        <v>0</v>
      </c>
      <c r="Q181" s="130">
        <f t="shared" si="119"/>
        <v>0</v>
      </c>
      <c r="R181" s="130">
        <f t="shared" si="119"/>
        <v>0</v>
      </c>
      <c r="S181" s="130">
        <f t="shared" si="119"/>
        <v>0</v>
      </c>
      <c r="T181" s="130">
        <f t="shared" si="119"/>
        <v>0</v>
      </c>
      <c r="U181" s="130">
        <f t="shared" si="120"/>
        <v>0</v>
      </c>
      <c r="V181" s="130">
        <f t="shared" si="120"/>
        <v>0</v>
      </c>
      <c r="W181" s="130">
        <f t="shared" si="120"/>
        <v>0</v>
      </c>
      <c r="X181" s="130">
        <f t="shared" si="120"/>
        <v>0</v>
      </c>
      <c r="Y181" s="130">
        <f t="shared" si="120"/>
        <v>0</v>
      </c>
      <c r="Z181" s="130">
        <f t="shared" si="120"/>
        <v>0</v>
      </c>
      <c r="AA181" s="130">
        <f t="shared" si="120"/>
        <v>0</v>
      </c>
      <c r="AB181" s="130">
        <f t="shared" si="120"/>
        <v>0</v>
      </c>
      <c r="AC181" s="130">
        <f t="shared" si="120"/>
        <v>0</v>
      </c>
      <c r="AD181" s="130">
        <f t="shared" si="120"/>
        <v>0</v>
      </c>
      <c r="AE181" s="130">
        <f t="shared" si="120"/>
        <v>0</v>
      </c>
      <c r="AF181" s="130">
        <f t="shared" si="120"/>
        <v>0</v>
      </c>
      <c r="AG181" s="130">
        <f t="shared" si="120"/>
        <v>0</v>
      </c>
      <c r="AH181" s="130">
        <f t="shared" si="121"/>
        <v>0</v>
      </c>
      <c r="AI181" s="130">
        <f t="shared" si="121"/>
        <v>0</v>
      </c>
      <c r="AJ181" s="130">
        <f t="shared" si="121"/>
        <v>0</v>
      </c>
      <c r="AK181" s="130">
        <f t="shared" si="122"/>
        <v>0</v>
      </c>
      <c r="AL181" s="130">
        <f t="shared" si="123"/>
        <v>0</v>
      </c>
      <c r="AM181" s="130">
        <f t="shared" si="124"/>
        <v>0</v>
      </c>
      <c r="AN181" s="130">
        <f t="shared" si="125"/>
        <v>0</v>
      </c>
      <c r="AO181" s="130">
        <f t="shared" si="126"/>
        <v>0</v>
      </c>
      <c r="AP181" s="130">
        <f t="shared" si="126"/>
        <v>0</v>
      </c>
      <c r="AQ181" s="130">
        <f t="shared" si="126"/>
        <v>0</v>
      </c>
      <c r="AR181" s="130">
        <f t="shared" si="126"/>
        <v>0</v>
      </c>
      <c r="AS181" s="130">
        <f t="shared" si="126"/>
        <v>0</v>
      </c>
      <c r="AT181" s="130">
        <f t="shared" si="126"/>
        <v>0</v>
      </c>
      <c r="AU181" s="130">
        <f t="shared" si="126"/>
        <v>0</v>
      </c>
      <c r="AV181" s="130">
        <f t="shared" si="126"/>
        <v>0</v>
      </c>
      <c r="AW181" s="130">
        <f t="shared" si="126"/>
        <v>0</v>
      </c>
      <c r="AX181" s="130">
        <f t="shared" si="126"/>
        <v>0</v>
      </c>
      <c r="AY181" s="130">
        <f t="shared" si="126"/>
        <v>0</v>
      </c>
      <c r="AZ181" s="130">
        <f t="shared" si="126"/>
        <v>0</v>
      </c>
      <c r="BA181" s="130">
        <f t="shared" si="126"/>
        <v>0</v>
      </c>
      <c r="BB181" s="130">
        <f t="shared" si="127"/>
        <v>0</v>
      </c>
      <c r="BC181" s="130">
        <f t="shared" si="127"/>
        <v>0</v>
      </c>
      <c r="BD181" s="130">
        <f t="shared" si="127"/>
        <v>0</v>
      </c>
      <c r="BE181" s="130">
        <f t="shared" si="127"/>
        <v>0</v>
      </c>
      <c r="BF181" s="130" t="e">
        <f>+IF($H181=#REF!,$C181,0)-IF($I181=#REF!,$C181,0)</f>
        <v>#REF!</v>
      </c>
      <c r="BG181" s="130" t="e">
        <f>+IF($H181=#REF!,$C181,0)-IF($I181=#REF!,$C181,0)</f>
        <v>#REF!</v>
      </c>
      <c r="BH181" s="130" t="e">
        <f>+IF($H181=#REF!,$C181,0)-IF($I181=#REF!,$C181,0)</f>
        <v>#REF!</v>
      </c>
      <c r="BI181" s="130">
        <f t="shared" si="128"/>
        <v>0</v>
      </c>
      <c r="BJ181" s="130">
        <f t="shared" si="128"/>
        <v>0</v>
      </c>
      <c r="BK181" s="130">
        <f t="shared" si="128"/>
        <v>0</v>
      </c>
      <c r="BL181" s="130">
        <f t="shared" si="128"/>
        <v>0</v>
      </c>
      <c r="BM181" s="130">
        <f t="shared" si="128"/>
        <v>0</v>
      </c>
      <c r="BN181" s="130">
        <f t="shared" si="128"/>
        <v>0</v>
      </c>
      <c r="BO181" s="130">
        <f t="shared" si="128"/>
        <v>0</v>
      </c>
      <c r="BP181" s="130">
        <f t="shared" si="128"/>
        <v>0</v>
      </c>
      <c r="BQ181" s="130">
        <f t="shared" si="128"/>
        <v>0</v>
      </c>
      <c r="BR181" s="130" t="e">
        <f t="shared" si="129"/>
        <v>#REF!</v>
      </c>
    </row>
    <row r="182" spans="2:70" s="119" customFormat="1" x14ac:dyDescent="0.2">
      <c r="B182" s="128"/>
      <c r="C182" s="129"/>
      <c r="D182" s="129"/>
      <c r="E182" s="129" t="e">
        <f>ROUND(IF(D182=#REF!,0,IF($H182=$S$6,(C182/1.14975*0.05*0.5),C182/1.14975*0.05)),2)</f>
        <v>#REF!</v>
      </c>
      <c r="F182" s="129" t="e">
        <f>ROUND(IF(D182=#REF!,0,IF($H182=$S$6,C182/1.14975*0.09975*0.5,C182/1.14975*0.09975)),2)</f>
        <v>#REF!</v>
      </c>
      <c r="G182" s="129" t="e">
        <f t="shared" si="117"/>
        <v>#REF!</v>
      </c>
      <c r="J182" s="130">
        <f t="shared" si="118"/>
        <v>0</v>
      </c>
      <c r="K182" s="130">
        <f t="shared" si="119"/>
        <v>0</v>
      </c>
      <c r="L182" s="130">
        <f t="shared" si="119"/>
        <v>0</v>
      </c>
      <c r="M182" s="130">
        <f t="shared" si="119"/>
        <v>0</v>
      </c>
      <c r="N182" s="130">
        <f t="shared" si="119"/>
        <v>0</v>
      </c>
      <c r="O182" s="130">
        <f t="shared" si="119"/>
        <v>0</v>
      </c>
      <c r="P182" s="130">
        <f t="shared" si="119"/>
        <v>0</v>
      </c>
      <c r="Q182" s="130">
        <f t="shared" si="119"/>
        <v>0</v>
      </c>
      <c r="R182" s="130">
        <f t="shared" si="119"/>
        <v>0</v>
      </c>
      <c r="S182" s="130">
        <f t="shared" si="119"/>
        <v>0</v>
      </c>
      <c r="T182" s="130">
        <f t="shared" si="119"/>
        <v>0</v>
      </c>
      <c r="U182" s="130">
        <f t="shared" si="120"/>
        <v>0</v>
      </c>
      <c r="V182" s="130">
        <f t="shared" si="120"/>
        <v>0</v>
      </c>
      <c r="W182" s="130">
        <f t="shared" si="120"/>
        <v>0</v>
      </c>
      <c r="X182" s="130">
        <f t="shared" si="120"/>
        <v>0</v>
      </c>
      <c r="Y182" s="130">
        <f t="shared" si="120"/>
        <v>0</v>
      </c>
      <c r="Z182" s="130">
        <f t="shared" si="120"/>
        <v>0</v>
      </c>
      <c r="AA182" s="130">
        <f t="shared" si="120"/>
        <v>0</v>
      </c>
      <c r="AB182" s="130">
        <f t="shared" si="120"/>
        <v>0</v>
      </c>
      <c r="AC182" s="130">
        <f t="shared" si="120"/>
        <v>0</v>
      </c>
      <c r="AD182" s="130">
        <f t="shared" si="120"/>
        <v>0</v>
      </c>
      <c r="AE182" s="130">
        <f t="shared" si="120"/>
        <v>0</v>
      </c>
      <c r="AF182" s="130">
        <f t="shared" si="120"/>
        <v>0</v>
      </c>
      <c r="AG182" s="130">
        <f t="shared" si="120"/>
        <v>0</v>
      </c>
      <c r="AH182" s="130">
        <f t="shared" si="121"/>
        <v>0</v>
      </c>
      <c r="AI182" s="130">
        <f t="shared" si="121"/>
        <v>0</v>
      </c>
      <c r="AJ182" s="130">
        <f t="shared" si="121"/>
        <v>0</v>
      </c>
      <c r="AK182" s="130">
        <f t="shared" si="122"/>
        <v>0</v>
      </c>
      <c r="AL182" s="130">
        <f t="shared" si="123"/>
        <v>0</v>
      </c>
      <c r="AM182" s="130">
        <f t="shared" si="124"/>
        <v>0</v>
      </c>
      <c r="AN182" s="130">
        <f t="shared" si="125"/>
        <v>0</v>
      </c>
      <c r="AO182" s="130">
        <f t="shared" si="126"/>
        <v>0</v>
      </c>
      <c r="AP182" s="130">
        <f t="shared" si="126"/>
        <v>0</v>
      </c>
      <c r="AQ182" s="130">
        <f t="shared" si="126"/>
        <v>0</v>
      </c>
      <c r="AR182" s="130">
        <f t="shared" si="126"/>
        <v>0</v>
      </c>
      <c r="AS182" s="130">
        <f t="shared" si="126"/>
        <v>0</v>
      </c>
      <c r="AT182" s="130">
        <f t="shared" si="126"/>
        <v>0</v>
      </c>
      <c r="AU182" s="130">
        <f t="shared" si="126"/>
        <v>0</v>
      </c>
      <c r="AV182" s="130">
        <f t="shared" si="126"/>
        <v>0</v>
      </c>
      <c r="AW182" s="130">
        <f t="shared" si="126"/>
        <v>0</v>
      </c>
      <c r="AX182" s="130">
        <f t="shared" si="126"/>
        <v>0</v>
      </c>
      <c r="AY182" s="130">
        <f t="shared" si="126"/>
        <v>0</v>
      </c>
      <c r="AZ182" s="130">
        <f t="shared" si="126"/>
        <v>0</v>
      </c>
      <c r="BA182" s="130">
        <f t="shared" si="126"/>
        <v>0</v>
      </c>
      <c r="BB182" s="130">
        <f t="shared" si="127"/>
        <v>0</v>
      </c>
      <c r="BC182" s="130">
        <f t="shared" si="127"/>
        <v>0</v>
      </c>
      <c r="BD182" s="130">
        <f t="shared" si="127"/>
        <v>0</v>
      </c>
      <c r="BE182" s="130">
        <f t="shared" si="127"/>
        <v>0</v>
      </c>
      <c r="BF182" s="130" t="e">
        <f>+IF($H182=#REF!,$C182,0)-IF($I182=#REF!,$C182,0)</f>
        <v>#REF!</v>
      </c>
      <c r="BG182" s="130" t="e">
        <f>+IF($H182=#REF!,$C182,0)-IF($I182=#REF!,$C182,0)</f>
        <v>#REF!</v>
      </c>
      <c r="BH182" s="130" t="e">
        <f>+IF($H182=#REF!,$C182,0)-IF($I182=#REF!,$C182,0)</f>
        <v>#REF!</v>
      </c>
      <c r="BI182" s="130">
        <f t="shared" si="128"/>
        <v>0</v>
      </c>
      <c r="BJ182" s="130">
        <f t="shared" si="128"/>
        <v>0</v>
      </c>
      <c r="BK182" s="130">
        <f t="shared" si="128"/>
        <v>0</v>
      </c>
      <c r="BL182" s="130">
        <f t="shared" si="128"/>
        <v>0</v>
      </c>
      <c r="BM182" s="130">
        <f t="shared" si="128"/>
        <v>0</v>
      </c>
      <c r="BN182" s="130">
        <f t="shared" si="128"/>
        <v>0</v>
      </c>
      <c r="BO182" s="130">
        <f t="shared" si="128"/>
        <v>0</v>
      </c>
      <c r="BP182" s="130">
        <f t="shared" si="128"/>
        <v>0</v>
      </c>
      <c r="BQ182" s="130">
        <f t="shared" si="128"/>
        <v>0</v>
      </c>
      <c r="BR182" s="130" t="e">
        <f t="shared" si="129"/>
        <v>#REF!</v>
      </c>
    </row>
    <row r="183" spans="2:70" s="119" customFormat="1" x14ac:dyDescent="0.2">
      <c r="B183" s="128"/>
      <c r="C183" s="129"/>
      <c r="D183" s="129"/>
      <c r="E183" s="129" t="e">
        <f>ROUND(IF(D183=#REF!,0,IF($H183=$S$6,(C183/1.14975*0.05*0.5),C183/1.14975*0.05)),2)</f>
        <v>#REF!</v>
      </c>
      <c r="F183" s="129" t="e">
        <f>ROUND(IF(D183=#REF!,0,IF($H183=$S$6,C183/1.14975*0.09975*0.5,C183/1.14975*0.09975)),2)</f>
        <v>#REF!</v>
      </c>
      <c r="G183" s="129" t="e">
        <f t="shared" si="117"/>
        <v>#REF!</v>
      </c>
      <c r="J183" s="130">
        <f t="shared" si="118"/>
        <v>0</v>
      </c>
      <c r="K183" s="130">
        <f t="shared" si="119"/>
        <v>0</v>
      </c>
      <c r="L183" s="130">
        <f t="shared" si="119"/>
        <v>0</v>
      </c>
      <c r="M183" s="130">
        <f t="shared" si="119"/>
        <v>0</v>
      </c>
      <c r="N183" s="130">
        <f t="shared" si="119"/>
        <v>0</v>
      </c>
      <c r="O183" s="130">
        <f t="shared" si="119"/>
        <v>0</v>
      </c>
      <c r="P183" s="130">
        <f t="shared" si="119"/>
        <v>0</v>
      </c>
      <c r="Q183" s="130">
        <f t="shared" si="119"/>
        <v>0</v>
      </c>
      <c r="R183" s="130">
        <f t="shared" si="119"/>
        <v>0</v>
      </c>
      <c r="S183" s="130">
        <f t="shared" si="119"/>
        <v>0</v>
      </c>
      <c r="T183" s="130">
        <f t="shared" si="119"/>
        <v>0</v>
      </c>
      <c r="U183" s="130">
        <f t="shared" si="120"/>
        <v>0</v>
      </c>
      <c r="V183" s="130">
        <f t="shared" si="120"/>
        <v>0</v>
      </c>
      <c r="W183" s="130">
        <f t="shared" si="120"/>
        <v>0</v>
      </c>
      <c r="X183" s="130">
        <f t="shared" si="120"/>
        <v>0</v>
      </c>
      <c r="Y183" s="130">
        <f t="shared" si="120"/>
        <v>0</v>
      </c>
      <c r="Z183" s="130">
        <f t="shared" si="120"/>
        <v>0</v>
      </c>
      <c r="AA183" s="130">
        <f t="shared" si="120"/>
        <v>0</v>
      </c>
      <c r="AB183" s="130">
        <f t="shared" si="120"/>
        <v>0</v>
      </c>
      <c r="AC183" s="130">
        <f t="shared" si="120"/>
        <v>0</v>
      </c>
      <c r="AD183" s="130">
        <f t="shared" si="120"/>
        <v>0</v>
      </c>
      <c r="AE183" s="130">
        <f t="shared" si="120"/>
        <v>0</v>
      </c>
      <c r="AF183" s="130">
        <f t="shared" si="120"/>
        <v>0</v>
      </c>
      <c r="AG183" s="130">
        <f t="shared" si="120"/>
        <v>0</v>
      </c>
      <c r="AH183" s="130">
        <f t="shared" si="121"/>
        <v>0</v>
      </c>
      <c r="AI183" s="130">
        <f t="shared" si="121"/>
        <v>0</v>
      </c>
      <c r="AJ183" s="130">
        <f t="shared" si="121"/>
        <v>0</v>
      </c>
      <c r="AK183" s="130">
        <f t="shared" si="122"/>
        <v>0</v>
      </c>
      <c r="AL183" s="130">
        <f t="shared" si="123"/>
        <v>0</v>
      </c>
      <c r="AM183" s="130">
        <f t="shared" si="124"/>
        <v>0</v>
      </c>
      <c r="AN183" s="130">
        <f t="shared" si="125"/>
        <v>0</v>
      </c>
      <c r="AO183" s="130">
        <f t="shared" si="126"/>
        <v>0</v>
      </c>
      <c r="AP183" s="130">
        <f t="shared" si="126"/>
        <v>0</v>
      </c>
      <c r="AQ183" s="130">
        <f t="shared" si="126"/>
        <v>0</v>
      </c>
      <c r="AR183" s="130">
        <f t="shared" si="126"/>
        <v>0</v>
      </c>
      <c r="AS183" s="130">
        <f t="shared" si="126"/>
        <v>0</v>
      </c>
      <c r="AT183" s="130">
        <f t="shared" si="126"/>
        <v>0</v>
      </c>
      <c r="AU183" s="130">
        <f t="shared" si="126"/>
        <v>0</v>
      </c>
      <c r="AV183" s="130">
        <f t="shared" si="126"/>
        <v>0</v>
      </c>
      <c r="AW183" s="130">
        <f t="shared" si="126"/>
        <v>0</v>
      </c>
      <c r="AX183" s="130">
        <f t="shared" si="126"/>
        <v>0</v>
      </c>
      <c r="AY183" s="130">
        <f t="shared" si="126"/>
        <v>0</v>
      </c>
      <c r="AZ183" s="130">
        <f t="shared" si="126"/>
        <v>0</v>
      </c>
      <c r="BA183" s="130">
        <f t="shared" si="126"/>
        <v>0</v>
      </c>
      <c r="BB183" s="130">
        <f t="shared" si="127"/>
        <v>0</v>
      </c>
      <c r="BC183" s="130">
        <f t="shared" si="127"/>
        <v>0</v>
      </c>
      <c r="BD183" s="130">
        <f t="shared" si="127"/>
        <v>0</v>
      </c>
      <c r="BE183" s="130">
        <f t="shared" si="127"/>
        <v>0</v>
      </c>
      <c r="BF183" s="130" t="e">
        <f>+IF($H183=#REF!,$C183,0)-IF($I183=#REF!,$C183,0)</f>
        <v>#REF!</v>
      </c>
      <c r="BG183" s="130" t="e">
        <f>+IF($H183=#REF!,$C183,0)-IF($I183=#REF!,$C183,0)</f>
        <v>#REF!</v>
      </c>
      <c r="BH183" s="130" t="e">
        <f>+IF($H183=#REF!,$C183,0)-IF($I183=#REF!,$C183,0)</f>
        <v>#REF!</v>
      </c>
      <c r="BI183" s="130">
        <f t="shared" si="128"/>
        <v>0</v>
      </c>
      <c r="BJ183" s="130">
        <f t="shared" si="128"/>
        <v>0</v>
      </c>
      <c r="BK183" s="130">
        <f t="shared" si="128"/>
        <v>0</v>
      </c>
      <c r="BL183" s="130">
        <f t="shared" si="128"/>
        <v>0</v>
      </c>
      <c r="BM183" s="130">
        <f t="shared" si="128"/>
        <v>0</v>
      </c>
      <c r="BN183" s="130">
        <f t="shared" si="128"/>
        <v>0</v>
      </c>
      <c r="BO183" s="130">
        <f t="shared" si="128"/>
        <v>0</v>
      </c>
      <c r="BP183" s="130">
        <f t="shared" si="128"/>
        <v>0</v>
      </c>
      <c r="BQ183" s="130">
        <f t="shared" si="128"/>
        <v>0</v>
      </c>
      <c r="BR183" s="130" t="e">
        <f t="shared" si="129"/>
        <v>#REF!</v>
      </c>
    </row>
    <row r="184" spans="2:70" s="119" customFormat="1" x14ac:dyDescent="0.2">
      <c r="B184" s="128"/>
      <c r="C184" s="129"/>
      <c r="D184" s="129"/>
      <c r="E184" s="129" t="e">
        <f>ROUND(IF(D184=#REF!,0,IF($H184=$S$6,(C184/1.14975*0.05*0.5),C184/1.14975*0.05)),2)</f>
        <v>#REF!</v>
      </c>
      <c r="F184" s="129" t="e">
        <f>ROUND(IF(D184=#REF!,0,IF($H184=$S$6,C184/1.14975*0.09975*0.5,C184/1.14975*0.09975)),2)</f>
        <v>#REF!</v>
      </c>
      <c r="G184" s="129" t="e">
        <f t="shared" ref="G184:G189" si="130">C184-E184-F184</f>
        <v>#REF!</v>
      </c>
      <c r="J184" s="130">
        <f t="shared" ref="J184:J200" si="131">+IF($H184=$J$6,$G184,0)-IF($I184=$J$6,$G184,0)</f>
        <v>0</v>
      </c>
      <c r="K184" s="130">
        <f t="shared" ref="K184:T197" si="132">+IF($H184=K$6,$G184,0)-IF($I184=K$6,$G184,0)</f>
        <v>0</v>
      </c>
      <c r="L184" s="130">
        <f t="shared" si="132"/>
        <v>0</v>
      </c>
      <c r="M184" s="130">
        <f t="shared" si="132"/>
        <v>0</v>
      </c>
      <c r="N184" s="130">
        <f t="shared" si="132"/>
        <v>0</v>
      </c>
      <c r="O184" s="130">
        <f t="shared" si="132"/>
        <v>0</v>
      </c>
      <c r="P184" s="130">
        <f t="shared" si="132"/>
        <v>0</v>
      </c>
      <c r="Q184" s="130">
        <f t="shared" si="132"/>
        <v>0</v>
      </c>
      <c r="R184" s="130">
        <f t="shared" si="132"/>
        <v>0</v>
      </c>
      <c r="S184" s="130">
        <f t="shared" si="132"/>
        <v>0</v>
      </c>
      <c r="T184" s="130">
        <f t="shared" si="132"/>
        <v>0</v>
      </c>
      <c r="U184" s="130">
        <f t="shared" ref="U184:AG197" si="133">+IF($H184=U$6,$G184,0)-IF($I184=U$6,$G184,0)</f>
        <v>0</v>
      </c>
      <c r="V184" s="130">
        <f t="shared" si="133"/>
        <v>0</v>
      </c>
      <c r="W184" s="130">
        <f t="shared" si="133"/>
        <v>0</v>
      </c>
      <c r="X184" s="130">
        <f t="shared" si="133"/>
        <v>0</v>
      </c>
      <c r="Y184" s="130">
        <f t="shared" si="133"/>
        <v>0</v>
      </c>
      <c r="Z184" s="130">
        <f t="shared" si="133"/>
        <v>0</v>
      </c>
      <c r="AA184" s="130">
        <f t="shared" si="133"/>
        <v>0</v>
      </c>
      <c r="AB184" s="130">
        <f t="shared" si="133"/>
        <v>0</v>
      </c>
      <c r="AC184" s="130">
        <f t="shared" si="133"/>
        <v>0</v>
      </c>
      <c r="AD184" s="130">
        <f t="shared" si="133"/>
        <v>0</v>
      </c>
      <c r="AE184" s="130">
        <f t="shared" si="133"/>
        <v>0</v>
      </c>
      <c r="AF184" s="130">
        <f t="shared" si="133"/>
        <v>0</v>
      </c>
      <c r="AG184" s="130">
        <f t="shared" si="133"/>
        <v>0</v>
      </c>
      <c r="AH184" s="130">
        <f t="shared" ref="AH184:AJ198" si="134">+IF($H184=AH$6,$C184,0)-IF($I184=AH$6,$C184,0)</f>
        <v>0</v>
      </c>
      <c r="AI184" s="130">
        <f t="shared" si="134"/>
        <v>0</v>
      </c>
      <c r="AJ184" s="130">
        <f t="shared" si="134"/>
        <v>0</v>
      </c>
      <c r="AK184" s="130">
        <f t="shared" ref="AK184:AK189" si="135">IF(D184="payée",$E184,0)</f>
        <v>0</v>
      </c>
      <c r="AL184" s="130">
        <f t="shared" ref="AL184:AL189" si="136">IF(D184="payée",$F184,0)</f>
        <v>0</v>
      </c>
      <c r="AM184" s="130">
        <f t="shared" ref="AM184:AM189" si="137">IF(D184="perçue",-$E184,0)</f>
        <v>0</v>
      </c>
      <c r="AN184" s="130">
        <f t="shared" ref="AN184:AN189" si="138">IF(D184="perçue",-$F184,0)</f>
        <v>0</v>
      </c>
      <c r="AO184" s="130">
        <f t="shared" ref="AO184:BA197" si="139">+IF($H184=AO$6,$G184,0)-IF($I184=AO$6,$G184,0)</f>
        <v>0</v>
      </c>
      <c r="AP184" s="130">
        <f t="shared" si="139"/>
        <v>0</v>
      </c>
      <c r="AQ184" s="130">
        <f t="shared" si="139"/>
        <v>0</v>
      </c>
      <c r="AR184" s="130">
        <f t="shared" si="139"/>
        <v>0</v>
      </c>
      <c r="AS184" s="130">
        <f t="shared" si="139"/>
        <v>0</v>
      </c>
      <c r="AT184" s="130">
        <f t="shared" si="139"/>
        <v>0</v>
      </c>
      <c r="AU184" s="130">
        <f t="shared" si="139"/>
        <v>0</v>
      </c>
      <c r="AV184" s="130">
        <f t="shared" si="139"/>
        <v>0</v>
      </c>
      <c r="AW184" s="130">
        <f t="shared" si="139"/>
        <v>0</v>
      </c>
      <c r="AX184" s="130">
        <f t="shared" si="139"/>
        <v>0</v>
      </c>
      <c r="AY184" s="130">
        <f t="shared" si="139"/>
        <v>0</v>
      </c>
      <c r="AZ184" s="130">
        <f t="shared" si="139"/>
        <v>0</v>
      </c>
      <c r="BA184" s="130">
        <f t="shared" si="139"/>
        <v>0</v>
      </c>
      <c r="BB184" s="130">
        <f t="shared" ref="BB184:BE198" si="140">+IF($H184=BB$6,$C184,0)-IF($I184=BB$6,$C184,0)</f>
        <v>0</v>
      </c>
      <c r="BC184" s="130">
        <f t="shared" si="140"/>
        <v>0</v>
      </c>
      <c r="BD184" s="130">
        <f t="shared" si="140"/>
        <v>0</v>
      </c>
      <c r="BE184" s="130">
        <f t="shared" si="140"/>
        <v>0</v>
      </c>
      <c r="BF184" s="130" t="e">
        <f>+IF($H184=#REF!,$C184,0)-IF($I184=#REF!,$C184,0)</f>
        <v>#REF!</v>
      </c>
      <c r="BG184" s="130" t="e">
        <f>+IF($H184=#REF!,$C184,0)-IF($I184=#REF!,$C184,0)</f>
        <v>#REF!</v>
      </c>
      <c r="BH184" s="130" t="e">
        <f>+IF($H184=#REF!,$C184,0)-IF($I184=#REF!,$C184,0)</f>
        <v>#REF!</v>
      </c>
      <c r="BI184" s="130">
        <f t="shared" ref="BI184:BQ197" si="141">+IF($H184=BI$6,$G184,0)-IF($I184=BI$6,$G184,0)</f>
        <v>0</v>
      </c>
      <c r="BJ184" s="130">
        <f t="shared" si="141"/>
        <v>0</v>
      </c>
      <c r="BK184" s="130">
        <f t="shared" si="141"/>
        <v>0</v>
      </c>
      <c r="BL184" s="130">
        <f t="shared" si="141"/>
        <v>0</v>
      </c>
      <c r="BM184" s="130">
        <f t="shared" si="141"/>
        <v>0</v>
      </c>
      <c r="BN184" s="130">
        <f t="shared" si="141"/>
        <v>0</v>
      </c>
      <c r="BO184" s="130">
        <f t="shared" si="141"/>
        <v>0</v>
      </c>
      <c r="BP184" s="130">
        <f t="shared" si="141"/>
        <v>0</v>
      </c>
      <c r="BQ184" s="130">
        <f t="shared" si="141"/>
        <v>0</v>
      </c>
      <c r="BR184" s="130" t="e">
        <f t="shared" ref="BR184:BR189" si="142">SUM(J184:BQ184)</f>
        <v>#REF!</v>
      </c>
    </row>
    <row r="185" spans="2:70" s="119" customFormat="1" x14ac:dyDescent="0.2">
      <c r="B185" s="128"/>
      <c r="C185" s="129"/>
      <c r="D185" s="129"/>
      <c r="E185" s="129" t="e">
        <f>ROUND(IF(D185=#REF!,0,IF($H185=$S$6,(C185/1.14975*0.05*0.5),C185/1.14975*0.05)),2)</f>
        <v>#REF!</v>
      </c>
      <c r="F185" s="129" t="e">
        <f>ROUND(IF(D185=#REF!,0,IF($H185=$S$6,C185/1.14975*0.09975*0.5,C185/1.14975*0.09975)),2)</f>
        <v>#REF!</v>
      </c>
      <c r="G185" s="129" t="e">
        <f>C185-E185-F185</f>
        <v>#REF!</v>
      </c>
      <c r="J185" s="130">
        <f t="shared" si="131"/>
        <v>0</v>
      </c>
      <c r="K185" s="130">
        <f t="shared" si="132"/>
        <v>0</v>
      </c>
      <c r="L185" s="130">
        <f t="shared" si="132"/>
        <v>0</v>
      </c>
      <c r="M185" s="130">
        <f t="shared" si="132"/>
        <v>0</v>
      </c>
      <c r="N185" s="130">
        <f t="shared" si="132"/>
        <v>0</v>
      </c>
      <c r="O185" s="130">
        <f t="shared" si="132"/>
        <v>0</v>
      </c>
      <c r="P185" s="130">
        <f t="shared" si="132"/>
        <v>0</v>
      </c>
      <c r="Q185" s="130">
        <f t="shared" si="132"/>
        <v>0</v>
      </c>
      <c r="R185" s="130">
        <f t="shared" si="132"/>
        <v>0</v>
      </c>
      <c r="S185" s="130">
        <f t="shared" si="132"/>
        <v>0</v>
      </c>
      <c r="T185" s="130">
        <f t="shared" si="132"/>
        <v>0</v>
      </c>
      <c r="U185" s="130">
        <f t="shared" si="133"/>
        <v>0</v>
      </c>
      <c r="V185" s="130">
        <f t="shared" si="133"/>
        <v>0</v>
      </c>
      <c r="W185" s="130">
        <f t="shared" si="133"/>
        <v>0</v>
      </c>
      <c r="X185" s="130">
        <f t="shared" si="133"/>
        <v>0</v>
      </c>
      <c r="Y185" s="130">
        <f t="shared" si="133"/>
        <v>0</v>
      </c>
      <c r="Z185" s="130">
        <f t="shared" si="133"/>
        <v>0</v>
      </c>
      <c r="AA185" s="130">
        <f t="shared" si="133"/>
        <v>0</v>
      </c>
      <c r="AB185" s="130">
        <f t="shared" si="133"/>
        <v>0</v>
      </c>
      <c r="AC185" s="130">
        <f t="shared" si="133"/>
        <v>0</v>
      </c>
      <c r="AD185" s="130">
        <f t="shared" si="133"/>
        <v>0</v>
      </c>
      <c r="AE185" s="130">
        <f t="shared" si="133"/>
        <v>0</v>
      </c>
      <c r="AF185" s="130">
        <f t="shared" si="133"/>
        <v>0</v>
      </c>
      <c r="AG185" s="130">
        <f t="shared" si="133"/>
        <v>0</v>
      </c>
      <c r="AH185" s="130">
        <f t="shared" si="134"/>
        <v>0</v>
      </c>
      <c r="AI185" s="130">
        <f t="shared" si="134"/>
        <v>0</v>
      </c>
      <c r="AJ185" s="130">
        <f t="shared" si="134"/>
        <v>0</v>
      </c>
      <c r="AK185" s="130">
        <f t="shared" si="135"/>
        <v>0</v>
      </c>
      <c r="AL185" s="130">
        <f t="shared" si="136"/>
        <v>0</v>
      </c>
      <c r="AM185" s="130">
        <f t="shared" si="137"/>
        <v>0</v>
      </c>
      <c r="AN185" s="130">
        <f t="shared" si="138"/>
        <v>0</v>
      </c>
      <c r="AO185" s="130">
        <f t="shared" si="139"/>
        <v>0</v>
      </c>
      <c r="AP185" s="130">
        <f t="shared" si="139"/>
        <v>0</v>
      </c>
      <c r="AQ185" s="130">
        <f t="shared" si="139"/>
        <v>0</v>
      </c>
      <c r="AR185" s="130">
        <f t="shared" si="139"/>
        <v>0</v>
      </c>
      <c r="AS185" s="130">
        <f t="shared" si="139"/>
        <v>0</v>
      </c>
      <c r="AT185" s="130">
        <f t="shared" si="139"/>
        <v>0</v>
      </c>
      <c r="AU185" s="130">
        <f t="shared" si="139"/>
        <v>0</v>
      </c>
      <c r="AV185" s="130">
        <f t="shared" si="139"/>
        <v>0</v>
      </c>
      <c r="AW185" s="130">
        <f t="shared" si="139"/>
        <v>0</v>
      </c>
      <c r="AX185" s="130">
        <f t="shared" si="139"/>
        <v>0</v>
      </c>
      <c r="AY185" s="130">
        <f t="shared" si="139"/>
        <v>0</v>
      </c>
      <c r="AZ185" s="130">
        <f t="shared" si="139"/>
        <v>0</v>
      </c>
      <c r="BA185" s="130">
        <f t="shared" si="139"/>
        <v>0</v>
      </c>
      <c r="BB185" s="130">
        <f t="shared" si="140"/>
        <v>0</v>
      </c>
      <c r="BC185" s="130">
        <f t="shared" si="140"/>
        <v>0</v>
      </c>
      <c r="BD185" s="130">
        <f t="shared" si="140"/>
        <v>0</v>
      </c>
      <c r="BE185" s="130">
        <f t="shared" si="140"/>
        <v>0</v>
      </c>
      <c r="BF185" s="130" t="e">
        <f>+IF($H185=#REF!,$C185,0)-IF($I185=#REF!,$C185,0)</f>
        <v>#REF!</v>
      </c>
      <c r="BG185" s="130" t="e">
        <f>+IF($H185=#REF!,$C185,0)-IF($I185=#REF!,$C185,0)</f>
        <v>#REF!</v>
      </c>
      <c r="BH185" s="130" t="e">
        <f>+IF($H185=#REF!,$C185,0)-IF($I185=#REF!,$C185,0)</f>
        <v>#REF!</v>
      </c>
      <c r="BI185" s="130">
        <f t="shared" si="141"/>
        <v>0</v>
      </c>
      <c r="BJ185" s="130">
        <f t="shared" si="141"/>
        <v>0</v>
      </c>
      <c r="BK185" s="130">
        <f t="shared" si="141"/>
        <v>0</v>
      </c>
      <c r="BL185" s="130">
        <f t="shared" si="141"/>
        <v>0</v>
      </c>
      <c r="BM185" s="130">
        <f t="shared" si="141"/>
        <v>0</v>
      </c>
      <c r="BN185" s="130">
        <f t="shared" si="141"/>
        <v>0</v>
      </c>
      <c r="BO185" s="130">
        <f t="shared" si="141"/>
        <v>0</v>
      </c>
      <c r="BP185" s="130">
        <f t="shared" si="141"/>
        <v>0</v>
      </c>
      <c r="BQ185" s="130">
        <f t="shared" si="141"/>
        <v>0</v>
      </c>
      <c r="BR185" s="130" t="e">
        <f t="shared" si="142"/>
        <v>#REF!</v>
      </c>
    </row>
    <row r="186" spans="2:70" s="119" customFormat="1" x14ac:dyDescent="0.2">
      <c r="B186" s="128"/>
      <c r="C186" s="129"/>
      <c r="D186" s="129"/>
      <c r="E186" s="129" t="e">
        <f>ROUND(IF(D186=#REF!,0,IF($H186=$S$6,(C186/1.14975*0.05*0.5),C186/1.14975*0.05)),2)</f>
        <v>#REF!</v>
      </c>
      <c r="F186" s="129" t="e">
        <f>ROUND(IF(D186=#REF!,0,IF($H186=$S$6,C186/1.14975*0.09975*0.5,C186/1.14975*0.09975)),2)</f>
        <v>#REF!</v>
      </c>
      <c r="G186" s="129" t="e">
        <f t="shared" si="130"/>
        <v>#REF!</v>
      </c>
      <c r="J186" s="130">
        <f t="shared" si="131"/>
        <v>0</v>
      </c>
      <c r="K186" s="130">
        <f t="shared" si="132"/>
        <v>0</v>
      </c>
      <c r="L186" s="130">
        <f t="shared" si="132"/>
        <v>0</v>
      </c>
      <c r="M186" s="130">
        <f t="shared" si="132"/>
        <v>0</v>
      </c>
      <c r="N186" s="130">
        <f t="shared" si="132"/>
        <v>0</v>
      </c>
      <c r="O186" s="130">
        <f t="shared" si="132"/>
        <v>0</v>
      </c>
      <c r="P186" s="130">
        <f t="shared" si="132"/>
        <v>0</v>
      </c>
      <c r="Q186" s="130">
        <f t="shared" si="132"/>
        <v>0</v>
      </c>
      <c r="R186" s="130">
        <f t="shared" si="132"/>
        <v>0</v>
      </c>
      <c r="S186" s="130">
        <f t="shared" si="132"/>
        <v>0</v>
      </c>
      <c r="T186" s="130">
        <f t="shared" si="132"/>
        <v>0</v>
      </c>
      <c r="U186" s="130">
        <f t="shared" si="133"/>
        <v>0</v>
      </c>
      <c r="V186" s="130">
        <f t="shared" si="133"/>
        <v>0</v>
      </c>
      <c r="W186" s="130">
        <f t="shared" si="133"/>
        <v>0</v>
      </c>
      <c r="X186" s="130">
        <f t="shared" si="133"/>
        <v>0</v>
      </c>
      <c r="Y186" s="130">
        <f t="shared" si="133"/>
        <v>0</v>
      </c>
      <c r="Z186" s="130">
        <f t="shared" si="133"/>
        <v>0</v>
      </c>
      <c r="AA186" s="130">
        <f t="shared" si="133"/>
        <v>0</v>
      </c>
      <c r="AB186" s="130">
        <f t="shared" si="133"/>
        <v>0</v>
      </c>
      <c r="AC186" s="130">
        <f t="shared" si="133"/>
        <v>0</v>
      </c>
      <c r="AD186" s="130">
        <f t="shared" si="133"/>
        <v>0</v>
      </c>
      <c r="AE186" s="130">
        <f t="shared" si="133"/>
        <v>0</v>
      </c>
      <c r="AF186" s="130">
        <f t="shared" si="133"/>
        <v>0</v>
      </c>
      <c r="AG186" s="130">
        <f t="shared" si="133"/>
        <v>0</v>
      </c>
      <c r="AH186" s="130">
        <f t="shared" si="134"/>
        <v>0</v>
      </c>
      <c r="AI186" s="130">
        <f t="shared" si="134"/>
        <v>0</v>
      </c>
      <c r="AJ186" s="130">
        <f t="shared" si="134"/>
        <v>0</v>
      </c>
      <c r="AK186" s="130">
        <f t="shared" si="135"/>
        <v>0</v>
      </c>
      <c r="AL186" s="130">
        <f t="shared" si="136"/>
        <v>0</v>
      </c>
      <c r="AM186" s="130">
        <f t="shared" si="137"/>
        <v>0</v>
      </c>
      <c r="AN186" s="130">
        <f t="shared" si="138"/>
        <v>0</v>
      </c>
      <c r="AO186" s="130">
        <f t="shared" si="139"/>
        <v>0</v>
      </c>
      <c r="AP186" s="130">
        <f t="shared" si="139"/>
        <v>0</v>
      </c>
      <c r="AQ186" s="130">
        <f t="shared" si="139"/>
        <v>0</v>
      </c>
      <c r="AR186" s="130">
        <f t="shared" si="139"/>
        <v>0</v>
      </c>
      <c r="AS186" s="130">
        <f t="shared" si="139"/>
        <v>0</v>
      </c>
      <c r="AT186" s="130">
        <f t="shared" si="139"/>
        <v>0</v>
      </c>
      <c r="AU186" s="130">
        <f t="shared" si="139"/>
        <v>0</v>
      </c>
      <c r="AV186" s="130">
        <f t="shared" si="139"/>
        <v>0</v>
      </c>
      <c r="AW186" s="130">
        <f t="shared" si="139"/>
        <v>0</v>
      </c>
      <c r="AX186" s="130">
        <f t="shared" si="139"/>
        <v>0</v>
      </c>
      <c r="AY186" s="130">
        <f t="shared" si="139"/>
        <v>0</v>
      </c>
      <c r="AZ186" s="130">
        <f t="shared" si="139"/>
        <v>0</v>
      </c>
      <c r="BA186" s="130">
        <f t="shared" si="139"/>
        <v>0</v>
      </c>
      <c r="BB186" s="130">
        <f t="shared" si="140"/>
        <v>0</v>
      </c>
      <c r="BC186" s="130">
        <f t="shared" si="140"/>
        <v>0</v>
      </c>
      <c r="BD186" s="130">
        <f t="shared" si="140"/>
        <v>0</v>
      </c>
      <c r="BE186" s="130">
        <f t="shared" si="140"/>
        <v>0</v>
      </c>
      <c r="BF186" s="130" t="e">
        <f>+IF($H186=#REF!,$C186,0)-IF($I186=#REF!,$C186,0)</f>
        <v>#REF!</v>
      </c>
      <c r="BG186" s="130" t="e">
        <f>+IF($H186=#REF!,$C186,0)-IF($I186=#REF!,$C186,0)</f>
        <v>#REF!</v>
      </c>
      <c r="BH186" s="130" t="e">
        <f>+IF($H186=#REF!,$C186,0)-IF($I186=#REF!,$C186,0)</f>
        <v>#REF!</v>
      </c>
      <c r="BI186" s="130">
        <f t="shared" si="141"/>
        <v>0</v>
      </c>
      <c r="BJ186" s="130">
        <f t="shared" si="141"/>
        <v>0</v>
      </c>
      <c r="BK186" s="130">
        <f t="shared" si="141"/>
        <v>0</v>
      </c>
      <c r="BL186" s="130">
        <f t="shared" si="141"/>
        <v>0</v>
      </c>
      <c r="BM186" s="130">
        <f t="shared" si="141"/>
        <v>0</v>
      </c>
      <c r="BN186" s="130">
        <f t="shared" si="141"/>
        <v>0</v>
      </c>
      <c r="BO186" s="130">
        <f t="shared" si="141"/>
        <v>0</v>
      </c>
      <c r="BP186" s="130">
        <f t="shared" si="141"/>
        <v>0</v>
      </c>
      <c r="BQ186" s="130">
        <f t="shared" si="141"/>
        <v>0</v>
      </c>
      <c r="BR186" s="130" t="e">
        <f t="shared" si="142"/>
        <v>#REF!</v>
      </c>
    </row>
    <row r="187" spans="2:70" s="119" customFormat="1" x14ac:dyDescent="0.2">
      <c r="B187" s="128"/>
      <c r="C187" s="129"/>
      <c r="D187" s="129"/>
      <c r="E187" s="129" t="e">
        <f>ROUND(IF(D187=#REF!,0,IF($H187=$S$6,(C187/1.14975*0.05*0.5),C187/1.14975*0.05)),2)</f>
        <v>#REF!</v>
      </c>
      <c r="F187" s="129" t="e">
        <f>ROUND(IF(D187=#REF!,0,IF($H187=$S$6,C187/1.14975*0.09975*0.5,C187/1.14975*0.09975)),2)</f>
        <v>#REF!</v>
      </c>
      <c r="G187" s="129" t="e">
        <f t="shared" si="130"/>
        <v>#REF!</v>
      </c>
      <c r="J187" s="130">
        <f t="shared" si="131"/>
        <v>0</v>
      </c>
      <c r="K187" s="130">
        <f t="shared" si="132"/>
        <v>0</v>
      </c>
      <c r="L187" s="130">
        <f t="shared" si="132"/>
        <v>0</v>
      </c>
      <c r="M187" s="130">
        <f t="shared" si="132"/>
        <v>0</v>
      </c>
      <c r="N187" s="130">
        <f t="shared" si="132"/>
        <v>0</v>
      </c>
      <c r="O187" s="130">
        <f t="shared" si="132"/>
        <v>0</v>
      </c>
      <c r="P187" s="130">
        <f t="shared" si="132"/>
        <v>0</v>
      </c>
      <c r="Q187" s="130">
        <f t="shared" si="132"/>
        <v>0</v>
      </c>
      <c r="R187" s="130">
        <f t="shared" si="132"/>
        <v>0</v>
      </c>
      <c r="S187" s="130">
        <f t="shared" si="132"/>
        <v>0</v>
      </c>
      <c r="T187" s="130">
        <f t="shared" si="132"/>
        <v>0</v>
      </c>
      <c r="U187" s="130">
        <f t="shared" si="133"/>
        <v>0</v>
      </c>
      <c r="V187" s="130">
        <f t="shared" si="133"/>
        <v>0</v>
      </c>
      <c r="W187" s="130">
        <f t="shared" si="133"/>
        <v>0</v>
      </c>
      <c r="X187" s="130">
        <f t="shared" si="133"/>
        <v>0</v>
      </c>
      <c r="Y187" s="130">
        <f t="shared" si="133"/>
        <v>0</v>
      </c>
      <c r="Z187" s="130">
        <f t="shared" si="133"/>
        <v>0</v>
      </c>
      <c r="AA187" s="130">
        <f t="shared" si="133"/>
        <v>0</v>
      </c>
      <c r="AB187" s="130">
        <f t="shared" si="133"/>
        <v>0</v>
      </c>
      <c r="AC187" s="130">
        <f t="shared" si="133"/>
        <v>0</v>
      </c>
      <c r="AD187" s="130">
        <f t="shared" si="133"/>
        <v>0</v>
      </c>
      <c r="AE187" s="130">
        <f t="shared" si="133"/>
        <v>0</v>
      </c>
      <c r="AF187" s="130">
        <f t="shared" si="133"/>
        <v>0</v>
      </c>
      <c r="AG187" s="130">
        <f t="shared" si="133"/>
        <v>0</v>
      </c>
      <c r="AH187" s="130">
        <f t="shared" si="134"/>
        <v>0</v>
      </c>
      <c r="AI187" s="130">
        <f t="shared" si="134"/>
        <v>0</v>
      </c>
      <c r="AJ187" s="130">
        <f t="shared" si="134"/>
        <v>0</v>
      </c>
      <c r="AK187" s="130">
        <f t="shared" si="135"/>
        <v>0</v>
      </c>
      <c r="AL187" s="130">
        <f t="shared" si="136"/>
        <v>0</v>
      </c>
      <c r="AM187" s="130">
        <f t="shared" si="137"/>
        <v>0</v>
      </c>
      <c r="AN187" s="130">
        <f t="shared" si="138"/>
        <v>0</v>
      </c>
      <c r="AO187" s="130">
        <f t="shared" si="139"/>
        <v>0</v>
      </c>
      <c r="AP187" s="130">
        <f t="shared" si="139"/>
        <v>0</v>
      </c>
      <c r="AQ187" s="130">
        <f t="shared" si="139"/>
        <v>0</v>
      </c>
      <c r="AR187" s="130">
        <f t="shared" si="139"/>
        <v>0</v>
      </c>
      <c r="AS187" s="130">
        <f t="shared" si="139"/>
        <v>0</v>
      </c>
      <c r="AT187" s="130">
        <f t="shared" si="139"/>
        <v>0</v>
      </c>
      <c r="AU187" s="130">
        <f t="shared" si="139"/>
        <v>0</v>
      </c>
      <c r="AV187" s="130">
        <f t="shared" si="139"/>
        <v>0</v>
      </c>
      <c r="AW187" s="130">
        <f t="shared" si="139"/>
        <v>0</v>
      </c>
      <c r="AX187" s="130">
        <f t="shared" si="139"/>
        <v>0</v>
      </c>
      <c r="AY187" s="130">
        <f t="shared" si="139"/>
        <v>0</v>
      </c>
      <c r="AZ187" s="130">
        <f t="shared" si="139"/>
        <v>0</v>
      </c>
      <c r="BA187" s="130">
        <f t="shared" si="139"/>
        <v>0</v>
      </c>
      <c r="BB187" s="130">
        <f t="shared" si="140"/>
        <v>0</v>
      </c>
      <c r="BC187" s="130">
        <f t="shared" si="140"/>
        <v>0</v>
      </c>
      <c r="BD187" s="130">
        <f t="shared" si="140"/>
        <v>0</v>
      </c>
      <c r="BE187" s="130">
        <f t="shared" si="140"/>
        <v>0</v>
      </c>
      <c r="BF187" s="130" t="e">
        <f>+IF($H187=#REF!,$C187,0)-IF($I187=#REF!,$C187,0)</f>
        <v>#REF!</v>
      </c>
      <c r="BG187" s="130" t="e">
        <f>+IF($H187=#REF!,$C187,0)-IF($I187=#REF!,$C187,0)</f>
        <v>#REF!</v>
      </c>
      <c r="BH187" s="130" t="e">
        <f>+IF($H187=#REF!,$C187,0)-IF($I187=#REF!,$C187,0)</f>
        <v>#REF!</v>
      </c>
      <c r="BI187" s="130">
        <f t="shared" si="141"/>
        <v>0</v>
      </c>
      <c r="BJ187" s="130">
        <f t="shared" si="141"/>
        <v>0</v>
      </c>
      <c r="BK187" s="130">
        <f t="shared" si="141"/>
        <v>0</v>
      </c>
      <c r="BL187" s="130">
        <f t="shared" si="141"/>
        <v>0</v>
      </c>
      <c r="BM187" s="130">
        <f t="shared" si="141"/>
        <v>0</v>
      </c>
      <c r="BN187" s="130">
        <f t="shared" si="141"/>
        <v>0</v>
      </c>
      <c r="BO187" s="130">
        <f t="shared" si="141"/>
        <v>0</v>
      </c>
      <c r="BP187" s="130">
        <f t="shared" si="141"/>
        <v>0</v>
      </c>
      <c r="BQ187" s="130">
        <f t="shared" si="141"/>
        <v>0</v>
      </c>
      <c r="BR187" s="130" t="e">
        <f t="shared" si="142"/>
        <v>#REF!</v>
      </c>
    </row>
    <row r="188" spans="2:70" s="119" customFormat="1" x14ac:dyDescent="0.2">
      <c r="B188" s="128"/>
      <c r="C188" s="129"/>
      <c r="D188" s="129"/>
      <c r="E188" s="129" t="e">
        <f>ROUND(IF(D188=#REF!,0,IF($H188=$S$6,(C188/1.14975*0.05*0.5),C188/1.14975*0.05)),2)</f>
        <v>#REF!</v>
      </c>
      <c r="F188" s="129" t="e">
        <f>ROUND(IF(D188=#REF!,0,IF($H188=$S$6,C188/1.14975*0.09975*0.5,C188/1.14975*0.09975)),2)</f>
        <v>#REF!</v>
      </c>
      <c r="G188" s="129" t="e">
        <f t="shared" si="130"/>
        <v>#REF!</v>
      </c>
      <c r="J188" s="130">
        <f t="shared" si="131"/>
        <v>0</v>
      </c>
      <c r="K188" s="130">
        <f t="shared" si="132"/>
        <v>0</v>
      </c>
      <c r="L188" s="130">
        <f t="shared" si="132"/>
        <v>0</v>
      </c>
      <c r="M188" s="130">
        <f t="shared" si="132"/>
        <v>0</v>
      </c>
      <c r="N188" s="130">
        <f t="shared" si="132"/>
        <v>0</v>
      </c>
      <c r="O188" s="130">
        <f t="shared" si="132"/>
        <v>0</v>
      </c>
      <c r="P188" s="130">
        <f t="shared" si="132"/>
        <v>0</v>
      </c>
      <c r="Q188" s="130">
        <f t="shared" si="132"/>
        <v>0</v>
      </c>
      <c r="R188" s="130">
        <f t="shared" si="132"/>
        <v>0</v>
      </c>
      <c r="S188" s="130">
        <f t="shared" si="132"/>
        <v>0</v>
      </c>
      <c r="T188" s="130">
        <f t="shared" si="132"/>
        <v>0</v>
      </c>
      <c r="U188" s="130">
        <f t="shared" si="133"/>
        <v>0</v>
      </c>
      <c r="V188" s="130">
        <f t="shared" si="133"/>
        <v>0</v>
      </c>
      <c r="W188" s="130">
        <f t="shared" si="133"/>
        <v>0</v>
      </c>
      <c r="X188" s="130">
        <f t="shared" si="133"/>
        <v>0</v>
      </c>
      <c r="Y188" s="130">
        <f t="shared" si="133"/>
        <v>0</v>
      </c>
      <c r="Z188" s="130">
        <f t="shared" si="133"/>
        <v>0</v>
      </c>
      <c r="AA188" s="130">
        <f t="shared" si="133"/>
        <v>0</v>
      </c>
      <c r="AB188" s="130">
        <f t="shared" si="133"/>
        <v>0</v>
      </c>
      <c r="AC188" s="130">
        <f t="shared" si="133"/>
        <v>0</v>
      </c>
      <c r="AD188" s="130">
        <f t="shared" si="133"/>
        <v>0</v>
      </c>
      <c r="AE188" s="130">
        <f t="shared" si="133"/>
        <v>0</v>
      </c>
      <c r="AF188" s="130">
        <f t="shared" si="133"/>
        <v>0</v>
      </c>
      <c r="AG188" s="130">
        <f t="shared" si="133"/>
        <v>0</v>
      </c>
      <c r="AH188" s="130">
        <f t="shared" si="134"/>
        <v>0</v>
      </c>
      <c r="AI188" s="130">
        <f t="shared" si="134"/>
        <v>0</v>
      </c>
      <c r="AJ188" s="130">
        <f t="shared" si="134"/>
        <v>0</v>
      </c>
      <c r="AK188" s="130">
        <f t="shared" si="135"/>
        <v>0</v>
      </c>
      <c r="AL188" s="130">
        <f t="shared" si="136"/>
        <v>0</v>
      </c>
      <c r="AM188" s="130">
        <f t="shared" si="137"/>
        <v>0</v>
      </c>
      <c r="AN188" s="130">
        <f t="shared" si="138"/>
        <v>0</v>
      </c>
      <c r="AO188" s="130">
        <f t="shared" si="139"/>
        <v>0</v>
      </c>
      <c r="AP188" s="130">
        <f t="shared" si="139"/>
        <v>0</v>
      </c>
      <c r="AQ188" s="130">
        <f t="shared" si="139"/>
        <v>0</v>
      </c>
      <c r="AR188" s="130">
        <f t="shared" si="139"/>
        <v>0</v>
      </c>
      <c r="AS188" s="130">
        <f t="shared" si="139"/>
        <v>0</v>
      </c>
      <c r="AT188" s="130">
        <f t="shared" si="139"/>
        <v>0</v>
      </c>
      <c r="AU188" s="130">
        <f t="shared" si="139"/>
        <v>0</v>
      </c>
      <c r="AV188" s="130">
        <f t="shared" si="139"/>
        <v>0</v>
      </c>
      <c r="AW188" s="130">
        <f t="shared" si="139"/>
        <v>0</v>
      </c>
      <c r="AX188" s="130">
        <f t="shared" si="139"/>
        <v>0</v>
      </c>
      <c r="AY188" s="130">
        <f t="shared" si="139"/>
        <v>0</v>
      </c>
      <c r="AZ188" s="130">
        <f t="shared" si="139"/>
        <v>0</v>
      </c>
      <c r="BA188" s="130">
        <f t="shared" si="139"/>
        <v>0</v>
      </c>
      <c r="BB188" s="130">
        <f t="shared" si="140"/>
        <v>0</v>
      </c>
      <c r="BC188" s="130">
        <f t="shared" si="140"/>
        <v>0</v>
      </c>
      <c r="BD188" s="130">
        <f t="shared" si="140"/>
        <v>0</v>
      </c>
      <c r="BE188" s="130">
        <f t="shared" si="140"/>
        <v>0</v>
      </c>
      <c r="BF188" s="130" t="e">
        <f>+IF($H188=#REF!,$C188,0)-IF($I188=#REF!,$C188,0)</f>
        <v>#REF!</v>
      </c>
      <c r="BG188" s="130" t="e">
        <f>+IF($H188=#REF!,$C188,0)-IF($I188=#REF!,$C188,0)</f>
        <v>#REF!</v>
      </c>
      <c r="BH188" s="130" t="e">
        <f>+IF($H188=#REF!,$C188,0)-IF($I188=#REF!,$C188,0)</f>
        <v>#REF!</v>
      </c>
      <c r="BI188" s="130">
        <f t="shared" si="141"/>
        <v>0</v>
      </c>
      <c r="BJ188" s="130">
        <f t="shared" si="141"/>
        <v>0</v>
      </c>
      <c r="BK188" s="130">
        <f t="shared" si="141"/>
        <v>0</v>
      </c>
      <c r="BL188" s="130">
        <f t="shared" si="141"/>
        <v>0</v>
      </c>
      <c r="BM188" s="130">
        <f t="shared" si="141"/>
        <v>0</v>
      </c>
      <c r="BN188" s="130">
        <f t="shared" si="141"/>
        <v>0</v>
      </c>
      <c r="BO188" s="130">
        <f t="shared" si="141"/>
        <v>0</v>
      </c>
      <c r="BP188" s="130">
        <f t="shared" si="141"/>
        <v>0</v>
      </c>
      <c r="BQ188" s="130">
        <f t="shared" si="141"/>
        <v>0</v>
      </c>
      <c r="BR188" s="130" t="e">
        <f t="shared" si="142"/>
        <v>#REF!</v>
      </c>
    </row>
    <row r="189" spans="2:70" s="119" customFormat="1" x14ac:dyDescent="0.2">
      <c r="B189" s="128"/>
      <c r="C189" s="129"/>
      <c r="D189" s="129"/>
      <c r="E189" s="129" t="e">
        <f>ROUND(IF(D189=#REF!,0,IF($H189=$S$6,(C189/1.14975*0.05*0.5),C189/1.14975*0.05)),2)</f>
        <v>#REF!</v>
      </c>
      <c r="F189" s="129" t="e">
        <f>ROUND(IF(D189=#REF!,0,IF($H189=$S$6,C189/1.14975*0.09975*0.5,C189/1.14975*0.09975)),2)</f>
        <v>#REF!</v>
      </c>
      <c r="G189" s="129" t="e">
        <f t="shared" si="130"/>
        <v>#REF!</v>
      </c>
      <c r="J189" s="130">
        <f t="shared" si="131"/>
        <v>0</v>
      </c>
      <c r="K189" s="130">
        <f t="shared" si="132"/>
        <v>0</v>
      </c>
      <c r="L189" s="130">
        <f t="shared" si="132"/>
        <v>0</v>
      </c>
      <c r="M189" s="130">
        <f t="shared" si="132"/>
        <v>0</v>
      </c>
      <c r="N189" s="130">
        <f t="shared" si="132"/>
        <v>0</v>
      </c>
      <c r="O189" s="130">
        <f t="shared" si="132"/>
        <v>0</v>
      </c>
      <c r="P189" s="130">
        <f t="shared" si="132"/>
        <v>0</v>
      </c>
      <c r="Q189" s="130">
        <f t="shared" si="132"/>
        <v>0</v>
      </c>
      <c r="R189" s="130">
        <f t="shared" si="132"/>
        <v>0</v>
      </c>
      <c r="S189" s="130">
        <f t="shared" si="132"/>
        <v>0</v>
      </c>
      <c r="T189" s="130">
        <f t="shared" si="132"/>
        <v>0</v>
      </c>
      <c r="U189" s="130">
        <f t="shared" si="133"/>
        <v>0</v>
      </c>
      <c r="V189" s="130">
        <f t="shared" si="133"/>
        <v>0</v>
      </c>
      <c r="W189" s="130">
        <f t="shared" si="133"/>
        <v>0</v>
      </c>
      <c r="X189" s="130">
        <f t="shared" si="133"/>
        <v>0</v>
      </c>
      <c r="Y189" s="130">
        <f t="shared" si="133"/>
        <v>0</v>
      </c>
      <c r="Z189" s="130">
        <f t="shared" si="133"/>
        <v>0</v>
      </c>
      <c r="AA189" s="130">
        <f t="shared" si="133"/>
        <v>0</v>
      </c>
      <c r="AB189" s="130">
        <f t="shared" si="133"/>
        <v>0</v>
      </c>
      <c r="AC189" s="130">
        <f t="shared" si="133"/>
        <v>0</v>
      </c>
      <c r="AD189" s="130">
        <f t="shared" si="133"/>
        <v>0</v>
      </c>
      <c r="AE189" s="130">
        <f t="shared" si="133"/>
        <v>0</v>
      </c>
      <c r="AF189" s="130">
        <f t="shared" si="133"/>
        <v>0</v>
      </c>
      <c r="AG189" s="130">
        <f t="shared" si="133"/>
        <v>0</v>
      </c>
      <c r="AH189" s="130">
        <f t="shared" si="134"/>
        <v>0</v>
      </c>
      <c r="AI189" s="130">
        <f t="shared" si="134"/>
        <v>0</v>
      </c>
      <c r="AJ189" s="130">
        <f t="shared" si="134"/>
        <v>0</v>
      </c>
      <c r="AK189" s="130">
        <f t="shared" si="135"/>
        <v>0</v>
      </c>
      <c r="AL189" s="130">
        <f t="shared" si="136"/>
        <v>0</v>
      </c>
      <c r="AM189" s="130">
        <f t="shared" si="137"/>
        <v>0</v>
      </c>
      <c r="AN189" s="130">
        <f t="shared" si="138"/>
        <v>0</v>
      </c>
      <c r="AO189" s="130">
        <f t="shared" si="139"/>
        <v>0</v>
      </c>
      <c r="AP189" s="130">
        <f t="shared" si="139"/>
        <v>0</v>
      </c>
      <c r="AQ189" s="130">
        <f t="shared" si="139"/>
        <v>0</v>
      </c>
      <c r="AR189" s="130">
        <f t="shared" si="139"/>
        <v>0</v>
      </c>
      <c r="AS189" s="130">
        <f t="shared" si="139"/>
        <v>0</v>
      </c>
      <c r="AT189" s="130">
        <f t="shared" si="139"/>
        <v>0</v>
      </c>
      <c r="AU189" s="130">
        <f t="shared" si="139"/>
        <v>0</v>
      </c>
      <c r="AV189" s="130">
        <f t="shared" si="139"/>
        <v>0</v>
      </c>
      <c r="AW189" s="130">
        <f t="shared" si="139"/>
        <v>0</v>
      </c>
      <c r="AX189" s="130">
        <f t="shared" si="139"/>
        <v>0</v>
      </c>
      <c r="AY189" s="130">
        <f t="shared" si="139"/>
        <v>0</v>
      </c>
      <c r="AZ189" s="130">
        <f t="shared" si="139"/>
        <v>0</v>
      </c>
      <c r="BA189" s="130">
        <f t="shared" si="139"/>
        <v>0</v>
      </c>
      <c r="BB189" s="130">
        <f t="shared" si="140"/>
        <v>0</v>
      </c>
      <c r="BC189" s="130">
        <f t="shared" si="140"/>
        <v>0</v>
      </c>
      <c r="BD189" s="130">
        <f t="shared" si="140"/>
        <v>0</v>
      </c>
      <c r="BE189" s="130">
        <f t="shared" si="140"/>
        <v>0</v>
      </c>
      <c r="BF189" s="130" t="e">
        <f>+IF($H189=#REF!,$C189,0)-IF($I189=#REF!,$C189,0)</f>
        <v>#REF!</v>
      </c>
      <c r="BG189" s="130" t="e">
        <f>+IF($H189=#REF!,$C189,0)-IF($I189=#REF!,$C189,0)</f>
        <v>#REF!</v>
      </c>
      <c r="BH189" s="130" t="e">
        <f>+IF($H189=#REF!,$C189,0)-IF($I189=#REF!,$C189,0)</f>
        <v>#REF!</v>
      </c>
      <c r="BI189" s="130">
        <f t="shared" si="141"/>
        <v>0</v>
      </c>
      <c r="BJ189" s="130">
        <f t="shared" si="141"/>
        <v>0</v>
      </c>
      <c r="BK189" s="130">
        <f t="shared" si="141"/>
        <v>0</v>
      </c>
      <c r="BL189" s="130">
        <f t="shared" si="141"/>
        <v>0</v>
      </c>
      <c r="BM189" s="130">
        <f t="shared" si="141"/>
        <v>0</v>
      </c>
      <c r="BN189" s="130">
        <f t="shared" si="141"/>
        <v>0</v>
      </c>
      <c r="BO189" s="130">
        <f t="shared" si="141"/>
        <v>0</v>
      </c>
      <c r="BP189" s="130">
        <f t="shared" si="141"/>
        <v>0</v>
      </c>
      <c r="BQ189" s="130">
        <f t="shared" si="141"/>
        <v>0</v>
      </c>
      <c r="BR189" s="130" t="e">
        <f t="shared" si="142"/>
        <v>#REF!</v>
      </c>
    </row>
    <row r="190" spans="2:70" s="119" customFormat="1" x14ac:dyDescent="0.2">
      <c r="B190" s="128"/>
      <c r="C190" s="129"/>
      <c r="D190" s="129"/>
      <c r="E190" s="129" t="e">
        <f>ROUND(IF(D190=#REF!,0,IF($H190=$S$6,(C190/1.14975*0.05*0.5),C190/1.14975*0.05)),2)</f>
        <v>#REF!</v>
      </c>
      <c r="F190" s="129" t="e">
        <f>ROUND(IF(D190=#REF!,0,IF($H190=$S$6,C190/1.14975*0.09975*0.5,C190/1.14975*0.09975)),2)</f>
        <v>#REF!</v>
      </c>
      <c r="G190" s="129" t="e">
        <f t="shared" ref="G190:G205" si="143">C190-E190-F190</f>
        <v>#REF!</v>
      </c>
      <c r="J190" s="130">
        <f t="shared" si="131"/>
        <v>0</v>
      </c>
      <c r="K190" s="130">
        <f t="shared" si="132"/>
        <v>0</v>
      </c>
      <c r="L190" s="130">
        <f t="shared" si="132"/>
        <v>0</v>
      </c>
      <c r="M190" s="130">
        <f t="shared" si="132"/>
        <v>0</v>
      </c>
      <c r="N190" s="130">
        <f t="shared" si="132"/>
        <v>0</v>
      </c>
      <c r="O190" s="130">
        <f t="shared" si="132"/>
        <v>0</v>
      </c>
      <c r="P190" s="130">
        <f t="shared" si="132"/>
        <v>0</v>
      </c>
      <c r="Q190" s="130">
        <f t="shared" si="132"/>
        <v>0</v>
      </c>
      <c r="R190" s="130">
        <f t="shared" si="132"/>
        <v>0</v>
      </c>
      <c r="S190" s="130">
        <f t="shared" si="132"/>
        <v>0</v>
      </c>
      <c r="T190" s="130">
        <f t="shared" si="132"/>
        <v>0</v>
      </c>
      <c r="U190" s="130">
        <f t="shared" si="133"/>
        <v>0</v>
      </c>
      <c r="V190" s="130">
        <f t="shared" si="133"/>
        <v>0</v>
      </c>
      <c r="W190" s="130">
        <f t="shared" si="133"/>
        <v>0</v>
      </c>
      <c r="X190" s="130">
        <f t="shared" si="133"/>
        <v>0</v>
      </c>
      <c r="Y190" s="130">
        <f t="shared" si="133"/>
        <v>0</v>
      </c>
      <c r="Z190" s="130">
        <f t="shared" si="133"/>
        <v>0</v>
      </c>
      <c r="AA190" s="130">
        <f t="shared" si="133"/>
        <v>0</v>
      </c>
      <c r="AB190" s="130">
        <f t="shared" si="133"/>
        <v>0</v>
      </c>
      <c r="AC190" s="130">
        <f t="shared" si="133"/>
        <v>0</v>
      </c>
      <c r="AD190" s="130">
        <f t="shared" si="133"/>
        <v>0</v>
      </c>
      <c r="AE190" s="130">
        <f t="shared" si="133"/>
        <v>0</v>
      </c>
      <c r="AF190" s="130">
        <f t="shared" si="133"/>
        <v>0</v>
      </c>
      <c r="AG190" s="130">
        <f t="shared" si="133"/>
        <v>0</v>
      </c>
      <c r="AH190" s="130">
        <f t="shared" si="134"/>
        <v>0</v>
      </c>
      <c r="AI190" s="130">
        <f t="shared" si="134"/>
        <v>0</v>
      </c>
      <c r="AJ190" s="130">
        <f t="shared" si="134"/>
        <v>0</v>
      </c>
      <c r="AK190" s="130">
        <f t="shared" ref="AK190:AK205" si="144">IF(D190="payée",$E190,0)</f>
        <v>0</v>
      </c>
      <c r="AL190" s="130">
        <f t="shared" ref="AL190:AL205" si="145">IF(D190="payée",$F190,0)</f>
        <v>0</v>
      </c>
      <c r="AM190" s="130">
        <f t="shared" ref="AM190:AM205" si="146">IF(D190="perçue",-$E190,0)</f>
        <v>0</v>
      </c>
      <c r="AN190" s="130">
        <f t="shared" ref="AN190:AN205" si="147">IF(D190="perçue",-$F190,0)</f>
        <v>0</v>
      </c>
      <c r="AO190" s="130">
        <f t="shared" si="139"/>
        <v>0</v>
      </c>
      <c r="AP190" s="130">
        <f t="shared" si="139"/>
        <v>0</v>
      </c>
      <c r="AQ190" s="130">
        <f t="shared" si="139"/>
        <v>0</v>
      </c>
      <c r="AR190" s="130">
        <f t="shared" si="139"/>
        <v>0</v>
      </c>
      <c r="AS190" s="130">
        <f t="shared" si="139"/>
        <v>0</v>
      </c>
      <c r="AT190" s="130">
        <f t="shared" si="139"/>
        <v>0</v>
      </c>
      <c r="AU190" s="130">
        <f t="shared" si="139"/>
        <v>0</v>
      </c>
      <c r="AV190" s="130">
        <f t="shared" si="139"/>
        <v>0</v>
      </c>
      <c r="AW190" s="130">
        <f t="shared" si="139"/>
        <v>0</v>
      </c>
      <c r="AX190" s="130">
        <f t="shared" si="139"/>
        <v>0</v>
      </c>
      <c r="AY190" s="130">
        <f t="shared" si="139"/>
        <v>0</v>
      </c>
      <c r="AZ190" s="130">
        <f t="shared" si="139"/>
        <v>0</v>
      </c>
      <c r="BA190" s="130">
        <f t="shared" si="139"/>
        <v>0</v>
      </c>
      <c r="BB190" s="130">
        <f t="shared" si="140"/>
        <v>0</v>
      </c>
      <c r="BC190" s="130">
        <f t="shared" si="140"/>
        <v>0</v>
      </c>
      <c r="BD190" s="130">
        <f t="shared" si="140"/>
        <v>0</v>
      </c>
      <c r="BE190" s="130">
        <f t="shared" si="140"/>
        <v>0</v>
      </c>
      <c r="BF190" s="130" t="e">
        <f>+IF($H190=#REF!,$C190,0)-IF($I190=#REF!,$C190,0)</f>
        <v>#REF!</v>
      </c>
      <c r="BG190" s="130" t="e">
        <f>+IF($H190=#REF!,$C190,0)-IF($I190=#REF!,$C190,0)</f>
        <v>#REF!</v>
      </c>
      <c r="BH190" s="130" t="e">
        <f>+IF($H190=#REF!,$C190,0)-IF($I190=#REF!,$C190,0)</f>
        <v>#REF!</v>
      </c>
      <c r="BI190" s="130">
        <f t="shared" si="141"/>
        <v>0</v>
      </c>
      <c r="BJ190" s="130">
        <f t="shared" si="141"/>
        <v>0</v>
      </c>
      <c r="BK190" s="130">
        <f t="shared" si="141"/>
        <v>0</v>
      </c>
      <c r="BL190" s="130">
        <f t="shared" si="141"/>
        <v>0</v>
      </c>
      <c r="BM190" s="130">
        <f t="shared" si="141"/>
        <v>0</v>
      </c>
      <c r="BN190" s="130">
        <f t="shared" si="141"/>
        <v>0</v>
      </c>
      <c r="BO190" s="130">
        <f t="shared" si="141"/>
        <v>0</v>
      </c>
      <c r="BP190" s="130">
        <f t="shared" si="141"/>
        <v>0</v>
      </c>
      <c r="BQ190" s="130">
        <f t="shared" si="141"/>
        <v>0</v>
      </c>
      <c r="BR190" s="130" t="e">
        <f t="shared" ref="BR190:BR205" si="148">SUM(J190:BQ190)</f>
        <v>#REF!</v>
      </c>
    </row>
    <row r="191" spans="2:70" s="119" customFormat="1" x14ac:dyDescent="0.2">
      <c r="B191" s="128"/>
      <c r="C191" s="129"/>
      <c r="D191" s="129"/>
      <c r="E191" s="129" t="e">
        <f>ROUND(IF(D191=#REF!,0,IF($H191=$S$6,(C191/1.14975*0.05*0.5),C191/1.14975*0.05)),2)</f>
        <v>#REF!</v>
      </c>
      <c r="F191" s="129" t="e">
        <f>ROUND(IF(D191=#REF!,0,IF($H191=$S$6,C191/1.14975*0.09975*0.5,C191/1.14975*0.09975)),2)</f>
        <v>#REF!</v>
      </c>
      <c r="G191" s="129" t="e">
        <f t="shared" si="143"/>
        <v>#REF!</v>
      </c>
      <c r="J191" s="130">
        <f t="shared" si="131"/>
        <v>0</v>
      </c>
      <c r="K191" s="130">
        <f t="shared" si="132"/>
        <v>0</v>
      </c>
      <c r="L191" s="130">
        <f t="shared" si="132"/>
        <v>0</v>
      </c>
      <c r="M191" s="130">
        <f t="shared" si="132"/>
        <v>0</v>
      </c>
      <c r="N191" s="130">
        <f t="shared" si="132"/>
        <v>0</v>
      </c>
      <c r="O191" s="130">
        <f t="shared" si="132"/>
        <v>0</v>
      </c>
      <c r="P191" s="130">
        <f t="shared" si="132"/>
        <v>0</v>
      </c>
      <c r="Q191" s="130">
        <f t="shared" si="132"/>
        <v>0</v>
      </c>
      <c r="R191" s="130">
        <f t="shared" si="132"/>
        <v>0</v>
      </c>
      <c r="S191" s="130">
        <f t="shared" si="132"/>
        <v>0</v>
      </c>
      <c r="T191" s="130">
        <f t="shared" si="132"/>
        <v>0</v>
      </c>
      <c r="U191" s="130">
        <f t="shared" si="133"/>
        <v>0</v>
      </c>
      <c r="V191" s="130">
        <f t="shared" si="133"/>
        <v>0</v>
      </c>
      <c r="W191" s="130">
        <f t="shared" si="133"/>
        <v>0</v>
      </c>
      <c r="X191" s="130">
        <f t="shared" si="133"/>
        <v>0</v>
      </c>
      <c r="Y191" s="130">
        <f t="shared" si="133"/>
        <v>0</v>
      </c>
      <c r="Z191" s="130">
        <f t="shared" si="133"/>
        <v>0</v>
      </c>
      <c r="AA191" s="130">
        <f t="shared" si="133"/>
        <v>0</v>
      </c>
      <c r="AB191" s="130">
        <f t="shared" si="133"/>
        <v>0</v>
      </c>
      <c r="AC191" s="130">
        <f t="shared" si="133"/>
        <v>0</v>
      </c>
      <c r="AD191" s="130">
        <f t="shared" si="133"/>
        <v>0</v>
      </c>
      <c r="AE191" s="130">
        <f t="shared" si="133"/>
        <v>0</v>
      </c>
      <c r="AF191" s="130">
        <f t="shared" si="133"/>
        <v>0</v>
      </c>
      <c r="AG191" s="130">
        <f t="shared" si="133"/>
        <v>0</v>
      </c>
      <c r="AH191" s="130">
        <f t="shared" si="134"/>
        <v>0</v>
      </c>
      <c r="AI191" s="130">
        <f t="shared" si="134"/>
        <v>0</v>
      </c>
      <c r="AJ191" s="130">
        <f t="shared" si="134"/>
        <v>0</v>
      </c>
      <c r="AK191" s="130">
        <f t="shared" si="144"/>
        <v>0</v>
      </c>
      <c r="AL191" s="130">
        <f t="shared" si="145"/>
        <v>0</v>
      </c>
      <c r="AM191" s="130">
        <f t="shared" si="146"/>
        <v>0</v>
      </c>
      <c r="AN191" s="130">
        <f t="shared" si="147"/>
        <v>0</v>
      </c>
      <c r="AO191" s="130">
        <f t="shared" si="139"/>
        <v>0</v>
      </c>
      <c r="AP191" s="130">
        <f t="shared" si="139"/>
        <v>0</v>
      </c>
      <c r="AQ191" s="130">
        <f t="shared" si="139"/>
        <v>0</v>
      </c>
      <c r="AR191" s="130">
        <f t="shared" si="139"/>
        <v>0</v>
      </c>
      <c r="AS191" s="130">
        <f t="shared" si="139"/>
        <v>0</v>
      </c>
      <c r="AT191" s="130">
        <f t="shared" si="139"/>
        <v>0</v>
      </c>
      <c r="AU191" s="130">
        <f t="shared" si="139"/>
        <v>0</v>
      </c>
      <c r="AV191" s="130">
        <f t="shared" si="139"/>
        <v>0</v>
      </c>
      <c r="AW191" s="130">
        <f t="shared" si="139"/>
        <v>0</v>
      </c>
      <c r="AX191" s="130">
        <f t="shared" si="139"/>
        <v>0</v>
      </c>
      <c r="AY191" s="130">
        <f t="shared" si="139"/>
        <v>0</v>
      </c>
      <c r="AZ191" s="130">
        <f t="shared" si="139"/>
        <v>0</v>
      </c>
      <c r="BA191" s="130">
        <f t="shared" si="139"/>
        <v>0</v>
      </c>
      <c r="BB191" s="130">
        <f t="shared" si="140"/>
        <v>0</v>
      </c>
      <c r="BC191" s="130">
        <f t="shared" si="140"/>
        <v>0</v>
      </c>
      <c r="BD191" s="130">
        <f t="shared" si="140"/>
        <v>0</v>
      </c>
      <c r="BE191" s="130">
        <f t="shared" si="140"/>
        <v>0</v>
      </c>
      <c r="BF191" s="130" t="e">
        <f>+IF($H191=#REF!,$C191,0)-IF($I191=#REF!,$C191,0)</f>
        <v>#REF!</v>
      </c>
      <c r="BG191" s="130" t="e">
        <f>+IF($H191=#REF!,$C191,0)-IF($I191=#REF!,$C191,0)</f>
        <v>#REF!</v>
      </c>
      <c r="BH191" s="130" t="e">
        <f>+IF($H191=#REF!,$C191,0)-IF($I191=#REF!,$C191,0)</f>
        <v>#REF!</v>
      </c>
      <c r="BI191" s="130">
        <f t="shared" si="141"/>
        <v>0</v>
      </c>
      <c r="BJ191" s="130">
        <f t="shared" si="141"/>
        <v>0</v>
      </c>
      <c r="BK191" s="130">
        <f t="shared" si="141"/>
        <v>0</v>
      </c>
      <c r="BL191" s="130">
        <f t="shared" si="141"/>
        <v>0</v>
      </c>
      <c r="BM191" s="130">
        <f t="shared" si="141"/>
        <v>0</v>
      </c>
      <c r="BN191" s="130">
        <f t="shared" si="141"/>
        <v>0</v>
      </c>
      <c r="BO191" s="130">
        <f t="shared" si="141"/>
        <v>0</v>
      </c>
      <c r="BP191" s="130">
        <f t="shared" si="141"/>
        <v>0</v>
      </c>
      <c r="BQ191" s="130">
        <f t="shared" si="141"/>
        <v>0</v>
      </c>
      <c r="BR191" s="130" t="e">
        <f t="shared" si="148"/>
        <v>#REF!</v>
      </c>
    </row>
    <row r="192" spans="2:70" s="119" customFormat="1" x14ac:dyDescent="0.2">
      <c r="B192" s="128"/>
      <c r="C192" s="129"/>
      <c r="D192" s="129"/>
      <c r="E192" s="129" t="e">
        <f>ROUND(IF(D192=#REF!,0,IF($H192=$S$6,(C192/1.14975*0.05*0.5),C192/1.14975*0.05)),2)</f>
        <v>#REF!</v>
      </c>
      <c r="F192" s="129" t="e">
        <f>ROUND(IF(D192=#REF!,0,IF($H192=$S$6,C192/1.14975*0.09975*0.5,C192/1.14975*0.09975)),2)</f>
        <v>#REF!</v>
      </c>
      <c r="G192" s="129" t="e">
        <f t="shared" si="143"/>
        <v>#REF!</v>
      </c>
      <c r="J192" s="130">
        <f t="shared" si="131"/>
        <v>0</v>
      </c>
      <c r="K192" s="130">
        <f t="shared" si="132"/>
        <v>0</v>
      </c>
      <c r="L192" s="130">
        <f t="shared" si="132"/>
        <v>0</v>
      </c>
      <c r="M192" s="130">
        <f t="shared" si="132"/>
        <v>0</v>
      </c>
      <c r="N192" s="130">
        <f t="shared" si="132"/>
        <v>0</v>
      </c>
      <c r="O192" s="130">
        <f t="shared" si="132"/>
        <v>0</v>
      </c>
      <c r="P192" s="130">
        <f t="shared" si="132"/>
        <v>0</v>
      </c>
      <c r="Q192" s="130">
        <f t="shared" si="132"/>
        <v>0</v>
      </c>
      <c r="R192" s="130">
        <f t="shared" si="132"/>
        <v>0</v>
      </c>
      <c r="S192" s="130">
        <f t="shared" si="132"/>
        <v>0</v>
      </c>
      <c r="T192" s="130">
        <f t="shared" si="132"/>
        <v>0</v>
      </c>
      <c r="U192" s="130">
        <f t="shared" si="133"/>
        <v>0</v>
      </c>
      <c r="V192" s="130">
        <f t="shared" si="133"/>
        <v>0</v>
      </c>
      <c r="W192" s="130">
        <f t="shared" si="133"/>
        <v>0</v>
      </c>
      <c r="X192" s="130">
        <f t="shared" si="133"/>
        <v>0</v>
      </c>
      <c r="Y192" s="130">
        <f t="shared" si="133"/>
        <v>0</v>
      </c>
      <c r="Z192" s="130">
        <f t="shared" si="133"/>
        <v>0</v>
      </c>
      <c r="AA192" s="130">
        <f t="shared" si="133"/>
        <v>0</v>
      </c>
      <c r="AB192" s="130">
        <f t="shared" si="133"/>
        <v>0</v>
      </c>
      <c r="AC192" s="130">
        <f t="shared" si="133"/>
        <v>0</v>
      </c>
      <c r="AD192" s="130">
        <f t="shared" si="133"/>
        <v>0</v>
      </c>
      <c r="AE192" s="130">
        <f t="shared" si="133"/>
        <v>0</v>
      </c>
      <c r="AF192" s="130">
        <f t="shared" si="133"/>
        <v>0</v>
      </c>
      <c r="AG192" s="130">
        <f t="shared" si="133"/>
        <v>0</v>
      </c>
      <c r="AH192" s="130">
        <f t="shared" si="134"/>
        <v>0</v>
      </c>
      <c r="AI192" s="130">
        <f t="shared" si="134"/>
        <v>0</v>
      </c>
      <c r="AJ192" s="130">
        <f t="shared" si="134"/>
        <v>0</v>
      </c>
      <c r="AK192" s="130">
        <f t="shared" si="144"/>
        <v>0</v>
      </c>
      <c r="AL192" s="130">
        <f t="shared" si="145"/>
        <v>0</v>
      </c>
      <c r="AM192" s="130">
        <f t="shared" si="146"/>
        <v>0</v>
      </c>
      <c r="AN192" s="130">
        <f t="shared" si="147"/>
        <v>0</v>
      </c>
      <c r="AO192" s="130">
        <f t="shared" si="139"/>
        <v>0</v>
      </c>
      <c r="AP192" s="130">
        <f t="shared" si="139"/>
        <v>0</v>
      </c>
      <c r="AQ192" s="130">
        <f t="shared" si="139"/>
        <v>0</v>
      </c>
      <c r="AR192" s="130">
        <f t="shared" si="139"/>
        <v>0</v>
      </c>
      <c r="AS192" s="130">
        <f t="shared" si="139"/>
        <v>0</v>
      </c>
      <c r="AT192" s="130">
        <f t="shared" si="139"/>
        <v>0</v>
      </c>
      <c r="AU192" s="130">
        <f t="shared" si="139"/>
        <v>0</v>
      </c>
      <c r="AV192" s="130">
        <f t="shared" si="139"/>
        <v>0</v>
      </c>
      <c r="AW192" s="130">
        <f t="shared" si="139"/>
        <v>0</v>
      </c>
      <c r="AX192" s="130">
        <f t="shared" si="139"/>
        <v>0</v>
      </c>
      <c r="AY192" s="130">
        <f t="shared" si="139"/>
        <v>0</v>
      </c>
      <c r="AZ192" s="130">
        <f t="shared" si="139"/>
        <v>0</v>
      </c>
      <c r="BA192" s="130">
        <f t="shared" si="139"/>
        <v>0</v>
      </c>
      <c r="BB192" s="130">
        <f t="shared" si="140"/>
        <v>0</v>
      </c>
      <c r="BC192" s="130">
        <f t="shared" si="140"/>
        <v>0</v>
      </c>
      <c r="BD192" s="130">
        <f t="shared" si="140"/>
        <v>0</v>
      </c>
      <c r="BE192" s="130">
        <f t="shared" si="140"/>
        <v>0</v>
      </c>
      <c r="BF192" s="130" t="e">
        <f>+IF($H192=#REF!,$C192,0)-IF($I192=#REF!,$C192,0)</f>
        <v>#REF!</v>
      </c>
      <c r="BG192" s="130" t="e">
        <f>+IF($H192=#REF!,$C192,0)-IF($I192=#REF!,$C192,0)</f>
        <v>#REF!</v>
      </c>
      <c r="BH192" s="130" t="e">
        <f>+IF($H192=#REF!,$C192,0)-IF($I192=#REF!,$C192,0)</f>
        <v>#REF!</v>
      </c>
      <c r="BI192" s="130">
        <f t="shared" si="141"/>
        <v>0</v>
      </c>
      <c r="BJ192" s="130">
        <f t="shared" si="141"/>
        <v>0</v>
      </c>
      <c r="BK192" s="130">
        <f t="shared" si="141"/>
        <v>0</v>
      </c>
      <c r="BL192" s="130">
        <f t="shared" si="141"/>
        <v>0</v>
      </c>
      <c r="BM192" s="130">
        <f t="shared" si="141"/>
        <v>0</v>
      </c>
      <c r="BN192" s="130">
        <f t="shared" si="141"/>
        <v>0</v>
      </c>
      <c r="BO192" s="130">
        <f t="shared" si="141"/>
        <v>0</v>
      </c>
      <c r="BP192" s="130">
        <f t="shared" si="141"/>
        <v>0</v>
      </c>
      <c r="BQ192" s="130">
        <f t="shared" si="141"/>
        <v>0</v>
      </c>
      <c r="BR192" s="130" t="e">
        <f t="shared" si="148"/>
        <v>#REF!</v>
      </c>
    </row>
    <row r="193" spans="1:70" s="119" customFormat="1" x14ac:dyDescent="0.2">
      <c r="B193" s="128"/>
      <c r="C193" s="129"/>
      <c r="D193" s="129"/>
      <c r="E193" s="129" t="e">
        <f>ROUND(IF(D193=#REF!,0,IF($H193=$S$6,(C193/1.14975*0.05*0.5),C193/1.14975*0.05)),2)</f>
        <v>#REF!</v>
      </c>
      <c r="F193" s="129" t="e">
        <f>ROUND(IF(D193=#REF!,0,IF($H193=$S$6,C193/1.14975*0.09975*0.5,C193/1.14975*0.09975)),2)</f>
        <v>#REF!</v>
      </c>
      <c r="G193" s="129" t="e">
        <f t="shared" si="143"/>
        <v>#REF!</v>
      </c>
      <c r="J193" s="130">
        <f t="shared" si="131"/>
        <v>0</v>
      </c>
      <c r="K193" s="130">
        <f t="shared" si="132"/>
        <v>0</v>
      </c>
      <c r="L193" s="130">
        <f t="shared" si="132"/>
        <v>0</v>
      </c>
      <c r="M193" s="130">
        <f t="shared" si="132"/>
        <v>0</v>
      </c>
      <c r="N193" s="130">
        <f t="shared" si="132"/>
        <v>0</v>
      </c>
      <c r="O193" s="130">
        <f t="shared" si="132"/>
        <v>0</v>
      </c>
      <c r="P193" s="130">
        <f t="shared" si="132"/>
        <v>0</v>
      </c>
      <c r="Q193" s="130">
        <f t="shared" si="132"/>
        <v>0</v>
      </c>
      <c r="R193" s="130">
        <f t="shared" si="132"/>
        <v>0</v>
      </c>
      <c r="S193" s="130">
        <f t="shared" si="132"/>
        <v>0</v>
      </c>
      <c r="T193" s="130">
        <f t="shared" si="132"/>
        <v>0</v>
      </c>
      <c r="U193" s="130">
        <f t="shared" si="133"/>
        <v>0</v>
      </c>
      <c r="V193" s="130">
        <f t="shared" si="133"/>
        <v>0</v>
      </c>
      <c r="W193" s="130">
        <f t="shared" si="133"/>
        <v>0</v>
      </c>
      <c r="X193" s="130">
        <f t="shared" si="133"/>
        <v>0</v>
      </c>
      <c r="Y193" s="130">
        <f t="shared" si="133"/>
        <v>0</v>
      </c>
      <c r="Z193" s="130">
        <f t="shared" si="133"/>
        <v>0</v>
      </c>
      <c r="AA193" s="130">
        <f t="shared" si="133"/>
        <v>0</v>
      </c>
      <c r="AB193" s="130">
        <f t="shared" si="133"/>
        <v>0</v>
      </c>
      <c r="AC193" s="130">
        <f t="shared" si="133"/>
        <v>0</v>
      </c>
      <c r="AD193" s="130">
        <f t="shared" si="133"/>
        <v>0</v>
      </c>
      <c r="AE193" s="130">
        <f t="shared" si="133"/>
        <v>0</v>
      </c>
      <c r="AF193" s="130">
        <f t="shared" si="133"/>
        <v>0</v>
      </c>
      <c r="AG193" s="130">
        <f t="shared" si="133"/>
        <v>0</v>
      </c>
      <c r="AH193" s="130">
        <f t="shared" si="134"/>
        <v>0</v>
      </c>
      <c r="AI193" s="130">
        <f t="shared" si="134"/>
        <v>0</v>
      </c>
      <c r="AJ193" s="130">
        <f t="shared" si="134"/>
        <v>0</v>
      </c>
      <c r="AK193" s="130">
        <f t="shared" si="144"/>
        <v>0</v>
      </c>
      <c r="AL193" s="130">
        <f t="shared" si="145"/>
        <v>0</v>
      </c>
      <c r="AM193" s="130">
        <f t="shared" si="146"/>
        <v>0</v>
      </c>
      <c r="AN193" s="130">
        <f t="shared" si="147"/>
        <v>0</v>
      </c>
      <c r="AO193" s="130">
        <f t="shared" si="139"/>
        <v>0</v>
      </c>
      <c r="AP193" s="130">
        <f t="shared" si="139"/>
        <v>0</v>
      </c>
      <c r="AQ193" s="130">
        <f t="shared" si="139"/>
        <v>0</v>
      </c>
      <c r="AR193" s="130">
        <f t="shared" si="139"/>
        <v>0</v>
      </c>
      <c r="AS193" s="130">
        <f t="shared" si="139"/>
        <v>0</v>
      </c>
      <c r="AT193" s="130">
        <f t="shared" si="139"/>
        <v>0</v>
      </c>
      <c r="AU193" s="130">
        <f t="shared" si="139"/>
        <v>0</v>
      </c>
      <c r="AV193" s="130">
        <f t="shared" si="139"/>
        <v>0</v>
      </c>
      <c r="AW193" s="130">
        <f t="shared" si="139"/>
        <v>0</v>
      </c>
      <c r="AX193" s="130">
        <f t="shared" si="139"/>
        <v>0</v>
      </c>
      <c r="AY193" s="130">
        <f t="shared" si="139"/>
        <v>0</v>
      </c>
      <c r="AZ193" s="130">
        <f t="shared" si="139"/>
        <v>0</v>
      </c>
      <c r="BA193" s="130">
        <f t="shared" si="139"/>
        <v>0</v>
      </c>
      <c r="BB193" s="130">
        <f t="shared" si="140"/>
        <v>0</v>
      </c>
      <c r="BC193" s="130">
        <f t="shared" si="140"/>
        <v>0</v>
      </c>
      <c r="BD193" s="130">
        <f t="shared" si="140"/>
        <v>0</v>
      </c>
      <c r="BE193" s="130">
        <f t="shared" si="140"/>
        <v>0</v>
      </c>
      <c r="BF193" s="130" t="e">
        <f>+IF($H193=#REF!,$C193,0)-IF($I193=#REF!,$C193,0)</f>
        <v>#REF!</v>
      </c>
      <c r="BG193" s="130" t="e">
        <f>+IF($H193=#REF!,$C193,0)-IF($I193=#REF!,$C193,0)</f>
        <v>#REF!</v>
      </c>
      <c r="BH193" s="130" t="e">
        <f>+IF($H193=#REF!,$C193,0)-IF($I193=#REF!,$C193,0)</f>
        <v>#REF!</v>
      </c>
      <c r="BI193" s="130">
        <f t="shared" si="141"/>
        <v>0</v>
      </c>
      <c r="BJ193" s="130">
        <f t="shared" si="141"/>
        <v>0</v>
      </c>
      <c r="BK193" s="130">
        <f t="shared" si="141"/>
        <v>0</v>
      </c>
      <c r="BL193" s="130">
        <f t="shared" si="141"/>
        <v>0</v>
      </c>
      <c r="BM193" s="130">
        <f t="shared" si="141"/>
        <v>0</v>
      </c>
      <c r="BN193" s="130">
        <f t="shared" si="141"/>
        <v>0</v>
      </c>
      <c r="BO193" s="130">
        <f t="shared" si="141"/>
        <v>0</v>
      </c>
      <c r="BP193" s="130">
        <f t="shared" si="141"/>
        <v>0</v>
      </c>
      <c r="BQ193" s="130">
        <f t="shared" si="141"/>
        <v>0</v>
      </c>
      <c r="BR193" s="130" t="e">
        <f t="shared" si="148"/>
        <v>#REF!</v>
      </c>
    </row>
    <row r="194" spans="1:70" s="119" customFormat="1" x14ac:dyDescent="0.2">
      <c r="B194" s="128"/>
      <c r="C194" s="129"/>
      <c r="D194" s="129"/>
      <c r="E194" s="129" t="e">
        <f>ROUND(IF(D194=#REF!,0,IF($H194=$S$6,(C194/1.14975*0.05*0.5),C194/1.14975*0.05)),2)</f>
        <v>#REF!</v>
      </c>
      <c r="F194" s="129" t="e">
        <f>ROUND(IF(D194=#REF!,0,IF($H194=$S$6,C194/1.14975*0.09975*0.5,C194/1.14975*0.09975)),2)</f>
        <v>#REF!</v>
      </c>
      <c r="G194" s="129" t="e">
        <f t="shared" si="143"/>
        <v>#REF!</v>
      </c>
      <c r="J194" s="130">
        <f t="shared" si="131"/>
        <v>0</v>
      </c>
      <c r="K194" s="130">
        <f t="shared" si="132"/>
        <v>0</v>
      </c>
      <c r="L194" s="130">
        <f t="shared" si="132"/>
        <v>0</v>
      </c>
      <c r="M194" s="130">
        <f t="shared" si="132"/>
        <v>0</v>
      </c>
      <c r="N194" s="130">
        <f t="shared" si="132"/>
        <v>0</v>
      </c>
      <c r="O194" s="130">
        <f t="shared" si="132"/>
        <v>0</v>
      </c>
      <c r="P194" s="130">
        <f t="shared" si="132"/>
        <v>0</v>
      </c>
      <c r="Q194" s="130">
        <f t="shared" si="132"/>
        <v>0</v>
      </c>
      <c r="R194" s="130">
        <f t="shared" si="132"/>
        <v>0</v>
      </c>
      <c r="S194" s="130">
        <f t="shared" si="132"/>
        <v>0</v>
      </c>
      <c r="T194" s="130">
        <f t="shared" si="132"/>
        <v>0</v>
      </c>
      <c r="U194" s="130">
        <f t="shared" si="133"/>
        <v>0</v>
      </c>
      <c r="V194" s="130">
        <f t="shared" si="133"/>
        <v>0</v>
      </c>
      <c r="W194" s="130">
        <f t="shared" si="133"/>
        <v>0</v>
      </c>
      <c r="X194" s="130">
        <f t="shared" si="133"/>
        <v>0</v>
      </c>
      <c r="Y194" s="130">
        <f t="shared" si="133"/>
        <v>0</v>
      </c>
      <c r="Z194" s="130">
        <f t="shared" si="133"/>
        <v>0</v>
      </c>
      <c r="AA194" s="130">
        <f t="shared" si="133"/>
        <v>0</v>
      </c>
      <c r="AB194" s="130">
        <f t="shared" si="133"/>
        <v>0</v>
      </c>
      <c r="AC194" s="130">
        <f t="shared" si="133"/>
        <v>0</v>
      </c>
      <c r="AD194" s="130">
        <f t="shared" si="133"/>
        <v>0</v>
      </c>
      <c r="AE194" s="130">
        <f t="shared" si="133"/>
        <v>0</v>
      </c>
      <c r="AF194" s="130">
        <f t="shared" si="133"/>
        <v>0</v>
      </c>
      <c r="AG194" s="130">
        <f t="shared" si="133"/>
        <v>0</v>
      </c>
      <c r="AH194" s="130">
        <f t="shared" si="134"/>
        <v>0</v>
      </c>
      <c r="AI194" s="130">
        <f t="shared" si="134"/>
        <v>0</v>
      </c>
      <c r="AJ194" s="130">
        <f t="shared" si="134"/>
        <v>0</v>
      </c>
      <c r="AK194" s="130">
        <f t="shared" si="144"/>
        <v>0</v>
      </c>
      <c r="AL194" s="130">
        <f t="shared" si="145"/>
        <v>0</v>
      </c>
      <c r="AM194" s="130">
        <f t="shared" si="146"/>
        <v>0</v>
      </c>
      <c r="AN194" s="130">
        <f t="shared" si="147"/>
        <v>0</v>
      </c>
      <c r="AO194" s="130">
        <f t="shared" si="139"/>
        <v>0</v>
      </c>
      <c r="AP194" s="130">
        <f t="shared" si="139"/>
        <v>0</v>
      </c>
      <c r="AQ194" s="130">
        <f t="shared" si="139"/>
        <v>0</v>
      </c>
      <c r="AR194" s="130">
        <f t="shared" si="139"/>
        <v>0</v>
      </c>
      <c r="AS194" s="130">
        <f t="shared" si="139"/>
        <v>0</v>
      </c>
      <c r="AT194" s="130">
        <f t="shared" si="139"/>
        <v>0</v>
      </c>
      <c r="AU194" s="130">
        <f t="shared" si="139"/>
        <v>0</v>
      </c>
      <c r="AV194" s="130">
        <f t="shared" si="139"/>
        <v>0</v>
      </c>
      <c r="AW194" s="130">
        <f t="shared" si="139"/>
        <v>0</v>
      </c>
      <c r="AX194" s="130">
        <f t="shared" si="139"/>
        <v>0</v>
      </c>
      <c r="AY194" s="130">
        <f t="shared" si="139"/>
        <v>0</v>
      </c>
      <c r="AZ194" s="130">
        <f t="shared" si="139"/>
        <v>0</v>
      </c>
      <c r="BA194" s="130">
        <f t="shared" si="139"/>
        <v>0</v>
      </c>
      <c r="BB194" s="130">
        <f t="shared" si="140"/>
        <v>0</v>
      </c>
      <c r="BC194" s="130">
        <f t="shared" si="140"/>
        <v>0</v>
      </c>
      <c r="BD194" s="130">
        <f t="shared" si="140"/>
        <v>0</v>
      </c>
      <c r="BE194" s="130">
        <f t="shared" si="140"/>
        <v>0</v>
      </c>
      <c r="BF194" s="130" t="e">
        <f>+IF($H194=#REF!,$C194,0)-IF($I194=#REF!,$C194,0)</f>
        <v>#REF!</v>
      </c>
      <c r="BG194" s="130" t="e">
        <f>+IF($H194=#REF!,$C194,0)-IF($I194=#REF!,$C194,0)</f>
        <v>#REF!</v>
      </c>
      <c r="BH194" s="130" t="e">
        <f>+IF($H194=#REF!,$C194,0)-IF($I194=#REF!,$C194,0)</f>
        <v>#REF!</v>
      </c>
      <c r="BI194" s="130">
        <f t="shared" si="141"/>
        <v>0</v>
      </c>
      <c r="BJ194" s="130">
        <f t="shared" si="141"/>
        <v>0</v>
      </c>
      <c r="BK194" s="130">
        <f t="shared" si="141"/>
        <v>0</v>
      </c>
      <c r="BL194" s="130">
        <f t="shared" si="141"/>
        <v>0</v>
      </c>
      <c r="BM194" s="130">
        <f t="shared" si="141"/>
        <v>0</v>
      </c>
      <c r="BN194" s="130">
        <f t="shared" si="141"/>
        <v>0</v>
      </c>
      <c r="BO194" s="130">
        <f t="shared" si="141"/>
        <v>0</v>
      </c>
      <c r="BP194" s="130">
        <f t="shared" si="141"/>
        <v>0</v>
      </c>
      <c r="BQ194" s="130">
        <f t="shared" si="141"/>
        <v>0</v>
      </c>
      <c r="BR194" s="130" t="e">
        <f t="shared" si="148"/>
        <v>#REF!</v>
      </c>
    </row>
    <row r="195" spans="1:70" s="119" customFormat="1" x14ac:dyDescent="0.2">
      <c r="B195" s="128"/>
      <c r="C195" s="129"/>
      <c r="D195" s="129"/>
      <c r="E195" s="129" t="e">
        <f>ROUND(IF(D195=#REF!,0,IF($H195=$S$6,(C195/1.14975*0.05*0.5),C195/1.14975*0.05)),2)</f>
        <v>#REF!</v>
      </c>
      <c r="F195" s="129" t="e">
        <f>ROUND(IF(D195=#REF!,0,IF($H195=$S$6,C195/1.14975*0.09975*0.5,C195/1.14975*0.09975)),2)</f>
        <v>#REF!</v>
      </c>
      <c r="G195" s="129" t="e">
        <f t="shared" si="143"/>
        <v>#REF!</v>
      </c>
      <c r="J195" s="130">
        <f t="shared" si="131"/>
        <v>0</v>
      </c>
      <c r="K195" s="130">
        <f t="shared" si="132"/>
        <v>0</v>
      </c>
      <c r="L195" s="130">
        <f t="shared" si="132"/>
        <v>0</v>
      </c>
      <c r="M195" s="130">
        <f t="shared" si="132"/>
        <v>0</v>
      </c>
      <c r="N195" s="130">
        <f t="shared" si="132"/>
        <v>0</v>
      </c>
      <c r="O195" s="130">
        <f t="shared" si="132"/>
        <v>0</v>
      </c>
      <c r="P195" s="130">
        <f t="shared" si="132"/>
        <v>0</v>
      </c>
      <c r="Q195" s="130">
        <f t="shared" si="132"/>
        <v>0</v>
      </c>
      <c r="R195" s="130">
        <f t="shared" si="132"/>
        <v>0</v>
      </c>
      <c r="S195" s="130">
        <f t="shared" si="132"/>
        <v>0</v>
      </c>
      <c r="T195" s="130">
        <f t="shared" si="132"/>
        <v>0</v>
      </c>
      <c r="U195" s="130">
        <f t="shared" si="133"/>
        <v>0</v>
      </c>
      <c r="V195" s="130">
        <f t="shared" si="133"/>
        <v>0</v>
      </c>
      <c r="W195" s="130">
        <f t="shared" si="133"/>
        <v>0</v>
      </c>
      <c r="X195" s="130">
        <f t="shared" si="133"/>
        <v>0</v>
      </c>
      <c r="Y195" s="130">
        <f t="shared" si="133"/>
        <v>0</v>
      </c>
      <c r="Z195" s="130">
        <f t="shared" si="133"/>
        <v>0</v>
      </c>
      <c r="AA195" s="130">
        <f t="shared" si="133"/>
        <v>0</v>
      </c>
      <c r="AB195" s="130">
        <f t="shared" si="133"/>
        <v>0</v>
      </c>
      <c r="AC195" s="130">
        <f t="shared" si="133"/>
        <v>0</v>
      </c>
      <c r="AD195" s="130">
        <f t="shared" si="133"/>
        <v>0</v>
      </c>
      <c r="AE195" s="130">
        <f t="shared" si="133"/>
        <v>0</v>
      </c>
      <c r="AF195" s="130">
        <f t="shared" si="133"/>
        <v>0</v>
      </c>
      <c r="AG195" s="130">
        <f t="shared" si="133"/>
        <v>0</v>
      </c>
      <c r="AH195" s="130">
        <f t="shared" si="134"/>
        <v>0</v>
      </c>
      <c r="AI195" s="130">
        <f t="shared" si="134"/>
        <v>0</v>
      </c>
      <c r="AJ195" s="130">
        <f t="shared" si="134"/>
        <v>0</v>
      </c>
      <c r="AK195" s="130">
        <f t="shared" si="144"/>
        <v>0</v>
      </c>
      <c r="AL195" s="130">
        <f t="shared" si="145"/>
        <v>0</v>
      </c>
      <c r="AM195" s="130">
        <f t="shared" si="146"/>
        <v>0</v>
      </c>
      <c r="AN195" s="130">
        <f t="shared" si="147"/>
        <v>0</v>
      </c>
      <c r="AO195" s="130">
        <f t="shared" si="139"/>
        <v>0</v>
      </c>
      <c r="AP195" s="130">
        <f t="shared" si="139"/>
        <v>0</v>
      </c>
      <c r="AQ195" s="130">
        <f t="shared" si="139"/>
        <v>0</v>
      </c>
      <c r="AR195" s="130">
        <f t="shared" si="139"/>
        <v>0</v>
      </c>
      <c r="AS195" s="130">
        <f t="shared" si="139"/>
        <v>0</v>
      </c>
      <c r="AT195" s="130">
        <f t="shared" si="139"/>
        <v>0</v>
      </c>
      <c r="AU195" s="130">
        <f t="shared" si="139"/>
        <v>0</v>
      </c>
      <c r="AV195" s="130">
        <f t="shared" si="139"/>
        <v>0</v>
      </c>
      <c r="AW195" s="130">
        <f t="shared" si="139"/>
        <v>0</v>
      </c>
      <c r="AX195" s="130">
        <f t="shared" si="139"/>
        <v>0</v>
      </c>
      <c r="AY195" s="130">
        <f t="shared" si="139"/>
        <v>0</v>
      </c>
      <c r="AZ195" s="130">
        <f t="shared" si="139"/>
        <v>0</v>
      </c>
      <c r="BA195" s="130">
        <f t="shared" si="139"/>
        <v>0</v>
      </c>
      <c r="BB195" s="130">
        <f t="shared" si="140"/>
        <v>0</v>
      </c>
      <c r="BC195" s="130">
        <f t="shared" si="140"/>
        <v>0</v>
      </c>
      <c r="BD195" s="130">
        <f t="shared" si="140"/>
        <v>0</v>
      </c>
      <c r="BE195" s="130">
        <f t="shared" si="140"/>
        <v>0</v>
      </c>
      <c r="BF195" s="130" t="e">
        <f>+IF($H195=#REF!,$C195,0)-IF($I195=#REF!,$C195,0)</f>
        <v>#REF!</v>
      </c>
      <c r="BG195" s="130" t="e">
        <f>+IF($H195=#REF!,$C195,0)-IF($I195=#REF!,$C195,0)</f>
        <v>#REF!</v>
      </c>
      <c r="BH195" s="130" t="e">
        <f>+IF($H195=#REF!,$C195,0)-IF($I195=#REF!,$C195,0)</f>
        <v>#REF!</v>
      </c>
      <c r="BI195" s="130">
        <f t="shared" si="141"/>
        <v>0</v>
      </c>
      <c r="BJ195" s="130">
        <f t="shared" si="141"/>
        <v>0</v>
      </c>
      <c r="BK195" s="130">
        <f t="shared" si="141"/>
        <v>0</v>
      </c>
      <c r="BL195" s="130">
        <f t="shared" si="141"/>
        <v>0</v>
      </c>
      <c r="BM195" s="130">
        <f t="shared" si="141"/>
        <v>0</v>
      </c>
      <c r="BN195" s="130">
        <f t="shared" si="141"/>
        <v>0</v>
      </c>
      <c r="BO195" s="130">
        <f t="shared" si="141"/>
        <v>0</v>
      </c>
      <c r="BP195" s="130">
        <f t="shared" si="141"/>
        <v>0</v>
      </c>
      <c r="BQ195" s="130">
        <f t="shared" si="141"/>
        <v>0</v>
      </c>
      <c r="BR195" s="130" t="e">
        <f t="shared" si="148"/>
        <v>#REF!</v>
      </c>
    </row>
    <row r="196" spans="1:70" s="119" customFormat="1" x14ac:dyDescent="0.2">
      <c r="B196" s="128"/>
      <c r="C196" s="129"/>
      <c r="D196" s="129"/>
      <c r="E196" s="129" t="e">
        <f>ROUND(IF(D196=#REF!,0,IF($H196=$S$6,(C196/1.14975*0.05*0.5),C196/1.14975*0.05)),2)</f>
        <v>#REF!</v>
      </c>
      <c r="F196" s="129" t="e">
        <f>ROUND(IF(D196=#REF!,0,IF($H196=$S$6,C196/1.14975*0.09975*0.5,C196/1.14975*0.09975)),2)</f>
        <v>#REF!</v>
      </c>
      <c r="G196" s="129" t="e">
        <f t="shared" si="143"/>
        <v>#REF!</v>
      </c>
      <c r="J196" s="130">
        <f t="shared" si="131"/>
        <v>0</v>
      </c>
      <c r="K196" s="130">
        <f t="shared" si="132"/>
        <v>0</v>
      </c>
      <c r="L196" s="130">
        <f t="shared" si="132"/>
        <v>0</v>
      </c>
      <c r="M196" s="130">
        <f t="shared" si="132"/>
        <v>0</v>
      </c>
      <c r="N196" s="130">
        <f t="shared" si="132"/>
        <v>0</v>
      </c>
      <c r="O196" s="130">
        <f t="shared" si="132"/>
        <v>0</v>
      </c>
      <c r="P196" s="130">
        <f t="shared" si="132"/>
        <v>0</v>
      </c>
      <c r="Q196" s="130">
        <f t="shared" si="132"/>
        <v>0</v>
      </c>
      <c r="R196" s="130">
        <f t="shared" si="132"/>
        <v>0</v>
      </c>
      <c r="S196" s="130">
        <f t="shared" si="132"/>
        <v>0</v>
      </c>
      <c r="T196" s="130">
        <f t="shared" si="132"/>
        <v>0</v>
      </c>
      <c r="U196" s="130">
        <f t="shared" si="133"/>
        <v>0</v>
      </c>
      <c r="V196" s="130">
        <f t="shared" si="133"/>
        <v>0</v>
      </c>
      <c r="W196" s="130">
        <f t="shared" si="133"/>
        <v>0</v>
      </c>
      <c r="X196" s="130">
        <f t="shared" si="133"/>
        <v>0</v>
      </c>
      <c r="Y196" s="130">
        <f t="shared" si="133"/>
        <v>0</v>
      </c>
      <c r="Z196" s="130">
        <f t="shared" si="133"/>
        <v>0</v>
      </c>
      <c r="AA196" s="130">
        <f t="shared" si="133"/>
        <v>0</v>
      </c>
      <c r="AB196" s="130">
        <f t="shared" si="133"/>
        <v>0</v>
      </c>
      <c r="AC196" s="130">
        <f t="shared" si="133"/>
        <v>0</v>
      </c>
      <c r="AD196" s="130">
        <f t="shared" si="133"/>
        <v>0</v>
      </c>
      <c r="AE196" s="130">
        <f t="shared" si="133"/>
        <v>0</v>
      </c>
      <c r="AF196" s="130">
        <f t="shared" si="133"/>
        <v>0</v>
      </c>
      <c r="AG196" s="130">
        <f t="shared" si="133"/>
        <v>0</v>
      </c>
      <c r="AH196" s="130">
        <f t="shared" si="134"/>
        <v>0</v>
      </c>
      <c r="AI196" s="130">
        <f t="shared" si="134"/>
        <v>0</v>
      </c>
      <c r="AJ196" s="130">
        <f t="shared" si="134"/>
        <v>0</v>
      </c>
      <c r="AK196" s="130">
        <f t="shared" si="144"/>
        <v>0</v>
      </c>
      <c r="AL196" s="130">
        <f t="shared" si="145"/>
        <v>0</v>
      </c>
      <c r="AM196" s="130">
        <f t="shared" si="146"/>
        <v>0</v>
      </c>
      <c r="AN196" s="130">
        <f t="shared" si="147"/>
        <v>0</v>
      </c>
      <c r="AO196" s="130">
        <f t="shared" si="139"/>
        <v>0</v>
      </c>
      <c r="AP196" s="130">
        <f t="shared" si="139"/>
        <v>0</v>
      </c>
      <c r="AQ196" s="130">
        <f t="shared" si="139"/>
        <v>0</v>
      </c>
      <c r="AR196" s="130">
        <f t="shared" si="139"/>
        <v>0</v>
      </c>
      <c r="AS196" s="130">
        <f t="shared" si="139"/>
        <v>0</v>
      </c>
      <c r="AT196" s="130">
        <f t="shared" si="139"/>
        <v>0</v>
      </c>
      <c r="AU196" s="130">
        <f t="shared" si="139"/>
        <v>0</v>
      </c>
      <c r="AV196" s="130">
        <f t="shared" si="139"/>
        <v>0</v>
      </c>
      <c r="AW196" s="130">
        <f t="shared" si="139"/>
        <v>0</v>
      </c>
      <c r="AX196" s="130">
        <f t="shared" si="139"/>
        <v>0</v>
      </c>
      <c r="AY196" s="130">
        <f t="shared" si="139"/>
        <v>0</v>
      </c>
      <c r="AZ196" s="130">
        <f t="shared" si="139"/>
        <v>0</v>
      </c>
      <c r="BA196" s="130">
        <f t="shared" si="139"/>
        <v>0</v>
      </c>
      <c r="BB196" s="130">
        <f t="shared" si="140"/>
        <v>0</v>
      </c>
      <c r="BC196" s="130">
        <f t="shared" si="140"/>
        <v>0</v>
      </c>
      <c r="BD196" s="130">
        <f t="shared" si="140"/>
        <v>0</v>
      </c>
      <c r="BE196" s="130">
        <f t="shared" si="140"/>
        <v>0</v>
      </c>
      <c r="BF196" s="130" t="e">
        <f>+IF($H196=#REF!,$C196,0)-IF($I196=#REF!,$C196,0)</f>
        <v>#REF!</v>
      </c>
      <c r="BG196" s="130" t="e">
        <f>+IF($H196=#REF!,$C196,0)-IF($I196=#REF!,$C196,0)</f>
        <v>#REF!</v>
      </c>
      <c r="BH196" s="130" t="e">
        <f>+IF($H196=#REF!,$C196,0)-IF($I196=#REF!,$C196,0)</f>
        <v>#REF!</v>
      </c>
      <c r="BI196" s="130">
        <f t="shared" si="141"/>
        <v>0</v>
      </c>
      <c r="BJ196" s="130">
        <f t="shared" si="141"/>
        <v>0</v>
      </c>
      <c r="BK196" s="130">
        <f t="shared" si="141"/>
        <v>0</v>
      </c>
      <c r="BL196" s="130">
        <f t="shared" si="141"/>
        <v>0</v>
      </c>
      <c r="BM196" s="130">
        <f t="shared" si="141"/>
        <v>0</v>
      </c>
      <c r="BN196" s="130">
        <f t="shared" si="141"/>
        <v>0</v>
      </c>
      <c r="BO196" s="130">
        <f t="shared" si="141"/>
        <v>0</v>
      </c>
      <c r="BP196" s="130">
        <f t="shared" si="141"/>
        <v>0</v>
      </c>
      <c r="BQ196" s="130">
        <f t="shared" si="141"/>
        <v>0</v>
      </c>
      <c r="BR196" s="130" t="e">
        <f t="shared" si="148"/>
        <v>#REF!</v>
      </c>
    </row>
    <row r="197" spans="1:70" s="119" customFormat="1" x14ac:dyDescent="0.2">
      <c r="B197" s="128"/>
      <c r="C197" s="129"/>
      <c r="D197" s="129"/>
      <c r="E197" s="129" t="e">
        <f>ROUND(IF(D197=#REF!,0,IF($H197=$S$6,(C197/1.14975*0.05*0.5),C197/1.14975*0.05)),2)</f>
        <v>#REF!</v>
      </c>
      <c r="F197" s="129" t="e">
        <f>ROUND(IF(D197=#REF!,0,IF($H197=$S$6,C197/1.14975*0.09975*0.5,C197/1.14975*0.09975)),2)</f>
        <v>#REF!</v>
      </c>
      <c r="G197" s="129" t="e">
        <f t="shared" si="143"/>
        <v>#REF!</v>
      </c>
      <c r="J197" s="130">
        <f t="shared" si="131"/>
        <v>0</v>
      </c>
      <c r="K197" s="130">
        <f t="shared" si="132"/>
        <v>0</v>
      </c>
      <c r="L197" s="130">
        <f t="shared" si="132"/>
        <v>0</v>
      </c>
      <c r="M197" s="130">
        <f t="shared" si="132"/>
        <v>0</v>
      </c>
      <c r="N197" s="130">
        <f t="shared" si="132"/>
        <v>0</v>
      </c>
      <c r="O197" s="130">
        <f t="shared" si="132"/>
        <v>0</v>
      </c>
      <c r="P197" s="130">
        <f t="shared" si="132"/>
        <v>0</v>
      </c>
      <c r="Q197" s="130">
        <f t="shared" si="132"/>
        <v>0</v>
      </c>
      <c r="R197" s="130">
        <f t="shared" si="132"/>
        <v>0</v>
      </c>
      <c r="S197" s="130">
        <f t="shared" si="132"/>
        <v>0</v>
      </c>
      <c r="T197" s="130">
        <f t="shared" si="132"/>
        <v>0</v>
      </c>
      <c r="U197" s="130">
        <f t="shared" si="133"/>
        <v>0</v>
      </c>
      <c r="V197" s="130">
        <f t="shared" si="133"/>
        <v>0</v>
      </c>
      <c r="W197" s="130">
        <f t="shared" si="133"/>
        <v>0</v>
      </c>
      <c r="X197" s="130">
        <f t="shared" si="133"/>
        <v>0</v>
      </c>
      <c r="Y197" s="130">
        <f t="shared" si="133"/>
        <v>0</v>
      </c>
      <c r="Z197" s="130">
        <f t="shared" si="133"/>
        <v>0</v>
      </c>
      <c r="AA197" s="130">
        <f t="shared" si="133"/>
        <v>0</v>
      </c>
      <c r="AB197" s="130">
        <f t="shared" si="133"/>
        <v>0</v>
      </c>
      <c r="AC197" s="130">
        <f t="shared" si="133"/>
        <v>0</v>
      </c>
      <c r="AD197" s="130">
        <f t="shared" si="133"/>
        <v>0</v>
      </c>
      <c r="AE197" s="130">
        <f t="shared" si="133"/>
        <v>0</v>
      </c>
      <c r="AF197" s="130">
        <f t="shared" si="133"/>
        <v>0</v>
      </c>
      <c r="AG197" s="130">
        <f t="shared" si="133"/>
        <v>0</v>
      </c>
      <c r="AH197" s="130">
        <f t="shared" si="134"/>
        <v>0</v>
      </c>
      <c r="AI197" s="130">
        <f t="shared" si="134"/>
        <v>0</v>
      </c>
      <c r="AJ197" s="130">
        <f t="shared" si="134"/>
        <v>0</v>
      </c>
      <c r="AK197" s="130">
        <f t="shared" si="144"/>
        <v>0</v>
      </c>
      <c r="AL197" s="130">
        <f t="shared" si="145"/>
        <v>0</v>
      </c>
      <c r="AM197" s="130">
        <f t="shared" si="146"/>
        <v>0</v>
      </c>
      <c r="AN197" s="130">
        <f t="shared" si="147"/>
        <v>0</v>
      </c>
      <c r="AO197" s="130">
        <f t="shared" si="139"/>
        <v>0</v>
      </c>
      <c r="AP197" s="130">
        <f t="shared" si="139"/>
        <v>0</v>
      </c>
      <c r="AQ197" s="130">
        <f t="shared" si="139"/>
        <v>0</v>
      </c>
      <c r="AR197" s="130">
        <f t="shared" si="139"/>
        <v>0</v>
      </c>
      <c r="AS197" s="130">
        <f t="shared" si="139"/>
        <v>0</v>
      </c>
      <c r="AT197" s="130">
        <f t="shared" si="139"/>
        <v>0</v>
      </c>
      <c r="AU197" s="130">
        <f t="shared" si="139"/>
        <v>0</v>
      </c>
      <c r="AV197" s="130">
        <f t="shared" si="139"/>
        <v>0</v>
      </c>
      <c r="AW197" s="130">
        <f t="shared" si="139"/>
        <v>0</v>
      </c>
      <c r="AX197" s="130">
        <f t="shared" si="139"/>
        <v>0</v>
      </c>
      <c r="AY197" s="130">
        <f t="shared" si="139"/>
        <v>0</v>
      </c>
      <c r="AZ197" s="130">
        <f t="shared" si="139"/>
        <v>0</v>
      </c>
      <c r="BA197" s="130">
        <f t="shared" si="139"/>
        <v>0</v>
      </c>
      <c r="BB197" s="130">
        <f t="shared" si="140"/>
        <v>0</v>
      </c>
      <c r="BC197" s="130">
        <f t="shared" si="140"/>
        <v>0</v>
      </c>
      <c r="BD197" s="130">
        <f t="shared" si="140"/>
        <v>0</v>
      </c>
      <c r="BE197" s="130">
        <f t="shared" si="140"/>
        <v>0</v>
      </c>
      <c r="BF197" s="130" t="e">
        <f>+IF($H197=#REF!,$C197,0)-IF($I197=#REF!,$C197,0)</f>
        <v>#REF!</v>
      </c>
      <c r="BG197" s="130" t="e">
        <f>+IF($H197=#REF!,$C197,0)-IF($I197=#REF!,$C197,0)</f>
        <v>#REF!</v>
      </c>
      <c r="BH197" s="130" t="e">
        <f>+IF($H197=#REF!,$C197,0)-IF($I197=#REF!,$C197,0)</f>
        <v>#REF!</v>
      </c>
      <c r="BI197" s="130">
        <f t="shared" si="141"/>
        <v>0</v>
      </c>
      <c r="BJ197" s="130">
        <f t="shared" si="141"/>
        <v>0</v>
      </c>
      <c r="BK197" s="130">
        <f t="shared" si="141"/>
        <v>0</v>
      </c>
      <c r="BL197" s="130">
        <f t="shared" si="141"/>
        <v>0</v>
      </c>
      <c r="BM197" s="130">
        <f t="shared" si="141"/>
        <v>0</v>
      </c>
      <c r="BN197" s="130">
        <f t="shared" si="141"/>
        <v>0</v>
      </c>
      <c r="BO197" s="130">
        <f t="shared" si="141"/>
        <v>0</v>
      </c>
      <c r="BP197" s="130">
        <f t="shared" si="141"/>
        <v>0</v>
      </c>
      <c r="BQ197" s="130">
        <f t="shared" si="141"/>
        <v>0</v>
      </c>
      <c r="BR197" s="130" t="e">
        <f t="shared" si="148"/>
        <v>#REF!</v>
      </c>
    </row>
    <row r="198" spans="1:70" s="119" customFormat="1" x14ac:dyDescent="0.2">
      <c r="B198" s="128"/>
      <c r="C198" s="129"/>
      <c r="D198" s="129"/>
      <c r="E198" s="129" t="e">
        <f>ROUND(IF(D198=#REF!,0,IF($H198=$S$6,(C198/1.14975*0.05*0.5),C198/1.14975*0.05)),2)</f>
        <v>#REF!</v>
      </c>
      <c r="F198" s="129" t="e">
        <f>ROUND(IF(D198=#REF!,0,IF($H198=$S$6,C198/1.14975*0.09975*0.5,C198/1.14975*0.09975)),2)</f>
        <v>#REF!</v>
      </c>
      <c r="G198" s="129" t="e">
        <f t="shared" si="143"/>
        <v>#REF!</v>
      </c>
      <c r="J198" s="130">
        <f t="shared" si="131"/>
        <v>0</v>
      </c>
      <c r="K198" s="130">
        <f t="shared" ref="K198:Z205" si="149">+IF($H198=K$6,$G198,0)-IF($I198=K$6,$G198,0)</f>
        <v>0</v>
      </c>
      <c r="L198" s="130">
        <f t="shared" si="149"/>
        <v>0</v>
      </c>
      <c r="M198" s="130">
        <f t="shared" si="149"/>
        <v>0</v>
      </c>
      <c r="N198" s="130">
        <f t="shared" si="149"/>
        <v>0</v>
      </c>
      <c r="O198" s="130">
        <f t="shared" si="149"/>
        <v>0</v>
      </c>
      <c r="P198" s="130">
        <f t="shared" si="149"/>
        <v>0</v>
      </c>
      <c r="Q198" s="130">
        <f t="shared" si="149"/>
        <v>0</v>
      </c>
      <c r="R198" s="130">
        <f t="shared" si="149"/>
        <v>0</v>
      </c>
      <c r="S198" s="130">
        <f t="shared" si="149"/>
        <v>0</v>
      </c>
      <c r="T198" s="130">
        <f t="shared" si="149"/>
        <v>0</v>
      </c>
      <c r="U198" s="130">
        <f t="shared" si="149"/>
        <v>0</v>
      </c>
      <c r="V198" s="130">
        <f t="shared" si="149"/>
        <v>0</v>
      </c>
      <c r="W198" s="130">
        <f t="shared" si="149"/>
        <v>0</v>
      </c>
      <c r="X198" s="130">
        <f t="shared" si="149"/>
        <v>0</v>
      </c>
      <c r="Y198" s="130">
        <f t="shared" si="149"/>
        <v>0</v>
      </c>
      <c r="Z198" s="130">
        <f t="shared" si="149"/>
        <v>0</v>
      </c>
      <c r="AA198" s="130">
        <f t="shared" ref="U198:AG205" si="150">+IF($H198=AA$6,$G198,0)-IF($I198=AA$6,$G198,0)</f>
        <v>0</v>
      </c>
      <c r="AB198" s="130">
        <f t="shared" si="150"/>
        <v>0</v>
      </c>
      <c r="AC198" s="130">
        <f t="shared" si="150"/>
        <v>0</v>
      </c>
      <c r="AD198" s="130">
        <f t="shared" si="150"/>
        <v>0</v>
      </c>
      <c r="AE198" s="130">
        <f t="shared" si="150"/>
        <v>0</v>
      </c>
      <c r="AF198" s="130">
        <f t="shared" si="150"/>
        <v>0</v>
      </c>
      <c r="AG198" s="130">
        <f t="shared" si="150"/>
        <v>0</v>
      </c>
      <c r="AH198" s="130">
        <f t="shared" si="134"/>
        <v>0</v>
      </c>
      <c r="AI198" s="130">
        <f t="shared" si="134"/>
        <v>0</v>
      </c>
      <c r="AJ198" s="130">
        <f t="shared" si="134"/>
        <v>0</v>
      </c>
      <c r="AK198" s="130">
        <f t="shared" si="144"/>
        <v>0</v>
      </c>
      <c r="AL198" s="130">
        <f t="shared" si="145"/>
        <v>0</v>
      </c>
      <c r="AM198" s="130">
        <f t="shared" si="146"/>
        <v>0</v>
      </c>
      <c r="AN198" s="130">
        <f t="shared" si="147"/>
        <v>0</v>
      </c>
      <c r="AO198" s="130">
        <f t="shared" ref="AO198:BA205" si="151">+IF($H198=AO$6,$G198,0)-IF($I198=AO$6,$G198,0)</f>
        <v>0</v>
      </c>
      <c r="AP198" s="130">
        <f t="shared" si="151"/>
        <v>0</v>
      </c>
      <c r="AQ198" s="130">
        <f t="shared" si="151"/>
        <v>0</v>
      </c>
      <c r="AR198" s="130">
        <f t="shared" si="151"/>
        <v>0</v>
      </c>
      <c r="AS198" s="130">
        <f t="shared" si="151"/>
        <v>0</v>
      </c>
      <c r="AT198" s="130">
        <f t="shared" si="151"/>
        <v>0</v>
      </c>
      <c r="AU198" s="130">
        <f t="shared" si="151"/>
        <v>0</v>
      </c>
      <c r="AV198" s="130">
        <f t="shared" si="151"/>
        <v>0</v>
      </c>
      <c r="AW198" s="130">
        <f t="shared" si="151"/>
        <v>0</v>
      </c>
      <c r="AX198" s="130">
        <f t="shared" si="151"/>
        <v>0</v>
      </c>
      <c r="AY198" s="130">
        <f t="shared" si="151"/>
        <v>0</v>
      </c>
      <c r="AZ198" s="130">
        <f t="shared" si="151"/>
        <v>0</v>
      </c>
      <c r="BA198" s="130">
        <f t="shared" si="151"/>
        <v>0</v>
      </c>
      <c r="BB198" s="130">
        <f t="shared" si="140"/>
        <v>0</v>
      </c>
      <c r="BC198" s="130">
        <f t="shared" si="140"/>
        <v>0</v>
      </c>
      <c r="BD198" s="130">
        <f t="shared" si="140"/>
        <v>0</v>
      </c>
      <c r="BE198" s="130">
        <f t="shared" si="140"/>
        <v>0</v>
      </c>
      <c r="BF198" s="130" t="e">
        <f>+IF($H198=#REF!,$C198,0)-IF($I198=#REF!,$C198,0)</f>
        <v>#REF!</v>
      </c>
      <c r="BG198" s="130" t="e">
        <f>+IF($H198=#REF!,$C198,0)-IF($I198=#REF!,$C198,0)</f>
        <v>#REF!</v>
      </c>
      <c r="BH198" s="130" t="e">
        <f>+IF($H198=#REF!,$C198,0)-IF($I198=#REF!,$C198,0)</f>
        <v>#REF!</v>
      </c>
      <c r="BI198" s="130">
        <f t="shared" ref="BI198:BQ205" si="152">+IF($H198=BI$6,$G198,0)-IF($I198=BI$6,$G198,0)</f>
        <v>0</v>
      </c>
      <c r="BJ198" s="130">
        <f t="shared" si="152"/>
        <v>0</v>
      </c>
      <c r="BK198" s="130">
        <f t="shared" si="152"/>
        <v>0</v>
      </c>
      <c r="BL198" s="130">
        <f t="shared" si="152"/>
        <v>0</v>
      </c>
      <c r="BM198" s="130">
        <f t="shared" si="152"/>
        <v>0</v>
      </c>
      <c r="BN198" s="130">
        <f t="shared" si="152"/>
        <v>0</v>
      </c>
      <c r="BO198" s="130">
        <f t="shared" si="152"/>
        <v>0</v>
      </c>
      <c r="BP198" s="130">
        <f t="shared" si="152"/>
        <v>0</v>
      </c>
      <c r="BQ198" s="130">
        <f t="shared" si="152"/>
        <v>0</v>
      </c>
      <c r="BR198" s="130" t="e">
        <f t="shared" si="148"/>
        <v>#REF!</v>
      </c>
    </row>
    <row r="199" spans="1:70" s="119" customFormat="1" x14ac:dyDescent="0.2">
      <c r="B199" s="128"/>
      <c r="C199" s="129"/>
      <c r="D199" s="129"/>
      <c r="E199" s="129" t="e">
        <f>ROUND(IF(D199=#REF!,0,IF($H199=$S$6,(C199/1.14975*0.05*0.5),C199/1.14975*0.05)),2)</f>
        <v>#REF!</v>
      </c>
      <c r="F199" s="129" t="e">
        <f>ROUND(IF(D199=#REF!,0,IF($H199=$S$6,C199/1.14975*0.09975*0.5,C199/1.14975*0.09975)),2)</f>
        <v>#REF!</v>
      </c>
      <c r="G199" s="129" t="e">
        <f t="shared" si="143"/>
        <v>#REF!</v>
      </c>
      <c r="J199" s="130">
        <f t="shared" si="131"/>
        <v>0</v>
      </c>
      <c r="K199" s="130">
        <f t="shared" si="149"/>
        <v>0</v>
      </c>
      <c r="L199" s="130">
        <f t="shared" si="149"/>
        <v>0</v>
      </c>
      <c r="M199" s="130">
        <f t="shared" si="149"/>
        <v>0</v>
      </c>
      <c r="N199" s="130">
        <f t="shared" si="149"/>
        <v>0</v>
      </c>
      <c r="O199" s="130">
        <f t="shared" si="149"/>
        <v>0</v>
      </c>
      <c r="P199" s="130">
        <f t="shared" si="149"/>
        <v>0</v>
      </c>
      <c r="Q199" s="130">
        <f t="shared" si="149"/>
        <v>0</v>
      </c>
      <c r="R199" s="130">
        <f t="shared" si="149"/>
        <v>0</v>
      </c>
      <c r="S199" s="130">
        <f t="shared" si="149"/>
        <v>0</v>
      </c>
      <c r="T199" s="130">
        <f t="shared" si="149"/>
        <v>0</v>
      </c>
      <c r="U199" s="130">
        <f t="shared" si="150"/>
        <v>0</v>
      </c>
      <c r="V199" s="130">
        <f t="shared" si="150"/>
        <v>0</v>
      </c>
      <c r="W199" s="130">
        <f t="shared" si="150"/>
        <v>0</v>
      </c>
      <c r="X199" s="130">
        <f t="shared" si="150"/>
        <v>0</v>
      </c>
      <c r="Y199" s="130">
        <f t="shared" si="150"/>
        <v>0</v>
      </c>
      <c r="Z199" s="130">
        <f t="shared" si="150"/>
        <v>0</v>
      </c>
      <c r="AA199" s="130">
        <f t="shared" si="150"/>
        <v>0</v>
      </c>
      <c r="AB199" s="130">
        <f t="shared" si="150"/>
        <v>0</v>
      </c>
      <c r="AC199" s="130">
        <f t="shared" si="150"/>
        <v>0</v>
      </c>
      <c r="AD199" s="130">
        <f t="shared" si="150"/>
        <v>0</v>
      </c>
      <c r="AE199" s="130">
        <f t="shared" si="150"/>
        <v>0</v>
      </c>
      <c r="AF199" s="130">
        <f t="shared" si="150"/>
        <v>0</v>
      </c>
      <c r="AG199" s="130">
        <f t="shared" si="150"/>
        <v>0</v>
      </c>
      <c r="AH199" s="130">
        <f t="shared" ref="AH199:AJ205" si="153">+IF($H199=AH$6,$C199,0)-IF($I199=AH$6,$C199,0)</f>
        <v>0</v>
      </c>
      <c r="AI199" s="130">
        <f t="shared" si="153"/>
        <v>0</v>
      </c>
      <c r="AJ199" s="130">
        <f t="shared" si="153"/>
        <v>0</v>
      </c>
      <c r="AK199" s="130">
        <f t="shared" si="144"/>
        <v>0</v>
      </c>
      <c r="AL199" s="130">
        <f t="shared" si="145"/>
        <v>0</v>
      </c>
      <c r="AM199" s="130">
        <f t="shared" si="146"/>
        <v>0</v>
      </c>
      <c r="AN199" s="130">
        <f t="shared" si="147"/>
        <v>0</v>
      </c>
      <c r="AO199" s="130">
        <f t="shared" si="151"/>
        <v>0</v>
      </c>
      <c r="AP199" s="130">
        <f t="shared" si="151"/>
        <v>0</v>
      </c>
      <c r="AQ199" s="130">
        <f t="shared" si="151"/>
        <v>0</v>
      </c>
      <c r="AR199" s="130">
        <f t="shared" si="151"/>
        <v>0</v>
      </c>
      <c r="AS199" s="130">
        <f t="shared" si="151"/>
        <v>0</v>
      </c>
      <c r="AT199" s="130">
        <f t="shared" si="151"/>
        <v>0</v>
      </c>
      <c r="AU199" s="130">
        <f t="shared" si="151"/>
        <v>0</v>
      </c>
      <c r="AV199" s="130">
        <f t="shared" si="151"/>
        <v>0</v>
      </c>
      <c r="AW199" s="130">
        <f t="shared" si="151"/>
        <v>0</v>
      </c>
      <c r="AX199" s="130">
        <f t="shared" si="151"/>
        <v>0</v>
      </c>
      <c r="AY199" s="130">
        <f t="shared" si="151"/>
        <v>0</v>
      </c>
      <c r="AZ199" s="130">
        <f t="shared" si="151"/>
        <v>0</v>
      </c>
      <c r="BA199" s="130">
        <f t="shared" si="151"/>
        <v>0</v>
      </c>
      <c r="BB199" s="130">
        <f t="shared" ref="BB199:BE205" si="154">+IF($H199=BB$6,$C199,0)-IF($I199=BB$6,$C199,0)</f>
        <v>0</v>
      </c>
      <c r="BC199" s="130">
        <f t="shared" si="154"/>
        <v>0</v>
      </c>
      <c r="BD199" s="130">
        <f t="shared" si="154"/>
        <v>0</v>
      </c>
      <c r="BE199" s="130">
        <f t="shared" si="154"/>
        <v>0</v>
      </c>
      <c r="BF199" s="130" t="e">
        <f>+IF($H199=#REF!,$C199,0)-IF($I199=#REF!,$C199,0)</f>
        <v>#REF!</v>
      </c>
      <c r="BG199" s="130" t="e">
        <f>+IF($H199=#REF!,$C199,0)-IF($I199=#REF!,$C199,0)</f>
        <v>#REF!</v>
      </c>
      <c r="BH199" s="130" t="e">
        <f>+IF($H199=#REF!,$C199,0)-IF($I199=#REF!,$C199,0)</f>
        <v>#REF!</v>
      </c>
      <c r="BI199" s="130">
        <f t="shared" si="152"/>
        <v>0</v>
      </c>
      <c r="BJ199" s="130">
        <f t="shared" si="152"/>
        <v>0</v>
      </c>
      <c r="BK199" s="130">
        <f t="shared" si="152"/>
        <v>0</v>
      </c>
      <c r="BL199" s="130">
        <f t="shared" si="152"/>
        <v>0</v>
      </c>
      <c r="BM199" s="130">
        <f t="shared" si="152"/>
        <v>0</v>
      </c>
      <c r="BN199" s="130">
        <f t="shared" si="152"/>
        <v>0</v>
      </c>
      <c r="BO199" s="130">
        <f t="shared" si="152"/>
        <v>0</v>
      </c>
      <c r="BP199" s="130">
        <f t="shared" si="152"/>
        <v>0</v>
      </c>
      <c r="BQ199" s="130">
        <f t="shared" si="152"/>
        <v>0</v>
      </c>
      <c r="BR199" s="130" t="e">
        <f t="shared" si="148"/>
        <v>#REF!</v>
      </c>
    </row>
    <row r="200" spans="1:70" s="119" customFormat="1" x14ac:dyDescent="0.2">
      <c r="B200" s="128"/>
      <c r="C200" s="129"/>
      <c r="D200" s="129"/>
      <c r="E200" s="129" t="e">
        <f>ROUND(IF(D200=#REF!,0,IF($H200=$S$6,(C200/1.14975*0.05*0.5),C200/1.14975*0.05)),2)</f>
        <v>#REF!</v>
      </c>
      <c r="F200" s="129" t="e">
        <f>ROUND(IF(D200=#REF!,0,IF($H200=$S$6,C200/1.14975*0.09975*0.5,C200/1.14975*0.09975)),2)</f>
        <v>#REF!</v>
      </c>
      <c r="G200" s="129" t="e">
        <f t="shared" si="143"/>
        <v>#REF!</v>
      </c>
      <c r="J200" s="130">
        <f t="shared" si="131"/>
        <v>0</v>
      </c>
      <c r="K200" s="130">
        <f t="shared" si="149"/>
        <v>0</v>
      </c>
      <c r="L200" s="130">
        <f t="shared" si="149"/>
        <v>0</v>
      </c>
      <c r="M200" s="130">
        <f t="shared" si="149"/>
        <v>0</v>
      </c>
      <c r="N200" s="130">
        <f t="shared" si="149"/>
        <v>0</v>
      </c>
      <c r="O200" s="130">
        <f t="shared" si="149"/>
        <v>0</v>
      </c>
      <c r="P200" s="130">
        <f t="shared" si="149"/>
        <v>0</v>
      </c>
      <c r="Q200" s="130">
        <f t="shared" si="149"/>
        <v>0</v>
      </c>
      <c r="R200" s="130">
        <f t="shared" si="149"/>
        <v>0</v>
      </c>
      <c r="S200" s="130">
        <f t="shared" si="149"/>
        <v>0</v>
      </c>
      <c r="T200" s="130">
        <f t="shared" si="149"/>
        <v>0</v>
      </c>
      <c r="U200" s="130">
        <f t="shared" si="150"/>
        <v>0</v>
      </c>
      <c r="V200" s="130">
        <f t="shared" si="150"/>
        <v>0</v>
      </c>
      <c r="W200" s="130">
        <f t="shared" si="150"/>
        <v>0</v>
      </c>
      <c r="X200" s="130">
        <f t="shared" si="150"/>
        <v>0</v>
      </c>
      <c r="Y200" s="130">
        <f t="shared" si="150"/>
        <v>0</v>
      </c>
      <c r="Z200" s="130">
        <f t="shared" si="150"/>
        <v>0</v>
      </c>
      <c r="AA200" s="130">
        <f t="shared" si="150"/>
        <v>0</v>
      </c>
      <c r="AB200" s="130">
        <f t="shared" si="150"/>
        <v>0</v>
      </c>
      <c r="AC200" s="130">
        <f t="shared" si="150"/>
        <v>0</v>
      </c>
      <c r="AD200" s="130">
        <f t="shared" si="150"/>
        <v>0</v>
      </c>
      <c r="AE200" s="130">
        <f t="shared" si="150"/>
        <v>0</v>
      </c>
      <c r="AF200" s="130">
        <f t="shared" si="150"/>
        <v>0</v>
      </c>
      <c r="AG200" s="130">
        <f t="shared" si="150"/>
        <v>0</v>
      </c>
      <c r="AH200" s="130">
        <f t="shared" si="153"/>
        <v>0</v>
      </c>
      <c r="AI200" s="130">
        <f t="shared" si="153"/>
        <v>0</v>
      </c>
      <c r="AJ200" s="130">
        <f t="shared" si="153"/>
        <v>0</v>
      </c>
      <c r="AK200" s="130">
        <f t="shared" si="144"/>
        <v>0</v>
      </c>
      <c r="AL200" s="130">
        <f t="shared" si="145"/>
        <v>0</v>
      </c>
      <c r="AM200" s="130">
        <f t="shared" si="146"/>
        <v>0</v>
      </c>
      <c r="AN200" s="130">
        <f t="shared" si="147"/>
        <v>0</v>
      </c>
      <c r="AO200" s="130">
        <f t="shared" si="151"/>
        <v>0</v>
      </c>
      <c r="AP200" s="130">
        <f t="shared" si="151"/>
        <v>0</v>
      </c>
      <c r="AQ200" s="130">
        <f t="shared" si="151"/>
        <v>0</v>
      </c>
      <c r="AR200" s="130">
        <f t="shared" si="151"/>
        <v>0</v>
      </c>
      <c r="AS200" s="130">
        <f t="shared" si="151"/>
        <v>0</v>
      </c>
      <c r="AT200" s="130">
        <f t="shared" si="151"/>
        <v>0</v>
      </c>
      <c r="AU200" s="130">
        <f t="shared" si="151"/>
        <v>0</v>
      </c>
      <c r="AV200" s="130">
        <f t="shared" si="151"/>
        <v>0</v>
      </c>
      <c r="AW200" s="130">
        <f t="shared" si="151"/>
        <v>0</v>
      </c>
      <c r="AX200" s="130">
        <f t="shared" si="151"/>
        <v>0</v>
      </c>
      <c r="AY200" s="130">
        <f t="shared" si="151"/>
        <v>0</v>
      </c>
      <c r="AZ200" s="130">
        <f t="shared" si="151"/>
        <v>0</v>
      </c>
      <c r="BA200" s="130">
        <f t="shared" si="151"/>
        <v>0</v>
      </c>
      <c r="BB200" s="130">
        <f t="shared" si="154"/>
        <v>0</v>
      </c>
      <c r="BC200" s="130">
        <f t="shared" si="154"/>
        <v>0</v>
      </c>
      <c r="BD200" s="130">
        <f t="shared" si="154"/>
        <v>0</v>
      </c>
      <c r="BE200" s="130">
        <f t="shared" si="154"/>
        <v>0</v>
      </c>
      <c r="BF200" s="130" t="e">
        <f>+IF($H200=#REF!,$C200,0)-IF($I200=#REF!,$C200,0)</f>
        <v>#REF!</v>
      </c>
      <c r="BG200" s="130" t="e">
        <f>+IF($H200=#REF!,$C200,0)-IF($I200=#REF!,$C200,0)</f>
        <v>#REF!</v>
      </c>
      <c r="BH200" s="130" t="e">
        <f>+IF($H200=#REF!,$C200,0)-IF($I200=#REF!,$C200,0)</f>
        <v>#REF!</v>
      </c>
      <c r="BI200" s="130">
        <f t="shared" si="152"/>
        <v>0</v>
      </c>
      <c r="BJ200" s="130">
        <f t="shared" si="152"/>
        <v>0</v>
      </c>
      <c r="BK200" s="130">
        <f t="shared" si="152"/>
        <v>0</v>
      </c>
      <c r="BL200" s="130">
        <f t="shared" si="152"/>
        <v>0</v>
      </c>
      <c r="BM200" s="130">
        <f t="shared" si="152"/>
        <v>0</v>
      </c>
      <c r="BN200" s="130">
        <f t="shared" si="152"/>
        <v>0</v>
      </c>
      <c r="BO200" s="130">
        <f t="shared" si="152"/>
        <v>0</v>
      </c>
      <c r="BP200" s="130">
        <f t="shared" si="152"/>
        <v>0</v>
      </c>
      <c r="BQ200" s="130">
        <f t="shared" si="152"/>
        <v>0</v>
      </c>
      <c r="BR200" s="130" t="e">
        <f t="shared" si="148"/>
        <v>#REF!</v>
      </c>
    </row>
    <row r="201" spans="1:70" s="119" customFormat="1" x14ac:dyDescent="0.2">
      <c r="B201" s="128"/>
      <c r="C201" s="129"/>
      <c r="D201" s="129"/>
      <c r="E201" s="129" t="e">
        <f>ROUND(IF(D201=#REF!,0,IF($H201=$S$6,(C201/1.14975*0.05*0.5),C201/1.14975*0.05)),2)</f>
        <v>#REF!</v>
      </c>
      <c r="F201" s="129" t="e">
        <f>ROUND(IF(D201=#REF!,0,IF($H201=$S$6,C201/1.14975*0.09975*0.5,C201/1.14975*0.09975)),2)</f>
        <v>#REF!</v>
      </c>
      <c r="G201" s="129" t="e">
        <f t="shared" si="143"/>
        <v>#REF!</v>
      </c>
      <c r="J201" s="130">
        <f>+IF($H201=$J$6,$G201,0)-IF($I201=$J$6,$G201,0)</f>
        <v>0</v>
      </c>
      <c r="K201" s="130">
        <f t="shared" si="149"/>
        <v>0</v>
      </c>
      <c r="L201" s="130">
        <f t="shared" si="149"/>
        <v>0</v>
      </c>
      <c r="M201" s="130">
        <f t="shared" si="149"/>
        <v>0</v>
      </c>
      <c r="N201" s="130">
        <f t="shared" si="149"/>
        <v>0</v>
      </c>
      <c r="O201" s="130">
        <f t="shared" si="149"/>
        <v>0</v>
      </c>
      <c r="P201" s="130">
        <f t="shared" si="149"/>
        <v>0</v>
      </c>
      <c r="Q201" s="130">
        <f t="shared" si="149"/>
        <v>0</v>
      </c>
      <c r="R201" s="130">
        <f t="shared" si="149"/>
        <v>0</v>
      </c>
      <c r="S201" s="130">
        <f t="shared" si="149"/>
        <v>0</v>
      </c>
      <c r="T201" s="130">
        <f t="shared" si="149"/>
        <v>0</v>
      </c>
      <c r="U201" s="130">
        <f t="shared" si="150"/>
        <v>0</v>
      </c>
      <c r="V201" s="130">
        <f t="shared" si="150"/>
        <v>0</v>
      </c>
      <c r="W201" s="130">
        <f t="shared" si="150"/>
        <v>0</v>
      </c>
      <c r="X201" s="130">
        <f t="shared" si="150"/>
        <v>0</v>
      </c>
      <c r="Y201" s="130">
        <f t="shared" si="150"/>
        <v>0</v>
      </c>
      <c r="Z201" s="130">
        <f t="shared" si="150"/>
        <v>0</v>
      </c>
      <c r="AA201" s="130">
        <f t="shared" si="150"/>
        <v>0</v>
      </c>
      <c r="AB201" s="130">
        <f t="shared" si="150"/>
        <v>0</v>
      </c>
      <c r="AC201" s="130">
        <f t="shared" si="150"/>
        <v>0</v>
      </c>
      <c r="AD201" s="130">
        <f t="shared" si="150"/>
        <v>0</v>
      </c>
      <c r="AE201" s="130">
        <f t="shared" si="150"/>
        <v>0</v>
      </c>
      <c r="AF201" s="130">
        <f t="shared" si="150"/>
        <v>0</v>
      </c>
      <c r="AG201" s="130">
        <f t="shared" si="150"/>
        <v>0</v>
      </c>
      <c r="AH201" s="130">
        <f t="shared" si="153"/>
        <v>0</v>
      </c>
      <c r="AI201" s="130">
        <f t="shared" si="153"/>
        <v>0</v>
      </c>
      <c r="AJ201" s="130">
        <f t="shared" si="153"/>
        <v>0</v>
      </c>
      <c r="AK201" s="130">
        <f t="shared" si="144"/>
        <v>0</v>
      </c>
      <c r="AL201" s="130">
        <f t="shared" si="145"/>
        <v>0</v>
      </c>
      <c r="AM201" s="130">
        <f t="shared" si="146"/>
        <v>0</v>
      </c>
      <c r="AN201" s="130">
        <f t="shared" si="147"/>
        <v>0</v>
      </c>
      <c r="AO201" s="130">
        <f t="shared" si="151"/>
        <v>0</v>
      </c>
      <c r="AP201" s="130">
        <f t="shared" si="151"/>
        <v>0</v>
      </c>
      <c r="AQ201" s="130">
        <f t="shared" si="151"/>
        <v>0</v>
      </c>
      <c r="AR201" s="130">
        <f t="shared" si="151"/>
        <v>0</v>
      </c>
      <c r="AS201" s="130">
        <f t="shared" si="151"/>
        <v>0</v>
      </c>
      <c r="AT201" s="130">
        <f t="shared" si="151"/>
        <v>0</v>
      </c>
      <c r="AU201" s="130">
        <f t="shared" si="151"/>
        <v>0</v>
      </c>
      <c r="AV201" s="130">
        <f t="shared" si="151"/>
        <v>0</v>
      </c>
      <c r="AW201" s="130">
        <f t="shared" si="151"/>
        <v>0</v>
      </c>
      <c r="AX201" s="130">
        <f t="shared" si="151"/>
        <v>0</v>
      </c>
      <c r="AY201" s="130">
        <f t="shared" si="151"/>
        <v>0</v>
      </c>
      <c r="AZ201" s="130">
        <f t="shared" si="151"/>
        <v>0</v>
      </c>
      <c r="BA201" s="130">
        <f t="shared" si="151"/>
        <v>0</v>
      </c>
      <c r="BB201" s="130">
        <f t="shared" si="154"/>
        <v>0</v>
      </c>
      <c r="BC201" s="130">
        <f t="shared" si="154"/>
        <v>0</v>
      </c>
      <c r="BD201" s="130">
        <f t="shared" si="154"/>
        <v>0</v>
      </c>
      <c r="BE201" s="130">
        <f t="shared" si="154"/>
        <v>0</v>
      </c>
      <c r="BF201" s="130" t="e">
        <f>+IF($H201=#REF!,$C201,0)-IF($I201=#REF!,$C201,0)</f>
        <v>#REF!</v>
      </c>
      <c r="BG201" s="130" t="e">
        <f>+IF($H201=#REF!,$C201,0)-IF($I201=#REF!,$C201,0)</f>
        <v>#REF!</v>
      </c>
      <c r="BH201" s="130" t="e">
        <f>+IF($H201=#REF!,$C201,0)-IF($I201=#REF!,$C201,0)</f>
        <v>#REF!</v>
      </c>
      <c r="BI201" s="130">
        <f t="shared" si="152"/>
        <v>0</v>
      </c>
      <c r="BJ201" s="130">
        <f t="shared" si="152"/>
        <v>0</v>
      </c>
      <c r="BK201" s="130">
        <f t="shared" si="152"/>
        <v>0</v>
      </c>
      <c r="BL201" s="130">
        <f t="shared" si="152"/>
        <v>0</v>
      </c>
      <c r="BM201" s="130">
        <f t="shared" si="152"/>
        <v>0</v>
      </c>
      <c r="BN201" s="130">
        <f t="shared" si="152"/>
        <v>0</v>
      </c>
      <c r="BO201" s="130">
        <f t="shared" si="152"/>
        <v>0</v>
      </c>
      <c r="BP201" s="130">
        <f t="shared" si="152"/>
        <v>0</v>
      </c>
      <c r="BQ201" s="130">
        <f t="shared" si="152"/>
        <v>0</v>
      </c>
      <c r="BR201" s="130" t="e">
        <f t="shared" si="148"/>
        <v>#REF!</v>
      </c>
    </row>
    <row r="202" spans="1:70" s="119" customFormat="1" x14ac:dyDescent="0.2">
      <c r="B202" s="128"/>
      <c r="C202" s="129"/>
      <c r="D202" s="129"/>
      <c r="E202" s="129" t="e">
        <f>ROUND(IF(D202=#REF!,0,IF($H202=$S$6,(C202/1.14975*0.05*0.5),C202/1.14975*0.05)),2)</f>
        <v>#REF!</v>
      </c>
      <c r="F202" s="129" t="e">
        <f>ROUND(IF(D202=#REF!,0,IF($H202=$S$6,C202/1.14975*0.09975*0.5,C202/1.14975*0.09975)),2)</f>
        <v>#REF!</v>
      </c>
      <c r="G202" s="129" t="e">
        <f t="shared" si="143"/>
        <v>#REF!</v>
      </c>
      <c r="J202" s="130">
        <f>+IF($H202=$J$6,$G202,0)-IF($I202=$J$6,$G202,0)</f>
        <v>0</v>
      </c>
      <c r="K202" s="130">
        <f t="shared" si="149"/>
        <v>0</v>
      </c>
      <c r="L202" s="130">
        <f t="shared" si="149"/>
        <v>0</v>
      </c>
      <c r="M202" s="130">
        <f t="shared" si="149"/>
        <v>0</v>
      </c>
      <c r="N202" s="130">
        <f t="shared" si="149"/>
        <v>0</v>
      </c>
      <c r="O202" s="130">
        <f t="shared" si="149"/>
        <v>0</v>
      </c>
      <c r="P202" s="130">
        <f t="shared" si="149"/>
        <v>0</v>
      </c>
      <c r="Q202" s="130">
        <f t="shared" si="149"/>
        <v>0</v>
      </c>
      <c r="R202" s="130">
        <f t="shared" si="149"/>
        <v>0</v>
      </c>
      <c r="S202" s="130">
        <f t="shared" si="149"/>
        <v>0</v>
      </c>
      <c r="T202" s="130">
        <f t="shared" si="149"/>
        <v>0</v>
      </c>
      <c r="U202" s="130">
        <f t="shared" si="150"/>
        <v>0</v>
      </c>
      <c r="V202" s="130">
        <f t="shared" si="150"/>
        <v>0</v>
      </c>
      <c r="W202" s="130">
        <f t="shared" si="150"/>
        <v>0</v>
      </c>
      <c r="X202" s="130">
        <f t="shared" si="150"/>
        <v>0</v>
      </c>
      <c r="Y202" s="130">
        <f t="shared" si="150"/>
        <v>0</v>
      </c>
      <c r="Z202" s="130">
        <f t="shared" si="150"/>
        <v>0</v>
      </c>
      <c r="AA202" s="130">
        <f t="shared" si="150"/>
        <v>0</v>
      </c>
      <c r="AB202" s="130">
        <f t="shared" si="150"/>
        <v>0</v>
      </c>
      <c r="AC202" s="130">
        <f t="shared" si="150"/>
        <v>0</v>
      </c>
      <c r="AD202" s="130">
        <f t="shared" si="150"/>
        <v>0</v>
      </c>
      <c r="AE202" s="130">
        <f t="shared" si="150"/>
        <v>0</v>
      </c>
      <c r="AF202" s="130">
        <f t="shared" si="150"/>
        <v>0</v>
      </c>
      <c r="AG202" s="130">
        <f t="shared" si="150"/>
        <v>0</v>
      </c>
      <c r="AH202" s="130">
        <f t="shared" si="153"/>
        <v>0</v>
      </c>
      <c r="AI202" s="130">
        <f t="shared" si="153"/>
        <v>0</v>
      </c>
      <c r="AJ202" s="130">
        <f t="shared" si="153"/>
        <v>0</v>
      </c>
      <c r="AK202" s="130">
        <f t="shared" si="144"/>
        <v>0</v>
      </c>
      <c r="AL202" s="130">
        <f t="shared" si="145"/>
        <v>0</v>
      </c>
      <c r="AM202" s="130">
        <f t="shared" si="146"/>
        <v>0</v>
      </c>
      <c r="AN202" s="130">
        <f t="shared" si="147"/>
        <v>0</v>
      </c>
      <c r="AO202" s="130">
        <f t="shared" si="151"/>
        <v>0</v>
      </c>
      <c r="AP202" s="130">
        <f t="shared" si="151"/>
        <v>0</v>
      </c>
      <c r="AQ202" s="130">
        <f t="shared" si="151"/>
        <v>0</v>
      </c>
      <c r="AR202" s="130">
        <f t="shared" si="151"/>
        <v>0</v>
      </c>
      <c r="AS202" s="130">
        <f t="shared" si="151"/>
        <v>0</v>
      </c>
      <c r="AT202" s="130">
        <f t="shared" si="151"/>
        <v>0</v>
      </c>
      <c r="AU202" s="130">
        <f t="shared" si="151"/>
        <v>0</v>
      </c>
      <c r="AV202" s="130">
        <f t="shared" si="151"/>
        <v>0</v>
      </c>
      <c r="AW202" s="130">
        <f t="shared" si="151"/>
        <v>0</v>
      </c>
      <c r="AX202" s="130">
        <f t="shared" si="151"/>
        <v>0</v>
      </c>
      <c r="AY202" s="130">
        <f t="shared" si="151"/>
        <v>0</v>
      </c>
      <c r="AZ202" s="130">
        <f t="shared" si="151"/>
        <v>0</v>
      </c>
      <c r="BA202" s="130">
        <f t="shared" si="151"/>
        <v>0</v>
      </c>
      <c r="BB202" s="130">
        <f t="shared" si="154"/>
        <v>0</v>
      </c>
      <c r="BC202" s="130">
        <f t="shared" si="154"/>
        <v>0</v>
      </c>
      <c r="BD202" s="130">
        <f t="shared" si="154"/>
        <v>0</v>
      </c>
      <c r="BE202" s="130">
        <f t="shared" si="154"/>
        <v>0</v>
      </c>
      <c r="BF202" s="130" t="e">
        <f>+IF($H202=#REF!,$C202,0)-IF($I202=#REF!,$C202,0)</f>
        <v>#REF!</v>
      </c>
      <c r="BG202" s="130" t="e">
        <f>+IF($H202=#REF!,$C202,0)-IF($I202=#REF!,$C202,0)</f>
        <v>#REF!</v>
      </c>
      <c r="BH202" s="130" t="e">
        <f>+IF($H202=#REF!,$C202,0)-IF($I202=#REF!,$C202,0)</f>
        <v>#REF!</v>
      </c>
      <c r="BI202" s="130">
        <f t="shared" si="152"/>
        <v>0</v>
      </c>
      <c r="BJ202" s="130">
        <f t="shared" si="152"/>
        <v>0</v>
      </c>
      <c r="BK202" s="130">
        <f t="shared" si="152"/>
        <v>0</v>
      </c>
      <c r="BL202" s="130">
        <f t="shared" si="152"/>
        <v>0</v>
      </c>
      <c r="BM202" s="130">
        <f t="shared" si="152"/>
        <v>0</v>
      </c>
      <c r="BN202" s="130">
        <f t="shared" si="152"/>
        <v>0</v>
      </c>
      <c r="BO202" s="130">
        <f t="shared" si="152"/>
        <v>0</v>
      </c>
      <c r="BP202" s="130">
        <f t="shared" si="152"/>
        <v>0</v>
      </c>
      <c r="BQ202" s="130">
        <f t="shared" si="152"/>
        <v>0</v>
      </c>
      <c r="BR202" s="130" t="e">
        <f t="shared" si="148"/>
        <v>#REF!</v>
      </c>
    </row>
    <row r="203" spans="1:70" s="119" customFormat="1" x14ac:dyDescent="0.2">
      <c r="B203" s="128"/>
      <c r="C203" s="129"/>
      <c r="D203" s="129"/>
      <c r="E203" s="129" t="e">
        <f>ROUND(IF(D203=#REF!,0,IF($H203=$S$6,(C203/1.14975*0.05*0.5),C203/1.14975*0.05)),2)</f>
        <v>#REF!</v>
      </c>
      <c r="F203" s="129" t="e">
        <f>ROUND(IF(D203=#REF!,0,IF($H203=$S$6,C203/1.14975*0.09975*0.5,C203/1.14975*0.09975)),2)</f>
        <v>#REF!</v>
      </c>
      <c r="G203" s="129" t="e">
        <f t="shared" si="143"/>
        <v>#REF!</v>
      </c>
      <c r="J203" s="130">
        <f>+IF($H203=$J$6,$G203,0)-IF($I203=$J$6,$G203,0)</f>
        <v>0</v>
      </c>
      <c r="K203" s="130">
        <f t="shared" si="149"/>
        <v>0</v>
      </c>
      <c r="L203" s="130">
        <f t="shared" si="149"/>
        <v>0</v>
      </c>
      <c r="M203" s="130">
        <f t="shared" si="149"/>
        <v>0</v>
      </c>
      <c r="N203" s="130">
        <f t="shared" si="149"/>
        <v>0</v>
      </c>
      <c r="O203" s="130">
        <f t="shared" si="149"/>
        <v>0</v>
      </c>
      <c r="P203" s="130">
        <f t="shared" si="149"/>
        <v>0</v>
      </c>
      <c r="Q203" s="130">
        <f t="shared" si="149"/>
        <v>0</v>
      </c>
      <c r="R203" s="130">
        <f t="shared" si="149"/>
        <v>0</v>
      </c>
      <c r="S203" s="130">
        <f t="shared" si="149"/>
        <v>0</v>
      </c>
      <c r="T203" s="130">
        <f t="shared" si="149"/>
        <v>0</v>
      </c>
      <c r="U203" s="130">
        <f t="shared" si="150"/>
        <v>0</v>
      </c>
      <c r="V203" s="130">
        <f t="shared" si="150"/>
        <v>0</v>
      </c>
      <c r="W203" s="130">
        <f t="shared" si="150"/>
        <v>0</v>
      </c>
      <c r="X203" s="130">
        <f t="shared" si="150"/>
        <v>0</v>
      </c>
      <c r="Y203" s="130">
        <f t="shared" si="150"/>
        <v>0</v>
      </c>
      <c r="Z203" s="130">
        <f t="shared" si="150"/>
        <v>0</v>
      </c>
      <c r="AA203" s="130">
        <f t="shared" si="150"/>
        <v>0</v>
      </c>
      <c r="AB203" s="130">
        <f t="shared" si="150"/>
        <v>0</v>
      </c>
      <c r="AC203" s="130">
        <f t="shared" si="150"/>
        <v>0</v>
      </c>
      <c r="AD203" s="130">
        <f t="shared" si="150"/>
        <v>0</v>
      </c>
      <c r="AE203" s="130">
        <f t="shared" si="150"/>
        <v>0</v>
      </c>
      <c r="AF203" s="130">
        <f t="shared" si="150"/>
        <v>0</v>
      </c>
      <c r="AG203" s="130">
        <f t="shared" si="150"/>
        <v>0</v>
      </c>
      <c r="AH203" s="130">
        <f t="shared" si="153"/>
        <v>0</v>
      </c>
      <c r="AI203" s="130">
        <f t="shared" si="153"/>
        <v>0</v>
      </c>
      <c r="AJ203" s="130">
        <f t="shared" si="153"/>
        <v>0</v>
      </c>
      <c r="AK203" s="130">
        <f t="shared" si="144"/>
        <v>0</v>
      </c>
      <c r="AL203" s="130">
        <f t="shared" si="145"/>
        <v>0</v>
      </c>
      <c r="AM203" s="130">
        <f t="shared" si="146"/>
        <v>0</v>
      </c>
      <c r="AN203" s="130">
        <f t="shared" si="147"/>
        <v>0</v>
      </c>
      <c r="AO203" s="130">
        <f t="shared" si="151"/>
        <v>0</v>
      </c>
      <c r="AP203" s="130">
        <f t="shared" si="151"/>
        <v>0</v>
      </c>
      <c r="AQ203" s="130">
        <f t="shared" si="151"/>
        <v>0</v>
      </c>
      <c r="AR203" s="130">
        <f t="shared" si="151"/>
        <v>0</v>
      </c>
      <c r="AS203" s="130">
        <f t="shared" si="151"/>
        <v>0</v>
      </c>
      <c r="AT203" s="130">
        <f t="shared" si="151"/>
        <v>0</v>
      </c>
      <c r="AU203" s="130">
        <f t="shared" si="151"/>
        <v>0</v>
      </c>
      <c r="AV203" s="130">
        <f t="shared" si="151"/>
        <v>0</v>
      </c>
      <c r="AW203" s="130">
        <f t="shared" si="151"/>
        <v>0</v>
      </c>
      <c r="AX203" s="130">
        <f t="shared" si="151"/>
        <v>0</v>
      </c>
      <c r="AY203" s="130">
        <f t="shared" si="151"/>
        <v>0</v>
      </c>
      <c r="AZ203" s="130">
        <f t="shared" si="151"/>
        <v>0</v>
      </c>
      <c r="BA203" s="130">
        <f t="shared" si="151"/>
        <v>0</v>
      </c>
      <c r="BB203" s="130">
        <f t="shared" si="154"/>
        <v>0</v>
      </c>
      <c r="BC203" s="130">
        <f t="shared" si="154"/>
        <v>0</v>
      </c>
      <c r="BD203" s="130">
        <f t="shared" si="154"/>
        <v>0</v>
      </c>
      <c r="BE203" s="130">
        <f t="shared" si="154"/>
        <v>0</v>
      </c>
      <c r="BF203" s="130" t="e">
        <f>+IF($H203=#REF!,$C203,0)-IF($I203=#REF!,$C203,0)</f>
        <v>#REF!</v>
      </c>
      <c r="BG203" s="130" t="e">
        <f>+IF($H203=#REF!,$C203,0)-IF($I203=#REF!,$C203,0)</f>
        <v>#REF!</v>
      </c>
      <c r="BH203" s="130" t="e">
        <f>+IF($H203=#REF!,$C203,0)-IF($I203=#REF!,$C203,0)</f>
        <v>#REF!</v>
      </c>
      <c r="BI203" s="130">
        <f t="shared" si="152"/>
        <v>0</v>
      </c>
      <c r="BJ203" s="130">
        <f t="shared" si="152"/>
        <v>0</v>
      </c>
      <c r="BK203" s="130">
        <f t="shared" si="152"/>
        <v>0</v>
      </c>
      <c r="BL203" s="130">
        <f t="shared" si="152"/>
        <v>0</v>
      </c>
      <c r="BM203" s="130">
        <f t="shared" si="152"/>
        <v>0</v>
      </c>
      <c r="BN203" s="130">
        <f t="shared" si="152"/>
        <v>0</v>
      </c>
      <c r="BO203" s="130">
        <f t="shared" si="152"/>
        <v>0</v>
      </c>
      <c r="BP203" s="130">
        <f t="shared" si="152"/>
        <v>0</v>
      </c>
      <c r="BQ203" s="130">
        <f t="shared" si="152"/>
        <v>0</v>
      </c>
      <c r="BR203" s="130" t="e">
        <f t="shared" si="148"/>
        <v>#REF!</v>
      </c>
    </row>
    <row r="204" spans="1:70" s="119" customFormat="1" x14ac:dyDescent="0.2">
      <c r="B204" s="128"/>
      <c r="C204" s="129"/>
      <c r="D204" s="129"/>
      <c r="E204" s="129" t="e">
        <f>ROUND(IF(D204=#REF!,0,IF($H204=$S$6,(C204/1.14975*0.05*0.5),C204/1.14975*0.05)),2)</f>
        <v>#REF!</v>
      </c>
      <c r="F204" s="129" t="e">
        <f>ROUND(IF(D204=#REF!,0,IF($H204=$S$6,C204/1.14975*0.09975*0.5,C204/1.14975*0.09975)),2)</f>
        <v>#REF!</v>
      </c>
      <c r="G204" s="129" t="e">
        <f t="shared" si="143"/>
        <v>#REF!</v>
      </c>
      <c r="J204" s="130">
        <f>+IF($H204=$J$6,$G204,0)-IF($I204=$J$6,$G204,0)</f>
        <v>0</v>
      </c>
      <c r="K204" s="130">
        <f t="shared" si="149"/>
        <v>0</v>
      </c>
      <c r="L204" s="130">
        <f t="shared" si="149"/>
        <v>0</v>
      </c>
      <c r="M204" s="130">
        <f t="shared" si="149"/>
        <v>0</v>
      </c>
      <c r="N204" s="130">
        <f t="shared" si="149"/>
        <v>0</v>
      </c>
      <c r="O204" s="130">
        <f t="shared" si="149"/>
        <v>0</v>
      </c>
      <c r="P204" s="130">
        <f t="shared" si="149"/>
        <v>0</v>
      </c>
      <c r="Q204" s="130">
        <f t="shared" si="149"/>
        <v>0</v>
      </c>
      <c r="R204" s="130">
        <f t="shared" si="149"/>
        <v>0</v>
      </c>
      <c r="S204" s="130">
        <f t="shared" si="149"/>
        <v>0</v>
      </c>
      <c r="T204" s="130">
        <f t="shared" si="149"/>
        <v>0</v>
      </c>
      <c r="U204" s="130">
        <f t="shared" si="150"/>
        <v>0</v>
      </c>
      <c r="V204" s="130">
        <f t="shared" si="150"/>
        <v>0</v>
      </c>
      <c r="W204" s="130">
        <f t="shared" si="150"/>
        <v>0</v>
      </c>
      <c r="X204" s="130">
        <f t="shared" si="150"/>
        <v>0</v>
      </c>
      <c r="Y204" s="130">
        <f t="shared" si="150"/>
        <v>0</v>
      </c>
      <c r="Z204" s="130">
        <f t="shared" si="150"/>
        <v>0</v>
      </c>
      <c r="AA204" s="130">
        <f t="shared" si="150"/>
        <v>0</v>
      </c>
      <c r="AB204" s="130">
        <f t="shared" si="150"/>
        <v>0</v>
      </c>
      <c r="AC204" s="130">
        <f t="shared" si="150"/>
        <v>0</v>
      </c>
      <c r="AD204" s="130">
        <f t="shared" si="150"/>
        <v>0</v>
      </c>
      <c r="AE204" s="130">
        <f t="shared" si="150"/>
        <v>0</v>
      </c>
      <c r="AF204" s="130">
        <f t="shared" si="150"/>
        <v>0</v>
      </c>
      <c r="AG204" s="130">
        <f t="shared" si="150"/>
        <v>0</v>
      </c>
      <c r="AH204" s="130">
        <f t="shared" si="153"/>
        <v>0</v>
      </c>
      <c r="AI204" s="130">
        <f t="shared" si="153"/>
        <v>0</v>
      </c>
      <c r="AJ204" s="130">
        <f t="shared" si="153"/>
        <v>0</v>
      </c>
      <c r="AK204" s="130">
        <f t="shared" si="144"/>
        <v>0</v>
      </c>
      <c r="AL204" s="130">
        <f t="shared" si="145"/>
        <v>0</v>
      </c>
      <c r="AM204" s="130">
        <f t="shared" si="146"/>
        <v>0</v>
      </c>
      <c r="AN204" s="130">
        <f t="shared" si="147"/>
        <v>0</v>
      </c>
      <c r="AO204" s="130">
        <f t="shared" si="151"/>
        <v>0</v>
      </c>
      <c r="AP204" s="130">
        <f t="shared" si="151"/>
        <v>0</v>
      </c>
      <c r="AQ204" s="130">
        <f t="shared" si="151"/>
        <v>0</v>
      </c>
      <c r="AR204" s="130">
        <f t="shared" si="151"/>
        <v>0</v>
      </c>
      <c r="AS204" s="130">
        <f t="shared" si="151"/>
        <v>0</v>
      </c>
      <c r="AT204" s="130">
        <f t="shared" si="151"/>
        <v>0</v>
      </c>
      <c r="AU204" s="130">
        <f t="shared" si="151"/>
        <v>0</v>
      </c>
      <c r="AV204" s="130">
        <f t="shared" si="151"/>
        <v>0</v>
      </c>
      <c r="AW204" s="130">
        <f t="shared" si="151"/>
        <v>0</v>
      </c>
      <c r="AX204" s="130">
        <f t="shared" si="151"/>
        <v>0</v>
      </c>
      <c r="AY204" s="130">
        <f t="shared" si="151"/>
        <v>0</v>
      </c>
      <c r="AZ204" s="130">
        <f t="shared" si="151"/>
        <v>0</v>
      </c>
      <c r="BA204" s="130">
        <f t="shared" si="151"/>
        <v>0</v>
      </c>
      <c r="BB204" s="130">
        <f t="shared" si="154"/>
        <v>0</v>
      </c>
      <c r="BC204" s="130">
        <f t="shared" si="154"/>
        <v>0</v>
      </c>
      <c r="BD204" s="130">
        <f t="shared" si="154"/>
        <v>0</v>
      </c>
      <c r="BE204" s="130">
        <f t="shared" si="154"/>
        <v>0</v>
      </c>
      <c r="BF204" s="130" t="e">
        <f>+IF($H204=#REF!,$C204,0)-IF($I204=#REF!,$C204,0)</f>
        <v>#REF!</v>
      </c>
      <c r="BG204" s="130" t="e">
        <f>+IF($H204=#REF!,$C204,0)-IF($I204=#REF!,$C204,0)</f>
        <v>#REF!</v>
      </c>
      <c r="BH204" s="130" t="e">
        <f>+IF($H204=#REF!,$C204,0)-IF($I204=#REF!,$C204,0)</f>
        <v>#REF!</v>
      </c>
      <c r="BI204" s="130">
        <f t="shared" si="152"/>
        <v>0</v>
      </c>
      <c r="BJ204" s="130">
        <f t="shared" si="152"/>
        <v>0</v>
      </c>
      <c r="BK204" s="130">
        <f t="shared" si="152"/>
        <v>0</v>
      </c>
      <c r="BL204" s="130">
        <f t="shared" si="152"/>
        <v>0</v>
      </c>
      <c r="BM204" s="130">
        <f t="shared" si="152"/>
        <v>0</v>
      </c>
      <c r="BN204" s="130">
        <f t="shared" si="152"/>
        <v>0</v>
      </c>
      <c r="BO204" s="130">
        <f t="shared" si="152"/>
        <v>0</v>
      </c>
      <c r="BP204" s="130">
        <f t="shared" si="152"/>
        <v>0</v>
      </c>
      <c r="BQ204" s="130">
        <f t="shared" si="152"/>
        <v>0</v>
      </c>
      <c r="BR204" s="130" t="e">
        <f t="shared" si="148"/>
        <v>#REF!</v>
      </c>
    </row>
    <row r="205" spans="1:70" s="119" customFormat="1" x14ac:dyDescent="0.2">
      <c r="B205" s="128"/>
      <c r="C205" s="129"/>
      <c r="D205" s="129"/>
      <c r="E205" s="129" t="e">
        <f>ROUND(IF(D205=#REF!,0,IF($H205=$S$6,(C205/1.14975*0.05*0.5),C205/1.14975*0.05)),2)</f>
        <v>#REF!</v>
      </c>
      <c r="F205" s="129" t="e">
        <f>ROUND(IF(D205=#REF!,0,IF($H205=$S$6,C205/1.14975*0.09975*0.5,C205/1.14975*0.09975)),2)</f>
        <v>#REF!</v>
      </c>
      <c r="G205" s="129" t="e">
        <f t="shared" si="143"/>
        <v>#REF!</v>
      </c>
      <c r="J205" s="130">
        <f>+IF($H205=$J$6,$G205,0)-IF($I205=$J$6,$G205,0)</f>
        <v>0</v>
      </c>
      <c r="K205" s="130">
        <f t="shared" si="149"/>
        <v>0</v>
      </c>
      <c r="L205" s="130">
        <f t="shared" si="149"/>
        <v>0</v>
      </c>
      <c r="M205" s="130">
        <f t="shared" si="149"/>
        <v>0</v>
      </c>
      <c r="N205" s="130">
        <f t="shared" si="149"/>
        <v>0</v>
      </c>
      <c r="O205" s="130">
        <f t="shared" si="149"/>
        <v>0</v>
      </c>
      <c r="P205" s="130">
        <f t="shared" si="149"/>
        <v>0</v>
      </c>
      <c r="Q205" s="130">
        <f t="shared" si="149"/>
        <v>0</v>
      </c>
      <c r="R205" s="130">
        <f t="shared" si="149"/>
        <v>0</v>
      </c>
      <c r="S205" s="130">
        <f t="shared" si="149"/>
        <v>0</v>
      </c>
      <c r="T205" s="130">
        <f t="shared" si="149"/>
        <v>0</v>
      </c>
      <c r="U205" s="130">
        <f t="shared" si="150"/>
        <v>0</v>
      </c>
      <c r="V205" s="130">
        <f t="shared" si="150"/>
        <v>0</v>
      </c>
      <c r="W205" s="130">
        <f t="shared" si="150"/>
        <v>0</v>
      </c>
      <c r="X205" s="130">
        <f t="shared" si="150"/>
        <v>0</v>
      </c>
      <c r="Y205" s="130">
        <f t="shared" si="150"/>
        <v>0</v>
      </c>
      <c r="Z205" s="130">
        <f t="shared" si="150"/>
        <v>0</v>
      </c>
      <c r="AA205" s="130">
        <f t="shared" si="150"/>
        <v>0</v>
      </c>
      <c r="AB205" s="130">
        <f t="shared" si="150"/>
        <v>0</v>
      </c>
      <c r="AC205" s="130">
        <f t="shared" si="150"/>
        <v>0</v>
      </c>
      <c r="AD205" s="130">
        <f t="shared" si="150"/>
        <v>0</v>
      </c>
      <c r="AE205" s="130">
        <f t="shared" si="150"/>
        <v>0</v>
      </c>
      <c r="AF205" s="130">
        <f t="shared" si="150"/>
        <v>0</v>
      </c>
      <c r="AG205" s="130">
        <f t="shared" si="150"/>
        <v>0</v>
      </c>
      <c r="AH205" s="130">
        <f t="shared" si="153"/>
        <v>0</v>
      </c>
      <c r="AI205" s="130">
        <f t="shared" si="153"/>
        <v>0</v>
      </c>
      <c r="AJ205" s="130">
        <f t="shared" si="153"/>
        <v>0</v>
      </c>
      <c r="AK205" s="130">
        <f t="shared" si="144"/>
        <v>0</v>
      </c>
      <c r="AL205" s="130">
        <f t="shared" si="145"/>
        <v>0</v>
      </c>
      <c r="AM205" s="130">
        <f t="shared" si="146"/>
        <v>0</v>
      </c>
      <c r="AN205" s="130">
        <f t="shared" si="147"/>
        <v>0</v>
      </c>
      <c r="AO205" s="130">
        <f t="shared" si="151"/>
        <v>0</v>
      </c>
      <c r="AP205" s="130">
        <f t="shared" si="151"/>
        <v>0</v>
      </c>
      <c r="AQ205" s="130">
        <f t="shared" si="151"/>
        <v>0</v>
      </c>
      <c r="AR205" s="130">
        <f t="shared" si="151"/>
        <v>0</v>
      </c>
      <c r="AS205" s="130">
        <f t="shared" si="151"/>
        <v>0</v>
      </c>
      <c r="AT205" s="130">
        <f t="shared" si="151"/>
        <v>0</v>
      </c>
      <c r="AU205" s="130">
        <f t="shared" si="151"/>
        <v>0</v>
      </c>
      <c r="AV205" s="130">
        <f t="shared" si="151"/>
        <v>0</v>
      </c>
      <c r="AW205" s="130">
        <f t="shared" si="151"/>
        <v>0</v>
      </c>
      <c r="AX205" s="130">
        <f t="shared" si="151"/>
        <v>0</v>
      </c>
      <c r="AY205" s="130">
        <f t="shared" si="151"/>
        <v>0</v>
      </c>
      <c r="AZ205" s="130">
        <f t="shared" si="151"/>
        <v>0</v>
      </c>
      <c r="BA205" s="130">
        <f t="shared" si="151"/>
        <v>0</v>
      </c>
      <c r="BB205" s="130">
        <f t="shared" si="154"/>
        <v>0</v>
      </c>
      <c r="BC205" s="130">
        <f t="shared" si="154"/>
        <v>0</v>
      </c>
      <c r="BD205" s="130">
        <f t="shared" si="154"/>
        <v>0</v>
      </c>
      <c r="BE205" s="130">
        <f t="shared" si="154"/>
        <v>0</v>
      </c>
      <c r="BF205" s="130" t="e">
        <f>+IF($H205=#REF!,$C205,0)-IF($I205=#REF!,$C205,0)</f>
        <v>#REF!</v>
      </c>
      <c r="BG205" s="130" t="e">
        <f>+IF($H205=#REF!,$C205,0)-IF($I205=#REF!,$C205,0)</f>
        <v>#REF!</v>
      </c>
      <c r="BH205" s="130" t="e">
        <f>+IF($H205=#REF!,$C205,0)-IF($I205=#REF!,$C205,0)</f>
        <v>#REF!</v>
      </c>
      <c r="BI205" s="130">
        <f t="shared" si="152"/>
        <v>0</v>
      </c>
      <c r="BJ205" s="130">
        <f t="shared" si="152"/>
        <v>0</v>
      </c>
      <c r="BK205" s="130">
        <f t="shared" si="152"/>
        <v>0</v>
      </c>
      <c r="BL205" s="130">
        <f t="shared" si="152"/>
        <v>0</v>
      </c>
      <c r="BM205" s="130">
        <f t="shared" si="152"/>
        <v>0</v>
      </c>
      <c r="BN205" s="130">
        <f t="shared" si="152"/>
        <v>0</v>
      </c>
      <c r="BO205" s="130">
        <f t="shared" si="152"/>
        <v>0</v>
      </c>
      <c r="BP205" s="130">
        <f t="shared" si="152"/>
        <v>0</v>
      </c>
      <c r="BQ205" s="130">
        <f t="shared" si="152"/>
        <v>0</v>
      </c>
      <c r="BR205" s="130" t="e">
        <f t="shared" si="148"/>
        <v>#REF!</v>
      </c>
    </row>
    <row r="206" spans="1:70" s="119" customFormat="1" ht="13.5" thickBot="1" x14ac:dyDescent="0.25">
      <c r="A206" s="121"/>
      <c r="B206" s="121"/>
      <c r="C206" s="131"/>
      <c r="D206" s="131"/>
      <c r="E206" s="131"/>
      <c r="F206" s="131"/>
      <c r="G206" s="131"/>
      <c r="H206" s="121"/>
      <c r="I206" s="121"/>
      <c r="J206" s="132"/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32"/>
      <c r="AF206" s="132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  <c r="BC206" s="132"/>
      <c r="BD206" s="132"/>
      <c r="BE206" s="132"/>
      <c r="BF206" s="132"/>
      <c r="BG206" s="132"/>
      <c r="BH206" s="132"/>
      <c r="BI206" s="132"/>
      <c r="BJ206" s="132"/>
      <c r="BK206" s="132"/>
      <c r="BL206" s="132"/>
      <c r="BM206" s="132"/>
      <c r="BN206" s="132"/>
      <c r="BO206" s="132"/>
      <c r="BP206" s="132"/>
      <c r="BQ206" s="132"/>
      <c r="BR206" s="132"/>
    </row>
    <row r="207" spans="1:70" s="119" customFormat="1" x14ac:dyDescent="0.2">
      <c r="C207" s="129"/>
      <c r="E207" s="129"/>
      <c r="F207" s="129"/>
      <c r="G207" s="129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130"/>
      <c r="AC207" s="130"/>
      <c r="AD207" s="130"/>
      <c r="AE207" s="130"/>
      <c r="AF207" s="130"/>
      <c r="AG207" s="130"/>
      <c r="AH207" s="130"/>
      <c r="AI207" s="130"/>
      <c r="AJ207" s="130"/>
      <c r="AK207" s="130"/>
      <c r="AL207" s="130"/>
      <c r="AM207" s="130"/>
      <c r="AN207" s="130"/>
      <c r="AO207" s="130"/>
      <c r="AP207" s="130"/>
      <c r="AQ207" s="130"/>
      <c r="AR207" s="130"/>
      <c r="AS207" s="130"/>
      <c r="AT207" s="130"/>
      <c r="AU207" s="130"/>
      <c r="AV207" s="130"/>
      <c r="AW207" s="130"/>
      <c r="AX207" s="130"/>
      <c r="AY207" s="130"/>
      <c r="AZ207" s="130"/>
      <c r="BA207" s="130"/>
      <c r="BB207" s="130"/>
      <c r="BC207" s="130"/>
      <c r="BD207" s="130"/>
      <c r="BE207" s="130"/>
      <c r="BF207" s="130"/>
      <c r="BG207" s="130"/>
      <c r="BH207" s="130"/>
      <c r="BI207" s="130"/>
      <c r="BJ207" s="130"/>
      <c r="BK207" s="130"/>
      <c r="BL207" s="130"/>
      <c r="BM207" s="130"/>
      <c r="BN207" s="130"/>
      <c r="BO207" s="130"/>
      <c r="BP207" s="130"/>
      <c r="BQ207" s="130"/>
      <c r="BR207" s="130"/>
    </row>
    <row r="208" spans="1:70" s="119" customFormat="1" x14ac:dyDescent="0.2">
      <c r="A208" s="118" t="s">
        <v>57</v>
      </c>
      <c r="C208" s="129"/>
      <c r="D208" s="129"/>
      <c r="E208" s="129" t="e">
        <f>SUM(E8:E207)</f>
        <v>#REF!</v>
      </c>
      <c r="F208" s="129" t="e">
        <f>SUM(F8:F207)</f>
        <v>#REF!</v>
      </c>
      <c r="G208" s="129" t="e">
        <f>SUM(G8:G207)</f>
        <v>#REF!</v>
      </c>
      <c r="H208" s="129"/>
      <c r="I208" s="129"/>
      <c r="J208" s="130">
        <f t="shared" ref="J208:AO208" si="155">SUM(J9:J207)</f>
        <v>0</v>
      </c>
      <c r="K208" s="130">
        <f t="shared" si="155"/>
        <v>0</v>
      </c>
      <c r="L208" s="130">
        <f t="shared" si="155"/>
        <v>0</v>
      </c>
      <c r="M208" s="130">
        <f t="shared" si="155"/>
        <v>0</v>
      </c>
      <c r="N208" s="130">
        <f t="shared" si="155"/>
        <v>0</v>
      </c>
      <c r="O208" s="130">
        <f t="shared" si="155"/>
        <v>0</v>
      </c>
      <c r="P208" s="130">
        <f t="shared" si="155"/>
        <v>0</v>
      </c>
      <c r="Q208" s="130">
        <f t="shared" si="155"/>
        <v>0</v>
      </c>
      <c r="R208" s="130">
        <f t="shared" si="155"/>
        <v>0</v>
      </c>
      <c r="S208" s="130">
        <f t="shared" si="155"/>
        <v>0</v>
      </c>
      <c r="T208" s="130">
        <f t="shared" si="155"/>
        <v>0</v>
      </c>
      <c r="U208" s="130">
        <f t="shared" si="155"/>
        <v>0</v>
      </c>
      <c r="V208" s="130">
        <f t="shared" si="155"/>
        <v>0</v>
      </c>
      <c r="W208" s="130">
        <f t="shared" si="155"/>
        <v>0</v>
      </c>
      <c r="X208" s="130">
        <f t="shared" si="155"/>
        <v>0</v>
      </c>
      <c r="Y208" s="130">
        <f t="shared" si="155"/>
        <v>0</v>
      </c>
      <c r="Z208" s="130">
        <f t="shared" si="155"/>
        <v>0</v>
      </c>
      <c r="AA208" s="130">
        <f t="shared" si="155"/>
        <v>0</v>
      </c>
      <c r="AB208" s="130">
        <f t="shared" si="155"/>
        <v>0</v>
      </c>
      <c r="AC208" s="130">
        <f t="shared" si="155"/>
        <v>0</v>
      </c>
      <c r="AD208" s="130">
        <f t="shared" si="155"/>
        <v>0</v>
      </c>
      <c r="AE208" s="130">
        <f t="shared" si="155"/>
        <v>0</v>
      </c>
      <c r="AF208" s="130">
        <f t="shared" si="155"/>
        <v>0</v>
      </c>
      <c r="AG208" s="130">
        <f t="shared" si="155"/>
        <v>0</v>
      </c>
      <c r="AH208" s="130">
        <f t="shared" si="155"/>
        <v>0</v>
      </c>
      <c r="AI208" s="130">
        <f t="shared" si="155"/>
        <v>0</v>
      </c>
      <c r="AJ208" s="130">
        <f t="shared" si="155"/>
        <v>0</v>
      </c>
      <c r="AK208" s="130">
        <f t="shared" si="155"/>
        <v>0</v>
      </c>
      <c r="AL208" s="130">
        <f t="shared" si="155"/>
        <v>0</v>
      </c>
      <c r="AM208" s="130">
        <f t="shared" si="155"/>
        <v>0</v>
      </c>
      <c r="AN208" s="130">
        <f t="shared" si="155"/>
        <v>0</v>
      </c>
      <c r="AO208" s="130">
        <f t="shared" si="155"/>
        <v>0</v>
      </c>
      <c r="AP208" s="130">
        <f t="shared" ref="AP208:BR208" si="156">SUM(AP9:AP207)</f>
        <v>0</v>
      </c>
      <c r="AQ208" s="130">
        <f t="shared" si="156"/>
        <v>0</v>
      </c>
      <c r="AR208" s="130">
        <f t="shared" si="156"/>
        <v>0</v>
      </c>
      <c r="AS208" s="130">
        <f t="shared" si="156"/>
        <v>0</v>
      </c>
      <c r="AT208" s="130">
        <f t="shared" si="156"/>
        <v>0</v>
      </c>
      <c r="AU208" s="130">
        <f t="shared" si="156"/>
        <v>0</v>
      </c>
      <c r="AV208" s="130">
        <f t="shared" si="156"/>
        <v>0</v>
      </c>
      <c r="AW208" s="130">
        <f t="shared" si="156"/>
        <v>0</v>
      </c>
      <c r="AX208" s="130">
        <f t="shared" si="156"/>
        <v>0</v>
      </c>
      <c r="AY208" s="130">
        <f t="shared" si="156"/>
        <v>0</v>
      </c>
      <c r="AZ208" s="130">
        <f t="shared" si="156"/>
        <v>0</v>
      </c>
      <c r="BA208" s="130">
        <f t="shared" si="156"/>
        <v>0</v>
      </c>
      <c r="BB208" s="130">
        <f t="shared" si="156"/>
        <v>0</v>
      </c>
      <c r="BC208" s="130">
        <f t="shared" si="156"/>
        <v>0</v>
      </c>
      <c r="BD208" s="130">
        <f t="shared" si="156"/>
        <v>0</v>
      </c>
      <c r="BE208" s="130">
        <f t="shared" si="156"/>
        <v>0</v>
      </c>
      <c r="BF208" s="130" t="e">
        <f t="shared" si="156"/>
        <v>#REF!</v>
      </c>
      <c r="BG208" s="130" t="e">
        <f t="shared" si="156"/>
        <v>#REF!</v>
      </c>
      <c r="BH208" s="130" t="e">
        <f t="shared" si="156"/>
        <v>#REF!</v>
      </c>
      <c r="BI208" s="130">
        <f t="shared" si="156"/>
        <v>0</v>
      </c>
      <c r="BJ208" s="130">
        <f t="shared" si="156"/>
        <v>0</v>
      </c>
      <c r="BK208" s="130">
        <f t="shared" si="156"/>
        <v>0</v>
      </c>
      <c r="BL208" s="130">
        <f t="shared" si="156"/>
        <v>0</v>
      </c>
      <c r="BM208" s="130">
        <f t="shared" si="156"/>
        <v>0</v>
      </c>
      <c r="BN208" s="130">
        <f t="shared" si="156"/>
        <v>0</v>
      </c>
      <c r="BO208" s="130">
        <f t="shared" si="156"/>
        <v>0</v>
      </c>
      <c r="BP208" s="130">
        <f t="shared" si="156"/>
        <v>0</v>
      </c>
      <c r="BQ208" s="130">
        <f t="shared" si="156"/>
        <v>0</v>
      </c>
      <c r="BR208" s="130" t="e">
        <f t="shared" si="156"/>
        <v>#REF!</v>
      </c>
    </row>
    <row r="209" spans="1:70" s="119" customFormat="1" ht="13.5" thickBot="1" x14ac:dyDescent="0.25">
      <c r="C209" s="129"/>
      <c r="D209" s="131"/>
      <c r="E209" s="129"/>
      <c r="F209" s="129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  <c r="Y209" s="130"/>
      <c r="Z209" s="130"/>
      <c r="AA209" s="130"/>
      <c r="AB209" s="130"/>
      <c r="AC209" s="130"/>
      <c r="AD209" s="130"/>
      <c r="AE209" s="130"/>
      <c r="AF209" s="130"/>
      <c r="AG209" s="130"/>
      <c r="AH209" s="130"/>
      <c r="AI209" s="130"/>
      <c r="AJ209" s="130"/>
      <c r="AK209" s="130"/>
      <c r="AL209" s="130"/>
      <c r="AM209" s="130"/>
      <c r="AN209" s="130"/>
      <c r="AO209" s="130"/>
      <c r="AP209" s="130"/>
      <c r="AQ209" s="130"/>
      <c r="AR209" s="130"/>
      <c r="AS209" s="130"/>
      <c r="AT209" s="130"/>
      <c r="AU209" s="130"/>
      <c r="AV209" s="130"/>
      <c r="AW209" s="130"/>
      <c r="AX209" s="130"/>
      <c r="AY209" s="130"/>
      <c r="AZ209" s="130"/>
      <c r="BA209" s="130"/>
      <c r="BB209" s="130"/>
      <c r="BC209" s="130"/>
      <c r="BD209" s="130"/>
      <c r="BE209" s="130"/>
      <c r="BF209" s="130"/>
      <c r="BG209" s="130"/>
      <c r="BH209" s="130"/>
      <c r="BI209" s="130"/>
      <c r="BJ209" s="130"/>
      <c r="BK209" s="130"/>
      <c r="BL209" s="130"/>
      <c r="BM209" s="130"/>
      <c r="BN209" s="130"/>
      <c r="BO209" s="130"/>
      <c r="BP209" s="130"/>
      <c r="BQ209" s="130"/>
      <c r="BR209" s="130"/>
    </row>
    <row r="210" spans="1:70" s="146" customFormat="1" ht="13.5" thickBot="1" x14ac:dyDescent="0.25">
      <c r="A210" s="141" t="s">
        <v>32</v>
      </c>
      <c r="B210" s="142"/>
      <c r="C210" s="143"/>
      <c r="D210" s="144"/>
      <c r="E210" s="143" t="e">
        <f>E208+E7</f>
        <v>#REF!</v>
      </c>
      <c r="F210" s="143" t="e">
        <f>F208+F7</f>
        <v>#REF!</v>
      </c>
      <c r="G210" s="143" t="e">
        <f>G208+G7</f>
        <v>#REF!</v>
      </c>
      <c r="H210" s="143"/>
      <c r="I210" s="143"/>
      <c r="J210" s="145" t="e">
        <f t="shared" ref="J210:AO210" si="157">J208+J7</f>
        <v>#REF!</v>
      </c>
      <c r="K210" s="145" t="e">
        <f t="shared" si="157"/>
        <v>#REF!</v>
      </c>
      <c r="L210" s="145" t="e">
        <f t="shared" si="157"/>
        <v>#REF!</v>
      </c>
      <c r="M210" s="145" t="e">
        <f t="shared" si="157"/>
        <v>#REF!</v>
      </c>
      <c r="N210" s="145" t="e">
        <f t="shared" si="157"/>
        <v>#REF!</v>
      </c>
      <c r="O210" s="145" t="e">
        <f t="shared" si="157"/>
        <v>#REF!</v>
      </c>
      <c r="P210" s="145" t="e">
        <f t="shared" si="157"/>
        <v>#REF!</v>
      </c>
      <c r="Q210" s="145" t="e">
        <f t="shared" si="157"/>
        <v>#REF!</v>
      </c>
      <c r="R210" s="145" t="e">
        <f t="shared" si="157"/>
        <v>#REF!</v>
      </c>
      <c r="S210" s="145" t="e">
        <f t="shared" si="157"/>
        <v>#REF!</v>
      </c>
      <c r="T210" s="145" t="e">
        <f t="shared" si="157"/>
        <v>#REF!</v>
      </c>
      <c r="U210" s="145" t="e">
        <f t="shared" si="157"/>
        <v>#REF!</v>
      </c>
      <c r="V210" s="145" t="e">
        <f t="shared" si="157"/>
        <v>#REF!</v>
      </c>
      <c r="W210" s="145" t="e">
        <f t="shared" si="157"/>
        <v>#REF!</v>
      </c>
      <c r="X210" s="145" t="e">
        <f t="shared" si="157"/>
        <v>#REF!</v>
      </c>
      <c r="Y210" s="145" t="e">
        <f t="shared" si="157"/>
        <v>#REF!</v>
      </c>
      <c r="Z210" s="145" t="e">
        <f t="shared" si="157"/>
        <v>#REF!</v>
      </c>
      <c r="AA210" s="145" t="e">
        <f t="shared" si="157"/>
        <v>#REF!</v>
      </c>
      <c r="AB210" s="145" t="e">
        <f t="shared" si="157"/>
        <v>#REF!</v>
      </c>
      <c r="AC210" s="145" t="e">
        <f t="shared" si="157"/>
        <v>#REF!</v>
      </c>
      <c r="AD210" s="145" t="e">
        <f t="shared" si="157"/>
        <v>#REF!</v>
      </c>
      <c r="AE210" s="145" t="e">
        <f t="shared" si="157"/>
        <v>#REF!</v>
      </c>
      <c r="AF210" s="145" t="e">
        <f t="shared" si="157"/>
        <v>#REF!</v>
      </c>
      <c r="AG210" s="145" t="e">
        <f t="shared" si="157"/>
        <v>#REF!</v>
      </c>
      <c r="AH210" s="145" t="e">
        <f t="shared" si="157"/>
        <v>#REF!</v>
      </c>
      <c r="AI210" s="145" t="e">
        <f t="shared" si="157"/>
        <v>#REF!</v>
      </c>
      <c r="AJ210" s="145" t="e">
        <f t="shared" si="157"/>
        <v>#REF!</v>
      </c>
      <c r="AK210" s="145" t="e">
        <f t="shared" si="157"/>
        <v>#REF!</v>
      </c>
      <c r="AL210" s="145" t="e">
        <f t="shared" si="157"/>
        <v>#REF!</v>
      </c>
      <c r="AM210" s="145" t="e">
        <f t="shared" si="157"/>
        <v>#REF!</v>
      </c>
      <c r="AN210" s="145" t="e">
        <f t="shared" si="157"/>
        <v>#REF!</v>
      </c>
      <c r="AO210" s="145" t="e">
        <f t="shared" si="157"/>
        <v>#REF!</v>
      </c>
      <c r="AP210" s="145" t="e">
        <f t="shared" ref="AP210:BR210" si="158">AP208+AP7</f>
        <v>#REF!</v>
      </c>
      <c r="AQ210" s="145" t="e">
        <f t="shared" si="158"/>
        <v>#REF!</v>
      </c>
      <c r="AR210" s="145" t="e">
        <f t="shared" si="158"/>
        <v>#REF!</v>
      </c>
      <c r="AS210" s="145" t="e">
        <f t="shared" si="158"/>
        <v>#REF!</v>
      </c>
      <c r="AT210" s="145" t="e">
        <f t="shared" si="158"/>
        <v>#REF!</v>
      </c>
      <c r="AU210" s="145" t="e">
        <f t="shared" si="158"/>
        <v>#REF!</v>
      </c>
      <c r="AV210" s="145" t="e">
        <f t="shared" si="158"/>
        <v>#REF!</v>
      </c>
      <c r="AW210" s="145" t="e">
        <f t="shared" si="158"/>
        <v>#REF!</v>
      </c>
      <c r="AX210" s="145" t="e">
        <f t="shared" si="158"/>
        <v>#REF!</v>
      </c>
      <c r="AY210" s="145" t="e">
        <f t="shared" si="158"/>
        <v>#REF!</v>
      </c>
      <c r="AZ210" s="145" t="e">
        <f t="shared" si="158"/>
        <v>#REF!</v>
      </c>
      <c r="BA210" s="145" t="e">
        <f t="shared" si="158"/>
        <v>#REF!</v>
      </c>
      <c r="BB210" s="145" t="e">
        <f t="shared" si="158"/>
        <v>#REF!</v>
      </c>
      <c r="BC210" s="145" t="e">
        <f t="shared" si="158"/>
        <v>#REF!</v>
      </c>
      <c r="BD210" s="145" t="e">
        <f t="shared" si="158"/>
        <v>#REF!</v>
      </c>
      <c r="BE210" s="145" t="e">
        <f t="shared" si="158"/>
        <v>#REF!</v>
      </c>
      <c r="BF210" s="145" t="e">
        <f t="shared" si="158"/>
        <v>#REF!</v>
      </c>
      <c r="BG210" s="145" t="e">
        <f t="shared" si="158"/>
        <v>#REF!</v>
      </c>
      <c r="BH210" s="145" t="e">
        <f t="shared" si="158"/>
        <v>#REF!</v>
      </c>
      <c r="BI210" s="145" t="e">
        <f t="shared" si="158"/>
        <v>#REF!</v>
      </c>
      <c r="BJ210" s="145" t="e">
        <f t="shared" si="158"/>
        <v>#REF!</v>
      </c>
      <c r="BK210" s="145" t="e">
        <f t="shared" si="158"/>
        <v>#REF!</v>
      </c>
      <c r="BL210" s="145" t="e">
        <f t="shared" si="158"/>
        <v>#REF!</v>
      </c>
      <c r="BM210" s="145" t="e">
        <f t="shared" si="158"/>
        <v>#REF!</v>
      </c>
      <c r="BN210" s="145" t="e">
        <f t="shared" si="158"/>
        <v>#REF!</v>
      </c>
      <c r="BO210" s="145" t="e">
        <f t="shared" si="158"/>
        <v>#REF!</v>
      </c>
      <c r="BP210" s="145" t="e">
        <f t="shared" si="158"/>
        <v>#REF!</v>
      </c>
      <c r="BQ210" s="145" t="e">
        <f t="shared" si="158"/>
        <v>#REF!</v>
      </c>
      <c r="BR210" s="139" t="e">
        <f t="shared" si="158"/>
        <v>#REF!</v>
      </c>
    </row>
  </sheetData>
  <sortState xmlns:xlrd2="http://schemas.microsoft.com/office/spreadsheetml/2017/richdata2" ref="A9:BR183">
    <sortCondition ref="A9:A183"/>
  </sortState>
  <phoneticPr fontId="3" type="noConversion"/>
  <dataValidations count="3">
    <dataValidation type="list" allowBlank="1" showInputMessage="1" showErrorMessage="1" sqref="D206" xr:uid="{00000000-0002-0000-1400-000000000000}">
      <formula1>taxes</formula1>
    </dataValidation>
    <dataValidation type="list" allowBlank="1" showInputMessage="1" showErrorMessage="1" sqref="D8:D205" xr:uid="{00000000-0002-0000-1400-000002000000}">
      <formula1>Taxesv2</formula1>
    </dataValidation>
    <dataValidation type="list" allowBlank="1" showInputMessage="1" showErrorMessage="1" sqref="H8:I206" xr:uid="{00000000-0002-0000-1400-000001000000}">
      <formula1>Liste_de_comptes_de_GL</formula1>
    </dataValidation>
  </dataValidations>
  <pageMargins left="0.78740157499999996" right="0.78740157499999996" top="0.984251969" bottom="0.984251969" header="0.4921259845" footer="0.4921259845"/>
  <pageSetup scale="17" fitToWidth="4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1">
    <tabColor rgb="FF8C8375"/>
    <pageSetUpPr fitToPage="1"/>
  </sheetPr>
  <dimension ref="A1:S80"/>
  <sheetViews>
    <sheetView view="pageBreakPreview" topLeftCell="A7" zoomScale="75" zoomScaleNormal="100" zoomScaleSheetLayoutView="75" workbookViewId="0">
      <selection activeCell="C34" sqref="C34"/>
    </sheetView>
  </sheetViews>
  <sheetFormatPr baseColWidth="10" defaultColWidth="10.7109375" defaultRowHeight="12.75" x14ac:dyDescent="0.2"/>
  <cols>
    <col min="1" max="1" width="15.7109375" style="50" customWidth="1"/>
    <col min="2" max="2" width="45" style="50" customWidth="1"/>
    <col min="3" max="3" width="17.85546875" style="50" bestFit="1" customWidth="1"/>
    <col min="4" max="5" width="17.140625" style="50" bestFit="1" customWidth="1"/>
    <col min="6" max="12" width="16.85546875" style="50" bestFit="1" customWidth="1"/>
    <col min="13" max="13" width="17.85546875" style="50" bestFit="1" customWidth="1"/>
    <col min="14" max="15" width="16.85546875" style="50" bestFit="1" customWidth="1"/>
    <col min="16" max="16" width="20.140625" style="50" bestFit="1" customWidth="1"/>
    <col min="17" max="17" width="17.85546875" style="50" bestFit="1" customWidth="1"/>
    <col min="18" max="18" width="14" style="162" bestFit="1" customWidth="1"/>
    <col min="19" max="16384" width="10.7109375" style="50"/>
  </cols>
  <sheetData>
    <row r="1" spans="1:18" s="180" customFormat="1" ht="18" x14ac:dyDescent="0.25">
      <c r="A1" s="228" t="s">
        <v>133</v>
      </c>
      <c r="B1" s="228"/>
      <c r="C1" s="228"/>
    </row>
    <row r="2" spans="1:18" s="180" customFormat="1" ht="18" x14ac:dyDescent="0.25">
      <c r="A2" s="228" t="s">
        <v>2</v>
      </c>
      <c r="B2" s="228"/>
      <c r="C2" s="228"/>
    </row>
    <row r="3" spans="1:18" s="180" customFormat="1" ht="18.75" thickBot="1" x14ac:dyDescent="0.3">
      <c r="A3" s="228" t="e">
        <f>#REF!</f>
        <v>#REF!</v>
      </c>
      <c r="B3" s="228"/>
      <c r="C3" s="228"/>
    </row>
    <row r="4" spans="1:18" s="113" customFormat="1" ht="41.25" customHeight="1" thickBot="1" x14ac:dyDescent="0.25">
      <c r="A4" s="115"/>
      <c r="B4" s="110"/>
      <c r="C4" s="110" t="s">
        <v>3</v>
      </c>
      <c r="D4" s="110" t="e">
        <f>EOMONTH(A3,-11)</f>
        <v>#REF!</v>
      </c>
      <c r="E4" s="110" t="e">
        <f>EOMONTH(D4,1)</f>
        <v>#REF!</v>
      </c>
      <c r="F4" s="110" t="e">
        <f t="shared" ref="F4:O4" si="0">EOMONTH(E4,1)</f>
        <v>#REF!</v>
      </c>
      <c r="G4" s="110" t="e">
        <f t="shared" si="0"/>
        <v>#REF!</v>
      </c>
      <c r="H4" s="110" t="e">
        <f t="shared" si="0"/>
        <v>#REF!</v>
      </c>
      <c r="I4" s="110" t="e">
        <f t="shared" si="0"/>
        <v>#REF!</v>
      </c>
      <c r="J4" s="110" t="e">
        <f t="shared" si="0"/>
        <v>#REF!</v>
      </c>
      <c r="K4" s="110" t="e">
        <f t="shared" si="0"/>
        <v>#REF!</v>
      </c>
      <c r="L4" s="110" t="e">
        <f t="shared" si="0"/>
        <v>#REF!</v>
      </c>
      <c r="M4" s="110" t="e">
        <f t="shared" si="0"/>
        <v>#REF!</v>
      </c>
      <c r="N4" s="110" t="e">
        <f t="shared" si="0"/>
        <v>#REF!</v>
      </c>
      <c r="O4" s="110" t="e">
        <f t="shared" si="0"/>
        <v>#REF!</v>
      </c>
      <c r="P4" s="110" t="s">
        <v>113</v>
      </c>
      <c r="Q4" s="116" t="s">
        <v>4</v>
      </c>
      <c r="R4" s="185" t="s">
        <v>5</v>
      </c>
    </row>
    <row r="5" spans="1:18" s="162" customFormat="1" x14ac:dyDescent="0.2">
      <c r="R5" s="176"/>
    </row>
    <row r="6" spans="1:18" s="162" customFormat="1" x14ac:dyDescent="0.2"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R6" s="176"/>
    </row>
    <row r="7" spans="1:18" x14ac:dyDescent="0.2">
      <c r="A7" s="147">
        <v>4000</v>
      </c>
      <c r="B7" s="189" t="str">
        <f>'Comptes GL'!B7</f>
        <v>Revenus de consultation</v>
      </c>
      <c r="C7" s="114" t="e">
        <f>Juill!J210</f>
        <v>#REF!</v>
      </c>
      <c r="D7" s="114" t="e">
        <f>#REF!</f>
        <v>#REF!</v>
      </c>
      <c r="E7" s="114" t="e">
        <f>#REF!</f>
        <v>#REF!</v>
      </c>
      <c r="F7" s="114" t="e">
        <f>#REF!</f>
        <v>#REF!</v>
      </c>
      <c r="G7" s="114" t="e">
        <f>#REF!</f>
        <v>#REF!</v>
      </c>
      <c r="H7" s="114" t="e">
        <f>#REF!</f>
        <v>#REF!</v>
      </c>
      <c r="I7" s="114" t="e">
        <f>#REF!</f>
        <v>#REF!</v>
      </c>
      <c r="J7" s="114" t="e">
        <f>#REF!</f>
        <v>#REF!</v>
      </c>
      <c r="K7" s="114" t="e">
        <f>#REF!</f>
        <v>#REF!</v>
      </c>
      <c r="L7" s="114" t="e">
        <f>#REF!</f>
        <v>#REF!</v>
      </c>
      <c r="M7" s="114" t="e">
        <f>#REF!</f>
        <v>#REF!</v>
      </c>
      <c r="N7" s="114" t="e">
        <f>#REF!</f>
        <v>#REF!</v>
      </c>
      <c r="O7" s="114">
        <f>Juill!J208</f>
        <v>0</v>
      </c>
      <c r="P7" s="114"/>
      <c r="Q7" s="114" t="e">
        <f t="shared" ref="Q7:Q30" si="1">SUM(D7:P7)</f>
        <v>#REF!</v>
      </c>
      <c r="R7" s="183" t="e">
        <f t="shared" ref="R7:R30" si="2">Q7-C7</f>
        <v>#REF!</v>
      </c>
    </row>
    <row r="8" spans="1:18" s="162" customFormat="1" x14ac:dyDescent="0.2">
      <c r="A8" s="182">
        <v>4001</v>
      </c>
      <c r="B8" s="188" t="str">
        <f>'Comptes GL'!B8</f>
        <v>Revenus - Sociétés apparentées</v>
      </c>
      <c r="C8" s="181" t="e">
        <f>Juill!K210</f>
        <v>#REF!</v>
      </c>
      <c r="D8" s="181" t="e">
        <f>#REF!</f>
        <v>#REF!</v>
      </c>
      <c r="E8" s="181" t="e">
        <f>#REF!</f>
        <v>#REF!</v>
      </c>
      <c r="F8" s="181" t="e">
        <f>#REF!</f>
        <v>#REF!</v>
      </c>
      <c r="G8" s="181" t="e">
        <f>#REF!</f>
        <v>#REF!</v>
      </c>
      <c r="H8" s="181" t="e">
        <f>#REF!</f>
        <v>#REF!</v>
      </c>
      <c r="I8" s="181" t="e">
        <f>#REF!</f>
        <v>#REF!</v>
      </c>
      <c r="J8" s="181" t="e">
        <f>#REF!</f>
        <v>#REF!</v>
      </c>
      <c r="K8" s="181" t="e">
        <f>#REF!</f>
        <v>#REF!</v>
      </c>
      <c r="L8" s="181" t="e">
        <f>#REF!</f>
        <v>#REF!</v>
      </c>
      <c r="M8" s="181" t="e">
        <f>#REF!</f>
        <v>#REF!</v>
      </c>
      <c r="N8" s="181" t="e">
        <f>#REF!</f>
        <v>#REF!</v>
      </c>
      <c r="O8" s="181">
        <f>Juill!K208</f>
        <v>0</v>
      </c>
      <c r="P8" s="181"/>
      <c r="Q8" s="181" t="e">
        <f t="shared" si="1"/>
        <v>#REF!</v>
      </c>
      <c r="R8" s="183" t="e">
        <f t="shared" si="2"/>
        <v>#REF!</v>
      </c>
    </row>
    <row r="9" spans="1:18" x14ac:dyDescent="0.2">
      <c r="A9" s="147">
        <v>4010</v>
      </c>
      <c r="B9" s="189" t="s">
        <v>114</v>
      </c>
      <c r="C9" s="114" t="e">
        <f>SUM(D9:P9)</f>
        <v>#REF!</v>
      </c>
      <c r="D9" s="114" t="e">
        <f>#REF!</f>
        <v>#REF!</v>
      </c>
      <c r="E9" s="114" t="e">
        <f>#REF!</f>
        <v>#REF!</v>
      </c>
      <c r="F9" s="114" t="e">
        <f>#REF!</f>
        <v>#REF!</v>
      </c>
      <c r="G9" s="114" t="e">
        <f>#REF!</f>
        <v>#REF!</v>
      </c>
      <c r="H9" s="114" t="e">
        <f>#REF!</f>
        <v>#REF!</v>
      </c>
      <c r="I9" s="114" t="e">
        <f>#REF!</f>
        <v>#REF!</v>
      </c>
      <c r="J9" s="114" t="e">
        <f>#REF!</f>
        <v>#REF!</v>
      </c>
      <c r="K9" s="114" t="e">
        <f>#REF!</f>
        <v>#REF!</v>
      </c>
      <c r="L9" s="114" t="e">
        <f>#REF!</f>
        <v>#REF!</v>
      </c>
      <c r="M9" s="114" t="e">
        <f>#REF!</f>
        <v>#REF!</v>
      </c>
      <c r="N9" s="114" t="e">
        <f>#REF!</f>
        <v>#REF!</v>
      </c>
      <c r="O9" s="114">
        <f>Juill!L208</f>
        <v>0</v>
      </c>
      <c r="P9" s="114"/>
      <c r="Q9" s="114" t="e">
        <f t="shared" si="1"/>
        <v>#REF!</v>
      </c>
      <c r="R9" s="183" t="e">
        <f t="shared" si="2"/>
        <v>#REF!</v>
      </c>
    </row>
    <row r="10" spans="1:18" s="162" customFormat="1" x14ac:dyDescent="0.2">
      <c r="A10" s="182">
        <v>4015</v>
      </c>
      <c r="B10" s="188" t="s">
        <v>13</v>
      </c>
      <c r="C10" s="181" t="e">
        <f>Juill!M210</f>
        <v>#REF!</v>
      </c>
      <c r="D10" s="181" t="e">
        <f>#REF!</f>
        <v>#REF!</v>
      </c>
      <c r="E10" s="181" t="e">
        <f>#REF!</f>
        <v>#REF!</v>
      </c>
      <c r="F10" s="181" t="e">
        <f>#REF!</f>
        <v>#REF!</v>
      </c>
      <c r="G10" s="181" t="e">
        <f>#REF!</f>
        <v>#REF!</v>
      </c>
      <c r="H10" s="181" t="e">
        <f>#REF!</f>
        <v>#REF!</v>
      </c>
      <c r="I10" s="181" t="e">
        <f>#REF!</f>
        <v>#REF!</v>
      </c>
      <c r="J10" s="181" t="e">
        <f>#REF!</f>
        <v>#REF!</v>
      </c>
      <c r="K10" s="181" t="e">
        <f>#REF!</f>
        <v>#REF!</v>
      </c>
      <c r="L10" s="181" t="e">
        <f>#REF!</f>
        <v>#REF!</v>
      </c>
      <c r="M10" s="181" t="e">
        <f>#REF!</f>
        <v>#REF!</v>
      </c>
      <c r="N10" s="181" t="e">
        <f>#REF!</f>
        <v>#REF!</v>
      </c>
      <c r="O10" s="181">
        <f>Juill!M208</f>
        <v>0</v>
      </c>
      <c r="P10" s="181"/>
      <c r="Q10" s="181" t="e">
        <f t="shared" si="1"/>
        <v>#REF!</v>
      </c>
      <c r="R10" s="183" t="e">
        <f t="shared" si="2"/>
        <v>#REF!</v>
      </c>
    </row>
    <row r="11" spans="1:18" x14ac:dyDescent="0.2">
      <c r="A11" s="147">
        <v>4016</v>
      </c>
      <c r="B11" s="189" t="s">
        <v>151</v>
      </c>
      <c r="C11" s="114" t="e">
        <f>Juill!N210+P11</f>
        <v>#REF!</v>
      </c>
      <c r="D11" s="114" t="e">
        <f>#REF!</f>
        <v>#REF!</v>
      </c>
      <c r="E11" s="114" t="e">
        <f>#REF!</f>
        <v>#REF!</v>
      </c>
      <c r="F11" s="114" t="e">
        <f>#REF!</f>
        <v>#REF!</v>
      </c>
      <c r="G11" s="114" t="e">
        <f>#REF!</f>
        <v>#REF!</v>
      </c>
      <c r="H11" s="114" t="e">
        <f>#REF!</f>
        <v>#REF!</v>
      </c>
      <c r="I11" s="114" t="e">
        <f>#REF!</f>
        <v>#REF!</v>
      </c>
      <c r="J11" s="114" t="e">
        <f>#REF!</f>
        <v>#REF!</v>
      </c>
      <c r="K11" s="114" t="e">
        <f>#REF!</f>
        <v>#REF!</v>
      </c>
      <c r="L11" s="114" t="e">
        <f>#REF!</f>
        <v>#REF!</v>
      </c>
      <c r="M11" s="114" t="e">
        <f>#REF!</f>
        <v>#REF!</v>
      </c>
      <c r="N11" s="114" t="e">
        <f>#REF!</f>
        <v>#REF!</v>
      </c>
      <c r="O11" s="114">
        <f>Juill!N208</f>
        <v>0</v>
      </c>
      <c r="P11" s="114"/>
      <c r="Q11" s="114" t="e">
        <f t="shared" si="1"/>
        <v>#REF!</v>
      </c>
      <c r="R11" s="183" t="e">
        <f t="shared" si="2"/>
        <v>#REF!</v>
      </c>
    </row>
    <row r="12" spans="1:18" s="162" customFormat="1" x14ac:dyDescent="0.2">
      <c r="A12" s="182">
        <f>'Comptes GL'!A12</f>
        <v>4017</v>
      </c>
      <c r="B12" s="188" t="str">
        <f>'Comptes GL'!B12</f>
        <v>Prise de valeur - Valeur de consolidation</v>
      </c>
      <c r="C12" s="181" t="e">
        <f>Juill!O210+P12</f>
        <v>#REF!</v>
      </c>
      <c r="D12" s="181" t="e">
        <f>#REF!</f>
        <v>#REF!</v>
      </c>
      <c r="E12" s="181" t="e">
        <f>#REF!</f>
        <v>#REF!</v>
      </c>
      <c r="F12" s="181" t="e">
        <f>#REF!</f>
        <v>#REF!</v>
      </c>
      <c r="G12" s="181" t="e">
        <f>#REF!</f>
        <v>#REF!</v>
      </c>
      <c r="H12" s="181" t="e">
        <f>#REF!</f>
        <v>#REF!</v>
      </c>
      <c r="I12" s="181" t="e">
        <f>#REF!</f>
        <v>#REF!</v>
      </c>
      <c r="J12" s="181" t="e">
        <f>#REF!</f>
        <v>#REF!</v>
      </c>
      <c r="K12" s="181" t="e">
        <f>#REF!</f>
        <v>#REF!</v>
      </c>
      <c r="L12" s="181" t="e">
        <f>#REF!</f>
        <v>#REF!</v>
      </c>
      <c r="M12" s="181" t="e">
        <f>#REF!</f>
        <v>#REF!</v>
      </c>
      <c r="N12" s="181" t="e">
        <f>#REF!</f>
        <v>#REF!</v>
      </c>
      <c r="O12" s="181">
        <f>Juill!O208</f>
        <v>0</v>
      </c>
      <c r="P12" s="181"/>
      <c r="Q12" s="181" t="e">
        <f t="shared" si="1"/>
        <v>#REF!</v>
      </c>
      <c r="R12" s="183" t="e">
        <f t="shared" si="2"/>
        <v>#REF!</v>
      </c>
    </row>
    <row r="13" spans="1:18" x14ac:dyDescent="0.2">
      <c r="A13" s="147">
        <v>5000</v>
      </c>
      <c r="B13" s="189" t="s">
        <v>54</v>
      </c>
      <c r="C13" s="114" t="e">
        <f>Juill!P210</f>
        <v>#REF!</v>
      </c>
      <c r="D13" s="114" t="e">
        <f>#REF!</f>
        <v>#REF!</v>
      </c>
      <c r="E13" s="114" t="e">
        <f>#REF!</f>
        <v>#REF!</v>
      </c>
      <c r="F13" s="114" t="e">
        <f>#REF!</f>
        <v>#REF!</v>
      </c>
      <c r="G13" s="114" t="e">
        <f>#REF!</f>
        <v>#REF!</v>
      </c>
      <c r="H13" s="114" t="e">
        <f>#REF!</f>
        <v>#REF!</v>
      </c>
      <c r="I13" s="114" t="e">
        <f>#REF!</f>
        <v>#REF!</v>
      </c>
      <c r="J13" s="114" t="e">
        <f>#REF!</f>
        <v>#REF!</v>
      </c>
      <c r="K13" s="114" t="e">
        <f>#REF!</f>
        <v>#REF!</v>
      </c>
      <c r="L13" s="114" t="e">
        <f>#REF!</f>
        <v>#REF!</v>
      </c>
      <c r="M13" s="114" t="e">
        <f>#REF!</f>
        <v>#REF!</v>
      </c>
      <c r="N13" s="114" t="e">
        <f>#REF!</f>
        <v>#REF!</v>
      </c>
      <c r="O13" s="114">
        <f>Juill!P208</f>
        <v>0</v>
      </c>
      <c r="P13" s="114"/>
      <c r="Q13" s="114" t="e">
        <f t="shared" si="1"/>
        <v>#REF!</v>
      </c>
      <c r="R13" s="183" t="e">
        <f t="shared" si="2"/>
        <v>#REF!</v>
      </c>
    </row>
    <row r="14" spans="1:18" s="162" customFormat="1" x14ac:dyDescent="0.2">
      <c r="A14" s="182">
        <v>5001</v>
      </c>
      <c r="B14" s="188" t="s">
        <v>134</v>
      </c>
      <c r="C14" s="181" t="e">
        <f>Juill!Q210</f>
        <v>#REF!</v>
      </c>
      <c r="D14" s="181" t="e">
        <f>#REF!</f>
        <v>#REF!</v>
      </c>
      <c r="E14" s="181" t="e">
        <f>#REF!</f>
        <v>#REF!</v>
      </c>
      <c r="F14" s="181" t="e">
        <f>#REF!</f>
        <v>#REF!</v>
      </c>
      <c r="G14" s="181" t="e">
        <f>#REF!</f>
        <v>#REF!</v>
      </c>
      <c r="H14" s="181" t="e">
        <f>#REF!</f>
        <v>#REF!</v>
      </c>
      <c r="I14" s="181" t="e">
        <f>#REF!</f>
        <v>#REF!</v>
      </c>
      <c r="J14" s="181" t="e">
        <f>#REF!</f>
        <v>#REF!</v>
      </c>
      <c r="K14" s="181" t="e">
        <f>#REF!</f>
        <v>#REF!</v>
      </c>
      <c r="L14" s="181" t="e">
        <f>#REF!</f>
        <v>#REF!</v>
      </c>
      <c r="M14" s="181" t="e">
        <f>#REF!</f>
        <v>#REF!</v>
      </c>
      <c r="N14" s="181" t="e">
        <f>#REF!</f>
        <v>#REF!</v>
      </c>
      <c r="O14" s="181">
        <f>Juill!Q208</f>
        <v>0</v>
      </c>
      <c r="P14" s="181"/>
      <c r="Q14" s="181" t="e">
        <f t="shared" si="1"/>
        <v>#REF!</v>
      </c>
      <c r="R14" s="183" t="e">
        <f t="shared" si="2"/>
        <v>#REF!</v>
      </c>
    </row>
    <row r="15" spans="1:18" x14ac:dyDescent="0.2">
      <c r="A15" s="147">
        <v>5002</v>
      </c>
      <c r="B15" s="189" t="s">
        <v>94</v>
      </c>
      <c r="C15" s="114" t="e">
        <f>Juill!R210</f>
        <v>#REF!</v>
      </c>
      <c r="D15" s="114" t="e">
        <f>#REF!</f>
        <v>#REF!</v>
      </c>
      <c r="E15" s="114" t="e">
        <f>#REF!</f>
        <v>#REF!</v>
      </c>
      <c r="F15" s="114" t="e">
        <f>#REF!</f>
        <v>#REF!</v>
      </c>
      <c r="G15" s="114" t="e">
        <f>#REF!</f>
        <v>#REF!</v>
      </c>
      <c r="H15" s="114" t="e">
        <f>#REF!</f>
        <v>#REF!</v>
      </c>
      <c r="I15" s="114" t="e">
        <f>#REF!</f>
        <v>#REF!</v>
      </c>
      <c r="J15" s="114" t="e">
        <f>#REF!</f>
        <v>#REF!</v>
      </c>
      <c r="K15" s="114" t="e">
        <f>#REF!</f>
        <v>#REF!</v>
      </c>
      <c r="L15" s="114" t="e">
        <f>#REF!</f>
        <v>#REF!</v>
      </c>
      <c r="M15" s="114" t="e">
        <f>#REF!</f>
        <v>#REF!</v>
      </c>
      <c r="N15" s="114" t="e">
        <f>#REF!</f>
        <v>#REF!</v>
      </c>
      <c r="O15" s="114">
        <f>Juill!R208</f>
        <v>0</v>
      </c>
      <c r="P15" s="114"/>
      <c r="Q15" s="114" t="e">
        <f t="shared" si="1"/>
        <v>#REF!</v>
      </c>
      <c r="R15" s="183" t="e">
        <f t="shared" si="2"/>
        <v>#REF!</v>
      </c>
    </row>
    <row r="16" spans="1:18" s="162" customFormat="1" x14ac:dyDescent="0.2">
      <c r="A16" s="182">
        <v>5003</v>
      </c>
      <c r="B16" s="188" t="s">
        <v>135</v>
      </c>
      <c r="C16" s="181" t="e">
        <f>Juill!S210</f>
        <v>#REF!</v>
      </c>
      <c r="D16" s="181" t="e">
        <f>#REF!</f>
        <v>#REF!</v>
      </c>
      <c r="E16" s="181" t="e">
        <f>#REF!</f>
        <v>#REF!</v>
      </c>
      <c r="F16" s="181" t="e">
        <f>#REF!</f>
        <v>#REF!</v>
      </c>
      <c r="G16" s="181" t="e">
        <f>#REF!</f>
        <v>#REF!</v>
      </c>
      <c r="H16" s="181" t="e">
        <f>#REF!</f>
        <v>#REF!</v>
      </c>
      <c r="I16" s="181" t="e">
        <f>#REF!</f>
        <v>#REF!</v>
      </c>
      <c r="J16" s="181" t="e">
        <f>#REF!</f>
        <v>#REF!</v>
      </c>
      <c r="K16" s="181" t="e">
        <f>#REF!</f>
        <v>#REF!</v>
      </c>
      <c r="L16" s="181" t="e">
        <f>#REF!</f>
        <v>#REF!</v>
      </c>
      <c r="M16" s="181" t="e">
        <f>#REF!</f>
        <v>#REF!</v>
      </c>
      <c r="N16" s="181" t="e">
        <f>#REF!</f>
        <v>#REF!</v>
      </c>
      <c r="O16" s="181">
        <f>Juill!S208</f>
        <v>0</v>
      </c>
      <c r="P16" s="181"/>
      <c r="Q16" s="181" t="e">
        <f t="shared" si="1"/>
        <v>#REF!</v>
      </c>
      <c r="R16" s="183" t="e">
        <f t="shared" si="2"/>
        <v>#REF!</v>
      </c>
    </row>
    <row r="17" spans="1:19" x14ac:dyDescent="0.2">
      <c r="A17" s="155" t="str">
        <f>'Comptes GL'!A17</f>
        <v>5003b</v>
      </c>
      <c r="B17" s="189" t="str">
        <f>'Comptes GL'!B17</f>
        <v>Golf / Pourvoirie</v>
      </c>
      <c r="C17" s="114" t="e">
        <f>Juill!T210</f>
        <v>#REF!</v>
      </c>
      <c r="D17" s="114" t="e">
        <f>#REF!</f>
        <v>#REF!</v>
      </c>
      <c r="E17" s="114" t="e">
        <f>#REF!</f>
        <v>#REF!</v>
      </c>
      <c r="F17" s="114" t="e">
        <f>#REF!</f>
        <v>#REF!</v>
      </c>
      <c r="G17" s="114" t="e">
        <f>#REF!</f>
        <v>#REF!</v>
      </c>
      <c r="H17" s="114" t="e">
        <f>#REF!</f>
        <v>#REF!</v>
      </c>
      <c r="I17" s="114" t="e">
        <f>#REF!</f>
        <v>#REF!</v>
      </c>
      <c r="J17" s="114" t="e">
        <f>#REF!</f>
        <v>#REF!</v>
      </c>
      <c r="K17" s="114" t="e">
        <f>#REF!</f>
        <v>#REF!</v>
      </c>
      <c r="L17" s="114" t="e">
        <f>#REF!</f>
        <v>#REF!</v>
      </c>
      <c r="M17" s="114" t="e">
        <f>#REF!</f>
        <v>#REF!</v>
      </c>
      <c r="N17" s="114" t="e">
        <f>#REF!</f>
        <v>#REF!</v>
      </c>
      <c r="O17" s="114">
        <f>Juill!T208</f>
        <v>0</v>
      </c>
      <c r="P17" s="114"/>
      <c r="Q17" s="114" t="e">
        <f t="shared" si="1"/>
        <v>#REF!</v>
      </c>
      <c r="R17" s="183" t="e">
        <f t="shared" si="2"/>
        <v>#REF!</v>
      </c>
    </row>
    <row r="18" spans="1:19" s="162" customFormat="1" x14ac:dyDescent="0.2">
      <c r="A18" s="182">
        <v>5004</v>
      </c>
      <c r="B18" s="188" t="s">
        <v>105</v>
      </c>
      <c r="C18" s="181" t="e">
        <f>Juill!U210</f>
        <v>#REF!</v>
      </c>
      <c r="D18" s="181" t="e">
        <f>#REF!</f>
        <v>#REF!</v>
      </c>
      <c r="E18" s="181" t="e">
        <f>#REF!</f>
        <v>#REF!</v>
      </c>
      <c r="F18" s="181" t="e">
        <f>#REF!</f>
        <v>#REF!</v>
      </c>
      <c r="G18" s="181" t="e">
        <f>#REF!</f>
        <v>#REF!</v>
      </c>
      <c r="H18" s="181" t="e">
        <f>#REF!</f>
        <v>#REF!</v>
      </c>
      <c r="I18" s="181" t="e">
        <f>#REF!</f>
        <v>#REF!</v>
      </c>
      <c r="J18" s="181" t="e">
        <f>#REF!</f>
        <v>#REF!</v>
      </c>
      <c r="K18" s="181" t="e">
        <f>#REF!</f>
        <v>#REF!</v>
      </c>
      <c r="L18" s="181" t="e">
        <f>#REF!</f>
        <v>#REF!</v>
      </c>
      <c r="M18" s="181" t="e">
        <f>#REF!</f>
        <v>#REF!</v>
      </c>
      <c r="N18" s="181" t="e">
        <f>#REF!</f>
        <v>#REF!</v>
      </c>
      <c r="O18" s="181">
        <f>Juill!U208</f>
        <v>0</v>
      </c>
      <c r="P18" s="181"/>
      <c r="Q18" s="181" t="e">
        <f t="shared" si="1"/>
        <v>#REF!</v>
      </c>
      <c r="R18" s="183" t="e">
        <f t="shared" si="2"/>
        <v>#REF!</v>
      </c>
    </row>
    <row r="19" spans="1:19" x14ac:dyDescent="0.2">
      <c r="A19" s="147">
        <v>5005</v>
      </c>
      <c r="B19" s="189" t="s">
        <v>93</v>
      </c>
      <c r="C19" s="114" t="e">
        <f>Juill!V210</f>
        <v>#REF!</v>
      </c>
      <c r="D19" s="114" t="e">
        <f>#REF!</f>
        <v>#REF!</v>
      </c>
      <c r="E19" s="114" t="e">
        <f>#REF!</f>
        <v>#REF!</v>
      </c>
      <c r="F19" s="114" t="e">
        <f>#REF!</f>
        <v>#REF!</v>
      </c>
      <c r="G19" s="114" t="e">
        <f>#REF!</f>
        <v>#REF!</v>
      </c>
      <c r="H19" s="114" t="e">
        <f>#REF!</f>
        <v>#REF!</v>
      </c>
      <c r="I19" s="114" t="e">
        <f>#REF!</f>
        <v>#REF!</v>
      </c>
      <c r="J19" s="114" t="e">
        <f>#REF!</f>
        <v>#REF!</v>
      </c>
      <c r="K19" s="114" t="e">
        <f>#REF!</f>
        <v>#REF!</v>
      </c>
      <c r="L19" s="114" t="e">
        <f>#REF!</f>
        <v>#REF!</v>
      </c>
      <c r="M19" s="114" t="e">
        <f>#REF!</f>
        <v>#REF!</v>
      </c>
      <c r="N19" s="114" t="e">
        <f>#REF!</f>
        <v>#REF!</v>
      </c>
      <c r="O19" s="114">
        <f>Juill!V208</f>
        <v>0</v>
      </c>
      <c r="P19" s="114"/>
      <c r="Q19" s="114" t="e">
        <f t="shared" si="1"/>
        <v>#REF!</v>
      </c>
      <c r="R19" s="183" t="e">
        <f t="shared" si="2"/>
        <v>#REF!</v>
      </c>
    </row>
    <row r="20" spans="1:19" s="162" customFormat="1" x14ac:dyDescent="0.2">
      <c r="A20" s="182">
        <v>5006</v>
      </c>
      <c r="B20" s="188" t="s">
        <v>89</v>
      </c>
      <c r="C20" s="181" t="e">
        <f>Juill!W210</f>
        <v>#REF!</v>
      </c>
      <c r="D20" s="181" t="e">
        <f>#REF!</f>
        <v>#REF!</v>
      </c>
      <c r="E20" s="181" t="e">
        <f>#REF!</f>
        <v>#REF!</v>
      </c>
      <c r="F20" s="181" t="e">
        <f>#REF!</f>
        <v>#REF!</v>
      </c>
      <c r="G20" s="181" t="e">
        <f>#REF!</f>
        <v>#REF!</v>
      </c>
      <c r="H20" s="181" t="e">
        <f>#REF!</f>
        <v>#REF!</v>
      </c>
      <c r="I20" s="181" t="e">
        <f>#REF!</f>
        <v>#REF!</v>
      </c>
      <c r="J20" s="181" t="e">
        <f>#REF!</f>
        <v>#REF!</v>
      </c>
      <c r="K20" s="181" t="e">
        <f>#REF!</f>
        <v>#REF!</v>
      </c>
      <c r="L20" s="181" t="e">
        <f>#REF!</f>
        <v>#REF!</v>
      </c>
      <c r="M20" s="181" t="e">
        <f>#REF!</f>
        <v>#REF!</v>
      </c>
      <c r="N20" s="181" t="e">
        <f>#REF!</f>
        <v>#REF!</v>
      </c>
      <c r="O20" s="181">
        <f>Juill!W208</f>
        <v>0</v>
      </c>
      <c r="P20" s="181"/>
      <c r="Q20" s="181" t="e">
        <f t="shared" si="1"/>
        <v>#REF!</v>
      </c>
      <c r="R20" s="183" t="e">
        <f t="shared" si="2"/>
        <v>#REF!</v>
      </c>
    </row>
    <row r="21" spans="1:19" x14ac:dyDescent="0.2">
      <c r="A21" s="147">
        <v>5007</v>
      </c>
      <c r="B21" s="189" t="s">
        <v>90</v>
      </c>
      <c r="C21" s="114" t="e">
        <f>Juill!X210+P21</f>
        <v>#REF!</v>
      </c>
      <c r="D21" s="114" t="e">
        <f>#REF!</f>
        <v>#REF!</v>
      </c>
      <c r="E21" s="114" t="e">
        <f>#REF!</f>
        <v>#REF!</v>
      </c>
      <c r="F21" s="114" t="e">
        <f>#REF!</f>
        <v>#REF!</v>
      </c>
      <c r="G21" s="114" t="e">
        <f>#REF!</f>
        <v>#REF!</v>
      </c>
      <c r="H21" s="114" t="e">
        <f>#REF!</f>
        <v>#REF!</v>
      </c>
      <c r="I21" s="114" t="e">
        <f>#REF!</f>
        <v>#REF!</v>
      </c>
      <c r="J21" s="114" t="e">
        <f>#REF!</f>
        <v>#REF!</v>
      </c>
      <c r="K21" s="114" t="e">
        <f>#REF!</f>
        <v>#REF!</v>
      </c>
      <c r="L21" s="114" t="e">
        <f>#REF!</f>
        <v>#REF!</v>
      </c>
      <c r="M21" s="114" t="e">
        <f>#REF!</f>
        <v>#REF!</v>
      </c>
      <c r="N21" s="114" t="e">
        <f>#REF!</f>
        <v>#REF!</v>
      </c>
      <c r="O21" s="114">
        <f>Juill!X208</f>
        <v>0</v>
      </c>
      <c r="P21" s="114"/>
      <c r="Q21" s="114" t="e">
        <f t="shared" si="1"/>
        <v>#REF!</v>
      </c>
      <c r="R21" s="183" t="e">
        <f t="shared" si="2"/>
        <v>#REF!</v>
      </c>
    </row>
    <row r="22" spans="1:19" s="162" customFormat="1" x14ac:dyDescent="0.2">
      <c r="A22" s="182">
        <v>5008</v>
      </c>
      <c r="B22" s="188" t="s">
        <v>106</v>
      </c>
      <c r="C22" s="181" t="e">
        <f>Juill!Y210</f>
        <v>#REF!</v>
      </c>
      <c r="D22" s="181" t="e">
        <f>#REF!</f>
        <v>#REF!</v>
      </c>
      <c r="E22" s="181" t="e">
        <f>#REF!</f>
        <v>#REF!</v>
      </c>
      <c r="F22" s="181" t="e">
        <f>#REF!</f>
        <v>#REF!</v>
      </c>
      <c r="G22" s="181" t="e">
        <f>#REF!</f>
        <v>#REF!</v>
      </c>
      <c r="H22" s="181" t="e">
        <f>#REF!</f>
        <v>#REF!</v>
      </c>
      <c r="I22" s="181" t="e">
        <f>#REF!</f>
        <v>#REF!</v>
      </c>
      <c r="J22" s="181" t="e">
        <f>#REF!</f>
        <v>#REF!</v>
      </c>
      <c r="K22" s="181" t="e">
        <f>#REF!</f>
        <v>#REF!</v>
      </c>
      <c r="L22" s="181" t="e">
        <f>#REF!</f>
        <v>#REF!</v>
      </c>
      <c r="M22" s="181" t="e">
        <f>#REF!</f>
        <v>#REF!</v>
      </c>
      <c r="N22" s="181" t="e">
        <f>#REF!</f>
        <v>#REF!</v>
      </c>
      <c r="O22" s="181">
        <f>Juill!Y208</f>
        <v>0</v>
      </c>
      <c r="P22" s="181"/>
      <c r="Q22" s="181" t="e">
        <f t="shared" si="1"/>
        <v>#REF!</v>
      </c>
      <c r="R22" s="183" t="e">
        <f t="shared" si="2"/>
        <v>#REF!</v>
      </c>
    </row>
    <row r="23" spans="1:19" x14ac:dyDescent="0.2">
      <c r="A23" s="147">
        <v>5009</v>
      </c>
      <c r="B23" s="189" t="s">
        <v>11</v>
      </c>
      <c r="C23" s="114" t="e">
        <f>Juill!Z210</f>
        <v>#REF!</v>
      </c>
      <c r="D23" s="114" t="e">
        <f>#REF!</f>
        <v>#REF!</v>
      </c>
      <c r="E23" s="114" t="e">
        <f>#REF!</f>
        <v>#REF!</v>
      </c>
      <c r="F23" s="114" t="e">
        <f>#REF!</f>
        <v>#REF!</v>
      </c>
      <c r="G23" s="114" t="e">
        <f>#REF!</f>
        <v>#REF!</v>
      </c>
      <c r="H23" s="114" t="e">
        <f>#REF!</f>
        <v>#REF!</v>
      </c>
      <c r="I23" s="114" t="e">
        <f>#REF!</f>
        <v>#REF!</v>
      </c>
      <c r="J23" s="114" t="e">
        <f>#REF!</f>
        <v>#REF!</v>
      </c>
      <c r="K23" s="114" t="e">
        <f>#REF!</f>
        <v>#REF!</v>
      </c>
      <c r="L23" s="114" t="e">
        <f>#REF!</f>
        <v>#REF!</v>
      </c>
      <c r="M23" s="114" t="e">
        <f>#REF!</f>
        <v>#REF!</v>
      </c>
      <c r="N23" s="114" t="e">
        <f>#REF!</f>
        <v>#REF!</v>
      </c>
      <c r="O23" s="114">
        <f>Juill!Z208</f>
        <v>0</v>
      </c>
      <c r="P23" s="114"/>
      <c r="Q23" s="114" t="e">
        <f t="shared" si="1"/>
        <v>#REF!</v>
      </c>
      <c r="R23" s="183" t="e">
        <f t="shared" si="2"/>
        <v>#REF!</v>
      </c>
    </row>
    <row r="24" spans="1:19" s="162" customFormat="1" x14ac:dyDescent="0.2">
      <c r="A24" s="182">
        <v>5010</v>
      </c>
      <c r="B24" s="188" t="s">
        <v>195</v>
      </c>
      <c r="C24" s="181" t="e">
        <f>Juill!AA210</f>
        <v>#REF!</v>
      </c>
      <c r="D24" s="181" t="e">
        <f>#REF!</f>
        <v>#REF!</v>
      </c>
      <c r="E24" s="181" t="e">
        <f>#REF!</f>
        <v>#REF!</v>
      </c>
      <c r="F24" s="181" t="e">
        <f>#REF!</f>
        <v>#REF!</v>
      </c>
      <c r="G24" s="181" t="e">
        <f>#REF!</f>
        <v>#REF!</v>
      </c>
      <c r="H24" s="181" t="e">
        <f>#REF!</f>
        <v>#REF!</v>
      </c>
      <c r="I24" s="181" t="e">
        <f>#REF!</f>
        <v>#REF!</v>
      </c>
      <c r="J24" s="181" t="e">
        <f>#REF!</f>
        <v>#REF!</v>
      </c>
      <c r="K24" s="181" t="e">
        <f>#REF!</f>
        <v>#REF!</v>
      </c>
      <c r="L24" s="181" t="e">
        <f>#REF!</f>
        <v>#REF!</v>
      </c>
      <c r="M24" s="181" t="e">
        <f>#REF!</f>
        <v>#REF!</v>
      </c>
      <c r="N24" s="181" t="e">
        <f>#REF!</f>
        <v>#REF!</v>
      </c>
      <c r="O24" s="181">
        <f>Juill!AA208</f>
        <v>0</v>
      </c>
      <c r="P24" s="181"/>
      <c r="Q24" s="181" t="e">
        <f t="shared" si="1"/>
        <v>#REF!</v>
      </c>
      <c r="R24" s="183" t="e">
        <f t="shared" si="2"/>
        <v>#REF!</v>
      </c>
    </row>
    <row r="25" spans="1:19" x14ac:dyDescent="0.2">
      <c r="A25" s="147">
        <v>5011</v>
      </c>
      <c r="B25" s="189" t="str">
        <f>+'Comptes GL'!B25</f>
        <v>Assurance &amp; Cotisation professionnelle</v>
      </c>
      <c r="C25" s="114" t="e">
        <f>Juill!AB210+P25</f>
        <v>#REF!</v>
      </c>
      <c r="D25" s="114" t="e">
        <f>#REF!</f>
        <v>#REF!</v>
      </c>
      <c r="E25" s="114" t="e">
        <f>#REF!</f>
        <v>#REF!</v>
      </c>
      <c r="F25" s="114" t="e">
        <f>#REF!</f>
        <v>#REF!</v>
      </c>
      <c r="G25" s="114" t="e">
        <f>#REF!</f>
        <v>#REF!</v>
      </c>
      <c r="H25" s="114" t="e">
        <f>#REF!</f>
        <v>#REF!</v>
      </c>
      <c r="I25" s="114" t="e">
        <f>#REF!</f>
        <v>#REF!</v>
      </c>
      <c r="J25" s="114" t="e">
        <f>#REF!</f>
        <v>#REF!</v>
      </c>
      <c r="K25" s="114" t="e">
        <f>#REF!</f>
        <v>#REF!</v>
      </c>
      <c r="L25" s="114" t="e">
        <f>#REF!</f>
        <v>#REF!</v>
      </c>
      <c r="M25" s="114" t="e">
        <f>#REF!</f>
        <v>#REF!</v>
      </c>
      <c r="N25" s="114" t="e">
        <f>#REF!</f>
        <v>#REF!</v>
      </c>
      <c r="O25" s="114">
        <f>Juill!AB208</f>
        <v>0</v>
      </c>
      <c r="P25" s="114"/>
      <c r="Q25" s="114" t="e">
        <f t="shared" si="1"/>
        <v>#REF!</v>
      </c>
      <c r="R25" s="183" t="e">
        <f t="shared" si="2"/>
        <v>#REF!</v>
      </c>
    </row>
    <row r="26" spans="1:19" s="162" customFormat="1" x14ac:dyDescent="0.2">
      <c r="A26" s="182">
        <v>5013</v>
      </c>
      <c r="B26" s="188" t="s">
        <v>91</v>
      </c>
      <c r="C26" s="181" t="e">
        <f>Juill!AC210</f>
        <v>#REF!</v>
      </c>
      <c r="D26" s="181" t="e">
        <f>#REF!</f>
        <v>#REF!</v>
      </c>
      <c r="E26" s="181" t="e">
        <f>#REF!</f>
        <v>#REF!</v>
      </c>
      <c r="F26" s="181" t="e">
        <f>#REF!</f>
        <v>#REF!</v>
      </c>
      <c r="G26" s="181" t="e">
        <f>#REF!</f>
        <v>#REF!</v>
      </c>
      <c r="H26" s="181" t="e">
        <f>#REF!</f>
        <v>#REF!</v>
      </c>
      <c r="I26" s="181" t="e">
        <f>#REF!</f>
        <v>#REF!</v>
      </c>
      <c r="J26" s="181" t="e">
        <f>#REF!</f>
        <v>#REF!</v>
      </c>
      <c r="K26" s="181" t="e">
        <f>#REF!</f>
        <v>#REF!</v>
      </c>
      <c r="L26" s="181" t="e">
        <f>#REF!</f>
        <v>#REF!</v>
      </c>
      <c r="M26" s="181" t="e">
        <f>#REF!</f>
        <v>#REF!</v>
      </c>
      <c r="N26" s="181" t="e">
        <f>#REF!</f>
        <v>#REF!</v>
      </c>
      <c r="O26" s="181">
        <f>Juill!AC208</f>
        <v>0</v>
      </c>
      <c r="P26" s="181"/>
      <c r="Q26" s="181" t="e">
        <f t="shared" si="1"/>
        <v>#REF!</v>
      </c>
      <c r="R26" s="183" t="e">
        <f t="shared" si="2"/>
        <v>#REF!</v>
      </c>
    </row>
    <row r="27" spans="1:19" x14ac:dyDescent="0.2">
      <c r="A27" s="147">
        <v>5015</v>
      </c>
      <c r="B27" s="189" t="s">
        <v>92</v>
      </c>
      <c r="C27" s="114" t="e">
        <f>Juill!AD210+P27</f>
        <v>#REF!</v>
      </c>
      <c r="D27" s="114" t="e">
        <f>#REF!</f>
        <v>#REF!</v>
      </c>
      <c r="E27" s="114" t="e">
        <f>#REF!</f>
        <v>#REF!</v>
      </c>
      <c r="F27" s="114" t="e">
        <f>#REF!</f>
        <v>#REF!</v>
      </c>
      <c r="G27" s="114" t="e">
        <f>#REF!</f>
        <v>#REF!</v>
      </c>
      <c r="H27" s="114" t="e">
        <f>#REF!</f>
        <v>#REF!</v>
      </c>
      <c r="I27" s="114" t="e">
        <f>#REF!</f>
        <v>#REF!</v>
      </c>
      <c r="J27" s="114" t="e">
        <f>#REF!</f>
        <v>#REF!</v>
      </c>
      <c r="K27" s="114" t="e">
        <f>#REF!</f>
        <v>#REF!</v>
      </c>
      <c r="L27" s="114" t="e">
        <f>#REF!</f>
        <v>#REF!</v>
      </c>
      <c r="M27" s="114" t="e">
        <f>#REF!</f>
        <v>#REF!</v>
      </c>
      <c r="N27" s="114" t="e">
        <f>#REF!</f>
        <v>#REF!</v>
      </c>
      <c r="O27" s="114">
        <f>Juill!AD208</f>
        <v>0</v>
      </c>
      <c r="P27" s="114" t="e">
        <f>-P46-P48-P50-P52</f>
        <v>#REF!</v>
      </c>
      <c r="Q27" s="114" t="e">
        <f t="shared" si="1"/>
        <v>#REF!</v>
      </c>
      <c r="R27" s="183" t="e">
        <f t="shared" si="2"/>
        <v>#REF!</v>
      </c>
    </row>
    <row r="28" spans="1:19" s="162" customFormat="1" x14ac:dyDescent="0.2">
      <c r="A28" s="182">
        <v>5016</v>
      </c>
      <c r="B28" s="188" t="s">
        <v>12</v>
      </c>
      <c r="C28" s="181" t="e">
        <f>Juill!AE210+P28</f>
        <v>#REF!</v>
      </c>
      <c r="D28" s="181" t="e">
        <f>#REF!</f>
        <v>#REF!</v>
      </c>
      <c r="E28" s="181" t="e">
        <f>#REF!</f>
        <v>#REF!</v>
      </c>
      <c r="F28" s="181" t="e">
        <f>#REF!</f>
        <v>#REF!</v>
      </c>
      <c r="G28" s="181" t="e">
        <f>#REF!</f>
        <v>#REF!</v>
      </c>
      <c r="H28" s="181" t="e">
        <f>#REF!</f>
        <v>#REF!</v>
      </c>
      <c r="I28" s="181" t="e">
        <f>#REF!</f>
        <v>#REF!</v>
      </c>
      <c r="J28" s="181" t="e">
        <f>#REF!</f>
        <v>#REF!</v>
      </c>
      <c r="K28" s="181" t="e">
        <f>#REF!</f>
        <v>#REF!</v>
      </c>
      <c r="L28" s="181" t="e">
        <f>#REF!</f>
        <v>#REF!</v>
      </c>
      <c r="M28" s="181" t="e">
        <f>#REF!</f>
        <v>#REF!</v>
      </c>
      <c r="N28" s="181" t="e">
        <f>#REF!</f>
        <v>#REF!</v>
      </c>
      <c r="O28" s="181">
        <f>Juill!AE208</f>
        <v>0</v>
      </c>
      <c r="P28" s="181"/>
      <c r="Q28" s="181" t="e">
        <f t="shared" si="1"/>
        <v>#REF!</v>
      </c>
      <c r="R28" s="183" t="e">
        <f t="shared" si="2"/>
        <v>#REF!</v>
      </c>
    </row>
    <row r="29" spans="1:19" x14ac:dyDescent="0.2">
      <c r="A29" s="147">
        <v>5020</v>
      </c>
      <c r="B29" s="189" t="s">
        <v>137</v>
      </c>
      <c r="C29" s="114" t="e">
        <f>Juill!AF210+P29</f>
        <v>#REF!</v>
      </c>
      <c r="D29" s="114" t="e">
        <f>#REF!</f>
        <v>#REF!</v>
      </c>
      <c r="E29" s="114" t="e">
        <f>#REF!</f>
        <v>#REF!</v>
      </c>
      <c r="F29" s="114" t="e">
        <f>#REF!</f>
        <v>#REF!</v>
      </c>
      <c r="G29" s="114" t="e">
        <f>#REF!</f>
        <v>#REF!</v>
      </c>
      <c r="H29" s="114" t="e">
        <f>#REF!</f>
        <v>#REF!</v>
      </c>
      <c r="I29" s="114" t="e">
        <f>#REF!</f>
        <v>#REF!</v>
      </c>
      <c r="J29" s="114" t="e">
        <f>#REF!</f>
        <v>#REF!</v>
      </c>
      <c r="K29" s="114" t="e">
        <f>#REF!</f>
        <v>#REF!</v>
      </c>
      <c r="L29" s="114" t="e">
        <f>#REF!</f>
        <v>#REF!</v>
      </c>
      <c r="M29" s="114" t="e">
        <f>#REF!</f>
        <v>#REF!</v>
      </c>
      <c r="N29" s="114" t="e">
        <f>#REF!</f>
        <v>#REF!</v>
      </c>
      <c r="O29" s="114">
        <f>Juill!AF208</f>
        <v>0</v>
      </c>
      <c r="P29" s="114"/>
      <c r="Q29" s="114" t="e">
        <f t="shared" si="1"/>
        <v>#REF!</v>
      </c>
      <c r="R29" s="183" t="e">
        <f t="shared" si="2"/>
        <v>#REF!</v>
      </c>
    </row>
    <row r="30" spans="1:19" s="162" customFormat="1" x14ac:dyDescent="0.2">
      <c r="A30" s="182">
        <v>9000</v>
      </c>
      <c r="B30" s="188" t="s">
        <v>25</v>
      </c>
      <c r="C30" s="184" t="e">
        <f>Juill!AG210+P30</f>
        <v>#REF!</v>
      </c>
      <c r="D30" s="184" t="e">
        <f>#REF!</f>
        <v>#REF!</v>
      </c>
      <c r="E30" s="184" t="e">
        <f>#REF!</f>
        <v>#REF!</v>
      </c>
      <c r="F30" s="184" t="e">
        <f>#REF!</f>
        <v>#REF!</v>
      </c>
      <c r="G30" s="184" t="e">
        <f>#REF!</f>
        <v>#REF!</v>
      </c>
      <c r="H30" s="184" t="e">
        <f>#REF!</f>
        <v>#REF!</v>
      </c>
      <c r="I30" s="184" t="e">
        <f>#REF!</f>
        <v>#REF!</v>
      </c>
      <c r="J30" s="184" t="e">
        <f>#REF!</f>
        <v>#REF!</v>
      </c>
      <c r="K30" s="184" t="e">
        <f>#REF!</f>
        <v>#REF!</v>
      </c>
      <c r="L30" s="184" t="e">
        <f>#REF!</f>
        <v>#REF!</v>
      </c>
      <c r="M30" s="184" t="e">
        <f>#REF!</f>
        <v>#REF!</v>
      </c>
      <c r="N30" s="184" t="e">
        <f>#REF!</f>
        <v>#REF!</v>
      </c>
      <c r="O30" s="184">
        <f>Juill!AG208</f>
        <v>0</v>
      </c>
      <c r="P30" s="184" t="e">
        <f>ROUND('A3'!D47,0)</f>
        <v>#REF!</v>
      </c>
      <c r="Q30" s="184" t="e">
        <f t="shared" si="1"/>
        <v>#REF!</v>
      </c>
      <c r="R30" s="183" t="e">
        <f t="shared" si="2"/>
        <v>#REF!</v>
      </c>
    </row>
    <row r="31" spans="1:19" s="162" customFormat="1" x14ac:dyDescent="0.2">
      <c r="B31" s="188"/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3"/>
    </row>
    <row r="32" spans="1:19" s="111" customFormat="1" x14ac:dyDescent="0.2">
      <c r="A32" s="112"/>
      <c r="B32" s="190" t="s">
        <v>124</v>
      </c>
      <c r="C32" s="117" t="e">
        <f t="shared" ref="C32:R32" si="3">-SUM(C7:C31)</f>
        <v>#REF!</v>
      </c>
      <c r="D32" s="117" t="e">
        <f t="shared" si="3"/>
        <v>#REF!</v>
      </c>
      <c r="E32" s="117" t="e">
        <f t="shared" si="3"/>
        <v>#REF!</v>
      </c>
      <c r="F32" s="117" t="e">
        <f t="shared" si="3"/>
        <v>#REF!</v>
      </c>
      <c r="G32" s="117" t="e">
        <f t="shared" si="3"/>
        <v>#REF!</v>
      </c>
      <c r="H32" s="117" t="e">
        <f t="shared" si="3"/>
        <v>#REF!</v>
      </c>
      <c r="I32" s="117" t="e">
        <f t="shared" si="3"/>
        <v>#REF!</v>
      </c>
      <c r="J32" s="117" t="e">
        <f t="shared" si="3"/>
        <v>#REF!</v>
      </c>
      <c r="K32" s="117" t="e">
        <f t="shared" si="3"/>
        <v>#REF!</v>
      </c>
      <c r="L32" s="117" t="e">
        <f t="shared" si="3"/>
        <v>#REF!</v>
      </c>
      <c r="M32" s="117" t="e">
        <f t="shared" si="3"/>
        <v>#REF!</v>
      </c>
      <c r="N32" s="117" t="e">
        <f t="shared" si="3"/>
        <v>#REF!</v>
      </c>
      <c r="O32" s="117">
        <f t="shared" si="3"/>
        <v>0</v>
      </c>
      <c r="P32" s="117" t="e">
        <f t="shared" si="3"/>
        <v>#REF!</v>
      </c>
      <c r="Q32" s="117" t="e">
        <f t="shared" si="3"/>
        <v>#REF!</v>
      </c>
      <c r="R32" s="117" t="e">
        <f t="shared" si="3"/>
        <v>#REF!</v>
      </c>
      <c r="S32" s="117"/>
    </row>
    <row r="33" spans="1:18" s="162" customFormat="1" x14ac:dyDescent="0.2">
      <c r="B33" s="188"/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</row>
    <row r="34" spans="1:18" s="162" customFormat="1" x14ac:dyDescent="0.2">
      <c r="A34" s="182">
        <v>1000</v>
      </c>
      <c r="B34" s="188" t="s">
        <v>117</v>
      </c>
      <c r="C34" s="181" t="e">
        <f>Juill!AH210</f>
        <v>#REF!</v>
      </c>
      <c r="D34" s="181" t="e">
        <f>#REF!</f>
        <v>#REF!</v>
      </c>
      <c r="E34" s="181" t="e">
        <f>#REF!</f>
        <v>#REF!</v>
      </c>
      <c r="F34" s="181" t="e">
        <f>#REF!</f>
        <v>#REF!</v>
      </c>
      <c r="G34" s="181" t="e">
        <f>#REF!</f>
        <v>#REF!</v>
      </c>
      <c r="H34" s="181" t="e">
        <f>#REF!</f>
        <v>#REF!</v>
      </c>
      <c r="I34" s="181" t="e">
        <f>#REF!</f>
        <v>#REF!</v>
      </c>
      <c r="J34" s="181" t="e">
        <f>#REF!</f>
        <v>#REF!</v>
      </c>
      <c r="K34" s="181" t="e">
        <f>#REF!</f>
        <v>#REF!</v>
      </c>
      <c r="L34" s="181" t="e">
        <f>#REF!</f>
        <v>#REF!</v>
      </c>
      <c r="M34" s="181" t="e">
        <f>#REF!</f>
        <v>#REF!</v>
      </c>
      <c r="N34" s="181" t="e">
        <f>#REF!</f>
        <v>#REF!</v>
      </c>
      <c r="O34" s="181" t="e">
        <f>Juill!AH210</f>
        <v>#REF!</v>
      </c>
      <c r="P34" s="181"/>
      <c r="Q34" s="181" t="e">
        <f t="shared" ref="Q34:Q53" si="4">C34</f>
        <v>#REF!</v>
      </c>
      <c r="R34" s="181"/>
    </row>
    <row r="35" spans="1:18" s="162" customFormat="1" x14ac:dyDescent="0.2">
      <c r="A35" s="182">
        <v>1100</v>
      </c>
      <c r="B35" s="188" t="s">
        <v>95</v>
      </c>
      <c r="C35" s="181" t="e">
        <f>Juill!AI210+P35</f>
        <v>#REF!</v>
      </c>
      <c r="D35" s="181" t="e">
        <f>#REF!</f>
        <v>#REF!</v>
      </c>
      <c r="E35" s="181" t="e">
        <f>#REF!</f>
        <v>#REF!</v>
      </c>
      <c r="F35" s="181" t="e">
        <f>#REF!</f>
        <v>#REF!</v>
      </c>
      <c r="G35" s="181" t="e">
        <f>#REF!</f>
        <v>#REF!</v>
      </c>
      <c r="H35" s="181" t="e">
        <f>#REF!</f>
        <v>#REF!</v>
      </c>
      <c r="I35" s="181" t="e">
        <f>#REF!</f>
        <v>#REF!</v>
      </c>
      <c r="J35" s="181" t="e">
        <f>#REF!</f>
        <v>#REF!</v>
      </c>
      <c r="K35" s="181" t="e">
        <f>#REF!</f>
        <v>#REF!</v>
      </c>
      <c r="L35" s="181" t="e">
        <f>#REF!</f>
        <v>#REF!</v>
      </c>
      <c r="M35" s="181" t="e">
        <f>#REF!</f>
        <v>#REF!</v>
      </c>
      <c r="N35" s="181" t="e">
        <f>#REF!</f>
        <v>#REF!</v>
      </c>
      <c r="O35" s="181" t="e">
        <f>Juill!AI210</f>
        <v>#REF!</v>
      </c>
      <c r="P35" s="181"/>
      <c r="Q35" s="181" t="e">
        <f t="shared" si="4"/>
        <v>#REF!</v>
      </c>
      <c r="R35" s="181"/>
    </row>
    <row r="36" spans="1:18" s="162" customFormat="1" x14ac:dyDescent="0.2">
      <c r="A36" s="182">
        <f>'Comptes GL'!A33</f>
        <v>1101</v>
      </c>
      <c r="B36" s="188" t="str">
        <f>'Comptes GL'!B33</f>
        <v>Provision mauvaises créances</v>
      </c>
      <c r="C36" s="181" t="e">
        <f>Juill!AJ210</f>
        <v>#REF!</v>
      </c>
      <c r="D36" s="181" t="e">
        <f>#REF!</f>
        <v>#REF!</v>
      </c>
      <c r="E36" s="181" t="e">
        <f>#REF!</f>
        <v>#REF!</v>
      </c>
      <c r="F36" s="181" t="e">
        <f>#REF!</f>
        <v>#REF!</v>
      </c>
      <c r="G36" s="181" t="e">
        <f>#REF!</f>
        <v>#REF!</v>
      </c>
      <c r="H36" s="181" t="e">
        <f>#REF!</f>
        <v>#REF!</v>
      </c>
      <c r="I36" s="181" t="e">
        <f>#REF!</f>
        <v>#REF!</v>
      </c>
      <c r="J36" s="181" t="e">
        <f>#REF!</f>
        <v>#REF!</v>
      </c>
      <c r="K36" s="181" t="e">
        <f>#REF!</f>
        <v>#REF!</v>
      </c>
      <c r="L36" s="181" t="e">
        <f>#REF!</f>
        <v>#REF!</v>
      </c>
      <c r="M36" s="181" t="e">
        <f>#REF!</f>
        <v>#REF!</v>
      </c>
      <c r="N36" s="181" t="e">
        <f>#REF!</f>
        <v>#REF!</v>
      </c>
      <c r="O36" s="181" t="e">
        <f>Juill!AJ210</f>
        <v>#REF!</v>
      </c>
      <c r="P36" s="181"/>
      <c r="Q36" s="181" t="e">
        <f t="shared" si="4"/>
        <v>#REF!</v>
      </c>
      <c r="R36" s="181"/>
    </row>
    <row r="37" spans="1:18" s="162" customFormat="1" x14ac:dyDescent="0.2">
      <c r="A37" s="182">
        <v>1200</v>
      </c>
      <c r="B37" s="188" t="s">
        <v>18</v>
      </c>
      <c r="C37" s="181" t="e">
        <f>Juill!AK210</f>
        <v>#REF!</v>
      </c>
      <c r="D37" s="181" t="e">
        <f>#REF!</f>
        <v>#REF!</v>
      </c>
      <c r="E37" s="181" t="e">
        <f>#REF!</f>
        <v>#REF!</v>
      </c>
      <c r="F37" s="181" t="e">
        <f>#REF!</f>
        <v>#REF!</v>
      </c>
      <c r="G37" s="181" t="e">
        <f>#REF!</f>
        <v>#REF!</v>
      </c>
      <c r="H37" s="181" t="e">
        <f>#REF!</f>
        <v>#REF!</v>
      </c>
      <c r="I37" s="181" t="e">
        <f>#REF!</f>
        <v>#REF!</v>
      </c>
      <c r="J37" s="181" t="e">
        <f>#REF!</f>
        <v>#REF!</v>
      </c>
      <c r="K37" s="181" t="e">
        <f>#REF!</f>
        <v>#REF!</v>
      </c>
      <c r="L37" s="181" t="e">
        <f>#REF!</f>
        <v>#REF!</v>
      </c>
      <c r="M37" s="181" t="e">
        <f>#REF!</f>
        <v>#REF!</v>
      </c>
      <c r="N37" s="181" t="e">
        <f>#REF!</f>
        <v>#REF!</v>
      </c>
      <c r="O37" s="181" t="e">
        <f>Juill!AK210</f>
        <v>#REF!</v>
      </c>
      <c r="P37" s="181"/>
      <c r="Q37" s="181" t="e">
        <f t="shared" si="4"/>
        <v>#REF!</v>
      </c>
      <c r="R37" s="181"/>
    </row>
    <row r="38" spans="1:18" s="162" customFormat="1" x14ac:dyDescent="0.2">
      <c r="A38" s="182">
        <v>1201</v>
      </c>
      <c r="B38" s="188" t="s">
        <v>19</v>
      </c>
      <c r="C38" s="181" t="e">
        <f>Juill!AL210</f>
        <v>#REF!</v>
      </c>
      <c r="D38" s="181" t="e">
        <f>#REF!</f>
        <v>#REF!</v>
      </c>
      <c r="E38" s="181" t="e">
        <f>#REF!</f>
        <v>#REF!</v>
      </c>
      <c r="F38" s="181" t="e">
        <f>#REF!</f>
        <v>#REF!</v>
      </c>
      <c r="G38" s="181" t="e">
        <f>#REF!</f>
        <v>#REF!</v>
      </c>
      <c r="H38" s="181" t="e">
        <f>#REF!</f>
        <v>#REF!</v>
      </c>
      <c r="I38" s="181" t="e">
        <f>#REF!</f>
        <v>#REF!</v>
      </c>
      <c r="J38" s="181" t="e">
        <f>#REF!</f>
        <v>#REF!</v>
      </c>
      <c r="K38" s="181" t="e">
        <f>#REF!</f>
        <v>#REF!</v>
      </c>
      <c r="L38" s="181" t="e">
        <f>#REF!</f>
        <v>#REF!</v>
      </c>
      <c r="M38" s="181" t="e">
        <f>#REF!</f>
        <v>#REF!</v>
      </c>
      <c r="N38" s="181" t="e">
        <f>#REF!</f>
        <v>#REF!</v>
      </c>
      <c r="O38" s="181" t="e">
        <f>Juill!AL210</f>
        <v>#REF!</v>
      </c>
      <c r="P38" s="181"/>
      <c r="Q38" s="181" t="e">
        <f t="shared" si="4"/>
        <v>#REF!</v>
      </c>
      <c r="R38" s="181"/>
    </row>
    <row r="39" spans="1:18" s="162" customFormat="1" x14ac:dyDescent="0.2">
      <c r="A39" s="182">
        <v>1202</v>
      </c>
      <c r="B39" s="188" t="s">
        <v>20</v>
      </c>
      <c r="C39" s="181" t="e">
        <f>Juill!AM210</f>
        <v>#REF!</v>
      </c>
      <c r="D39" s="181" t="e">
        <f>#REF!</f>
        <v>#REF!</v>
      </c>
      <c r="E39" s="181" t="e">
        <f>#REF!</f>
        <v>#REF!</v>
      </c>
      <c r="F39" s="181" t="e">
        <f>#REF!</f>
        <v>#REF!</v>
      </c>
      <c r="G39" s="181" t="e">
        <f>#REF!</f>
        <v>#REF!</v>
      </c>
      <c r="H39" s="181" t="e">
        <f>#REF!</f>
        <v>#REF!</v>
      </c>
      <c r="I39" s="181" t="e">
        <f>#REF!</f>
        <v>#REF!</v>
      </c>
      <c r="J39" s="181" t="e">
        <f>#REF!</f>
        <v>#REF!</v>
      </c>
      <c r="K39" s="181" t="e">
        <f>#REF!</f>
        <v>#REF!</v>
      </c>
      <c r="L39" s="181" t="e">
        <f>#REF!</f>
        <v>#REF!</v>
      </c>
      <c r="M39" s="181" t="e">
        <f>#REF!</f>
        <v>#REF!</v>
      </c>
      <c r="N39" s="181" t="e">
        <f>#REF!</f>
        <v>#REF!</v>
      </c>
      <c r="O39" s="181" t="e">
        <f>Juill!AM210</f>
        <v>#REF!</v>
      </c>
      <c r="P39" s="181"/>
      <c r="Q39" s="181" t="e">
        <f t="shared" si="4"/>
        <v>#REF!</v>
      </c>
      <c r="R39" s="181"/>
    </row>
    <row r="40" spans="1:18" s="162" customFormat="1" x14ac:dyDescent="0.2">
      <c r="A40" s="182">
        <v>1203</v>
      </c>
      <c r="B40" s="188" t="s">
        <v>21</v>
      </c>
      <c r="C40" s="181" t="e">
        <f>Juill!AN210</f>
        <v>#REF!</v>
      </c>
      <c r="D40" s="181" t="e">
        <f>#REF!</f>
        <v>#REF!</v>
      </c>
      <c r="E40" s="181" t="e">
        <f>#REF!</f>
        <v>#REF!</v>
      </c>
      <c r="F40" s="181" t="e">
        <f>#REF!</f>
        <v>#REF!</v>
      </c>
      <c r="G40" s="181" t="e">
        <f>#REF!</f>
        <v>#REF!</v>
      </c>
      <c r="H40" s="181" t="e">
        <f>#REF!</f>
        <v>#REF!</v>
      </c>
      <c r="I40" s="181" t="e">
        <f>#REF!</f>
        <v>#REF!</v>
      </c>
      <c r="J40" s="181" t="e">
        <f>#REF!</f>
        <v>#REF!</v>
      </c>
      <c r="K40" s="181" t="e">
        <f>#REF!</f>
        <v>#REF!</v>
      </c>
      <c r="L40" s="181" t="e">
        <f>#REF!</f>
        <v>#REF!</v>
      </c>
      <c r="M40" s="181" t="e">
        <f>#REF!</f>
        <v>#REF!</v>
      </c>
      <c r="N40" s="181" t="e">
        <f>#REF!</f>
        <v>#REF!</v>
      </c>
      <c r="O40" s="181" t="e">
        <f>Juill!AN210</f>
        <v>#REF!</v>
      </c>
      <c r="P40" s="181"/>
      <c r="Q40" s="181" t="e">
        <f t="shared" si="4"/>
        <v>#REF!</v>
      </c>
      <c r="R40" s="181"/>
    </row>
    <row r="41" spans="1:18" s="162" customFormat="1" x14ac:dyDescent="0.2">
      <c r="A41" s="182">
        <v>1204</v>
      </c>
      <c r="B41" s="188" t="s">
        <v>141</v>
      </c>
      <c r="C41" s="181" t="e">
        <f>Juill!AO210</f>
        <v>#REF!</v>
      </c>
      <c r="D41" s="181" t="e">
        <f>#REF!</f>
        <v>#REF!</v>
      </c>
      <c r="E41" s="181" t="e">
        <f>#REF!</f>
        <v>#REF!</v>
      </c>
      <c r="F41" s="181" t="e">
        <f>#REF!</f>
        <v>#REF!</v>
      </c>
      <c r="G41" s="181" t="e">
        <f>#REF!</f>
        <v>#REF!</v>
      </c>
      <c r="H41" s="181" t="e">
        <f>#REF!</f>
        <v>#REF!</v>
      </c>
      <c r="I41" s="181" t="e">
        <f>#REF!</f>
        <v>#REF!</v>
      </c>
      <c r="J41" s="181" t="e">
        <f>#REF!</f>
        <v>#REF!</v>
      </c>
      <c r="K41" s="181" t="e">
        <f>#REF!</f>
        <v>#REF!</v>
      </c>
      <c r="L41" s="181" t="e">
        <f>#REF!</f>
        <v>#REF!</v>
      </c>
      <c r="M41" s="181" t="e">
        <f>#REF!</f>
        <v>#REF!</v>
      </c>
      <c r="N41" s="181" t="e">
        <f>#REF!</f>
        <v>#REF!</v>
      </c>
      <c r="O41" s="181" t="e">
        <f>Juill!AO210</f>
        <v>#REF!</v>
      </c>
      <c r="P41" s="181"/>
      <c r="Q41" s="181" t="e">
        <f t="shared" si="4"/>
        <v>#REF!</v>
      </c>
      <c r="R41" s="181"/>
    </row>
    <row r="42" spans="1:18" s="162" customFormat="1" x14ac:dyDescent="0.2">
      <c r="A42" s="182">
        <v>1205</v>
      </c>
      <c r="B42" s="188" t="s">
        <v>142</v>
      </c>
      <c r="C42" s="181" t="e">
        <f>Juill!AP210</f>
        <v>#REF!</v>
      </c>
      <c r="D42" s="181" t="e">
        <f>#REF!</f>
        <v>#REF!</v>
      </c>
      <c r="E42" s="181" t="e">
        <f>#REF!</f>
        <v>#REF!</v>
      </c>
      <c r="F42" s="181" t="e">
        <f>#REF!</f>
        <v>#REF!</v>
      </c>
      <c r="G42" s="181" t="e">
        <f>#REF!</f>
        <v>#REF!</v>
      </c>
      <c r="H42" s="181" t="e">
        <f>#REF!</f>
        <v>#REF!</v>
      </c>
      <c r="I42" s="181" t="e">
        <f>#REF!</f>
        <v>#REF!</v>
      </c>
      <c r="J42" s="181" t="e">
        <f>#REF!</f>
        <v>#REF!</v>
      </c>
      <c r="K42" s="181" t="e">
        <f>#REF!</f>
        <v>#REF!</v>
      </c>
      <c r="L42" s="181" t="e">
        <f>#REF!</f>
        <v>#REF!</v>
      </c>
      <c r="M42" s="181" t="e">
        <f>#REF!</f>
        <v>#REF!</v>
      </c>
      <c r="N42" s="181" t="e">
        <f>#REF!</f>
        <v>#REF!</v>
      </c>
      <c r="O42" s="181" t="e">
        <f>Juill!AP210</f>
        <v>#REF!</v>
      </c>
      <c r="P42" s="181"/>
      <c r="Q42" s="181" t="e">
        <f t="shared" si="4"/>
        <v>#REF!</v>
      </c>
      <c r="R42" s="181"/>
    </row>
    <row r="43" spans="1:18" s="162" customFormat="1" x14ac:dyDescent="0.2">
      <c r="A43" s="182">
        <v>1210</v>
      </c>
      <c r="B43" s="188" t="s">
        <v>1</v>
      </c>
      <c r="C43" s="181" t="e">
        <f>Juill!AQ210+P43</f>
        <v>#REF!</v>
      </c>
      <c r="D43" s="181" t="e">
        <f>#REF!</f>
        <v>#REF!</v>
      </c>
      <c r="E43" s="181" t="e">
        <f>#REF!</f>
        <v>#REF!</v>
      </c>
      <c r="F43" s="181" t="e">
        <f>#REF!</f>
        <v>#REF!</v>
      </c>
      <c r="G43" s="181" t="e">
        <f>#REF!</f>
        <v>#REF!</v>
      </c>
      <c r="H43" s="181" t="e">
        <f>#REF!</f>
        <v>#REF!</v>
      </c>
      <c r="I43" s="181" t="e">
        <f>#REF!</f>
        <v>#REF!</v>
      </c>
      <c r="J43" s="181" t="e">
        <f>#REF!</f>
        <v>#REF!</v>
      </c>
      <c r="K43" s="181" t="e">
        <f>#REF!</f>
        <v>#REF!</v>
      </c>
      <c r="L43" s="181" t="e">
        <f>#REF!</f>
        <v>#REF!</v>
      </c>
      <c r="M43" s="181" t="e">
        <f>#REF!</f>
        <v>#REF!</v>
      </c>
      <c r="N43" s="181" t="e">
        <f>#REF!</f>
        <v>#REF!</v>
      </c>
      <c r="O43" s="181" t="e">
        <f>Juill!AQ210</f>
        <v>#REF!</v>
      </c>
      <c r="P43" s="181"/>
      <c r="Q43" s="181" t="e">
        <f t="shared" si="4"/>
        <v>#REF!</v>
      </c>
      <c r="R43" s="181"/>
    </row>
    <row r="44" spans="1:18" s="162" customFormat="1" x14ac:dyDescent="0.2">
      <c r="A44" s="182">
        <v>1230</v>
      </c>
      <c r="B44" s="188" t="s">
        <v>118</v>
      </c>
      <c r="C44" s="181" t="e">
        <f>Juill!AR210+P44</f>
        <v>#REF!</v>
      </c>
      <c r="D44" s="181" t="e">
        <f>#REF!</f>
        <v>#REF!</v>
      </c>
      <c r="E44" s="181" t="e">
        <f>#REF!</f>
        <v>#REF!</v>
      </c>
      <c r="F44" s="181" t="e">
        <f>#REF!</f>
        <v>#REF!</v>
      </c>
      <c r="G44" s="181" t="e">
        <f>#REF!</f>
        <v>#REF!</v>
      </c>
      <c r="H44" s="181" t="e">
        <f>#REF!</f>
        <v>#REF!</v>
      </c>
      <c r="I44" s="181" t="e">
        <f>#REF!</f>
        <v>#REF!</v>
      </c>
      <c r="J44" s="181" t="e">
        <f>#REF!</f>
        <v>#REF!</v>
      </c>
      <c r="K44" s="181" t="e">
        <f>#REF!</f>
        <v>#REF!</v>
      </c>
      <c r="L44" s="181" t="e">
        <f>#REF!</f>
        <v>#REF!</v>
      </c>
      <c r="M44" s="181" t="e">
        <f>#REF!</f>
        <v>#REF!</v>
      </c>
      <c r="N44" s="181" t="e">
        <f>#REF!</f>
        <v>#REF!</v>
      </c>
      <c r="O44" s="181" t="e">
        <f>Juill!AR210</f>
        <v>#REF!</v>
      </c>
      <c r="P44" s="181">
        <f>-P25-P21</f>
        <v>0</v>
      </c>
      <c r="Q44" s="181" t="e">
        <f t="shared" si="4"/>
        <v>#REF!</v>
      </c>
      <c r="R44" s="181"/>
    </row>
    <row r="45" spans="1:18" s="162" customFormat="1" x14ac:dyDescent="0.2">
      <c r="A45" s="182">
        <v>1250</v>
      </c>
      <c r="B45" s="188" t="s">
        <v>96</v>
      </c>
      <c r="C45" s="181" t="e">
        <f>Juill!AS210</f>
        <v>#REF!</v>
      </c>
      <c r="D45" s="181" t="e">
        <f>#REF!</f>
        <v>#REF!</v>
      </c>
      <c r="E45" s="181" t="e">
        <f>#REF!</f>
        <v>#REF!</v>
      </c>
      <c r="F45" s="181" t="e">
        <f>#REF!</f>
        <v>#REF!</v>
      </c>
      <c r="G45" s="181" t="e">
        <f>#REF!</f>
        <v>#REF!</v>
      </c>
      <c r="H45" s="181" t="e">
        <f>#REF!</f>
        <v>#REF!</v>
      </c>
      <c r="I45" s="181" t="e">
        <f>#REF!</f>
        <v>#REF!</v>
      </c>
      <c r="J45" s="181" t="e">
        <f>#REF!</f>
        <v>#REF!</v>
      </c>
      <c r="K45" s="181" t="e">
        <f>#REF!</f>
        <v>#REF!</v>
      </c>
      <c r="L45" s="181" t="e">
        <f>#REF!</f>
        <v>#REF!</v>
      </c>
      <c r="M45" s="181" t="e">
        <f>#REF!</f>
        <v>#REF!</v>
      </c>
      <c r="N45" s="181" t="e">
        <f>#REF!</f>
        <v>#REF!</v>
      </c>
      <c r="O45" s="181" t="e">
        <f>Juill!AS210</f>
        <v>#REF!</v>
      </c>
      <c r="P45" s="181"/>
      <c r="Q45" s="181" t="e">
        <f t="shared" si="4"/>
        <v>#REF!</v>
      </c>
      <c r="R45" s="181"/>
    </row>
    <row r="46" spans="1:18" s="162" customFormat="1" x14ac:dyDescent="0.2">
      <c r="A46" s="182">
        <v>1251</v>
      </c>
      <c r="B46" s="188" t="s">
        <v>107</v>
      </c>
      <c r="C46" s="181" t="e">
        <f>Juill!AT210+P46</f>
        <v>#REF!</v>
      </c>
      <c r="D46" s="181" t="e">
        <f>#REF!</f>
        <v>#REF!</v>
      </c>
      <c r="E46" s="181" t="e">
        <f>#REF!</f>
        <v>#REF!</v>
      </c>
      <c r="F46" s="181" t="e">
        <f>#REF!</f>
        <v>#REF!</v>
      </c>
      <c r="G46" s="181" t="e">
        <f>#REF!</f>
        <v>#REF!</v>
      </c>
      <c r="H46" s="181" t="e">
        <f>#REF!</f>
        <v>#REF!</v>
      </c>
      <c r="I46" s="181" t="e">
        <f>#REF!</f>
        <v>#REF!</v>
      </c>
      <c r="J46" s="181" t="e">
        <f>#REF!</f>
        <v>#REF!</v>
      </c>
      <c r="K46" s="181" t="e">
        <f>#REF!</f>
        <v>#REF!</v>
      </c>
      <c r="L46" s="181" t="e">
        <f>#REF!</f>
        <v>#REF!</v>
      </c>
      <c r="M46" s="181" t="e">
        <f>#REF!</f>
        <v>#REF!</v>
      </c>
      <c r="N46" s="181" t="e">
        <f>#REF!</f>
        <v>#REF!</v>
      </c>
      <c r="O46" s="181" t="e">
        <f>Juill!AT210</f>
        <v>#REF!</v>
      </c>
      <c r="P46" s="181" t="e">
        <f>-'A2'!H21</f>
        <v>#REF!</v>
      </c>
      <c r="Q46" s="181" t="e">
        <f t="shared" si="4"/>
        <v>#REF!</v>
      </c>
      <c r="R46" s="181"/>
    </row>
    <row r="47" spans="1:18" s="162" customFormat="1" x14ac:dyDescent="0.2">
      <c r="A47" s="182">
        <v>1260</v>
      </c>
      <c r="B47" s="188" t="s">
        <v>97</v>
      </c>
      <c r="C47" s="181" t="e">
        <f>Juill!AU210</f>
        <v>#REF!</v>
      </c>
      <c r="D47" s="181" t="e">
        <f>#REF!</f>
        <v>#REF!</v>
      </c>
      <c r="E47" s="181" t="e">
        <f>#REF!</f>
        <v>#REF!</v>
      </c>
      <c r="F47" s="181" t="e">
        <f>#REF!</f>
        <v>#REF!</v>
      </c>
      <c r="G47" s="181" t="e">
        <f>#REF!</f>
        <v>#REF!</v>
      </c>
      <c r="H47" s="181" t="e">
        <f>#REF!</f>
        <v>#REF!</v>
      </c>
      <c r="I47" s="181" t="e">
        <f>#REF!</f>
        <v>#REF!</v>
      </c>
      <c r="J47" s="181" t="e">
        <f>#REF!</f>
        <v>#REF!</v>
      </c>
      <c r="K47" s="181" t="e">
        <f>#REF!</f>
        <v>#REF!</v>
      </c>
      <c r="L47" s="181" t="e">
        <f>#REF!</f>
        <v>#REF!</v>
      </c>
      <c r="M47" s="181" t="e">
        <f>#REF!</f>
        <v>#REF!</v>
      </c>
      <c r="N47" s="181" t="e">
        <f>#REF!</f>
        <v>#REF!</v>
      </c>
      <c r="O47" s="181" t="e">
        <f>Juill!AU210</f>
        <v>#REF!</v>
      </c>
      <c r="P47" s="181"/>
      <c r="Q47" s="181" t="e">
        <f t="shared" si="4"/>
        <v>#REF!</v>
      </c>
      <c r="R47" s="181"/>
    </row>
    <row r="48" spans="1:18" s="162" customFormat="1" x14ac:dyDescent="0.2">
      <c r="A48" s="182">
        <v>1261</v>
      </c>
      <c r="B48" s="188" t="s">
        <v>108</v>
      </c>
      <c r="C48" s="181" t="e">
        <f>Juill!AV210+P48</f>
        <v>#REF!</v>
      </c>
      <c r="D48" s="181" t="e">
        <f>#REF!</f>
        <v>#REF!</v>
      </c>
      <c r="E48" s="181" t="e">
        <f>#REF!</f>
        <v>#REF!</v>
      </c>
      <c r="F48" s="181" t="e">
        <f>#REF!</f>
        <v>#REF!</v>
      </c>
      <c r="G48" s="181" t="e">
        <f>#REF!</f>
        <v>#REF!</v>
      </c>
      <c r="H48" s="181" t="e">
        <f>#REF!</f>
        <v>#REF!</v>
      </c>
      <c r="I48" s="181" t="e">
        <f>#REF!</f>
        <v>#REF!</v>
      </c>
      <c r="J48" s="181" t="e">
        <f>#REF!</f>
        <v>#REF!</v>
      </c>
      <c r="K48" s="181" t="e">
        <f>#REF!</f>
        <v>#REF!</v>
      </c>
      <c r="L48" s="181" t="e">
        <f>#REF!</f>
        <v>#REF!</v>
      </c>
      <c r="M48" s="181" t="e">
        <f>#REF!</f>
        <v>#REF!</v>
      </c>
      <c r="N48" s="181" t="e">
        <f>#REF!</f>
        <v>#REF!</v>
      </c>
      <c r="O48" s="181" t="e">
        <f>Juill!AV210</f>
        <v>#REF!</v>
      </c>
      <c r="P48" s="181" t="e">
        <f>-'A2'!H20</f>
        <v>#REF!</v>
      </c>
      <c r="Q48" s="181" t="e">
        <f t="shared" si="4"/>
        <v>#REF!</v>
      </c>
      <c r="R48" s="181"/>
    </row>
    <row r="49" spans="1:18" s="162" customFormat="1" x14ac:dyDescent="0.2">
      <c r="A49" s="182">
        <v>1270</v>
      </c>
      <c r="B49" s="188" t="s">
        <v>59</v>
      </c>
      <c r="C49" s="181" t="e">
        <f>Juill!AW210</f>
        <v>#REF!</v>
      </c>
      <c r="D49" s="181" t="e">
        <f>#REF!</f>
        <v>#REF!</v>
      </c>
      <c r="E49" s="181" t="e">
        <f>#REF!</f>
        <v>#REF!</v>
      </c>
      <c r="F49" s="181" t="e">
        <f>#REF!</f>
        <v>#REF!</v>
      </c>
      <c r="G49" s="181" t="e">
        <f>#REF!</f>
        <v>#REF!</v>
      </c>
      <c r="H49" s="181" t="e">
        <f>#REF!</f>
        <v>#REF!</v>
      </c>
      <c r="I49" s="181" t="e">
        <f>#REF!</f>
        <v>#REF!</v>
      </c>
      <c r="J49" s="181" t="e">
        <f>#REF!</f>
        <v>#REF!</v>
      </c>
      <c r="K49" s="181" t="e">
        <f>#REF!</f>
        <v>#REF!</v>
      </c>
      <c r="L49" s="181" t="e">
        <f>#REF!</f>
        <v>#REF!</v>
      </c>
      <c r="M49" s="181" t="e">
        <f>#REF!</f>
        <v>#REF!</v>
      </c>
      <c r="N49" s="181" t="e">
        <f>#REF!</f>
        <v>#REF!</v>
      </c>
      <c r="O49" s="181" t="e">
        <f>Juill!AW210</f>
        <v>#REF!</v>
      </c>
      <c r="P49" s="181"/>
      <c r="Q49" s="181" t="e">
        <f t="shared" si="4"/>
        <v>#REF!</v>
      </c>
      <c r="R49" s="181"/>
    </row>
    <row r="50" spans="1:18" s="162" customFormat="1" x14ac:dyDescent="0.2">
      <c r="A50" s="182">
        <v>1271</v>
      </c>
      <c r="B50" s="188" t="s">
        <v>60</v>
      </c>
      <c r="C50" s="181" t="e">
        <f>Juill!AX210+P50</f>
        <v>#REF!</v>
      </c>
      <c r="D50" s="181" t="e">
        <f>#REF!</f>
        <v>#REF!</v>
      </c>
      <c r="E50" s="181" t="e">
        <f>#REF!</f>
        <v>#REF!</v>
      </c>
      <c r="F50" s="181" t="e">
        <f>#REF!</f>
        <v>#REF!</v>
      </c>
      <c r="G50" s="181" t="e">
        <f>#REF!</f>
        <v>#REF!</v>
      </c>
      <c r="H50" s="181" t="e">
        <f>#REF!</f>
        <v>#REF!</v>
      </c>
      <c r="I50" s="181" t="e">
        <f>#REF!</f>
        <v>#REF!</v>
      </c>
      <c r="J50" s="181" t="e">
        <f>#REF!</f>
        <v>#REF!</v>
      </c>
      <c r="K50" s="181" t="e">
        <f>#REF!</f>
        <v>#REF!</v>
      </c>
      <c r="L50" s="181" t="e">
        <f>#REF!</f>
        <v>#REF!</v>
      </c>
      <c r="M50" s="181" t="e">
        <f>#REF!</f>
        <v>#REF!</v>
      </c>
      <c r="N50" s="181" t="e">
        <f>#REF!</f>
        <v>#REF!</v>
      </c>
      <c r="O50" s="181" t="e">
        <f>Juill!AX210</f>
        <v>#REF!</v>
      </c>
      <c r="P50" s="181">
        <v>0</v>
      </c>
      <c r="Q50" s="181" t="e">
        <f t="shared" si="4"/>
        <v>#REF!</v>
      </c>
      <c r="R50" s="181"/>
    </row>
    <row r="51" spans="1:18" s="162" customFormat="1" x14ac:dyDescent="0.2">
      <c r="A51" s="182">
        <v>1300</v>
      </c>
      <c r="B51" s="188" t="str">
        <f>'Comptes GL'!B48</f>
        <v>Achalandage</v>
      </c>
      <c r="C51" s="181" t="e">
        <f>Juill!AY210</f>
        <v>#REF!</v>
      </c>
      <c r="D51" s="181" t="e">
        <f>#REF!</f>
        <v>#REF!</v>
      </c>
      <c r="E51" s="181" t="e">
        <f>#REF!</f>
        <v>#REF!</v>
      </c>
      <c r="F51" s="181" t="e">
        <f>#REF!</f>
        <v>#REF!</v>
      </c>
      <c r="G51" s="181" t="e">
        <f>#REF!</f>
        <v>#REF!</v>
      </c>
      <c r="H51" s="181" t="e">
        <f>#REF!</f>
        <v>#REF!</v>
      </c>
      <c r="I51" s="181" t="e">
        <f>#REF!</f>
        <v>#REF!</v>
      </c>
      <c r="J51" s="181" t="e">
        <f>#REF!</f>
        <v>#REF!</v>
      </c>
      <c r="K51" s="181" t="e">
        <f>#REF!</f>
        <v>#REF!</v>
      </c>
      <c r="L51" s="181" t="e">
        <f>#REF!</f>
        <v>#REF!</v>
      </c>
      <c r="M51" s="181" t="e">
        <f>#REF!</f>
        <v>#REF!</v>
      </c>
      <c r="N51" s="181" t="e">
        <f>#REF!</f>
        <v>#REF!</v>
      </c>
      <c r="O51" s="181" t="e">
        <f>Juill!AY210</f>
        <v>#REF!</v>
      </c>
      <c r="P51" s="181"/>
      <c r="Q51" s="181" t="e">
        <f t="shared" si="4"/>
        <v>#REF!</v>
      </c>
      <c r="R51" s="181"/>
    </row>
    <row r="52" spans="1:18" s="162" customFormat="1" x14ac:dyDescent="0.2">
      <c r="A52" s="182">
        <v>1301</v>
      </c>
      <c r="B52" s="188" t="str">
        <f>'Comptes GL'!B49</f>
        <v>Amort. Cum - Achalandage</v>
      </c>
      <c r="C52" s="181" t="e">
        <f>Juill!AZ210+P52</f>
        <v>#REF!</v>
      </c>
      <c r="D52" s="181" t="e">
        <f>#REF!</f>
        <v>#REF!</v>
      </c>
      <c r="E52" s="181" t="e">
        <f>#REF!</f>
        <v>#REF!</v>
      </c>
      <c r="F52" s="181" t="e">
        <f>#REF!</f>
        <v>#REF!</v>
      </c>
      <c r="G52" s="181" t="e">
        <f>#REF!</f>
        <v>#REF!</v>
      </c>
      <c r="H52" s="181" t="e">
        <f>#REF!</f>
        <v>#REF!</v>
      </c>
      <c r="I52" s="181" t="e">
        <f>#REF!</f>
        <v>#REF!</v>
      </c>
      <c r="J52" s="181" t="e">
        <f>#REF!</f>
        <v>#REF!</v>
      </c>
      <c r="K52" s="181" t="e">
        <f>#REF!</f>
        <v>#REF!</v>
      </c>
      <c r="L52" s="181" t="e">
        <f>#REF!</f>
        <v>#REF!</v>
      </c>
      <c r="M52" s="181" t="e">
        <f>#REF!</f>
        <v>#REF!</v>
      </c>
      <c r="N52" s="181" t="e">
        <f>#REF!</f>
        <v>#REF!</v>
      </c>
      <c r="O52" s="181" t="e">
        <f>Juill!AZ210</f>
        <v>#REF!</v>
      </c>
      <c r="P52" s="181"/>
      <c r="Q52" s="181" t="e">
        <f t="shared" si="4"/>
        <v>#REF!</v>
      </c>
      <c r="R52" s="181"/>
    </row>
    <row r="53" spans="1:18" s="162" customFormat="1" x14ac:dyDescent="0.2">
      <c r="A53" s="182">
        <f>'Comptes GL'!A50</f>
        <v>1400</v>
      </c>
      <c r="B53" s="188" t="str">
        <f>'Comptes GL'!B50</f>
        <v>Avance - Prêt GCP</v>
      </c>
      <c r="C53" s="184" t="e">
        <f>Juill!BA210</f>
        <v>#REF!</v>
      </c>
      <c r="D53" s="184" t="e">
        <f>#REF!</f>
        <v>#REF!</v>
      </c>
      <c r="E53" s="184" t="e">
        <f>#REF!</f>
        <v>#REF!</v>
      </c>
      <c r="F53" s="184" t="e">
        <f>#REF!</f>
        <v>#REF!</v>
      </c>
      <c r="G53" s="184" t="e">
        <f>#REF!</f>
        <v>#REF!</v>
      </c>
      <c r="H53" s="184" t="e">
        <f>#REF!</f>
        <v>#REF!</v>
      </c>
      <c r="I53" s="184" t="e">
        <f>#REF!</f>
        <v>#REF!</v>
      </c>
      <c r="J53" s="184" t="e">
        <f>#REF!</f>
        <v>#REF!</v>
      </c>
      <c r="K53" s="184" t="e">
        <f>#REF!</f>
        <v>#REF!</v>
      </c>
      <c r="L53" s="184" t="e">
        <f>#REF!</f>
        <v>#REF!</v>
      </c>
      <c r="M53" s="184" t="e">
        <f>#REF!</f>
        <v>#REF!</v>
      </c>
      <c r="N53" s="184" t="e">
        <f>#REF!</f>
        <v>#REF!</v>
      </c>
      <c r="O53" s="184" t="e">
        <f>Juill!BA210</f>
        <v>#REF!</v>
      </c>
      <c r="P53" s="184"/>
      <c r="Q53" s="184" t="e">
        <f t="shared" si="4"/>
        <v>#REF!</v>
      </c>
      <c r="R53" s="181"/>
    </row>
    <row r="54" spans="1:18" s="162" customFormat="1" x14ac:dyDescent="0.2">
      <c r="B54" s="188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  <c r="R54" s="181"/>
    </row>
    <row r="55" spans="1:18" s="112" customFormat="1" x14ac:dyDescent="0.2">
      <c r="B55" s="190" t="s">
        <v>6</v>
      </c>
      <c r="C55" s="117" t="e">
        <f t="shared" ref="C55:R55" si="5">SUM(C34:C54)</f>
        <v>#REF!</v>
      </c>
      <c r="D55" s="117" t="e">
        <f t="shared" si="5"/>
        <v>#REF!</v>
      </c>
      <c r="E55" s="117" t="e">
        <f t="shared" si="5"/>
        <v>#REF!</v>
      </c>
      <c r="F55" s="117" t="e">
        <f t="shared" si="5"/>
        <v>#REF!</v>
      </c>
      <c r="G55" s="117" t="e">
        <f t="shared" si="5"/>
        <v>#REF!</v>
      </c>
      <c r="H55" s="117" t="e">
        <f t="shared" si="5"/>
        <v>#REF!</v>
      </c>
      <c r="I55" s="117" t="e">
        <f t="shared" si="5"/>
        <v>#REF!</v>
      </c>
      <c r="J55" s="117" t="e">
        <f t="shared" si="5"/>
        <v>#REF!</v>
      </c>
      <c r="K55" s="117" t="e">
        <f t="shared" si="5"/>
        <v>#REF!</v>
      </c>
      <c r="L55" s="117" t="e">
        <f t="shared" si="5"/>
        <v>#REF!</v>
      </c>
      <c r="M55" s="117" t="e">
        <f t="shared" si="5"/>
        <v>#REF!</v>
      </c>
      <c r="N55" s="117" t="e">
        <f t="shared" si="5"/>
        <v>#REF!</v>
      </c>
      <c r="O55" s="117" t="e">
        <f t="shared" si="5"/>
        <v>#REF!</v>
      </c>
      <c r="P55" s="117" t="e">
        <f t="shared" si="5"/>
        <v>#REF!</v>
      </c>
      <c r="Q55" s="117" t="e">
        <f t="shared" si="5"/>
        <v>#REF!</v>
      </c>
      <c r="R55" s="117">
        <f t="shared" si="5"/>
        <v>0</v>
      </c>
    </row>
    <row r="56" spans="1:18" s="162" customFormat="1" x14ac:dyDescent="0.2">
      <c r="B56" s="188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</row>
    <row r="57" spans="1:18" s="162" customFormat="1" x14ac:dyDescent="0.2">
      <c r="A57" s="182">
        <v>2000</v>
      </c>
      <c r="B57" s="188" t="s">
        <v>62</v>
      </c>
      <c r="C57" s="181" t="e">
        <f>Juill!BB210</f>
        <v>#REF!</v>
      </c>
      <c r="D57" s="181" t="e">
        <f>#REF!</f>
        <v>#REF!</v>
      </c>
      <c r="E57" s="181" t="e">
        <f>#REF!</f>
        <v>#REF!</v>
      </c>
      <c r="F57" s="181" t="e">
        <f>#REF!</f>
        <v>#REF!</v>
      </c>
      <c r="G57" s="181" t="e">
        <f>#REF!</f>
        <v>#REF!</v>
      </c>
      <c r="H57" s="181" t="e">
        <f>#REF!</f>
        <v>#REF!</v>
      </c>
      <c r="I57" s="181" t="e">
        <f>#REF!</f>
        <v>#REF!</v>
      </c>
      <c r="J57" s="181" t="e">
        <f>#REF!</f>
        <v>#REF!</v>
      </c>
      <c r="K57" s="181" t="e">
        <f>#REF!</f>
        <v>#REF!</v>
      </c>
      <c r="L57" s="181" t="e">
        <f>#REF!</f>
        <v>#REF!</v>
      </c>
      <c r="M57" s="181" t="e">
        <f>#REF!</f>
        <v>#REF!</v>
      </c>
      <c r="N57" s="181" t="e">
        <f>#REF!</f>
        <v>#REF!</v>
      </c>
      <c r="O57" s="181" t="e">
        <f>Juill!BB210</f>
        <v>#REF!</v>
      </c>
      <c r="P57" s="181"/>
      <c r="Q57" s="181" t="e">
        <f t="shared" ref="Q57:Q68" si="6">C57</f>
        <v>#REF!</v>
      </c>
      <c r="R57" s="181"/>
    </row>
    <row r="58" spans="1:18" s="162" customFormat="1" x14ac:dyDescent="0.2">
      <c r="A58" s="182">
        <v>2010</v>
      </c>
      <c r="B58" s="188" t="str">
        <f>'Comptes GL'!B52</f>
        <v>Avances de Guillaume Charron</v>
      </c>
      <c r="C58" s="181" t="e">
        <f>Juill!BC210+P58</f>
        <v>#REF!</v>
      </c>
      <c r="D58" s="181" t="e">
        <f>#REF!</f>
        <v>#REF!</v>
      </c>
      <c r="E58" s="181" t="e">
        <f>#REF!</f>
        <v>#REF!</v>
      </c>
      <c r="F58" s="181" t="e">
        <f>#REF!</f>
        <v>#REF!</v>
      </c>
      <c r="G58" s="181" t="e">
        <f>#REF!</f>
        <v>#REF!</v>
      </c>
      <c r="H58" s="181" t="e">
        <f>#REF!</f>
        <v>#REF!</v>
      </c>
      <c r="I58" s="181" t="e">
        <f>#REF!</f>
        <v>#REF!</v>
      </c>
      <c r="J58" s="181" t="e">
        <f>#REF!</f>
        <v>#REF!</v>
      </c>
      <c r="K58" s="181" t="e">
        <f>#REF!</f>
        <v>#REF!</v>
      </c>
      <c r="L58" s="181" t="e">
        <f>#REF!</f>
        <v>#REF!</v>
      </c>
      <c r="M58" s="181" t="e">
        <f>#REF!</f>
        <v>#REF!</v>
      </c>
      <c r="N58" s="181" t="e">
        <f>#REF!</f>
        <v>#REF!</v>
      </c>
      <c r="O58" s="181" t="e">
        <f>Juill!BC210</f>
        <v>#REF!</v>
      </c>
      <c r="P58" s="181"/>
      <c r="Q58" s="181" t="e">
        <f t="shared" si="6"/>
        <v>#REF!</v>
      </c>
      <c r="R58" s="181"/>
    </row>
    <row r="59" spans="1:18" s="162" customFormat="1" x14ac:dyDescent="0.2">
      <c r="A59" s="182">
        <v>2011</v>
      </c>
      <c r="B59" s="188" t="str">
        <f>'Comptes GL'!B53</f>
        <v>Avances à Fiducie Famille Charron</v>
      </c>
      <c r="C59" s="181" t="e">
        <f>Juill!BD210+P59</f>
        <v>#REF!</v>
      </c>
      <c r="D59" s="181" t="e">
        <f>#REF!</f>
        <v>#REF!</v>
      </c>
      <c r="E59" s="181" t="e">
        <f>#REF!</f>
        <v>#REF!</v>
      </c>
      <c r="F59" s="181" t="e">
        <f>#REF!</f>
        <v>#REF!</v>
      </c>
      <c r="G59" s="181" t="e">
        <f>#REF!</f>
        <v>#REF!</v>
      </c>
      <c r="H59" s="181" t="e">
        <f>#REF!</f>
        <v>#REF!</v>
      </c>
      <c r="I59" s="181" t="e">
        <f>#REF!</f>
        <v>#REF!</v>
      </c>
      <c r="J59" s="181" t="e">
        <f>#REF!</f>
        <v>#REF!</v>
      </c>
      <c r="K59" s="181" t="e">
        <f>#REF!</f>
        <v>#REF!</v>
      </c>
      <c r="L59" s="181" t="e">
        <f>#REF!</f>
        <v>#REF!</v>
      </c>
      <c r="M59" s="181" t="e">
        <f>#REF!</f>
        <v>#REF!</v>
      </c>
      <c r="N59" s="181" t="e">
        <f>#REF!</f>
        <v>#REF!</v>
      </c>
      <c r="O59" s="181" t="e">
        <f>Juill!BD210</f>
        <v>#REF!</v>
      </c>
      <c r="P59" s="181"/>
      <c r="Q59" s="181" t="e">
        <f t="shared" si="6"/>
        <v>#REF!</v>
      </c>
      <c r="R59" s="181"/>
    </row>
    <row r="60" spans="1:18" s="162" customFormat="1" x14ac:dyDescent="0.2">
      <c r="A60" s="182">
        <v>2100</v>
      </c>
      <c r="B60" s="188" t="s">
        <v>22</v>
      </c>
      <c r="C60" s="181" t="e">
        <f>Juill!BE210</f>
        <v>#REF!</v>
      </c>
      <c r="D60" s="181" t="e">
        <f>#REF!</f>
        <v>#REF!</v>
      </c>
      <c r="E60" s="181" t="e">
        <f>#REF!</f>
        <v>#REF!</v>
      </c>
      <c r="F60" s="181" t="e">
        <f>#REF!</f>
        <v>#REF!</v>
      </c>
      <c r="G60" s="181" t="e">
        <f>#REF!</f>
        <v>#REF!</v>
      </c>
      <c r="H60" s="181" t="e">
        <f>#REF!</f>
        <v>#REF!</v>
      </c>
      <c r="I60" s="181" t="e">
        <f>#REF!</f>
        <v>#REF!</v>
      </c>
      <c r="J60" s="181" t="e">
        <f>#REF!</f>
        <v>#REF!</v>
      </c>
      <c r="K60" s="181" t="e">
        <f>#REF!</f>
        <v>#REF!</v>
      </c>
      <c r="L60" s="181" t="e">
        <f>#REF!</f>
        <v>#REF!</v>
      </c>
      <c r="M60" s="181" t="e">
        <f>#REF!</f>
        <v>#REF!</v>
      </c>
      <c r="N60" s="181" t="e">
        <f>#REF!</f>
        <v>#REF!</v>
      </c>
      <c r="O60" s="181" t="e">
        <f>Juill!BE210</f>
        <v>#REF!</v>
      </c>
      <c r="P60" s="181"/>
      <c r="Q60" s="181" t="e">
        <f t="shared" si="6"/>
        <v>#REF!</v>
      </c>
      <c r="R60" s="181"/>
    </row>
    <row r="61" spans="1:18" s="162" customFormat="1" x14ac:dyDescent="0.2">
      <c r="A61" s="182">
        <v>2105</v>
      </c>
      <c r="B61" s="188" t="str">
        <f>'Comptes GL'!B55</f>
        <v>Avances avec 9249-3626 Québec inc.</v>
      </c>
      <c r="C61" s="181" t="e">
        <f>Juill!BF210</f>
        <v>#REF!</v>
      </c>
      <c r="D61" s="181" t="e">
        <f>#REF!</f>
        <v>#REF!</v>
      </c>
      <c r="E61" s="181" t="e">
        <f>#REF!</f>
        <v>#REF!</v>
      </c>
      <c r="F61" s="181" t="e">
        <f>#REF!</f>
        <v>#REF!</v>
      </c>
      <c r="G61" s="181" t="e">
        <f>#REF!</f>
        <v>#REF!</v>
      </c>
      <c r="H61" s="181" t="e">
        <f>#REF!</f>
        <v>#REF!</v>
      </c>
      <c r="I61" s="181" t="e">
        <f>#REF!</f>
        <v>#REF!</v>
      </c>
      <c r="J61" s="181" t="e">
        <f>#REF!</f>
        <v>#REF!</v>
      </c>
      <c r="K61" s="181" t="e">
        <f>#REF!</f>
        <v>#REF!</v>
      </c>
      <c r="L61" s="181" t="e">
        <f>#REF!</f>
        <v>#REF!</v>
      </c>
      <c r="M61" s="181" t="e">
        <f>#REF!</f>
        <v>#REF!</v>
      </c>
      <c r="N61" s="181" t="e">
        <f>#REF!</f>
        <v>#REF!</v>
      </c>
      <c r="O61" s="181" t="e">
        <f>Juill!BF210</f>
        <v>#REF!</v>
      </c>
      <c r="P61" s="181"/>
      <c r="Q61" s="181" t="e">
        <f t="shared" si="6"/>
        <v>#REF!</v>
      </c>
      <c r="R61" s="181"/>
    </row>
    <row r="62" spans="1:18" s="162" customFormat="1" x14ac:dyDescent="0.2">
      <c r="A62" s="182">
        <v>2106</v>
      </c>
      <c r="B62" s="188" t="str">
        <f>'Comptes GL'!B56</f>
        <v>Avances avec 9333-4829 Québec inc</v>
      </c>
      <c r="C62" s="181" t="e">
        <f>Juill!BG210</f>
        <v>#REF!</v>
      </c>
      <c r="D62" s="181" t="e">
        <f>#REF!</f>
        <v>#REF!</v>
      </c>
      <c r="E62" s="181" t="e">
        <f>#REF!</f>
        <v>#REF!</v>
      </c>
      <c r="F62" s="181" t="e">
        <f>#REF!</f>
        <v>#REF!</v>
      </c>
      <c r="G62" s="181" t="e">
        <f>#REF!</f>
        <v>#REF!</v>
      </c>
      <c r="H62" s="181" t="e">
        <f>#REF!</f>
        <v>#REF!</v>
      </c>
      <c r="I62" s="181" t="e">
        <f>#REF!</f>
        <v>#REF!</v>
      </c>
      <c r="J62" s="181" t="e">
        <f>#REF!</f>
        <v>#REF!</v>
      </c>
      <c r="K62" s="181" t="e">
        <f>#REF!</f>
        <v>#REF!</v>
      </c>
      <c r="L62" s="181" t="e">
        <f>#REF!</f>
        <v>#REF!</v>
      </c>
      <c r="M62" s="181" t="e">
        <f>#REF!</f>
        <v>#REF!</v>
      </c>
      <c r="N62" s="181" t="e">
        <f>#REF!</f>
        <v>#REF!</v>
      </c>
      <c r="O62" s="181" t="e">
        <f>Juill!BG210</f>
        <v>#REF!</v>
      </c>
      <c r="P62" s="181"/>
      <c r="Q62" s="181" t="e">
        <f t="shared" si="6"/>
        <v>#REF!</v>
      </c>
      <c r="R62" s="181"/>
    </row>
    <row r="63" spans="1:18" s="162" customFormat="1" x14ac:dyDescent="0.2">
      <c r="A63" s="182">
        <f>'Comptes GL'!A57</f>
        <v>2107</v>
      </c>
      <c r="B63" s="188" t="str">
        <f>'Comptes GL'!B57</f>
        <v>Prêt - Compte d'urgence</v>
      </c>
      <c r="C63" s="181" t="e">
        <f>Juill!BH210</f>
        <v>#REF!</v>
      </c>
      <c r="D63" s="181" t="e">
        <f>#REF!</f>
        <v>#REF!</v>
      </c>
      <c r="E63" s="181" t="e">
        <f>#REF!</f>
        <v>#REF!</v>
      </c>
      <c r="F63" s="181" t="e">
        <f>#REF!</f>
        <v>#REF!</v>
      </c>
      <c r="G63" s="181" t="e">
        <f>#REF!</f>
        <v>#REF!</v>
      </c>
      <c r="H63" s="181" t="e">
        <f>#REF!</f>
        <v>#REF!</v>
      </c>
      <c r="I63" s="181" t="e">
        <f>#REF!</f>
        <v>#REF!</v>
      </c>
      <c r="J63" s="181" t="e">
        <f>#REF!</f>
        <v>#REF!</v>
      </c>
      <c r="K63" s="181" t="e">
        <f>#REF!</f>
        <v>#REF!</v>
      </c>
      <c r="L63" s="181" t="e">
        <f>#REF!</f>
        <v>#REF!</v>
      </c>
      <c r="M63" s="181" t="e">
        <f>#REF!</f>
        <v>#REF!</v>
      </c>
      <c r="N63" s="181" t="e">
        <f>#REF!</f>
        <v>#REF!</v>
      </c>
      <c r="O63" s="181" t="e">
        <f>Juill!BH210</f>
        <v>#REF!</v>
      </c>
      <c r="P63" s="181"/>
      <c r="Q63" s="181" t="e">
        <f t="shared" si="6"/>
        <v>#REF!</v>
      </c>
      <c r="R63" s="181"/>
    </row>
    <row r="64" spans="1:18" s="162" customFormat="1" x14ac:dyDescent="0.2">
      <c r="A64" s="182">
        <v>2200</v>
      </c>
      <c r="B64" s="188" t="s">
        <v>24</v>
      </c>
      <c r="C64" s="181" t="e">
        <f>Juill!BI210+P64</f>
        <v>#REF!</v>
      </c>
      <c r="D64" s="181" t="e">
        <f>#REF!</f>
        <v>#REF!</v>
      </c>
      <c r="E64" s="181" t="e">
        <f>#REF!</f>
        <v>#REF!</v>
      </c>
      <c r="F64" s="181" t="e">
        <f>#REF!</f>
        <v>#REF!</v>
      </c>
      <c r="G64" s="181" t="e">
        <f>#REF!</f>
        <v>#REF!</v>
      </c>
      <c r="H64" s="181" t="e">
        <f>#REF!</f>
        <v>#REF!</v>
      </c>
      <c r="I64" s="181" t="e">
        <f>#REF!</f>
        <v>#REF!</v>
      </c>
      <c r="J64" s="181" t="e">
        <f>#REF!</f>
        <v>#REF!</v>
      </c>
      <c r="K64" s="181" t="e">
        <f>#REF!</f>
        <v>#REF!</v>
      </c>
      <c r="L64" s="181" t="e">
        <f>#REF!</f>
        <v>#REF!</v>
      </c>
      <c r="M64" s="181" t="e">
        <f>#REF!</f>
        <v>#REF!</v>
      </c>
      <c r="N64" s="181" t="e">
        <f>#REF!</f>
        <v>#REF!</v>
      </c>
      <c r="O64" s="181" t="e">
        <f>Juill!BI210</f>
        <v>#REF!</v>
      </c>
      <c r="P64" s="181" t="e">
        <f>-'A3'!E45</f>
        <v>#REF!</v>
      </c>
      <c r="Q64" s="181" t="e">
        <f t="shared" si="6"/>
        <v>#REF!</v>
      </c>
      <c r="R64" s="181"/>
    </row>
    <row r="65" spans="1:18" s="162" customFormat="1" x14ac:dyDescent="0.2">
      <c r="A65" s="182">
        <v>2201</v>
      </c>
      <c r="B65" s="188" t="s">
        <v>23</v>
      </c>
      <c r="C65" s="181" t="e">
        <f>Juill!BJ210+P65</f>
        <v>#REF!</v>
      </c>
      <c r="D65" s="181" t="e">
        <f>#REF!</f>
        <v>#REF!</v>
      </c>
      <c r="E65" s="181" t="e">
        <f>#REF!</f>
        <v>#REF!</v>
      </c>
      <c r="F65" s="181" t="e">
        <f>#REF!</f>
        <v>#REF!</v>
      </c>
      <c r="G65" s="181" t="e">
        <f>#REF!</f>
        <v>#REF!</v>
      </c>
      <c r="H65" s="181" t="e">
        <f>#REF!</f>
        <v>#REF!</v>
      </c>
      <c r="I65" s="181" t="e">
        <f>#REF!</f>
        <v>#REF!</v>
      </c>
      <c r="J65" s="181" t="e">
        <f>#REF!</f>
        <v>#REF!</v>
      </c>
      <c r="K65" s="181" t="e">
        <f>#REF!</f>
        <v>#REF!</v>
      </c>
      <c r="L65" s="181" t="e">
        <f>#REF!</f>
        <v>#REF!</v>
      </c>
      <c r="M65" s="181" t="e">
        <f>#REF!</f>
        <v>#REF!</v>
      </c>
      <c r="N65" s="181" t="e">
        <f>#REF!</f>
        <v>#REF!</v>
      </c>
      <c r="O65" s="181" t="e">
        <f>Juill!BJ210</f>
        <v>#REF!</v>
      </c>
      <c r="P65" s="181" t="e">
        <f>-'A3'!F45</f>
        <v>#REF!</v>
      </c>
      <c r="Q65" s="181" t="e">
        <f t="shared" si="6"/>
        <v>#REF!</v>
      </c>
      <c r="R65" s="181"/>
    </row>
    <row r="66" spans="1:18" s="162" customFormat="1" x14ac:dyDescent="0.2">
      <c r="A66" s="182">
        <f>'Comptes GL'!A60</f>
        <v>2202</v>
      </c>
      <c r="B66" s="188" t="str">
        <f>'Comptes GL'!B60</f>
        <v>Acomptes - Impôt Fédéral</v>
      </c>
      <c r="C66" s="181" t="e">
        <f>Juill!BK210</f>
        <v>#REF!</v>
      </c>
      <c r="D66" s="181" t="e">
        <f>#REF!</f>
        <v>#REF!</v>
      </c>
      <c r="E66" s="181" t="e">
        <f>#REF!</f>
        <v>#REF!</v>
      </c>
      <c r="F66" s="181" t="e">
        <f>#REF!</f>
        <v>#REF!</v>
      </c>
      <c r="G66" s="181" t="e">
        <f>#REF!</f>
        <v>#REF!</v>
      </c>
      <c r="H66" s="181" t="e">
        <f>#REF!</f>
        <v>#REF!</v>
      </c>
      <c r="I66" s="181" t="e">
        <f>#REF!</f>
        <v>#REF!</v>
      </c>
      <c r="J66" s="181" t="e">
        <f>#REF!</f>
        <v>#REF!</v>
      </c>
      <c r="K66" s="181" t="e">
        <f>#REF!</f>
        <v>#REF!</v>
      </c>
      <c r="L66" s="181" t="e">
        <f>#REF!</f>
        <v>#REF!</v>
      </c>
      <c r="M66" s="181" t="e">
        <f>#REF!</f>
        <v>#REF!</v>
      </c>
      <c r="N66" s="181" t="e">
        <f>#REF!</f>
        <v>#REF!</v>
      </c>
      <c r="O66" s="181" t="e">
        <f>Juill!BK210</f>
        <v>#REF!</v>
      </c>
      <c r="P66" s="181"/>
      <c r="Q66" s="181" t="e">
        <f t="shared" si="6"/>
        <v>#REF!</v>
      </c>
      <c r="R66" s="181"/>
    </row>
    <row r="67" spans="1:18" s="162" customFormat="1" x14ac:dyDescent="0.2">
      <c r="A67" s="182">
        <f>'Comptes GL'!A61</f>
        <v>2203</v>
      </c>
      <c r="B67" s="188" t="str">
        <f>'Comptes GL'!B61</f>
        <v>Acomptes - Impôt Québec</v>
      </c>
      <c r="C67" s="181" t="e">
        <f>Juill!BL210</f>
        <v>#REF!</v>
      </c>
      <c r="D67" s="181" t="e">
        <f>#REF!</f>
        <v>#REF!</v>
      </c>
      <c r="E67" s="181" t="e">
        <f>#REF!</f>
        <v>#REF!</v>
      </c>
      <c r="F67" s="181" t="e">
        <f>#REF!</f>
        <v>#REF!</v>
      </c>
      <c r="G67" s="181" t="e">
        <f>#REF!</f>
        <v>#REF!</v>
      </c>
      <c r="H67" s="181" t="e">
        <f>#REF!</f>
        <v>#REF!</v>
      </c>
      <c r="I67" s="181" t="e">
        <f>#REF!</f>
        <v>#REF!</v>
      </c>
      <c r="J67" s="181" t="e">
        <f>#REF!</f>
        <v>#REF!</v>
      </c>
      <c r="K67" s="181" t="e">
        <f>#REF!</f>
        <v>#REF!</v>
      </c>
      <c r="L67" s="181" t="e">
        <f>#REF!</f>
        <v>#REF!</v>
      </c>
      <c r="M67" s="181" t="e">
        <f>#REF!</f>
        <v>#REF!</v>
      </c>
      <c r="N67" s="181" t="e">
        <f>#REF!</f>
        <v>#REF!</v>
      </c>
      <c r="O67" s="181" t="e">
        <f>Juill!BL210</f>
        <v>#REF!</v>
      </c>
      <c r="P67" s="181"/>
      <c r="Q67" s="181" t="e">
        <f t="shared" si="6"/>
        <v>#REF!</v>
      </c>
      <c r="R67" s="181"/>
    </row>
    <row r="68" spans="1:18" s="162" customFormat="1" x14ac:dyDescent="0.2">
      <c r="A68" s="182">
        <v>2300</v>
      </c>
      <c r="B68" s="188" t="s">
        <v>26</v>
      </c>
      <c r="C68" s="184" t="e">
        <f>Juill!BM210</f>
        <v>#REF!</v>
      </c>
      <c r="D68" s="184" t="e">
        <f>#REF!</f>
        <v>#REF!</v>
      </c>
      <c r="E68" s="184" t="e">
        <f>#REF!</f>
        <v>#REF!</v>
      </c>
      <c r="F68" s="184" t="e">
        <f>#REF!</f>
        <v>#REF!</v>
      </c>
      <c r="G68" s="184" t="e">
        <f>#REF!</f>
        <v>#REF!</v>
      </c>
      <c r="H68" s="184" t="e">
        <f>#REF!</f>
        <v>#REF!</v>
      </c>
      <c r="I68" s="184" t="e">
        <f>#REF!</f>
        <v>#REF!</v>
      </c>
      <c r="J68" s="184" t="e">
        <f>#REF!</f>
        <v>#REF!</v>
      </c>
      <c r="K68" s="184" t="e">
        <f>#REF!</f>
        <v>#REF!</v>
      </c>
      <c r="L68" s="184" t="e">
        <f>#REF!</f>
        <v>#REF!</v>
      </c>
      <c r="M68" s="184" t="e">
        <f>#REF!</f>
        <v>#REF!</v>
      </c>
      <c r="N68" s="184" t="e">
        <f>#REF!</f>
        <v>#REF!</v>
      </c>
      <c r="O68" s="184" t="e">
        <f>Juill!BM210</f>
        <v>#REF!</v>
      </c>
      <c r="P68" s="184"/>
      <c r="Q68" s="184" t="e">
        <f t="shared" si="6"/>
        <v>#REF!</v>
      </c>
      <c r="R68" s="181"/>
    </row>
    <row r="69" spans="1:18" s="162" customFormat="1" x14ac:dyDescent="0.2">
      <c r="B69" s="188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</row>
    <row r="70" spans="1:18" s="112" customFormat="1" x14ac:dyDescent="0.2">
      <c r="B70" s="190" t="s">
        <v>7</v>
      </c>
      <c r="C70" s="117" t="e">
        <f>SUM(C57:C69)</f>
        <v>#REF!</v>
      </c>
      <c r="D70" s="117" t="e">
        <f t="shared" ref="D70:R70" si="7">SUM(D57:D69)</f>
        <v>#REF!</v>
      </c>
      <c r="E70" s="117" t="e">
        <f t="shared" si="7"/>
        <v>#REF!</v>
      </c>
      <c r="F70" s="117" t="e">
        <f t="shared" si="7"/>
        <v>#REF!</v>
      </c>
      <c r="G70" s="117" t="e">
        <f t="shared" si="7"/>
        <v>#REF!</v>
      </c>
      <c r="H70" s="117" t="e">
        <f t="shared" si="7"/>
        <v>#REF!</v>
      </c>
      <c r="I70" s="117" t="e">
        <f t="shared" si="7"/>
        <v>#REF!</v>
      </c>
      <c r="J70" s="117" t="e">
        <f t="shared" si="7"/>
        <v>#REF!</v>
      </c>
      <c r="K70" s="117" t="e">
        <f t="shared" si="7"/>
        <v>#REF!</v>
      </c>
      <c r="L70" s="117" t="e">
        <f t="shared" si="7"/>
        <v>#REF!</v>
      </c>
      <c r="M70" s="117" t="e">
        <f t="shared" si="7"/>
        <v>#REF!</v>
      </c>
      <c r="N70" s="117" t="e">
        <f t="shared" si="7"/>
        <v>#REF!</v>
      </c>
      <c r="O70" s="117" t="e">
        <f t="shared" si="7"/>
        <v>#REF!</v>
      </c>
      <c r="P70" s="117" t="e">
        <f t="shared" si="7"/>
        <v>#REF!</v>
      </c>
      <c r="Q70" s="117" t="e">
        <f t="shared" si="7"/>
        <v>#REF!</v>
      </c>
      <c r="R70" s="117">
        <f t="shared" si="7"/>
        <v>0</v>
      </c>
    </row>
    <row r="71" spans="1:18" s="162" customFormat="1" x14ac:dyDescent="0.2">
      <c r="B71" s="188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</row>
    <row r="72" spans="1:18" s="162" customFormat="1" x14ac:dyDescent="0.2">
      <c r="A72" s="182">
        <v>2500</v>
      </c>
      <c r="B72" s="188" t="s">
        <v>27</v>
      </c>
      <c r="C72" s="181" t="e">
        <f>Juill!BN210+P72</f>
        <v>#REF!</v>
      </c>
      <c r="D72" s="181" t="e">
        <f>#REF!</f>
        <v>#REF!</v>
      </c>
      <c r="E72" s="181" t="e">
        <f>#REF!</f>
        <v>#REF!</v>
      </c>
      <c r="F72" s="181" t="e">
        <f>#REF!</f>
        <v>#REF!</v>
      </c>
      <c r="G72" s="181" t="e">
        <f>#REF!</f>
        <v>#REF!</v>
      </c>
      <c r="H72" s="181" t="e">
        <f>#REF!</f>
        <v>#REF!</v>
      </c>
      <c r="I72" s="181" t="e">
        <f>#REF!</f>
        <v>#REF!</v>
      </c>
      <c r="J72" s="181" t="e">
        <f>#REF!</f>
        <v>#REF!</v>
      </c>
      <c r="K72" s="181" t="e">
        <f>#REF!</f>
        <v>#REF!</v>
      </c>
      <c r="L72" s="181" t="e">
        <f>#REF!</f>
        <v>#REF!</v>
      </c>
      <c r="M72" s="181" t="e">
        <f>#REF!</f>
        <v>#REF!</v>
      </c>
      <c r="N72" s="181" t="e">
        <f>#REF!</f>
        <v>#REF!</v>
      </c>
      <c r="O72" s="181" t="e">
        <f>Juill!BN210</f>
        <v>#REF!</v>
      </c>
      <c r="P72" s="181"/>
      <c r="Q72" s="181" t="e">
        <f>C72</f>
        <v>#REF!</v>
      </c>
      <c r="R72" s="181"/>
    </row>
    <row r="73" spans="1:18" s="162" customFormat="1" x14ac:dyDescent="0.2">
      <c r="A73" s="182">
        <v>2501</v>
      </c>
      <c r="B73" s="188" t="s">
        <v>28</v>
      </c>
      <c r="C73" s="181" t="e">
        <f>Juill!BO210</f>
        <v>#REF!</v>
      </c>
      <c r="D73" s="181" t="e">
        <f>#REF!</f>
        <v>#REF!</v>
      </c>
      <c r="E73" s="181" t="e">
        <f>#REF!</f>
        <v>#REF!</v>
      </c>
      <c r="F73" s="181" t="e">
        <f>#REF!</f>
        <v>#REF!</v>
      </c>
      <c r="G73" s="181" t="e">
        <f>#REF!</f>
        <v>#REF!</v>
      </c>
      <c r="H73" s="181" t="e">
        <f>#REF!</f>
        <v>#REF!</v>
      </c>
      <c r="I73" s="181" t="e">
        <f>#REF!</f>
        <v>#REF!</v>
      </c>
      <c r="J73" s="181" t="e">
        <f>#REF!</f>
        <v>#REF!</v>
      </c>
      <c r="K73" s="181" t="e">
        <f>#REF!</f>
        <v>#REF!</v>
      </c>
      <c r="L73" s="181" t="e">
        <f>#REF!</f>
        <v>#REF!</v>
      </c>
      <c r="M73" s="181" t="e">
        <f>#REF!</f>
        <v>#REF!</v>
      </c>
      <c r="N73" s="181" t="e">
        <f>#REF!</f>
        <v>#REF!</v>
      </c>
      <c r="O73" s="181" t="e">
        <f>Juill!BO210</f>
        <v>#REF!</v>
      </c>
      <c r="P73" s="181"/>
      <c r="Q73" s="181" t="e">
        <f>C73</f>
        <v>#REF!</v>
      </c>
      <c r="R73" s="181"/>
    </row>
    <row r="74" spans="1:18" s="162" customFormat="1" x14ac:dyDescent="0.2">
      <c r="A74" s="182">
        <v>2600</v>
      </c>
      <c r="B74" s="188" t="s">
        <v>17</v>
      </c>
      <c r="C74" s="181" t="e">
        <f>Juill!BP210</f>
        <v>#REF!</v>
      </c>
      <c r="D74" s="181" t="e">
        <f>#REF!</f>
        <v>#REF!</v>
      </c>
      <c r="E74" s="181" t="e">
        <f>#REF!</f>
        <v>#REF!</v>
      </c>
      <c r="F74" s="181" t="e">
        <f>#REF!</f>
        <v>#REF!</v>
      </c>
      <c r="G74" s="181" t="e">
        <f>#REF!</f>
        <v>#REF!</v>
      </c>
      <c r="H74" s="181" t="e">
        <f>#REF!</f>
        <v>#REF!</v>
      </c>
      <c r="I74" s="181" t="e">
        <f>#REF!</f>
        <v>#REF!</v>
      </c>
      <c r="J74" s="181" t="e">
        <f>#REF!</f>
        <v>#REF!</v>
      </c>
      <c r="K74" s="181" t="e">
        <f>#REF!</f>
        <v>#REF!</v>
      </c>
      <c r="L74" s="181" t="e">
        <f>#REF!</f>
        <v>#REF!</v>
      </c>
      <c r="M74" s="181" t="e">
        <f>#REF!</f>
        <v>#REF!</v>
      </c>
      <c r="N74" s="181" t="e">
        <f>#REF!</f>
        <v>#REF!</v>
      </c>
      <c r="O74" s="181" t="e">
        <f>Juill!BP210</f>
        <v>#REF!</v>
      </c>
      <c r="P74" s="181"/>
      <c r="Q74" s="181" t="e">
        <f>C74</f>
        <v>#REF!</v>
      </c>
      <c r="R74" s="181"/>
    </row>
    <row r="75" spans="1:18" s="162" customFormat="1" x14ac:dyDescent="0.2">
      <c r="A75" s="182">
        <v>2700</v>
      </c>
      <c r="B75" s="188" t="s">
        <v>33</v>
      </c>
      <c r="C75" s="184" t="e">
        <f>Juill!BQ210</f>
        <v>#REF!</v>
      </c>
      <c r="D75" s="184" t="e">
        <f>#REF!</f>
        <v>#REF!</v>
      </c>
      <c r="E75" s="184" t="e">
        <f>#REF!</f>
        <v>#REF!</v>
      </c>
      <c r="F75" s="184" t="e">
        <f>#REF!</f>
        <v>#REF!</v>
      </c>
      <c r="G75" s="184" t="e">
        <f>#REF!</f>
        <v>#REF!</v>
      </c>
      <c r="H75" s="184" t="e">
        <f>#REF!</f>
        <v>#REF!</v>
      </c>
      <c r="I75" s="184" t="e">
        <f>#REF!</f>
        <v>#REF!</v>
      </c>
      <c r="J75" s="184" t="e">
        <f>#REF!</f>
        <v>#REF!</v>
      </c>
      <c r="K75" s="184" t="e">
        <f>#REF!</f>
        <v>#REF!</v>
      </c>
      <c r="L75" s="184" t="e">
        <f>#REF!</f>
        <v>#REF!</v>
      </c>
      <c r="M75" s="184" t="e">
        <f>#REF!</f>
        <v>#REF!</v>
      </c>
      <c r="N75" s="184" t="e">
        <f>#REF!</f>
        <v>#REF!</v>
      </c>
      <c r="O75" s="184" t="e">
        <f>Juill!BQ210</f>
        <v>#REF!</v>
      </c>
      <c r="P75" s="184"/>
      <c r="Q75" s="184" t="e">
        <f>C75</f>
        <v>#REF!</v>
      </c>
      <c r="R75" s="181"/>
    </row>
    <row r="76" spans="1:18" s="162" customFormat="1" x14ac:dyDescent="0.2">
      <c r="B76" s="188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</row>
    <row r="77" spans="1:18" s="112" customFormat="1" x14ac:dyDescent="0.2">
      <c r="B77" s="190" t="s">
        <v>8</v>
      </c>
      <c r="C77" s="117" t="e">
        <f>SUM(C72:C76)</f>
        <v>#REF!</v>
      </c>
      <c r="D77" s="117" t="e">
        <f t="shared" ref="D77:R77" si="8">SUM(D72:D76)</f>
        <v>#REF!</v>
      </c>
      <c r="E77" s="117" t="e">
        <f t="shared" si="8"/>
        <v>#REF!</v>
      </c>
      <c r="F77" s="117" t="e">
        <f t="shared" si="8"/>
        <v>#REF!</v>
      </c>
      <c r="G77" s="117" t="e">
        <f t="shared" si="8"/>
        <v>#REF!</v>
      </c>
      <c r="H77" s="117" t="e">
        <f t="shared" si="8"/>
        <v>#REF!</v>
      </c>
      <c r="I77" s="117" t="e">
        <f t="shared" si="8"/>
        <v>#REF!</v>
      </c>
      <c r="J77" s="117" t="e">
        <f t="shared" si="8"/>
        <v>#REF!</v>
      </c>
      <c r="K77" s="117" t="e">
        <f t="shared" si="8"/>
        <v>#REF!</v>
      </c>
      <c r="L77" s="117" t="e">
        <f t="shared" si="8"/>
        <v>#REF!</v>
      </c>
      <c r="M77" s="117" t="e">
        <f t="shared" si="8"/>
        <v>#REF!</v>
      </c>
      <c r="N77" s="117" t="e">
        <f t="shared" si="8"/>
        <v>#REF!</v>
      </c>
      <c r="O77" s="117" t="e">
        <f t="shared" si="8"/>
        <v>#REF!</v>
      </c>
      <c r="P77" s="117">
        <f t="shared" si="8"/>
        <v>0</v>
      </c>
      <c r="Q77" s="117" t="e">
        <f t="shared" si="8"/>
        <v>#REF!</v>
      </c>
      <c r="R77" s="117">
        <f t="shared" si="8"/>
        <v>0</v>
      </c>
    </row>
    <row r="78" spans="1:18" s="162" customFormat="1" x14ac:dyDescent="0.2">
      <c r="B78" s="188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</row>
    <row r="79" spans="1:18" s="162" customFormat="1" x14ac:dyDescent="0.2">
      <c r="B79" s="188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</row>
    <row r="80" spans="1:18" s="112" customFormat="1" x14ac:dyDescent="0.2">
      <c r="B80" s="190" t="s">
        <v>4</v>
      </c>
      <c r="C80" s="117" t="e">
        <f>-C32+C55+C70+C77</f>
        <v>#REF!</v>
      </c>
      <c r="D80" s="117" t="e">
        <f>-D32+D55+D70+D77</f>
        <v>#REF!</v>
      </c>
      <c r="E80" s="117" t="e">
        <f>-E32+E55+E70+E77-D32</f>
        <v>#REF!</v>
      </c>
      <c r="F80" s="117" t="e">
        <f>-F32+F55+F70+F77-E32-D32</f>
        <v>#REF!</v>
      </c>
      <c r="G80" s="117" t="e">
        <f>-G32+G55+G70+G77-F32-D32-E32</f>
        <v>#REF!</v>
      </c>
      <c r="H80" s="117" t="e">
        <f>-H32+H55+H70+H77-G32-D32-E32-F32</f>
        <v>#REF!</v>
      </c>
      <c r="I80" s="117" t="e">
        <f>-I32+I55+I70+I77-H32-D32-E32-F32-G32</f>
        <v>#REF!</v>
      </c>
      <c r="J80" s="117" t="e">
        <f>-J32+J55+J70+J77-I32-D32-E32-F32-G32-H32</f>
        <v>#REF!</v>
      </c>
      <c r="K80" s="117" t="e">
        <f>-K32+K55+K70+K77-J32-D32-E32-F32-G32-H32-I32</f>
        <v>#REF!</v>
      </c>
      <c r="L80" s="117" t="e">
        <f>-L32+L55+L70+L77-K32-D32-E32-F32-G32-H32-I32-J32</f>
        <v>#REF!</v>
      </c>
      <c r="M80" s="117" t="e">
        <f>-M32+M55+M70+M77-L32-D32-E32-F32-G32-H32-I32-J32-K32</f>
        <v>#REF!</v>
      </c>
      <c r="N80" s="117" t="e">
        <f>-N32+N55+N70+N77-M32-D32-E32-F32-G32-H32-I32-J32-K32-L32</f>
        <v>#REF!</v>
      </c>
      <c r="O80" s="117" t="e">
        <f>-O32+O55+O70+O77-N32-D32-E32-F32-G32-H32-I32-J32-K32-L32-M32</f>
        <v>#REF!</v>
      </c>
      <c r="P80" s="117" t="e">
        <f>-P32+P55+P70+P77</f>
        <v>#REF!</v>
      </c>
      <c r="Q80" s="117" t="e">
        <f>-Q32+Q55+Q70+Q77</f>
        <v>#REF!</v>
      </c>
      <c r="R80" s="117" t="e">
        <f>-R32+R55+R70+R77</f>
        <v>#REF!</v>
      </c>
    </row>
  </sheetData>
  <mergeCells count="3">
    <mergeCell ref="A2:C2"/>
    <mergeCell ref="A1:C1"/>
    <mergeCell ref="A3:C3"/>
  </mergeCells>
  <phoneticPr fontId="3" type="noConversion"/>
  <conditionalFormatting sqref="A72:XFD75 A34:XFD53 A57:XFD68 A7:XFD30">
    <cfRule type="expression" dxfId="0" priority="5">
      <formula>MOD(ROW(),2)</formula>
    </cfRule>
  </conditionalFormatting>
  <pageMargins left="0.78740157480314965" right="0.78740157480314965" top="0.98425196850393704" bottom="0.98425196850393704" header="0.51181102362204722" footer="0.51181102362204722"/>
  <pageSetup scale="26" fitToHeight="2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22">
    <tabColor rgb="FF8C8375"/>
    <pageSetUpPr autoPageBreaks="0" fitToPage="1"/>
  </sheetPr>
  <dimension ref="A2:A27"/>
  <sheetViews>
    <sheetView zoomScaleNormal="100" zoomScaleSheetLayoutView="100" workbookViewId="0">
      <selection activeCell="B13" sqref="B1:XFD1048576"/>
    </sheetView>
  </sheetViews>
  <sheetFormatPr baseColWidth="10" defaultColWidth="1.5703125" defaultRowHeight="15" x14ac:dyDescent="0.2"/>
  <cols>
    <col min="1" max="1" width="53.5703125" style="1" bestFit="1" customWidth="1"/>
    <col min="2" max="16384" width="1.5703125" style="1"/>
  </cols>
  <sheetData>
    <row r="2" spans="1:1" x14ac:dyDescent="0.2">
      <c r="A2" s="2"/>
    </row>
    <row r="3" spans="1:1" x14ac:dyDescent="0.2">
      <c r="A3" s="2"/>
    </row>
    <row r="4" spans="1:1" x14ac:dyDescent="0.2">
      <c r="A4" s="2"/>
    </row>
    <row r="5" spans="1:1" ht="24.75" x14ac:dyDescent="0.3">
      <c r="A5" s="173"/>
    </row>
    <row r="6" spans="1:1" ht="24.75" x14ac:dyDescent="0.3">
      <c r="A6" s="173"/>
    </row>
    <row r="7" spans="1:1" ht="24.75" x14ac:dyDescent="0.3">
      <c r="A7" s="173"/>
    </row>
    <row r="8" spans="1:1" ht="24.75" x14ac:dyDescent="0.3">
      <c r="A8" s="173" t="s">
        <v>125</v>
      </c>
    </row>
    <row r="9" spans="1:1" ht="24.75" x14ac:dyDescent="0.3">
      <c r="A9" s="173"/>
    </row>
    <row r="10" spans="1:1" ht="24.75" x14ac:dyDescent="0.3">
      <c r="A10" s="173"/>
    </row>
    <row r="11" spans="1:1" ht="24.75" x14ac:dyDescent="0.3">
      <c r="A11" s="173"/>
    </row>
    <row r="12" spans="1:1" ht="24.75" x14ac:dyDescent="0.3">
      <c r="A12" s="173"/>
    </row>
    <row r="13" spans="1:1" ht="24.75" x14ac:dyDescent="0.3">
      <c r="A13" s="173"/>
    </row>
    <row r="14" spans="1:1" ht="24.75" x14ac:dyDescent="0.3">
      <c r="A14" s="173"/>
    </row>
    <row r="15" spans="1:1" s="3" customFormat="1" ht="29.25" x14ac:dyDescent="0.35">
      <c r="A15" s="172" t="s">
        <v>130</v>
      </c>
    </row>
    <row r="16" spans="1:1" s="3" customFormat="1" ht="29.25" x14ac:dyDescent="0.35">
      <c r="A16" s="173"/>
    </row>
    <row r="17" spans="1:1" ht="24.75" x14ac:dyDescent="0.3">
      <c r="A17" s="172"/>
    </row>
    <row r="18" spans="1:1" ht="24.75" x14ac:dyDescent="0.3">
      <c r="A18" s="174"/>
    </row>
    <row r="19" spans="1:1" ht="24.75" x14ac:dyDescent="0.3">
      <c r="A19" s="174"/>
    </row>
    <row r="20" spans="1:1" ht="24.75" x14ac:dyDescent="0.3">
      <c r="A20" s="174"/>
    </row>
    <row r="21" spans="1:1" ht="24.75" x14ac:dyDescent="0.3">
      <c r="A21" s="174"/>
    </row>
    <row r="22" spans="1:1" ht="24.75" x14ac:dyDescent="0.3">
      <c r="A22" s="174"/>
    </row>
    <row r="23" spans="1:1" s="3" customFormat="1" ht="29.25" x14ac:dyDescent="0.35">
      <c r="A23" s="173"/>
    </row>
    <row r="24" spans="1:1" s="3" customFormat="1" ht="29.25" x14ac:dyDescent="0.35">
      <c r="A24" s="173"/>
    </row>
    <row r="25" spans="1:1" s="3" customFormat="1" ht="29.25" x14ac:dyDescent="0.35">
      <c r="A25" s="175" t="e">
        <f>BV!A3</f>
        <v>#REF!</v>
      </c>
    </row>
    <row r="26" spans="1:1" ht="24.75" x14ac:dyDescent="0.3">
      <c r="A26" s="174"/>
    </row>
    <row r="27" spans="1:1" ht="24.75" x14ac:dyDescent="0.3">
      <c r="A27" s="174"/>
    </row>
  </sheetData>
  <phoneticPr fontId="5" type="noConversion"/>
  <printOptions horizontalCentered="1"/>
  <pageMargins left="0" right="0" top="0" bottom="0" header="0" footer="0"/>
  <pageSetup paperSize="11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23">
    <tabColor rgb="FF8C8375"/>
    <pageSetUpPr autoPageBreaks="0" fitToPage="1"/>
  </sheetPr>
  <dimension ref="A1:I39"/>
  <sheetViews>
    <sheetView zoomScaleNormal="100" zoomScaleSheetLayoutView="100" workbookViewId="0">
      <selection activeCell="A11" sqref="A11"/>
    </sheetView>
  </sheetViews>
  <sheetFormatPr baseColWidth="10" defaultColWidth="1.5703125" defaultRowHeight="14.25" x14ac:dyDescent="0.2"/>
  <cols>
    <col min="1" max="1" width="58.85546875" style="4" bestFit="1" customWidth="1"/>
    <col min="2" max="4" width="1.140625" style="4" customWidth="1"/>
    <col min="5" max="5" width="1.5703125" style="4" customWidth="1"/>
    <col min="6" max="6" width="0.28515625" style="4" customWidth="1"/>
    <col min="7" max="7" width="0.28515625" style="14" customWidth="1"/>
    <col min="8" max="8" width="6.42578125" style="5" bestFit="1" customWidth="1"/>
    <col min="9" max="9" width="2.42578125" style="4" customWidth="1"/>
    <col min="10" max="16384" width="1.5703125" style="4"/>
  </cols>
  <sheetData>
    <row r="1" spans="1:9" x14ac:dyDescent="0.2">
      <c r="A1" s="90"/>
      <c r="B1" s="90"/>
      <c r="H1" s="15"/>
      <c r="I1" s="16"/>
    </row>
    <row r="2" spans="1:9" x14ac:dyDescent="0.2">
      <c r="A2" s="90"/>
      <c r="B2" s="90"/>
      <c r="H2" s="15"/>
      <c r="I2" s="16"/>
    </row>
    <row r="3" spans="1:9" x14ac:dyDescent="0.2">
      <c r="A3" s="90"/>
      <c r="B3" s="90"/>
      <c r="H3" s="15"/>
      <c r="I3" s="16"/>
    </row>
    <row r="4" spans="1:9" x14ac:dyDescent="0.2">
      <c r="A4" s="90"/>
      <c r="B4" s="90"/>
      <c r="H4" s="15"/>
      <c r="I4" s="16"/>
    </row>
    <row r="5" spans="1:9" x14ac:dyDescent="0.2">
      <c r="A5" s="90"/>
      <c r="B5" s="90"/>
      <c r="H5" s="15"/>
      <c r="I5" s="16"/>
    </row>
    <row r="6" spans="1:9" x14ac:dyDescent="0.2">
      <c r="A6" s="90"/>
      <c r="B6" s="90"/>
      <c r="H6" s="15"/>
      <c r="I6" s="16"/>
    </row>
    <row r="7" spans="1:9" x14ac:dyDescent="0.2">
      <c r="A7" s="90"/>
      <c r="B7" s="90"/>
      <c r="H7" s="15"/>
      <c r="I7" s="16"/>
    </row>
    <row r="8" spans="1:9" x14ac:dyDescent="0.2">
      <c r="A8" s="91" t="str">
        <f>'Couv.'!A8</f>
        <v>GC FISCALITÉ PLUS INC.</v>
      </c>
      <c r="B8" s="90"/>
      <c r="H8" s="15"/>
      <c r="I8" s="16"/>
    </row>
    <row r="9" spans="1:9" x14ac:dyDescent="0.2">
      <c r="A9" s="91" t="s">
        <v>37</v>
      </c>
      <c r="B9" s="90"/>
      <c r="C9" s="8"/>
      <c r="D9" s="6"/>
      <c r="E9" s="6"/>
      <c r="F9" s="6"/>
      <c r="G9" s="9"/>
      <c r="H9" s="6"/>
      <c r="I9" s="6"/>
    </row>
    <row r="10" spans="1:9" x14ac:dyDescent="0.2">
      <c r="A10" s="91" t="s">
        <v>130</v>
      </c>
      <c r="B10" s="90"/>
      <c r="C10" s="8"/>
      <c r="D10" s="6"/>
      <c r="E10" s="6"/>
      <c r="F10" s="6"/>
      <c r="G10" s="9"/>
      <c r="H10" s="6"/>
      <c r="I10" s="6"/>
    </row>
    <row r="11" spans="1:9" x14ac:dyDescent="0.2">
      <c r="A11" s="179" t="e">
        <f>'Couv.'!A25</f>
        <v>#REF!</v>
      </c>
      <c r="B11" s="90"/>
      <c r="C11" s="10"/>
      <c r="D11" s="6"/>
      <c r="E11" s="6"/>
      <c r="F11" s="6"/>
      <c r="G11" s="9"/>
      <c r="H11" s="6"/>
      <c r="I11" s="6"/>
    </row>
    <row r="12" spans="1:9" ht="9.9499999999999993" customHeight="1" thickBot="1" x14ac:dyDescent="0.25">
      <c r="A12" s="92"/>
      <c r="B12" s="93"/>
      <c r="C12" s="12"/>
      <c r="D12" s="11"/>
      <c r="E12" s="11"/>
      <c r="F12" s="11"/>
      <c r="G12" s="11"/>
      <c r="H12" s="11"/>
      <c r="I12" s="13"/>
    </row>
    <row r="13" spans="1:9" ht="9.9499999999999993" customHeight="1" x14ac:dyDescent="0.2">
      <c r="A13" s="94"/>
      <c r="B13" s="90"/>
      <c r="C13" s="8"/>
      <c r="D13" s="6"/>
      <c r="E13" s="6"/>
      <c r="F13" s="6"/>
      <c r="G13" s="6"/>
      <c r="H13" s="6"/>
    </row>
    <row r="14" spans="1:9" ht="9.75" customHeight="1" x14ac:dyDescent="0.2">
      <c r="A14" s="94"/>
      <c r="B14" s="90"/>
      <c r="C14" s="8"/>
      <c r="D14" s="6"/>
      <c r="E14" s="6"/>
      <c r="F14" s="6"/>
      <c r="G14" s="6"/>
      <c r="H14" s="6"/>
    </row>
    <row r="15" spans="1:9" x14ac:dyDescent="0.2">
      <c r="A15" s="95"/>
      <c r="B15" s="90"/>
    </row>
    <row r="16" spans="1:9" x14ac:dyDescent="0.2">
      <c r="A16" s="95"/>
      <c r="B16" s="90"/>
    </row>
    <row r="17" spans="1:9" x14ac:dyDescent="0.2">
      <c r="A17" s="95"/>
      <c r="B17" s="90"/>
    </row>
    <row r="18" spans="1:9" x14ac:dyDescent="0.2">
      <c r="A18" s="95"/>
      <c r="B18" s="90"/>
    </row>
    <row r="19" spans="1:9" x14ac:dyDescent="0.2">
      <c r="A19" s="94"/>
      <c r="B19" s="90"/>
      <c r="C19" s="9"/>
      <c r="D19" s="6"/>
      <c r="E19" s="6"/>
      <c r="F19" s="6"/>
      <c r="G19" s="6"/>
      <c r="H19" s="6"/>
      <c r="I19" s="6"/>
    </row>
    <row r="20" spans="1:9" x14ac:dyDescent="0.2">
      <c r="A20" s="94"/>
      <c r="B20" s="90"/>
      <c r="C20" s="9"/>
      <c r="D20" s="6"/>
      <c r="E20" s="6"/>
      <c r="F20" s="6"/>
      <c r="G20" s="6"/>
      <c r="H20" s="6"/>
      <c r="I20" s="6"/>
    </row>
    <row r="21" spans="1:9" x14ac:dyDescent="0.2">
      <c r="A21" s="95"/>
      <c r="B21" s="90"/>
    </row>
    <row r="22" spans="1:9" x14ac:dyDescent="0.2">
      <c r="A22" s="94"/>
      <c r="B22" s="90"/>
      <c r="C22" s="8"/>
    </row>
    <row r="23" spans="1:9" x14ac:dyDescent="0.2">
      <c r="A23" s="94"/>
      <c r="B23" s="90"/>
      <c r="C23" s="8"/>
      <c r="H23" s="15" t="s">
        <v>36</v>
      </c>
    </row>
    <row r="24" spans="1:9" x14ac:dyDescent="0.2">
      <c r="A24" s="94"/>
      <c r="B24" s="90"/>
      <c r="C24" s="8"/>
      <c r="H24" s="15"/>
      <c r="I24" s="16"/>
    </row>
    <row r="25" spans="1:9" x14ac:dyDescent="0.2">
      <c r="A25" s="94"/>
      <c r="B25" s="90"/>
      <c r="C25" s="8"/>
      <c r="H25" s="15"/>
    </row>
    <row r="26" spans="1:9" x14ac:dyDescent="0.2">
      <c r="A26" s="94"/>
      <c r="B26" s="90"/>
      <c r="C26" s="8"/>
      <c r="H26" s="15"/>
    </row>
    <row r="27" spans="1:9" x14ac:dyDescent="0.2">
      <c r="A27" s="95"/>
      <c r="B27" s="90"/>
      <c r="H27" s="15"/>
    </row>
    <row r="28" spans="1:9" ht="18" customHeight="1" x14ac:dyDescent="0.2">
      <c r="A28" s="95" t="s">
        <v>196</v>
      </c>
      <c r="B28" s="90"/>
      <c r="H28" s="15" t="s">
        <v>198</v>
      </c>
      <c r="I28" s="16"/>
    </row>
    <row r="29" spans="1:9" x14ac:dyDescent="0.2">
      <c r="A29" s="95"/>
      <c r="B29" s="90"/>
      <c r="H29" s="15"/>
    </row>
    <row r="30" spans="1:9" x14ac:dyDescent="0.2">
      <c r="A30" s="95" t="s">
        <v>197</v>
      </c>
      <c r="B30" s="90"/>
      <c r="H30" s="15" t="s">
        <v>199</v>
      </c>
      <c r="I30" s="16"/>
    </row>
    <row r="31" spans="1:9" x14ac:dyDescent="0.2">
      <c r="A31" s="95"/>
      <c r="B31" s="90"/>
      <c r="H31" s="15"/>
    </row>
    <row r="32" spans="1:9" x14ac:dyDescent="0.2">
      <c r="A32" s="95" t="s">
        <v>98</v>
      </c>
      <c r="B32" s="90"/>
      <c r="H32" s="15" t="s">
        <v>43</v>
      </c>
      <c r="I32" s="16"/>
    </row>
    <row r="33" spans="1:9" x14ac:dyDescent="0.2">
      <c r="A33" s="96"/>
      <c r="B33" s="90"/>
      <c r="C33" s="16"/>
      <c r="H33" s="15"/>
    </row>
    <row r="34" spans="1:9" x14ac:dyDescent="0.2">
      <c r="A34" s="95"/>
      <c r="B34" s="90"/>
      <c r="H34" s="15"/>
      <c r="I34" s="16"/>
    </row>
    <row r="35" spans="1:9" x14ac:dyDescent="0.2">
      <c r="H35" s="15"/>
      <c r="I35" s="16"/>
    </row>
    <row r="36" spans="1:9" x14ac:dyDescent="0.2">
      <c r="H36" s="15"/>
      <c r="I36" s="16"/>
    </row>
    <row r="37" spans="1:9" x14ac:dyDescent="0.2">
      <c r="H37" s="15"/>
      <c r="I37" s="16"/>
    </row>
    <row r="38" spans="1:9" x14ac:dyDescent="0.2">
      <c r="H38" s="15"/>
      <c r="I38" s="16"/>
    </row>
    <row r="39" spans="1:9" x14ac:dyDescent="0.2">
      <c r="H39" s="15"/>
      <c r="I39" s="16"/>
    </row>
  </sheetData>
  <phoneticPr fontId="5" type="noConversion"/>
  <pageMargins left="0.98425196850393704" right="0" top="0" bottom="0" header="0" footer="0"/>
  <pageSetup paperSize="11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51">
    <tabColor rgb="FF8C8375"/>
  </sheetPr>
  <dimension ref="A1:D52"/>
  <sheetViews>
    <sheetView showFormulas="1" topLeftCell="A10" zoomScaleNormal="100" zoomScaleSheetLayoutView="100" workbookViewId="0">
      <selection activeCell="A7" sqref="A7:D47"/>
    </sheetView>
  </sheetViews>
  <sheetFormatPr baseColWidth="10" defaultColWidth="1.140625" defaultRowHeight="14.25" x14ac:dyDescent="0.2"/>
  <cols>
    <col min="1" max="1" width="29" style="17" customWidth="1"/>
    <col min="2" max="2" width="16.28515625" style="17" bestFit="1" customWidth="1"/>
    <col min="3" max="3" width="1.140625" style="17" customWidth="1"/>
    <col min="4" max="4" width="15.7109375" style="17" customWidth="1"/>
    <col min="5" max="16384" width="1.140625" style="17"/>
  </cols>
  <sheetData>
    <row r="1" spans="1:4" s="4" customFormat="1" x14ac:dyDescent="0.2"/>
    <row r="2" spans="1:4" s="4" customFormat="1" x14ac:dyDescent="0.2"/>
    <row r="3" spans="1:4" s="4" customFormat="1" x14ac:dyDescent="0.2"/>
    <row r="4" spans="1:4" s="4" customFormat="1" x14ac:dyDescent="0.2"/>
    <row r="5" spans="1:4" s="4" customFormat="1" x14ac:dyDescent="0.2"/>
    <row r="6" spans="1:4" s="4" customFormat="1" x14ac:dyDescent="0.2"/>
    <row r="7" spans="1:4" ht="15" x14ac:dyDescent="0.2">
      <c r="A7" s="99"/>
    </row>
    <row r="8" spans="1:4" s="59" customFormat="1" ht="15" x14ac:dyDescent="0.2">
      <c r="A8" s="99" t="s">
        <v>99</v>
      </c>
    </row>
    <row r="9" spans="1:4" s="59" customFormat="1" ht="15" x14ac:dyDescent="0.2">
      <c r="A9" s="99" t="s">
        <v>86</v>
      </c>
    </row>
    <row r="10" spans="1:4" s="4" customFormat="1" ht="12.75" customHeight="1" thickBot="1" x14ac:dyDescent="0.25">
      <c r="A10" s="92"/>
      <c r="B10" s="11"/>
      <c r="C10" s="11"/>
      <c r="D10" s="51"/>
    </row>
    <row r="11" spans="1:4" s="4" customFormat="1" x14ac:dyDescent="0.2">
      <c r="A11" s="94"/>
      <c r="B11" s="6"/>
      <c r="C11" s="6"/>
      <c r="D11" s="6"/>
    </row>
    <row r="12" spans="1:4" s="49" customFormat="1" ht="12.75" x14ac:dyDescent="0.2">
      <c r="A12" s="102"/>
      <c r="B12" s="148" t="e">
        <f>YEAR('Couv.'!A25)</f>
        <v>#REF!</v>
      </c>
      <c r="C12" s="149"/>
      <c r="D12" s="148">
        <v>2022</v>
      </c>
    </row>
    <row r="13" spans="1:4" s="49" customFormat="1" ht="12.75" x14ac:dyDescent="0.2">
      <c r="A13" s="103"/>
      <c r="D13" s="84"/>
    </row>
    <row r="14" spans="1:4" s="49" customFormat="1" ht="12.75" x14ac:dyDescent="0.2">
      <c r="A14" s="104" t="s">
        <v>157</v>
      </c>
      <c r="B14" s="68"/>
      <c r="D14" s="68"/>
    </row>
    <row r="15" spans="1:4" s="49" customFormat="1" ht="12.75" x14ac:dyDescent="0.2">
      <c r="A15" s="103"/>
      <c r="B15" s="170"/>
      <c r="D15" s="170"/>
    </row>
    <row r="16" spans="1:4" s="49" customFormat="1" ht="12.75" x14ac:dyDescent="0.2">
      <c r="A16" s="103" t="s">
        <v>182</v>
      </c>
      <c r="B16" s="64" t="e">
        <f>ROUND(-BV!C7-BV!C9,0)</f>
        <v>#REF!</v>
      </c>
      <c r="D16" s="64">
        <v>0</v>
      </c>
    </row>
    <row r="17" spans="1:4" s="49" customFormat="1" ht="12.75" x14ac:dyDescent="0.2">
      <c r="A17" s="103" t="s">
        <v>204</v>
      </c>
      <c r="B17" s="64" t="e">
        <f>-BV!C8</f>
        <v>#REF!</v>
      </c>
      <c r="D17" s="64">
        <v>0</v>
      </c>
    </row>
    <row r="18" spans="1:4" s="49" customFormat="1" ht="12.75" x14ac:dyDescent="0.2">
      <c r="A18" s="103" t="s">
        <v>187</v>
      </c>
      <c r="B18" s="64" t="e">
        <f>-BV!C12</f>
        <v>#REF!</v>
      </c>
      <c r="D18" s="64">
        <v>0</v>
      </c>
    </row>
    <row r="19" spans="1:4" s="49" customFormat="1" ht="18.75" customHeight="1" x14ac:dyDescent="0.2">
      <c r="A19" s="102" t="s">
        <v>16</v>
      </c>
      <c r="B19" s="85" t="e">
        <f>SUM(B16:B18)</f>
        <v>#REF!</v>
      </c>
      <c r="D19" s="85">
        <v>0</v>
      </c>
    </row>
    <row r="20" spans="1:4" s="49" customFormat="1" ht="12.75" x14ac:dyDescent="0.2">
      <c r="A20" s="102"/>
      <c r="B20" s="68"/>
      <c r="D20" s="68"/>
    </row>
    <row r="21" spans="1:4" s="49" customFormat="1" ht="12.75" x14ac:dyDescent="0.2">
      <c r="A21" s="104" t="s">
        <v>131</v>
      </c>
      <c r="B21" s="62"/>
      <c r="D21" s="62"/>
    </row>
    <row r="22" spans="1:4" s="49" customFormat="1" ht="12.75" x14ac:dyDescent="0.2">
      <c r="A22" s="103"/>
      <c r="B22" s="84"/>
      <c r="D22" s="84"/>
    </row>
    <row r="23" spans="1:4" s="49" customFormat="1" ht="12.75" x14ac:dyDescent="0.2">
      <c r="A23" s="103" t="s">
        <v>205</v>
      </c>
      <c r="B23" s="64" t="e">
        <f>ROUND(BV!C24,0)</f>
        <v>#REF!</v>
      </c>
      <c r="D23" s="64">
        <v>0</v>
      </c>
    </row>
    <row r="24" spans="1:4" s="49" customFormat="1" ht="12.75" x14ac:dyDescent="0.2">
      <c r="A24" s="103" t="s">
        <v>105</v>
      </c>
      <c r="B24" s="64" t="e">
        <f>ROUND(BV!C18,0)</f>
        <v>#REF!</v>
      </c>
      <c r="D24" s="64">
        <v>0</v>
      </c>
    </row>
    <row r="25" spans="1:4" s="49" customFormat="1" ht="12.75" x14ac:dyDescent="0.2">
      <c r="A25" s="103" t="s">
        <v>143</v>
      </c>
      <c r="B25" s="64" t="e">
        <f>ROUND((BV!C21+BV!C29),0)</f>
        <v>#REF!</v>
      </c>
      <c r="D25" s="64">
        <v>0</v>
      </c>
    </row>
    <row r="26" spans="1:4" s="49" customFormat="1" ht="12.75" x14ac:dyDescent="0.2">
      <c r="A26" s="103" t="s">
        <v>64</v>
      </c>
      <c r="B26" s="64" t="e">
        <f>ROUND(BV!C19,0)</f>
        <v>#REF!</v>
      </c>
      <c r="D26" s="64">
        <v>0</v>
      </c>
    </row>
    <row r="27" spans="1:4" s="49" customFormat="1" ht="12.75" x14ac:dyDescent="0.2">
      <c r="A27" s="103" t="s">
        <v>14</v>
      </c>
      <c r="B27" s="64" t="e">
        <f>ROUND(BV!Q28,0)</f>
        <v>#REF!</v>
      </c>
      <c r="D27" s="64">
        <v>0</v>
      </c>
    </row>
    <row r="28" spans="1:4" s="49" customFormat="1" ht="12.75" x14ac:dyDescent="0.2">
      <c r="A28" s="103" t="s">
        <v>148</v>
      </c>
      <c r="B28" s="64" t="e">
        <f>ROUND((BV!C25),0)</f>
        <v>#REF!</v>
      </c>
      <c r="D28" s="64">
        <v>0</v>
      </c>
    </row>
    <row r="29" spans="1:4" s="49" customFormat="1" ht="12.75" x14ac:dyDescent="0.2">
      <c r="A29" s="105" t="s">
        <v>135</v>
      </c>
      <c r="B29" s="64" t="e">
        <f>ROUND(BV!C16+BV!C17,0)</f>
        <v>#REF!</v>
      </c>
      <c r="D29" s="64">
        <v>0</v>
      </c>
    </row>
    <row r="30" spans="1:4" s="49" customFormat="1" ht="12.75" x14ac:dyDescent="0.2">
      <c r="A30" s="103" t="s">
        <v>10</v>
      </c>
      <c r="B30" s="64" t="e">
        <f>ROUND(BV!C22,0)</f>
        <v>#REF!</v>
      </c>
      <c r="D30" s="64">
        <v>0</v>
      </c>
    </row>
    <row r="31" spans="1:4" s="49" customFormat="1" ht="12.75" x14ac:dyDescent="0.2">
      <c r="A31" s="103" t="s">
        <v>9</v>
      </c>
      <c r="B31" s="64" t="e">
        <f>ROUND(BV!C13,0)</f>
        <v>#REF!</v>
      </c>
      <c r="D31" s="64">
        <v>0</v>
      </c>
    </row>
    <row r="32" spans="1:4" s="49" customFormat="1" ht="12.75" x14ac:dyDescent="0.2">
      <c r="A32" s="103" t="s">
        <v>94</v>
      </c>
      <c r="B32" s="64" t="e">
        <f>ROUND(BV!C15,0)</f>
        <v>#REF!</v>
      </c>
      <c r="D32" s="64">
        <v>0</v>
      </c>
    </row>
    <row r="33" spans="1:4" s="49" customFormat="1" ht="12.75" x14ac:dyDescent="0.2">
      <c r="A33" s="103" t="s">
        <v>176</v>
      </c>
      <c r="B33" s="64" t="e">
        <f>ROUND(BV!C20,0)</f>
        <v>#REF!</v>
      </c>
      <c r="D33" s="64">
        <v>0</v>
      </c>
    </row>
    <row r="34" spans="1:4" s="49" customFormat="1" ht="12.75" x14ac:dyDescent="0.2">
      <c r="A34" s="105" t="s">
        <v>63</v>
      </c>
      <c r="B34" s="64" t="e">
        <f>ROUND(BV!C14,0)</f>
        <v>#REF!</v>
      </c>
      <c r="D34" s="64">
        <v>0</v>
      </c>
    </row>
    <row r="35" spans="1:4" s="49" customFormat="1" ht="12.75" x14ac:dyDescent="0.2">
      <c r="A35" s="103" t="s">
        <v>11</v>
      </c>
      <c r="B35" s="64" t="e">
        <f>ROUND(BV!C23,0)</f>
        <v>#REF!</v>
      </c>
      <c r="D35" s="64">
        <v>0</v>
      </c>
    </row>
    <row r="36" spans="1:4" s="49" customFormat="1" ht="12.75" x14ac:dyDescent="0.2">
      <c r="A36" s="103" t="s">
        <v>91</v>
      </c>
      <c r="B36" s="64" t="e">
        <f>ROUND(BV!C26,0)</f>
        <v>#REF!</v>
      </c>
      <c r="D36" s="64">
        <v>0</v>
      </c>
    </row>
    <row r="37" spans="1:4" s="49" customFormat="1" ht="12.75" x14ac:dyDescent="0.2">
      <c r="A37" s="103" t="s">
        <v>92</v>
      </c>
      <c r="B37" s="64" t="e">
        <f>ROUND(BV!C27,0)</f>
        <v>#REF!</v>
      </c>
      <c r="D37" s="64">
        <v>0</v>
      </c>
    </row>
    <row r="38" spans="1:4" s="49" customFormat="1" ht="12.75" x14ac:dyDescent="0.2">
      <c r="A38" s="103"/>
      <c r="B38" s="64"/>
      <c r="D38" s="64"/>
    </row>
    <row r="39" spans="1:4" s="49" customFormat="1" ht="12.75" x14ac:dyDescent="0.2">
      <c r="A39" s="102" t="s">
        <v>81</v>
      </c>
      <c r="B39" s="85" t="e">
        <f>SUM(B23:B37)</f>
        <v>#REF!</v>
      </c>
      <c r="D39" s="85">
        <v>0</v>
      </c>
    </row>
    <row r="40" spans="1:4" s="49" customFormat="1" ht="12.75" x14ac:dyDescent="0.2">
      <c r="A40" s="102"/>
      <c r="B40" s="68"/>
      <c r="D40" s="68"/>
    </row>
    <row r="41" spans="1:4" s="49" customFormat="1" ht="12.75" x14ac:dyDescent="0.2">
      <c r="A41" s="103" t="s">
        <v>15</v>
      </c>
      <c r="B41" s="64" t="e">
        <f>ROUND((-BV!Q10-BV!Q11),0)</f>
        <v>#REF!</v>
      </c>
      <c r="D41" s="64">
        <v>0</v>
      </c>
    </row>
    <row r="42" spans="1:4" s="49" customFormat="1" ht="12.75" x14ac:dyDescent="0.2">
      <c r="A42" s="103"/>
      <c r="B42" s="64"/>
      <c r="D42" s="64"/>
    </row>
    <row r="43" spans="1:4" s="49" customFormat="1" ht="12.75" x14ac:dyDescent="0.2">
      <c r="A43" s="102" t="s">
        <v>123</v>
      </c>
      <c r="B43" s="86" t="e">
        <f>B19-B39+B41</f>
        <v>#REF!</v>
      </c>
      <c r="D43" s="86">
        <v>0</v>
      </c>
    </row>
    <row r="44" spans="1:4" s="49" customFormat="1" ht="12.75" x14ac:dyDescent="0.2">
      <c r="A44" s="102"/>
      <c r="B44" s="68"/>
      <c r="D44" s="68"/>
    </row>
    <row r="45" spans="1:4" s="49" customFormat="1" ht="12.75" x14ac:dyDescent="0.2">
      <c r="A45" s="102" t="s">
        <v>158</v>
      </c>
      <c r="B45" s="64" t="e">
        <f>ROUND(-BV!C30,0)</f>
        <v>#REF!</v>
      </c>
      <c r="C45" s="87"/>
      <c r="D45" s="64">
        <v>0</v>
      </c>
    </row>
    <row r="46" spans="1:4" s="49" customFormat="1" ht="12.75" x14ac:dyDescent="0.2">
      <c r="A46" s="103"/>
      <c r="B46" s="88"/>
      <c r="D46" s="88"/>
    </row>
    <row r="47" spans="1:4" s="49" customFormat="1" ht="12.75" x14ac:dyDescent="0.2">
      <c r="A47" s="102" t="s">
        <v>124</v>
      </c>
      <c r="B47" s="86" t="e">
        <f>B43+B45</f>
        <v>#REF!</v>
      </c>
      <c r="D47" s="86">
        <v>0</v>
      </c>
    </row>
    <row r="48" spans="1:4" s="49" customFormat="1" ht="12.75" x14ac:dyDescent="0.2">
      <c r="A48" s="63"/>
      <c r="B48" s="68"/>
      <c r="D48" s="68"/>
    </row>
    <row r="49" spans="1:4" s="49" customFormat="1" ht="12.75" x14ac:dyDescent="0.2">
      <c r="A49" s="63"/>
      <c r="B49" s="68"/>
      <c r="D49" s="68"/>
    </row>
    <row r="50" spans="1:4" s="49" customFormat="1" ht="12.75" x14ac:dyDescent="0.2">
      <c r="A50" s="63"/>
      <c r="B50" s="68"/>
      <c r="D50" s="68"/>
    </row>
    <row r="51" spans="1:4" s="49" customFormat="1" ht="12.75" x14ac:dyDescent="0.2">
      <c r="A51" s="63"/>
      <c r="B51" s="68"/>
      <c r="D51" s="68"/>
    </row>
    <row r="52" spans="1:4" s="49" customFormat="1" ht="12.75" x14ac:dyDescent="0.2">
      <c r="A52" s="63"/>
      <c r="B52" s="68"/>
      <c r="D52" s="68"/>
    </row>
  </sheetData>
  <pageMargins left="0.15748031496062992" right="0.15748031496062992" top="0.34" bottom="0.34" header="0.15748031496062992" footer="0.15748031496062992"/>
  <pageSetup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28">
    <tabColor rgb="FF8C8375"/>
    <pageSetUpPr fitToPage="1"/>
  </sheetPr>
  <dimension ref="A1:D36"/>
  <sheetViews>
    <sheetView showFormulas="1" topLeftCell="A8" zoomScaleNormal="100" zoomScaleSheetLayoutView="100" workbookViewId="0">
      <selection activeCell="A8" sqref="A8:D26"/>
    </sheetView>
  </sheetViews>
  <sheetFormatPr baseColWidth="10" defaultColWidth="1.5703125" defaultRowHeight="14.25" x14ac:dyDescent="0.2"/>
  <cols>
    <col min="1" max="1" width="22.42578125" style="4" customWidth="1"/>
    <col min="2" max="2" width="14.28515625" style="14" bestFit="1" customWidth="1"/>
    <col min="3" max="3" width="0.5703125" style="14" customWidth="1"/>
    <col min="4" max="4" width="14.28515625" style="4" bestFit="1" customWidth="1"/>
    <col min="5" max="16384" width="1.5703125" style="4"/>
  </cols>
  <sheetData>
    <row r="1" spans="1:4" ht="9.9499999999999993" hidden="1" customHeight="1" x14ac:dyDescent="0.2">
      <c r="B1" s="5"/>
      <c r="C1" s="5"/>
    </row>
    <row r="2" spans="1:4" hidden="1" x14ac:dyDescent="0.2">
      <c r="B2" s="5"/>
      <c r="C2" s="5"/>
    </row>
    <row r="3" spans="1:4" s="73" customFormat="1" ht="15" hidden="1" x14ac:dyDescent="0.2">
      <c r="A3" s="7"/>
      <c r="B3" s="72"/>
      <c r="C3" s="72"/>
      <c r="D3" s="72"/>
    </row>
    <row r="4" spans="1:4" hidden="1" x14ac:dyDescent="0.2">
      <c r="B4" s="83"/>
      <c r="C4" s="83"/>
      <c r="D4" s="8"/>
    </row>
    <row r="5" spans="1:4" hidden="1" x14ac:dyDescent="0.2">
      <c r="B5" s="83"/>
      <c r="C5" s="83"/>
      <c r="D5" s="8"/>
    </row>
    <row r="6" spans="1:4" s="73" customFormat="1" ht="15" hidden="1" x14ac:dyDescent="0.2">
      <c r="A6" s="7"/>
      <c r="B6" s="72"/>
      <c r="C6" s="72"/>
      <c r="D6" s="72"/>
    </row>
    <row r="7" spans="1:4" s="73" customFormat="1" ht="15" hidden="1" x14ac:dyDescent="0.2">
      <c r="A7" s="7"/>
      <c r="B7" s="72"/>
      <c r="C7" s="72"/>
      <c r="D7" s="72"/>
    </row>
    <row r="8" spans="1:4" s="73" customFormat="1" ht="15" x14ac:dyDescent="0.2">
      <c r="A8" s="98" t="str">
        <f>'Couv.'!A8</f>
        <v>GC FISCALITÉ PLUS INC.</v>
      </c>
      <c r="B8" s="72"/>
      <c r="C8" s="72"/>
      <c r="D8" s="72"/>
    </row>
    <row r="9" spans="1:4" s="73" customFormat="1" ht="15" x14ac:dyDescent="0.2">
      <c r="A9" s="98" t="s">
        <v>29</v>
      </c>
      <c r="B9" s="72"/>
      <c r="C9" s="72"/>
      <c r="D9" s="74"/>
    </row>
    <row r="10" spans="1:4" s="59" customFormat="1" ht="15" x14ac:dyDescent="0.2">
      <c r="A10" s="99" t="str">
        <f>ER!A9</f>
        <v>POUR L'EXERCICE FINANCIER SE TERMINANT LE 31 JUILLET</v>
      </c>
    </row>
    <row r="11" spans="1:4" ht="12.75" customHeight="1" thickBot="1" x14ac:dyDescent="0.25">
      <c r="A11" s="92"/>
      <c r="B11" s="11"/>
      <c r="C11" s="11"/>
    </row>
    <row r="12" spans="1:4" ht="9.9499999999999993" customHeight="1" thickBot="1" x14ac:dyDescent="0.25">
      <c r="A12" s="94"/>
      <c r="B12" s="6"/>
      <c r="C12" s="6"/>
      <c r="D12" s="11"/>
    </row>
    <row r="13" spans="1:4" x14ac:dyDescent="0.2">
      <c r="A13" s="90"/>
      <c r="B13" s="83"/>
      <c r="C13" s="83"/>
      <c r="D13" s="6"/>
    </row>
    <row r="14" spans="1:4" x14ac:dyDescent="0.2">
      <c r="A14" s="90"/>
      <c r="B14" s="83"/>
      <c r="C14" s="83"/>
      <c r="D14" s="8"/>
    </row>
    <row r="15" spans="1:4" s="75" customFormat="1" ht="15.75" customHeight="1" x14ac:dyDescent="0.2">
      <c r="A15" s="100"/>
      <c r="B15" s="156" t="e">
        <f>ER!B12</f>
        <v>#REF!</v>
      </c>
      <c r="C15" s="157"/>
      <c r="D15" s="156">
        <v>2022</v>
      </c>
    </row>
    <row r="16" spans="1:4" s="75" customFormat="1" ht="15" customHeight="1" x14ac:dyDescent="0.2">
      <c r="A16" s="100"/>
      <c r="B16" s="64"/>
      <c r="D16" s="64"/>
    </row>
    <row r="17" spans="1:4" s="75" customFormat="1" ht="15" customHeight="1" x14ac:dyDescent="0.2">
      <c r="A17" s="101"/>
      <c r="B17" s="77"/>
      <c r="D17" s="77"/>
    </row>
    <row r="18" spans="1:4" s="75" customFormat="1" ht="15" customHeight="1" x14ac:dyDescent="0.2">
      <c r="A18" s="158" t="s">
        <v>30</v>
      </c>
      <c r="B18" s="77">
        <f>D26</f>
        <v>0</v>
      </c>
      <c r="D18" s="77">
        <v>0</v>
      </c>
    </row>
    <row r="19" spans="1:4" s="75" customFormat="1" ht="15" customHeight="1" x14ac:dyDescent="0.2">
      <c r="A19" s="159"/>
      <c r="B19" s="77"/>
      <c r="D19" s="77"/>
    </row>
    <row r="20" spans="1:4" s="75" customFormat="1" ht="15" customHeight="1" x14ac:dyDescent="0.2">
      <c r="A20" s="160" t="s">
        <v>31</v>
      </c>
      <c r="B20" s="78" t="e">
        <f>ROUND(ER!B47,0)</f>
        <v>#REF!</v>
      </c>
      <c r="D20" s="78">
        <v>0</v>
      </c>
    </row>
    <row r="21" spans="1:4" s="75" customFormat="1" ht="15" customHeight="1" x14ac:dyDescent="0.2">
      <c r="A21" s="160"/>
      <c r="B21" s="79"/>
      <c r="D21" s="79"/>
    </row>
    <row r="22" spans="1:4" s="75" customFormat="1" ht="15" customHeight="1" x14ac:dyDescent="0.2">
      <c r="A22" s="160"/>
      <c r="B22" s="77" t="e">
        <f>SUM(B18:B20)</f>
        <v>#REF!</v>
      </c>
      <c r="D22" s="77">
        <v>0</v>
      </c>
    </row>
    <row r="23" spans="1:4" s="75" customFormat="1" ht="15" customHeight="1" x14ac:dyDescent="0.2">
      <c r="A23" s="160"/>
      <c r="B23" s="79"/>
      <c r="D23" s="79"/>
    </row>
    <row r="24" spans="1:4" s="75" customFormat="1" ht="15" customHeight="1" x14ac:dyDescent="0.2">
      <c r="A24" s="160" t="s">
        <v>33</v>
      </c>
      <c r="B24" s="79" t="e">
        <f>-ROUND(BV!C75,0)</f>
        <v>#REF!</v>
      </c>
      <c r="D24" s="79">
        <v>0</v>
      </c>
    </row>
    <row r="25" spans="1:4" s="75" customFormat="1" ht="15" customHeight="1" x14ac:dyDescent="0.2">
      <c r="A25" s="160"/>
      <c r="B25" s="77"/>
      <c r="D25" s="77"/>
    </row>
    <row r="26" spans="1:4" s="75" customFormat="1" ht="20.100000000000001" customHeight="1" thickBot="1" x14ac:dyDescent="0.25">
      <c r="A26" s="161" t="s">
        <v>32</v>
      </c>
      <c r="B26" s="80" t="e">
        <f>+B22+B24</f>
        <v>#REF!</v>
      </c>
      <c r="D26" s="80">
        <v>0</v>
      </c>
    </row>
    <row r="27" spans="1:4" s="75" customFormat="1" ht="13.5" thickTop="1" x14ac:dyDescent="0.2">
      <c r="A27" s="76"/>
      <c r="B27" s="77"/>
      <c r="C27" s="77"/>
      <c r="D27" s="77"/>
    </row>
    <row r="28" spans="1:4" x14ac:dyDescent="0.2">
      <c r="B28" s="81"/>
      <c r="C28" s="81"/>
      <c r="D28" s="82"/>
    </row>
    <row r="29" spans="1:4" x14ac:dyDescent="0.2">
      <c r="B29" s="83"/>
      <c r="C29" s="83"/>
      <c r="D29" s="8"/>
    </row>
    <row r="30" spans="1:4" x14ac:dyDescent="0.2">
      <c r="B30" s="83"/>
      <c r="C30" s="83"/>
      <c r="D30" s="8"/>
    </row>
    <row r="31" spans="1:4" x14ac:dyDescent="0.2">
      <c r="B31" s="83"/>
      <c r="C31" s="83"/>
      <c r="D31" s="8"/>
    </row>
    <row r="32" spans="1:4" x14ac:dyDescent="0.2">
      <c r="B32" s="83"/>
      <c r="C32" s="83"/>
      <c r="D32" s="8"/>
    </row>
    <row r="33" spans="2:4" x14ac:dyDescent="0.2">
      <c r="B33" s="83"/>
      <c r="C33" s="83"/>
      <c r="D33" s="8"/>
    </row>
    <row r="34" spans="2:4" x14ac:dyDescent="0.2">
      <c r="B34" s="83"/>
      <c r="C34" s="83"/>
      <c r="D34" s="8"/>
    </row>
    <row r="35" spans="2:4" x14ac:dyDescent="0.2">
      <c r="B35" s="83"/>
      <c r="C35" s="83"/>
      <c r="D35" s="8"/>
    </row>
    <row r="36" spans="2:4" x14ac:dyDescent="0.2">
      <c r="B36" s="83"/>
      <c r="C36" s="83"/>
      <c r="D36" s="8"/>
    </row>
  </sheetData>
  <phoneticPr fontId="5" type="noConversion"/>
  <pageMargins left="0.19685039370078741" right="0.19685039370078741" top="0.59055118110236227" bottom="0.59055118110236227" header="0.19685039370078741" footer="0.19685039370078741"/>
  <pageSetup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29">
    <tabColor rgb="FF8C8375"/>
    <pageSetUpPr fitToPage="1"/>
  </sheetPr>
  <dimension ref="A1:E41"/>
  <sheetViews>
    <sheetView showFormulas="1" tabSelected="1" zoomScaleNormal="100" zoomScaleSheetLayoutView="100" workbookViewId="0">
      <selection activeCell="B23" sqref="B23"/>
    </sheetView>
  </sheetViews>
  <sheetFormatPr baseColWidth="10" defaultColWidth="10.7109375" defaultRowHeight="12.75" x14ac:dyDescent="0.2"/>
  <cols>
    <col min="1" max="1" width="25.42578125" style="49" bestFit="1" customWidth="1"/>
    <col min="2" max="2" width="20.7109375" style="49" customWidth="1"/>
    <col min="3" max="3" width="0.5703125" style="49" customWidth="1"/>
    <col min="4" max="4" width="26.85546875" style="49" customWidth="1"/>
    <col min="5" max="5" width="4.42578125" style="49" bestFit="1" customWidth="1"/>
    <col min="6" max="16384" width="10.7109375" style="49"/>
  </cols>
  <sheetData>
    <row r="1" spans="1:5" s="4" customFormat="1" ht="9.9499999999999993" customHeight="1" x14ac:dyDescent="0.2"/>
    <row r="2" spans="1:5" s="4" customFormat="1" ht="14.25" x14ac:dyDescent="0.2"/>
    <row r="3" spans="1:5" s="59" customFormat="1" ht="15" x14ac:dyDescent="0.2">
      <c r="A3" s="58"/>
      <c r="E3" s="17"/>
    </row>
    <row r="4" spans="1:5" s="59" customFormat="1" ht="15" x14ac:dyDescent="0.2">
      <c r="A4" s="58"/>
    </row>
    <row r="5" spans="1:5" s="59" customFormat="1" ht="15" x14ac:dyDescent="0.2">
      <c r="A5" s="58"/>
    </row>
    <row r="6" spans="1:5" s="59" customFormat="1" ht="15" x14ac:dyDescent="0.2">
      <c r="A6" s="99" t="str">
        <f>'Couv.'!A8</f>
        <v>GC FISCALITÉ PLUS INC.</v>
      </c>
    </row>
    <row r="7" spans="1:5" s="59" customFormat="1" ht="15" x14ac:dyDescent="0.2">
      <c r="A7" s="99" t="s">
        <v>52</v>
      </c>
    </row>
    <row r="8" spans="1:5" ht="15" x14ac:dyDescent="0.2">
      <c r="A8" s="99" t="s">
        <v>85</v>
      </c>
      <c r="B8" s="60"/>
      <c r="C8" s="60"/>
      <c r="D8" s="60"/>
      <c r="E8" s="60"/>
    </row>
    <row r="9" spans="1:5" s="4" customFormat="1" ht="13.5" customHeight="1" thickBot="1" x14ac:dyDescent="0.25">
      <c r="A9" s="107"/>
      <c r="B9" s="11"/>
      <c r="C9" s="11"/>
      <c r="D9" s="11"/>
      <c r="E9" s="13">
        <v>4</v>
      </c>
    </row>
    <row r="10" spans="1:5" s="4" customFormat="1" ht="9.9499999999999993" customHeight="1" x14ac:dyDescent="0.2">
      <c r="A10" s="94"/>
      <c r="B10" s="6"/>
      <c r="C10" s="6"/>
      <c r="D10" s="6"/>
      <c r="E10" s="6"/>
    </row>
    <row r="11" spans="1:5" ht="18" customHeight="1" thickBot="1" x14ac:dyDescent="0.25">
      <c r="A11" s="103"/>
      <c r="B11" s="151" t="e">
        <f>ER!B12</f>
        <v>#REF!</v>
      </c>
      <c r="C11" s="151"/>
      <c r="D11" s="152">
        <v>2022</v>
      </c>
      <c r="E11" s="153"/>
    </row>
    <row r="12" spans="1:5" ht="18" customHeight="1" x14ac:dyDescent="0.2">
      <c r="A12" s="102" t="s">
        <v>116</v>
      </c>
      <c r="B12" s="64"/>
      <c r="C12" s="64"/>
      <c r="D12" s="65"/>
    </row>
    <row r="13" spans="1:5" ht="18" customHeight="1" x14ac:dyDescent="0.2">
      <c r="A13" s="103" t="s">
        <v>117</v>
      </c>
      <c r="B13" s="64" t="e">
        <f>ROUND(BV!C34+BV!C57,0)</f>
        <v>#REF!</v>
      </c>
      <c r="C13" s="64"/>
      <c r="D13" s="65">
        <v>0</v>
      </c>
    </row>
    <row r="14" spans="1:5" ht="18" customHeight="1" x14ac:dyDescent="0.2">
      <c r="A14" s="103" t="s">
        <v>70</v>
      </c>
      <c r="B14" s="64" t="e">
        <f>ROUND(BV!C35+BV!C36,0)</f>
        <v>#REF!</v>
      </c>
      <c r="C14" s="64"/>
      <c r="D14" s="65">
        <v>0</v>
      </c>
    </row>
    <row r="15" spans="1:5" ht="18" customHeight="1" x14ac:dyDescent="0.2">
      <c r="A15" s="103" t="s">
        <v>1</v>
      </c>
      <c r="B15" s="64" t="e">
        <f>ROUND(BV!C43,0)</f>
        <v>#REF!</v>
      </c>
      <c r="C15" s="64"/>
      <c r="D15" s="65">
        <v>0</v>
      </c>
    </row>
    <row r="16" spans="1:5" ht="18" customHeight="1" x14ac:dyDescent="0.2">
      <c r="A16" s="103" t="s">
        <v>118</v>
      </c>
      <c r="B16" s="64" t="e">
        <f>ROUND(BV!C44,0)</f>
        <v>#REF!</v>
      </c>
      <c r="C16" s="64"/>
      <c r="D16" s="65">
        <v>0</v>
      </c>
    </row>
    <row r="17" spans="1:4" ht="18" customHeight="1" x14ac:dyDescent="0.2">
      <c r="A17" s="103" t="s">
        <v>145</v>
      </c>
      <c r="B17" s="64" t="e">
        <f>ROUND((SUM(BV!C37:C42)),0)</f>
        <v>#REF!</v>
      </c>
      <c r="C17" s="64"/>
      <c r="D17" s="65">
        <v>0</v>
      </c>
    </row>
    <row r="18" spans="1:4" ht="18" customHeight="1" x14ac:dyDescent="0.2">
      <c r="A18" s="103" t="s">
        <v>146</v>
      </c>
      <c r="B18" s="64" t="e">
        <f>ROUND(SUM(BV!C64:C67),0)</f>
        <v>#REF!</v>
      </c>
      <c r="C18" s="64"/>
      <c r="D18" s="65">
        <v>0</v>
      </c>
    </row>
    <row r="19" spans="1:4" ht="18" hidden="1" customHeight="1" x14ac:dyDescent="0.2">
      <c r="A19" s="103" t="s">
        <v>162</v>
      </c>
      <c r="B19" s="64" t="e">
        <f>ROUND(BV!C62,0)</f>
        <v>#REF!</v>
      </c>
      <c r="C19" s="64"/>
      <c r="D19" s="65">
        <v>0</v>
      </c>
    </row>
    <row r="20" spans="1:4" ht="18" customHeight="1" x14ac:dyDescent="0.2">
      <c r="A20" s="103" t="s">
        <v>147</v>
      </c>
      <c r="B20" s="64" t="e">
        <f>ROUND(BV!C45+BV!C46+BV!C47+BV!C48+BV!C49+BV!C50+BV!C51+BV!C52,0)</f>
        <v>#REF!</v>
      </c>
      <c r="C20" s="64"/>
      <c r="D20" s="65">
        <v>0</v>
      </c>
    </row>
    <row r="21" spans="1:4" ht="18" hidden="1" customHeight="1" x14ac:dyDescent="0.2">
      <c r="A21" s="103" t="s">
        <v>184</v>
      </c>
      <c r="B21" s="64" t="e">
        <f>BV!C53</f>
        <v>#REF!</v>
      </c>
      <c r="C21" s="64"/>
      <c r="D21" s="65">
        <v>0</v>
      </c>
    </row>
    <row r="22" spans="1:4" ht="18" customHeight="1" x14ac:dyDescent="0.2">
      <c r="A22" s="103"/>
      <c r="B22" s="66"/>
      <c r="C22" s="66"/>
      <c r="D22" s="67"/>
    </row>
    <row r="23" spans="1:4" s="69" customFormat="1" ht="18" customHeight="1" x14ac:dyDescent="0.2">
      <c r="A23" s="102" t="s">
        <v>120</v>
      </c>
      <c r="B23" s="68" t="e">
        <f>SUM(B13:B22)</f>
        <v>#REF!</v>
      </c>
      <c r="C23" s="68"/>
      <c r="D23" s="70">
        <v>0</v>
      </c>
    </row>
    <row r="24" spans="1:4" ht="18" customHeight="1" x14ac:dyDescent="0.2">
      <c r="A24" s="103"/>
      <c r="B24" s="64"/>
      <c r="C24" s="64"/>
      <c r="D24" s="65"/>
    </row>
    <row r="25" spans="1:4" ht="18" customHeight="1" x14ac:dyDescent="0.2">
      <c r="A25" s="103"/>
      <c r="B25" s="64"/>
      <c r="C25" s="64"/>
      <c r="D25" s="65"/>
    </row>
    <row r="26" spans="1:4" ht="18" customHeight="1" x14ac:dyDescent="0.2">
      <c r="A26" s="102" t="s">
        <v>119</v>
      </c>
      <c r="B26" s="64"/>
      <c r="C26" s="64"/>
      <c r="D26" s="65"/>
    </row>
    <row r="27" spans="1:4" ht="18" customHeight="1" x14ac:dyDescent="0.2">
      <c r="A27" s="103" t="s">
        <v>138</v>
      </c>
      <c r="B27" s="71" t="e">
        <f>-BV!C60</f>
        <v>#REF!</v>
      </c>
      <c r="C27" s="71"/>
      <c r="D27" s="65">
        <v>0</v>
      </c>
    </row>
    <row r="28" spans="1:4" ht="18" customHeight="1" x14ac:dyDescent="0.2">
      <c r="A28" s="103" t="s">
        <v>115</v>
      </c>
      <c r="B28" s="64" t="e">
        <f>-BV!C68</f>
        <v>#REF!</v>
      </c>
      <c r="C28" s="64"/>
      <c r="D28" s="65">
        <v>0</v>
      </c>
    </row>
    <row r="29" spans="1:4" ht="18" hidden="1" customHeight="1" x14ac:dyDescent="0.2">
      <c r="A29" s="103" t="s">
        <v>167</v>
      </c>
      <c r="B29" s="64" t="e">
        <f>-BV!C59</f>
        <v>#REF!</v>
      </c>
      <c r="C29" s="64"/>
      <c r="D29" s="65">
        <v>0</v>
      </c>
    </row>
    <row r="30" spans="1:4" ht="18" customHeight="1" x14ac:dyDescent="0.2">
      <c r="A30" s="103" t="s">
        <v>152</v>
      </c>
      <c r="B30" s="64" t="e">
        <f>-ROUND(BV!C61,0)</f>
        <v>#REF!</v>
      </c>
      <c r="C30" s="64"/>
      <c r="D30" s="65">
        <v>0</v>
      </c>
    </row>
    <row r="31" spans="1:4" ht="18" customHeight="1" x14ac:dyDescent="0.2">
      <c r="A31" s="103" t="s">
        <v>203</v>
      </c>
      <c r="B31" s="64" t="e">
        <f>-BV!C63</f>
        <v>#REF!</v>
      </c>
      <c r="C31" s="64"/>
      <c r="D31" s="65">
        <v>0</v>
      </c>
    </row>
    <row r="32" spans="1:4" ht="18" customHeight="1" x14ac:dyDescent="0.2">
      <c r="A32" s="103" t="s">
        <v>154</v>
      </c>
      <c r="B32" s="64" t="e">
        <f>-BV!C58</f>
        <v>#REF!</v>
      </c>
      <c r="C32" s="64"/>
      <c r="D32" s="65">
        <v>0</v>
      </c>
    </row>
    <row r="33" spans="1:4" ht="18" customHeight="1" x14ac:dyDescent="0.2">
      <c r="A33" s="103"/>
      <c r="B33" s="66"/>
      <c r="C33" s="66"/>
      <c r="D33" s="67"/>
    </row>
    <row r="34" spans="1:4" s="69" customFormat="1" ht="18" customHeight="1" x14ac:dyDescent="0.2">
      <c r="A34" s="102" t="s">
        <v>121</v>
      </c>
      <c r="B34" s="68" t="e">
        <f>SUM(B27:B33)</f>
        <v>#REF!</v>
      </c>
      <c r="C34" s="68"/>
      <c r="D34" s="70">
        <v>0</v>
      </c>
    </row>
    <row r="35" spans="1:4" ht="18" customHeight="1" x14ac:dyDescent="0.2">
      <c r="A35" s="103"/>
      <c r="B35" s="64"/>
      <c r="C35" s="64"/>
      <c r="D35" s="65"/>
    </row>
    <row r="36" spans="1:4" ht="18" customHeight="1" x14ac:dyDescent="0.2">
      <c r="A36" s="102" t="s">
        <v>122</v>
      </c>
      <c r="B36" s="64"/>
      <c r="C36" s="64"/>
      <c r="D36" s="65"/>
    </row>
    <row r="37" spans="1:4" ht="18" customHeight="1" x14ac:dyDescent="0.2">
      <c r="A37" s="103" t="s">
        <v>34</v>
      </c>
      <c r="B37" s="64" t="e">
        <f>ROUND(-(BV!C72+BV!C73),0)</f>
        <v>#REF!</v>
      </c>
      <c r="C37" s="64"/>
      <c r="D37" s="65">
        <v>0</v>
      </c>
    </row>
    <row r="38" spans="1:4" ht="18" customHeight="1" x14ac:dyDescent="0.2">
      <c r="A38" s="103" t="s">
        <v>35</v>
      </c>
      <c r="B38" s="66" t="e">
        <f>BNR!B26</f>
        <v>#REF!</v>
      </c>
      <c r="C38" s="66"/>
      <c r="D38" s="67">
        <v>0</v>
      </c>
    </row>
    <row r="39" spans="1:4" ht="18" customHeight="1" x14ac:dyDescent="0.2">
      <c r="A39" s="61"/>
      <c r="B39" s="68" t="e">
        <f>SUM(B37:B38)</f>
        <v>#REF!</v>
      </c>
      <c r="C39" s="68"/>
      <c r="D39" s="70">
        <v>0</v>
      </c>
    </row>
    <row r="40" spans="1:4" ht="18" customHeight="1" x14ac:dyDescent="0.2">
      <c r="B40" s="64"/>
      <c r="C40" s="64"/>
      <c r="D40" s="65"/>
    </row>
    <row r="41" spans="1:4" s="69" customFormat="1" ht="18" customHeight="1" x14ac:dyDescent="0.2">
      <c r="B41" s="68" t="e">
        <f>B39+B34</f>
        <v>#REF!</v>
      </c>
      <c r="C41" s="68"/>
      <c r="D41" s="70">
        <v>0</v>
      </c>
    </row>
  </sheetData>
  <phoneticPr fontId="3" type="noConversion"/>
  <pageMargins left="0" right="0" top="0" bottom="0" header="0" footer="0"/>
  <pageSetup scale="83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31">
    <tabColor rgb="FF8C8375"/>
    <pageSetUpPr fitToPage="1"/>
  </sheetPr>
  <dimension ref="A1:F41"/>
  <sheetViews>
    <sheetView view="pageBreakPreview" topLeftCell="A16" zoomScaleNormal="100" zoomScaleSheetLayoutView="100" workbookViewId="0">
      <selection activeCell="D29" sqref="D29"/>
    </sheetView>
  </sheetViews>
  <sheetFormatPr baseColWidth="10" defaultColWidth="10.7109375" defaultRowHeight="14.25" x14ac:dyDescent="0.2"/>
  <cols>
    <col min="1" max="1" width="9.28515625" style="17" customWidth="1"/>
    <col min="2" max="2" width="39.42578125" style="17" bestFit="1" customWidth="1"/>
    <col min="3" max="3" width="14.85546875" style="17" bestFit="1" customWidth="1"/>
    <col min="4" max="4" width="16" style="17" bestFit="1" customWidth="1"/>
    <col min="5" max="5" width="13.28515625" style="25" bestFit="1" customWidth="1"/>
    <col min="6" max="6" width="4.42578125" style="17" bestFit="1" customWidth="1"/>
    <col min="7" max="16384" width="10.7109375" style="17"/>
  </cols>
  <sheetData>
    <row r="1" spans="1:6" ht="9.9499999999999993" customHeight="1" x14ac:dyDescent="0.2">
      <c r="A1" s="4"/>
      <c r="B1" s="4"/>
      <c r="C1" s="4"/>
      <c r="D1" s="4"/>
      <c r="E1" s="14"/>
      <c r="F1" s="5"/>
    </row>
    <row r="2" spans="1:6" x14ac:dyDescent="0.2">
      <c r="A2" s="4"/>
      <c r="B2" s="4"/>
      <c r="C2" s="4"/>
      <c r="D2" s="4"/>
      <c r="E2" s="14"/>
      <c r="F2" s="5"/>
    </row>
    <row r="3" spans="1:6" x14ac:dyDescent="0.2">
      <c r="A3" s="4"/>
      <c r="B3" s="4"/>
      <c r="C3" s="4"/>
      <c r="D3" s="4"/>
      <c r="E3" s="14"/>
    </row>
    <row r="6" spans="1:6" ht="18" x14ac:dyDescent="0.25">
      <c r="A6" s="18"/>
    </row>
    <row r="7" spans="1:6" ht="18" x14ac:dyDescent="0.25">
      <c r="A7" s="18"/>
    </row>
    <row r="8" spans="1:6" ht="15" x14ac:dyDescent="0.2">
      <c r="A8" s="97" t="str">
        <f>'Couv.'!A8</f>
        <v>GC FISCALITÉ PLUS INC.</v>
      </c>
    </row>
    <row r="9" spans="1:6" ht="15" x14ac:dyDescent="0.2">
      <c r="A9" s="97" t="s">
        <v>88</v>
      </c>
    </row>
    <row r="10" spans="1:6" ht="15" x14ac:dyDescent="0.2">
      <c r="A10" s="97" t="s">
        <v>86</v>
      </c>
    </row>
    <row r="11" spans="1:6" ht="16.5" customHeight="1" thickBot="1" x14ac:dyDescent="0.25">
      <c r="A11" s="106"/>
      <c r="B11" s="51"/>
      <c r="C11" s="12"/>
      <c r="D11" s="12"/>
      <c r="E11" s="52"/>
      <c r="F11" s="13">
        <v>5</v>
      </c>
    </row>
    <row r="12" spans="1:6" s="4" customFormat="1" x14ac:dyDescent="0.2">
      <c r="A12" s="89"/>
      <c r="B12" s="8"/>
      <c r="C12" s="6"/>
      <c r="D12" s="6"/>
      <c r="E12" s="14"/>
      <c r="F12" s="20"/>
    </row>
    <row r="13" spans="1:6" x14ac:dyDescent="0.2">
      <c r="A13" s="53"/>
    </row>
    <row r="14" spans="1:6" x14ac:dyDescent="0.2">
      <c r="A14" s="89">
        <v>1</v>
      </c>
      <c r="B14" s="21" t="s">
        <v>67</v>
      </c>
    </row>
    <row r="15" spans="1:6" ht="39.75" customHeight="1" x14ac:dyDescent="0.2">
      <c r="A15" s="53"/>
      <c r="B15" s="229" t="s">
        <v>87</v>
      </c>
      <c r="C15" s="229"/>
      <c r="D15" s="229"/>
      <c r="E15" s="229"/>
    </row>
    <row r="16" spans="1:6" x14ac:dyDescent="0.2">
      <c r="A16" s="53"/>
      <c r="B16" s="31"/>
      <c r="D16" s="25"/>
    </row>
    <row r="17" spans="1:5" x14ac:dyDescent="0.2">
      <c r="A17" s="53"/>
      <c r="B17" s="31"/>
      <c r="D17" s="25"/>
    </row>
    <row r="18" spans="1:5" x14ac:dyDescent="0.2">
      <c r="A18" s="89">
        <v>2</v>
      </c>
      <c r="B18" s="21" t="s">
        <v>75</v>
      </c>
    </row>
    <row r="19" spans="1:5" x14ac:dyDescent="0.2">
      <c r="A19" s="53"/>
      <c r="B19" s="229" t="s">
        <v>71</v>
      </c>
      <c r="C19" s="229"/>
      <c r="D19" s="230"/>
      <c r="E19" s="230"/>
    </row>
    <row r="20" spans="1:5" x14ac:dyDescent="0.2">
      <c r="A20" s="53"/>
      <c r="B20" s="53" t="s">
        <v>73</v>
      </c>
      <c r="D20" s="54">
        <v>0</v>
      </c>
    </row>
    <row r="21" spans="1:5" x14ac:dyDescent="0.2">
      <c r="A21" s="53"/>
      <c r="B21" s="53" t="s">
        <v>72</v>
      </c>
      <c r="D21" s="54">
        <v>0</v>
      </c>
    </row>
    <row r="22" spans="1:5" x14ac:dyDescent="0.2">
      <c r="A22" s="53"/>
      <c r="B22" s="53" t="s">
        <v>159</v>
      </c>
      <c r="D22" s="54">
        <v>0</v>
      </c>
    </row>
    <row r="23" spans="1:5" ht="15" thickBot="1" x14ac:dyDescent="0.25">
      <c r="A23" s="53"/>
      <c r="B23" s="33" t="s">
        <v>74</v>
      </c>
      <c r="C23" s="21"/>
      <c r="D23" s="164">
        <f>SUM(D20:D22)</f>
        <v>0</v>
      </c>
    </row>
    <row r="24" spans="1:5" ht="15" thickTop="1" x14ac:dyDescent="0.2">
      <c r="A24" s="53"/>
      <c r="B24" s="33"/>
      <c r="C24" s="21"/>
      <c r="D24" s="34"/>
    </row>
    <row r="25" spans="1:5" x14ac:dyDescent="0.2">
      <c r="A25" s="53"/>
    </row>
    <row r="26" spans="1:5" x14ac:dyDescent="0.2">
      <c r="A26" s="89">
        <v>3</v>
      </c>
      <c r="B26" s="21" t="s">
        <v>45</v>
      </c>
    </row>
    <row r="27" spans="1:5" x14ac:dyDescent="0.2">
      <c r="A27" s="53"/>
      <c r="B27" s="229" t="s">
        <v>76</v>
      </c>
      <c r="C27" s="229"/>
      <c r="D27" s="230"/>
      <c r="E27" s="230"/>
    </row>
    <row r="28" spans="1:5" ht="28.5" x14ac:dyDescent="0.2">
      <c r="A28" s="53"/>
      <c r="B28" s="30"/>
      <c r="C28" s="55" t="s">
        <v>77</v>
      </c>
      <c r="D28" s="55" t="s">
        <v>78</v>
      </c>
      <c r="E28" s="55" t="s">
        <v>79</v>
      </c>
    </row>
    <row r="29" spans="1:5" x14ac:dyDescent="0.2">
      <c r="A29" s="53"/>
      <c r="B29" s="31" t="s">
        <v>96</v>
      </c>
      <c r="C29" s="47" t="e">
        <f>ROUND(BV!C45,0)</f>
        <v>#REF!</v>
      </c>
      <c r="D29" s="23" t="e">
        <f>ROUND(BV!C46,0)</f>
        <v>#REF!</v>
      </c>
      <c r="E29" s="47" t="e">
        <f>C29+D29</f>
        <v>#REF!</v>
      </c>
    </row>
    <row r="30" spans="1:5" x14ac:dyDescent="0.2">
      <c r="A30" s="53"/>
      <c r="B30" s="31" t="s">
        <v>97</v>
      </c>
      <c r="C30" s="47" t="e">
        <f>ROUND(BV!C47,0)</f>
        <v>#REF!</v>
      </c>
      <c r="D30" s="23" t="e">
        <f>ROUND(BV!C48,0)</f>
        <v>#REF!</v>
      </c>
      <c r="E30" s="47" t="e">
        <f>C30+D30</f>
        <v>#REF!</v>
      </c>
    </row>
    <row r="31" spans="1:5" x14ac:dyDescent="0.2">
      <c r="A31" s="53"/>
      <c r="B31" s="31" t="s">
        <v>49</v>
      </c>
      <c r="C31" s="47" t="e">
        <f>ROUND(BV!C49,0)</f>
        <v>#REF!</v>
      </c>
      <c r="D31" s="23" t="e">
        <f>ROUND(BV!C50,0)</f>
        <v>#REF!</v>
      </c>
      <c r="E31" s="47" t="e">
        <f>C31+D31</f>
        <v>#REF!</v>
      </c>
    </row>
    <row r="32" spans="1:5" x14ac:dyDescent="0.2">
      <c r="A32" s="53"/>
      <c r="B32" s="31" t="s">
        <v>61</v>
      </c>
      <c r="C32" s="56" t="e">
        <f>ROUND(BV!C51,0)</f>
        <v>#REF!</v>
      </c>
      <c r="D32" s="32" t="e">
        <f>ROUND(BV!C52,0)</f>
        <v>#REF!</v>
      </c>
      <c r="E32" s="56" t="e">
        <f>C32+D32</f>
        <v>#REF!</v>
      </c>
    </row>
    <row r="33" spans="1:6" x14ac:dyDescent="0.2">
      <c r="A33" s="53"/>
      <c r="B33" s="31"/>
      <c r="D33" s="23"/>
      <c r="E33" s="17"/>
    </row>
    <row r="34" spans="1:6" x14ac:dyDescent="0.2">
      <c r="A34" s="53"/>
      <c r="B34" s="33" t="s">
        <v>74</v>
      </c>
      <c r="C34" s="57" t="e">
        <f>SUM(C29:C33)</f>
        <v>#REF!</v>
      </c>
      <c r="D34" s="29" t="e">
        <f>SUM(D29:D33)</f>
        <v>#REF!</v>
      </c>
      <c r="E34" s="57" t="e">
        <f>SUM(E29:E33)</f>
        <v>#REF!</v>
      </c>
    </row>
    <row r="35" spans="1:6" x14ac:dyDescent="0.2">
      <c r="B35" s="36"/>
      <c r="D35" s="27"/>
      <c r="E35" s="27"/>
    </row>
    <row r="36" spans="1:6" x14ac:dyDescent="0.2">
      <c r="B36" s="35"/>
      <c r="E36" s="23"/>
    </row>
    <row r="37" spans="1:6" x14ac:dyDescent="0.2">
      <c r="B37" s="35"/>
      <c r="E37" s="23"/>
    </row>
    <row r="38" spans="1:6" x14ac:dyDescent="0.2">
      <c r="B38" s="35"/>
      <c r="E38" s="23"/>
    </row>
    <row r="39" spans="1:6" x14ac:dyDescent="0.2">
      <c r="B39" s="37"/>
      <c r="E39" s="23"/>
    </row>
    <row r="40" spans="1:6" x14ac:dyDescent="0.2">
      <c r="B40" s="35"/>
      <c r="E40" s="23"/>
      <c r="F40" s="38"/>
    </row>
    <row r="41" spans="1:6" x14ac:dyDescent="0.2">
      <c r="B41" s="39"/>
    </row>
  </sheetData>
  <mergeCells count="3">
    <mergeCell ref="B15:E15"/>
    <mergeCell ref="B19:E19"/>
    <mergeCell ref="B27:E27"/>
  </mergeCells>
  <phoneticPr fontId="3" type="noConversion"/>
  <pageMargins left="0" right="0" top="0" bottom="0" header="0" footer="0"/>
  <pageSetup paperSize="11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2">
    <tabColor rgb="FF8C8375"/>
    <pageSetUpPr fitToPage="1"/>
  </sheetPr>
  <dimension ref="A1:K38"/>
  <sheetViews>
    <sheetView view="pageBreakPreview" zoomScaleNormal="100" zoomScaleSheetLayoutView="100" workbookViewId="0">
      <selection activeCell="I22" sqref="I22"/>
    </sheetView>
  </sheetViews>
  <sheetFormatPr baseColWidth="10" defaultColWidth="10.7109375" defaultRowHeight="12.75" x14ac:dyDescent="0.2"/>
  <cols>
    <col min="1" max="1" width="12.5703125" style="50" customWidth="1"/>
    <col min="2" max="2" width="37" style="50" bestFit="1" customWidth="1"/>
    <col min="3" max="3" width="1.5703125" style="50" customWidth="1"/>
    <col min="4" max="4" width="1.28515625" style="50"/>
    <col min="5" max="5" width="11" style="50" bestFit="1" customWidth="1"/>
    <col min="6" max="6" width="11.42578125" style="50" bestFit="1" customWidth="1"/>
    <col min="7" max="7" width="11.85546875" style="50" bestFit="1" customWidth="1"/>
    <col min="8" max="8" width="13.28515625" style="50" bestFit="1" customWidth="1"/>
    <col min="9" max="9" width="15.7109375" style="50" bestFit="1" customWidth="1"/>
    <col min="10" max="10" width="12.42578125" style="50" bestFit="1" customWidth="1"/>
    <col min="11" max="11" width="2" style="50" bestFit="1" customWidth="1"/>
    <col min="12" max="16384" width="10.7109375" style="50"/>
  </cols>
  <sheetData>
    <row r="1" spans="1:10" s="17" customFormat="1" ht="9.9499999999999993" customHeight="1" x14ac:dyDescent="0.2">
      <c r="A1" s="4"/>
      <c r="B1" s="4"/>
      <c r="C1" s="4"/>
      <c r="D1" s="4"/>
      <c r="E1" s="4"/>
      <c r="F1" s="4"/>
      <c r="G1" s="4"/>
      <c r="H1" s="4"/>
      <c r="I1" s="5"/>
      <c r="J1" s="4"/>
    </row>
    <row r="2" spans="1:10" s="17" customFormat="1" ht="14.25" x14ac:dyDescent="0.2">
      <c r="A2" s="4"/>
      <c r="B2" s="4"/>
      <c r="C2" s="4"/>
      <c r="D2" s="4"/>
      <c r="E2" s="4"/>
      <c r="F2" s="4"/>
      <c r="G2" s="4"/>
      <c r="H2" s="4"/>
      <c r="I2" s="5"/>
      <c r="J2" s="4"/>
    </row>
    <row r="3" spans="1:10" s="17" customFormat="1" ht="14.25" x14ac:dyDescent="0.2"/>
    <row r="4" spans="1:10" x14ac:dyDescent="0.2">
      <c r="A4" s="49"/>
      <c r="B4" s="49"/>
      <c r="C4" s="49"/>
      <c r="D4" s="49"/>
      <c r="E4" s="49"/>
      <c r="F4" s="49"/>
      <c r="G4" s="49"/>
      <c r="H4" s="49"/>
    </row>
    <row r="5" spans="1:10" s="17" customFormat="1" ht="14.25" x14ac:dyDescent="0.2">
      <c r="A5" s="22"/>
    </row>
    <row r="6" spans="1:10" s="17" customFormat="1" ht="18" x14ac:dyDescent="0.25">
      <c r="A6" s="18"/>
    </row>
    <row r="7" spans="1:10" s="17" customFormat="1" ht="18" x14ac:dyDescent="0.25">
      <c r="A7" s="18"/>
    </row>
    <row r="8" spans="1:10" s="17" customFormat="1" ht="15" x14ac:dyDescent="0.2">
      <c r="A8" s="99" t="str">
        <f>A!A8</f>
        <v>GC FISCALITÉ PLUS INC.</v>
      </c>
    </row>
    <row r="9" spans="1:10" s="17" customFormat="1" ht="15" x14ac:dyDescent="0.2">
      <c r="A9" s="99" t="str">
        <f>A!A9</f>
        <v>NOTES AUX ÉTATS FINANCIERS</v>
      </c>
    </row>
    <row r="10" spans="1:10" s="17" customFormat="1" ht="15" x14ac:dyDescent="0.2">
      <c r="A10" s="99" t="str">
        <f>A!A10</f>
        <v>POUR L'EXERCICE FINANCIER SE TERMINANT LE 31 JUILLET</v>
      </c>
    </row>
    <row r="11" spans="1:10" s="4" customFormat="1" ht="14.25" customHeight="1" thickBot="1" x14ac:dyDescent="0.25">
      <c r="A11" s="107"/>
      <c r="B11" s="12"/>
      <c r="C11" s="11"/>
      <c r="D11" s="11"/>
      <c r="E11" s="11"/>
      <c r="F11" s="11"/>
      <c r="G11" s="11"/>
      <c r="H11" s="40">
        <v>6</v>
      </c>
    </row>
    <row r="12" spans="1:10" s="4" customFormat="1" ht="9.9499999999999993" customHeight="1" x14ac:dyDescent="0.2">
      <c r="A12" s="94"/>
      <c r="B12" s="8"/>
      <c r="C12" s="6"/>
      <c r="D12" s="6"/>
      <c r="E12" s="6"/>
      <c r="F12" s="6"/>
      <c r="G12" s="6"/>
      <c r="H12" s="20"/>
    </row>
    <row r="13" spans="1:10" s="4" customFormat="1" ht="9.9499999999999993" customHeight="1" x14ac:dyDescent="0.2">
      <c r="A13" s="94"/>
      <c r="B13" s="8"/>
      <c r="C13" s="6"/>
      <c r="D13" s="6"/>
      <c r="E13" s="6"/>
      <c r="F13" s="6"/>
      <c r="G13" s="6"/>
      <c r="H13" s="20"/>
    </row>
    <row r="14" spans="1:10" s="17" customFormat="1" ht="14.25" x14ac:dyDescent="0.2">
      <c r="A14" s="42"/>
      <c r="B14" s="41"/>
      <c r="D14" s="25"/>
      <c r="F14" s="25"/>
      <c r="G14" s="25"/>
    </row>
    <row r="15" spans="1:10" s="17" customFormat="1" ht="14.25" x14ac:dyDescent="0.2">
      <c r="A15" s="109" t="s">
        <v>43</v>
      </c>
      <c r="B15" s="21" t="s">
        <v>44</v>
      </c>
    </row>
    <row r="16" spans="1:10" s="17" customFormat="1" ht="32.25" customHeight="1" x14ac:dyDescent="0.2">
      <c r="A16" s="109"/>
      <c r="B16" s="232" t="s">
        <v>83</v>
      </c>
      <c r="C16" s="232"/>
      <c r="D16" s="232"/>
      <c r="E16" s="232"/>
      <c r="F16" s="232"/>
      <c r="G16" s="232"/>
    </row>
    <row r="17" spans="1:11" s="17" customFormat="1" ht="14.25" x14ac:dyDescent="0.2">
      <c r="A17" s="109"/>
    </row>
    <row r="18" spans="1:11" s="17" customFormat="1" ht="14.25" x14ac:dyDescent="0.2">
      <c r="A18" s="42"/>
      <c r="B18" s="31"/>
      <c r="C18" s="42"/>
      <c r="D18" s="42"/>
      <c r="E18" s="42"/>
      <c r="F18" s="43"/>
      <c r="I18" s="17" t="s">
        <v>38</v>
      </c>
      <c r="J18" s="17" t="s">
        <v>39</v>
      </c>
    </row>
    <row r="19" spans="1:11" s="17" customFormat="1" ht="14.25" x14ac:dyDescent="0.2">
      <c r="A19" s="42"/>
      <c r="B19" s="31"/>
      <c r="C19" s="42"/>
      <c r="D19" s="42"/>
      <c r="E19" s="42"/>
      <c r="F19" s="43"/>
      <c r="J19" s="47"/>
    </row>
    <row r="20" spans="1:11" s="17" customFormat="1" ht="14.25" x14ac:dyDescent="0.2">
      <c r="A20" s="42"/>
      <c r="B20" s="231" t="s">
        <v>48</v>
      </c>
      <c r="C20" s="231"/>
      <c r="D20" s="231"/>
      <c r="E20" s="44" t="s">
        <v>50</v>
      </c>
      <c r="F20" s="45">
        <v>0.55000000000000004</v>
      </c>
      <c r="G20" s="36" t="s">
        <v>82</v>
      </c>
      <c r="H20" s="46" t="e">
        <f>ROUND((F20*I20)+J20,0)</f>
        <v>#REF!</v>
      </c>
      <c r="I20" s="150">
        <v>0</v>
      </c>
      <c r="J20" s="47" t="e">
        <f>A!C30-#REF!</f>
        <v>#REF!</v>
      </c>
      <c r="K20" s="25"/>
    </row>
    <row r="21" spans="1:11" s="17" customFormat="1" ht="57" x14ac:dyDescent="0.2">
      <c r="A21" s="42"/>
      <c r="B21" s="231" t="s">
        <v>47</v>
      </c>
      <c r="C21" s="231"/>
      <c r="D21" s="231"/>
      <c r="E21" s="44" t="s">
        <v>50</v>
      </c>
      <c r="F21" s="45">
        <v>0.2</v>
      </c>
      <c r="G21" s="36" t="s">
        <v>112</v>
      </c>
      <c r="H21" s="46" t="e">
        <f>ROUND((F21*I21)+J21,0)</f>
        <v>#REF!</v>
      </c>
      <c r="I21" s="150">
        <v>0</v>
      </c>
      <c r="J21" s="47" t="e">
        <f>A!C29-ROUND(#REF!,0)</f>
        <v>#REF!</v>
      </c>
      <c r="K21" s="25"/>
    </row>
    <row r="22" spans="1:11" s="17" customFormat="1" ht="14.25" x14ac:dyDescent="0.2">
      <c r="A22" s="42"/>
      <c r="B22" s="231" t="s">
        <v>49</v>
      </c>
      <c r="C22" s="231"/>
      <c r="D22" s="231"/>
      <c r="E22" s="44" t="s">
        <v>50</v>
      </c>
      <c r="F22" s="45">
        <v>1</v>
      </c>
      <c r="G22" s="36" t="s">
        <v>82</v>
      </c>
      <c r="H22" s="46" t="e">
        <f>I22*F22+(J22*0.5)*F22*2</f>
        <v>#REF!</v>
      </c>
      <c r="I22" s="150">
        <v>0</v>
      </c>
      <c r="J22" s="47" t="e">
        <f>A!C31-#REF!</f>
        <v>#REF!</v>
      </c>
      <c r="K22" s="25"/>
    </row>
    <row r="23" spans="1:11" s="17" customFormat="1" ht="14.25" x14ac:dyDescent="0.2">
      <c r="A23" s="42"/>
      <c r="E23" s="25"/>
      <c r="F23" s="27"/>
      <c r="G23" s="25"/>
      <c r="H23" s="23"/>
    </row>
    <row r="24" spans="1:11" s="17" customFormat="1" ht="15" thickBot="1" x14ac:dyDescent="0.25">
      <c r="A24" s="42"/>
      <c r="B24" s="21" t="s">
        <v>46</v>
      </c>
      <c r="H24" s="28" t="e">
        <f>SUM(H20:H23)</f>
        <v>#REF!</v>
      </c>
    </row>
    <row r="25" spans="1:11" s="17" customFormat="1" ht="15" thickTop="1" x14ac:dyDescent="0.2">
      <c r="A25" s="22"/>
      <c r="D25" s="48"/>
    </row>
    <row r="26" spans="1:11" x14ac:dyDescent="0.2">
      <c r="A26" s="49"/>
      <c r="B26" s="49"/>
      <c r="C26" s="49"/>
      <c r="D26" s="49"/>
      <c r="E26" s="49"/>
      <c r="F26" s="49"/>
      <c r="G26" s="49"/>
      <c r="H26" s="49"/>
    </row>
    <row r="27" spans="1:11" x14ac:dyDescent="0.2">
      <c r="A27" s="49"/>
      <c r="B27" s="49"/>
      <c r="C27" s="49"/>
      <c r="D27" s="49"/>
      <c r="E27" s="49"/>
      <c r="F27" s="49"/>
      <c r="G27" s="49"/>
      <c r="H27" s="49"/>
    </row>
    <row r="28" spans="1:11" x14ac:dyDescent="0.2">
      <c r="A28" s="49"/>
      <c r="B28" s="49"/>
      <c r="C28" s="49"/>
      <c r="D28" s="49"/>
      <c r="E28" s="49"/>
      <c r="F28" s="49"/>
      <c r="G28" s="49"/>
      <c r="H28" s="49"/>
    </row>
    <row r="29" spans="1:11" x14ac:dyDescent="0.2">
      <c r="A29" s="49"/>
      <c r="B29" s="49"/>
      <c r="C29" s="49"/>
      <c r="D29" s="49"/>
      <c r="E29" s="49"/>
      <c r="F29" s="49"/>
      <c r="G29" s="49"/>
      <c r="H29" s="49"/>
    </row>
    <row r="30" spans="1:11" x14ac:dyDescent="0.2">
      <c r="A30" s="49"/>
      <c r="B30" s="49"/>
      <c r="C30" s="49"/>
      <c r="D30" s="49"/>
      <c r="E30" s="49"/>
      <c r="F30" s="49"/>
      <c r="G30" s="49"/>
      <c r="H30" s="49"/>
    </row>
    <row r="31" spans="1:11" s="162" customFormat="1" x14ac:dyDescent="0.2"/>
    <row r="32" spans="1:11" s="162" customFormat="1" x14ac:dyDescent="0.2"/>
    <row r="33" s="162" customFormat="1" x14ac:dyDescent="0.2"/>
    <row r="34" s="163" customFormat="1" ht="14.25" x14ac:dyDescent="0.2"/>
    <row r="35" s="163" customFormat="1" ht="14.25" x14ac:dyDescent="0.2"/>
    <row r="36" s="163" customFormat="1" ht="14.25" x14ac:dyDescent="0.2"/>
    <row r="37" s="163" customFormat="1" ht="14.25" x14ac:dyDescent="0.2"/>
    <row r="38" s="162" customFormat="1" x14ac:dyDescent="0.2"/>
  </sheetData>
  <mergeCells count="4">
    <mergeCell ref="B22:D22"/>
    <mergeCell ref="B16:G16"/>
    <mergeCell ref="B21:D21"/>
    <mergeCell ref="B20:D20"/>
  </mergeCells>
  <phoneticPr fontId="3" type="noConversion"/>
  <pageMargins left="0" right="0" top="0" bottom="0" header="0" footer="0"/>
  <pageSetup paperSize="11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euil33">
    <tabColor rgb="FF8C8375"/>
    <pageSetUpPr fitToPage="1"/>
  </sheetPr>
  <dimension ref="A1:O54"/>
  <sheetViews>
    <sheetView zoomScaleNormal="100" zoomScaleSheetLayoutView="100" workbookViewId="0">
      <selection activeCell="F46" sqref="F46"/>
    </sheetView>
  </sheetViews>
  <sheetFormatPr baseColWidth="10" defaultColWidth="10.7109375" defaultRowHeight="14.25" x14ac:dyDescent="0.2"/>
  <cols>
    <col min="1" max="1" width="8" style="17" customWidth="1"/>
    <col min="2" max="2" width="51.7109375" style="17" bestFit="1" customWidth="1"/>
    <col min="3" max="3" width="2.42578125" style="17" customWidth="1"/>
    <col min="4" max="4" width="15.85546875" style="17" bestFit="1" customWidth="1"/>
    <col min="5" max="5" width="17.5703125" style="17" bestFit="1" customWidth="1"/>
    <col min="6" max="6" width="18.140625" style="17" bestFit="1" customWidth="1"/>
    <col min="7" max="7" width="2.7109375" style="17" bestFit="1" customWidth="1"/>
    <col min="8" max="9" width="1.7109375" style="17" bestFit="1" customWidth="1"/>
    <col min="10" max="10" width="1.28515625" style="17"/>
    <col min="11" max="11" width="1.85546875" style="17" bestFit="1" customWidth="1"/>
    <col min="12" max="12" width="16.140625" style="17" bestFit="1" customWidth="1"/>
    <col min="13" max="13" width="16.85546875" style="17" bestFit="1" customWidth="1"/>
    <col min="14" max="14" width="14.85546875" style="17" bestFit="1" customWidth="1"/>
    <col min="15" max="15" width="13.7109375" style="17" bestFit="1" customWidth="1"/>
    <col min="16" max="16384" width="10.7109375" style="17"/>
  </cols>
  <sheetData>
    <row r="1" spans="1:10" x14ac:dyDescent="0.2">
      <c r="A1" s="4"/>
      <c r="B1" s="4"/>
      <c r="C1" s="4"/>
      <c r="D1" s="4"/>
      <c r="E1" s="4"/>
      <c r="F1" s="4"/>
      <c r="G1" s="5"/>
      <c r="H1" s="4"/>
      <c r="I1" s="5"/>
      <c r="J1" s="4"/>
    </row>
    <row r="2" spans="1:10" x14ac:dyDescent="0.2">
      <c r="A2" s="4"/>
      <c r="B2" s="4"/>
      <c r="C2" s="4"/>
      <c r="D2" s="4"/>
      <c r="E2" s="4"/>
      <c r="F2" s="4"/>
      <c r="G2" s="5"/>
      <c r="H2" s="4"/>
      <c r="I2" s="5"/>
      <c r="J2" s="4"/>
    </row>
    <row r="3" spans="1:10" x14ac:dyDescent="0.2">
      <c r="A3" s="4"/>
      <c r="B3" s="4"/>
      <c r="C3" s="4"/>
      <c r="D3" s="4"/>
      <c r="E3" s="4"/>
      <c r="F3" s="4"/>
      <c r="H3" s="4"/>
      <c r="I3" s="5"/>
      <c r="J3" s="4"/>
    </row>
    <row r="4" spans="1:10" ht="18" x14ac:dyDescent="0.25">
      <c r="A4" s="18"/>
    </row>
    <row r="5" spans="1:10" ht="18" x14ac:dyDescent="0.25">
      <c r="A5" s="18"/>
    </row>
    <row r="6" spans="1:10" ht="15" x14ac:dyDescent="0.2">
      <c r="A6" s="97" t="str">
        <f>A!A8</f>
        <v>GC FISCALITÉ PLUS INC.</v>
      </c>
    </row>
    <row r="7" spans="1:10" ht="15" x14ac:dyDescent="0.2">
      <c r="A7" s="97" t="s">
        <v>88</v>
      </c>
    </row>
    <row r="8" spans="1:10" ht="15" x14ac:dyDescent="0.2">
      <c r="A8" s="97" t="str">
        <f>A!A10</f>
        <v>POUR L'EXERCICE FINANCIER SE TERMINANT LE 31 JUILLET</v>
      </c>
    </row>
    <row r="9" spans="1:10" s="4" customFormat="1" ht="15" thickBot="1" x14ac:dyDescent="0.25">
      <c r="A9" s="106"/>
      <c r="B9" s="12"/>
      <c r="C9" s="11"/>
      <c r="D9" s="11"/>
      <c r="E9" s="11"/>
      <c r="F9" s="11"/>
      <c r="G9" s="19">
        <v>7</v>
      </c>
      <c r="H9" s="6"/>
    </row>
    <row r="10" spans="1:10" s="4" customFormat="1" x14ac:dyDescent="0.2">
      <c r="A10" s="89"/>
      <c r="B10" s="8"/>
      <c r="C10" s="6"/>
      <c r="D10" s="6"/>
      <c r="E10" s="6"/>
      <c r="F10" s="6"/>
      <c r="G10" s="20"/>
      <c r="H10" s="6"/>
    </row>
    <row r="11" spans="1:10" s="4" customFormat="1" x14ac:dyDescent="0.2">
      <c r="A11" s="89"/>
      <c r="B11" s="8"/>
      <c r="C11" s="6"/>
      <c r="D11" s="6"/>
      <c r="E11" s="6"/>
      <c r="F11" s="6"/>
      <c r="G11" s="20"/>
      <c r="H11" s="6"/>
    </row>
    <row r="12" spans="1:10" x14ac:dyDescent="0.2">
      <c r="A12" s="108" t="s">
        <v>201</v>
      </c>
      <c r="B12" s="21" t="s">
        <v>80</v>
      </c>
    </row>
    <row r="13" spans="1:10" x14ac:dyDescent="0.2">
      <c r="A13" s="108"/>
      <c r="B13" s="232" t="s">
        <v>84</v>
      </c>
      <c r="C13" s="232"/>
      <c r="D13" s="232"/>
      <c r="E13" s="232"/>
      <c r="F13" s="232"/>
      <c r="G13" s="232"/>
    </row>
    <row r="14" spans="1:10" x14ac:dyDescent="0.2">
      <c r="A14" s="53"/>
      <c r="D14" s="171" t="s">
        <v>194</v>
      </c>
      <c r="E14" s="171" t="s">
        <v>193</v>
      </c>
    </row>
    <row r="15" spans="1:10" x14ac:dyDescent="0.2">
      <c r="A15" s="53"/>
      <c r="B15" s="17" t="s">
        <v>109</v>
      </c>
      <c r="D15" s="23" t="e">
        <f>ROUND(ER!B43,0)</f>
        <v>#REF!</v>
      </c>
      <c r="E15" s="23"/>
      <c r="F15" s="23"/>
    </row>
    <row r="16" spans="1:10" x14ac:dyDescent="0.2">
      <c r="A16" s="53"/>
      <c r="D16" s="23"/>
      <c r="E16" s="23"/>
      <c r="F16" s="23"/>
    </row>
    <row r="17" spans="1:6" x14ac:dyDescent="0.2">
      <c r="A17" s="53"/>
      <c r="B17" s="24" t="s">
        <v>110</v>
      </c>
      <c r="D17" s="23"/>
      <c r="E17" s="23"/>
      <c r="F17" s="23"/>
    </row>
    <row r="18" spans="1:6" x14ac:dyDescent="0.2">
      <c r="A18" s="53"/>
      <c r="B18" s="17" t="s">
        <v>111</v>
      </c>
      <c r="D18" s="154" t="e">
        <f>ROUND(0.5*(ER!B29-D20),0)</f>
        <v>#REF!</v>
      </c>
      <c r="E18" s="154"/>
      <c r="F18" s="154"/>
    </row>
    <row r="19" spans="1:6" x14ac:dyDescent="0.2">
      <c r="A19" s="53"/>
      <c r="B19" s="17" t="s">
        <v>185</v>
      </c>
      <c r="D19" s="169">
        <v>0</v>
      </c>
      <c r="E19" s="154"/>
      <c r="F19" s="154"/>
    </row>
    <row r="20" spans="1:6" x14ac:dyDescent="0.2">
      <c r="A20" s="53"/>
      <c r="B20" s="17" t="s">
        <v>186</v>
      </c>
      <c r="D20" s="154" t="e">
        <f>ROUND(BV!C17,0)</f>
        <v>#REF!</v>
      </c>
      <c r="E20" s="154"/>
      <c r="F20" s="154"/>
    </row>
    <row r="21" spans="1:6" x14ac:dyDescent="0.2">
      <c r="A21" s="53"/>
      <c r="B21" s="17" t="s">
        <v>69</v>
      </c>
      <c r="D21" s="154" t="e">
        <f>ROUND(ER!B37,0)</f>
        <v>#REF!</v>
      </c>
      <c r="E21" s="154"/>
      <c r="F21" s="154"/>
    </row>
    <row r="22" spans="1:6" x14ac:dyDescent="0.2">
      <c r="A22" s="53"/>
      <c r="B22" s="17" t="s">
        <v>149</v>
      </c>
      <c r="D22" s="23" t="e">
        <f>ROUND(#REF!,0)</f>
        <v>#REF!</v>
      </c>
      <c r="E22" s="23"/>
      <c r="F22" s="23"/>
    </row>
    <row r="23" spans="1:6" x14ac:dyDescent="0.2">
      <c r="A23" s="53"/>
      <c r="B23" s="17" t="s">
        <v>191</v>
      </c>
      <c r="D23" s="169"/>
      <c r="E23" s="23"/>
      <c r="F23" s="23"/>
    </row>
    <row r="24" spans="1:6" x14ac:dyDescent="0.2">
      <c r="A24" s="53"/>
      <c r="B24" s="21" t="s">
        <v>206</v>
      </c>
      <c r="D24" s="169"/>
      <c r="E24" s="23"/>
      <c r="F24" s="23"/>
    </row>
    <row r="25" spans="1:6" x14ac:dyDescent="0.2">
      <c r="A25" s="53"/>
      <c r="B25" s="17" t="s">
        <v>192</v>
      </c>
      <c r="D25" s="169"/>
      <c r="E25" s="23"/>
      <c r="F25" s="23"/>
    </row>
    <row r="26" spans="1:6" x14ac:dyDescent="0.2">
      <c r="A26" s="53"/>
      <c r="D26" s="23"/>
      <c r="E26" s="23"/>
      <c r="F26" s="23"/>
    </row>
    <row r="27" spans="1:6" x14ac:dyDescent="0.2">
      <c r="A27" s="53"/>
      <c r="B27" s="24" t="s">
        <v>65</v>
      </c>
      <c r="D27" s="23"/>
      <c r="E27" s="23"/>
      <c r="F27" s="23"/>
    </row>
    <row r="28" spans="1:6" x14ac:dyDescent="0.2">
      <c r="A28" s="53"/>
      <c r="B28" s="17" t="s">
        <v>68</v>
      </c>
      <c r="D28" s="169" t="e">
        <f>-D21</f>
        <v>#REF!</v>
      </c>
      <c r="E28" s="169"/>
      <c r="F28" s="23"/>
    </row>
    <row r="29" spans="1:6" x14ac:dyDescent="0.2">
      <c r="A29" s="53"/>
      <c r="B29" s="17" t="s">
        <v>190</v>
      </c>
      <c r="D29" s="169">
        <v>0</v>
      </c>
      <c r="E29" s="154"/>
      <c r="F29" s="23"/>
    </row>
    <row r="30" spans="1:6" x14ac:dyDescent="0.2">
      <c r="A30" s="53"/>
      <c r="B30" s="17" t="s">
        <v>185</v>
      </c>
      <c r="D30" s="169">
        <f>-D19</f>
        <v>0</v>
      </c>
      <c r="E30" s="23"/>
      <c r="F30" s="23"/>
    </row>
    <row r="31" spans="1:6" x14ac:dyDescent="0.2">
      <c r="A31" s="53"/>
      <c r="B31" s="17" t="s">
        <v>150</v>
      </c>
      <c r="D31" s="23" t="e">
        <f>ROUND(-BV!C43,0)</f>
        <v>#REF!</v>
      </c>
      <c r="E31" s="23"/>
      <c r="F31" s="23"/>
    </row>
    <row r="32" spans="1:6" x14ac:dyDescent="0.2">
      <c r="A32" s="53"/>
      <c r="D32" s="25"/>
      <c r="E32" s="25"/>
      <c r="F32" s="25"/>
    </row>
    <row r="33" spans="1:15" ht="15" thickBot="1" x14ac:dyDescent="0.25">
      <c r="A33" s="53"/>
      <c r="B33" s="17" t="s">
        <v>66</v>
      </c>
      <c r="D33" s="26" t="e">
        <f>SUM(D15:D32)</f>
        <v>#REF!</v>
      </c>
      <c r="E33" s="26" t="e">
        <f>D33+E28</f>
        <v>#REF!</v>
      </c>
      <c r="F33" s="23"/>
      <c r="I33" s="166"/>
    </row>
    <row r="34" spans="1:15" ht="15" thickTop="1" x14ac:dyDescent="0.2">
      <c r="A34" s="53"/>
      <c r="D34" s="23"/>
      <c r="E34" s="23"/>
      <c r="F34" s="23"/>
    </row>
    <row r="35" spans="1:15" x14ac:dyDescent="0.2">
      <c r="A35" s="53"/>
      <c r="D35" s="29" t="s">
        <v>169</v>
      </c>
      <c r="E35" s="29" t="s">
        <v>168</v>
      </c>
      <c r="F35" s="29" t="s">
        <v>170</v>
      </c>
    </row>
    <row r="36" spans="1:15" x14ac:dyDescent="0.2">
      <c r="A36" s="53"/>
      <c r="B36" s="17" t="s">
        <v>171</v>
      </c>
      <c r="D36" s="23"/>
      <c r="E36" s="23"/>
      <c r="F36" s="23"/>
    </row>
    <row r="37" spans="1:15" x14ac:dyDescent="0.2">
      <c r="A37" s="53"/>
      <c r="B37" s="17" t="s">
        <v>51</v>
      </c>
      <c r="D37" s="27"/>
      <c r="E37" s="27">
        <v>0.09</v>
      </c>
      <c r="F37" s="27">
        <v>3.2000000000000001E-2</v>
      </c>
    </row>
    <row r="38" spans="1:15" x14ac:dyDescent="0.2">
      <c r="A38" s="53"/>
      <c r="D38" s="27"/>
      <c r="E38" s="150" t="e">
        <f>MIN(500000,D33)</f>
        <v>#REF!</v>
      </c>
      <c r="F38" s="150" t="e">
        <f>E38</f>
        <v>#REF!</v>
      </c>
    </row>
    <row r="39" spans="1:15" ht="15" thickBot="1" x14ac:dyDescent="0.25">
      <c r="A39" s="53"/>
      <c r="D39" s="27"/>
      <c r="E39" s="26" t="e">
        <f>ROUNDUP(E38*E37,0)</f>
        <v>#REF!</v>
      </c>
      <c r="F39" s="26" t="e">
        <f>ROUNDUP(F38*F37,0)</f>
        <v>#REF!</v>
      </c>
    </row>
    <row r="40" spans="1:15" ht="15" thickTop="1" x14ac:dyDescent="0.2">
      <c r="A40" s="53"/>
      <c r="D40" s="27"/>
      <c r="E40" s="23"/>
      <c r="F40" s="23"/>
    </row>
    <row r="41" spans="1:15" x14ac:dyDescent="0.2">
      <c r="A41" s="53"/>
      <c r="B41" s="17" t="s">
        <v>172</v>
      </c>
      <c r="D41" s="27"/>
      <c r="E41" s="23" t="e">
        <f>MAX(0,$D$33-E38)</f>
        <v>#REF!</v>
      </c>
      <c r="F41" s="23" t="e">
        <f>MAX(0,$E$33-F38)</f>
        <v>#REF!</v>
      </c>
    </row>
    <row r="42" spans="1:15" x14ac:dyDescent="0.2">
      <c r="A42" s="53"/>
      <c r="D42" s="27"/>
      <c r="E42" s="27">
        <v>0.15</v>
      </c>
      <c r="F42" s="27">
        <f>(11.5%*212/365)+(11.5%*153/365)</f>
        <v>0.11500000000000002</v>
      </c>
    </row>
    <row r="43" spans="1:15" ht="15" thickBot="1" x14ac:dyDescent="0.25">
      <c r="A43" s="53"/>
      <c r="D43" s="27"/>
      <c r="E43" s="26" t="e">
        <f>ROUND(E41*E42,0)</f>
        <v>#REF!</v>
      </c>
      <c r="F43" s="26" t="e">
        <f>ROUND(F41*F42,0)</f>
        <v>#REF!</v>
      </c>
    </row>
    <row r="44" spans="1:15" ht="15" thickTop="1" x14ac:dyDescent="0.2">
      <c r="A44" s="53"/>
      <c r="D44" s="27"/>
      <c r="E44" s="23"/>
      <c r="F44" s="23"/>
    </row>
    <row r="45" spans="1:15" ht="15" thickBot="1" x14ac:dyDescent="0.25">
      <c r="A45" s="53"/>
      <c r="B45" s="167" t="s">
        <v>173</v>
      </c>
      <c r="C45" s="167"/>
      <c r="D45" s="168"/>
      <c r="E45" s="28" t="e">
        <f>E39+E43</f>
        <v>#REF!</v>
      </c>
      <c r="F45" s="28" t="e">
        <f>F39+F43</f>
        <v>#REF!</v>
      </c>
    </row>
    <row r="46" spans="1:15" ht="15" thickTop="1" x14ac:dyDescent="0.2">
      <c r="A46" s="53"/>
      <c r="G46" s="25"/>
      <c r="K46" s="166"/>
    </row>
    <row r="47" spans="1:15" ht="15" thickBot="1" x14ac:dyDescent="0.25">
      <c r="A47" s="53"/>
      <c r="B47" s="21" t="s">
        <v>80</v>
      </c>
      <c r="C47" s="21"/>
      <c r="D47" s="28" t="e">
        <f>+E45+F45</f>
        <v>#REF!</v>
      </c>
      <c r="E47" s="29"/>
      <c r="F47" s="29"/>
      <c r="K47" s="166"/>
      <c r="O47" s="191"/>
    </row>
    <row r="48" spans="1:15" ht="15" thickTop="1" x14ac:dyDescent="0.2">
      <c r="A48" s="53"/>
      <c r="B48" s="21"/>
      <c r="C48" s="21"/>
      <c r="D48" s="29"/>
      <c r="E48" s="29"/>
      <c r="F48" s="29"/>
      <c r="K48" s="166"/>
    </row>
    <row r="49" spans="1:9" ht="15" thickBot="1" x14ac:dyDescent="0.25">
      <c r="A49" s="53"/>
      <c r="B49" s="21" t="s">
        <v>163</v>
      </c>
      <c r="C49" s="21"/>
      <c r="D49" s="28"/>
      <c r="E49" s="29"/>
      <c r="F49" s="29"/>
      <c r="H49" s="29"/>
      <c r="I49" s="29"/>
    </row>
    <row r="50" spans="1:9" ht="15" thickTop="1" x14ac:dyDescent="0.2">
      <c r="A50" s="53"/>
      <c r="B50" s="21"/>
      <c r="C50" s="21"/>
      <c r="H50" s="29"/>
      <c r="I50" s="29"/>
    </row>
    <row r="51" spans="1:9" ht="15" thickBot="1" x14ac:dyDescent="0.25">
      <c r="A51" s="89"/>
      <c r="B51" s="21" t="s">
        <v>164</v>
      </c>
      <c r="D51" s="28"/>
      <c r="E51" s="29"/>
      <c r="F51" s="29"/>
    </row>
    <row r="52" spans="1:9" ht="15" thickTop="1" x14ac:dyDescent="0.2">
      <c r="A52" s="53"/>
      <c r="B52" s="229"/>
      <c r="C52" s="229"/>
      <c r="D52" s="230"/>
      <c r="E52" s="165"/>
      <c r="F52" s="165"/>
    </row>
    <row r="53" spans="1:9" ht="15" thickBot="1" x14ac:dyDescent="0.25">
      <c r="A53" s="53"/>
      <c r="B53" s="21" t="s">
        <v>165</v>
      </c>
      <c r="D53" s="28" t="e">
        <f>D47+D49+D51</f>
        <v>#REF!</v>
      </c>
      <c r="E53" s="29"/>
      <c r="F53" s="29"/>
      <c r="G53" s="30"/>
    </row>
    <row r="54" spans="1:9" ht="15" thickTop="1" x14ac:dyDescent="0.2"/>
  </sheetData>
  <mergeCells count="2">
    <mergeCell ref="B13:G13"/>
    <mergeCell ref="B52:D52"/>
  </mergeCells>
  <phoneticPr fontId="3" type="noConversion"/>
  <pageMargins left="0" right="0" top="0" bottom="0" header="0" footer="0"/>
  <pageSetup paperSize="119" scale="8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euil38">
    <tabColor rgb="FF8C8375"/>
    <pageSetUpPr fitToPage="1"/>
  </sheetPr>
  <dimension ref="A1:B66"/>
  <sheetViews>
    <sheetView view="pageBreakPreview" zoomScale="90" zoomScaleNormal="100" zoomScaleSheetLayoutView="90" workbookViewId="0">
      <selection activeCell="B24" sqref="B24"/>
    </sheetView>
  </sheetViews>
  <sheetFormatPr baseColWidth="10" defaultColWidth="10.7109375" defaultRowHeight="12.75" x14ac:dyDescent="0.2"/>
  <cols>
    <col min="1" max="1" width="11.85546875" style="162" customWidth="1"/>
    <col min="2" max="2" width="47.85546875" style="162" bestFit="1" customWidth="1"/>
    <col min="3" max="16384" width="10.7109375" style="162"/>
  </cols>
  <sheetData>
    <row r="1" spans="1:2" x14ac:dyDescent="0.2">
      <c r="A1" s="186" t="s">
        <v>133</v>
      </c>
    </row>
    <row r="2" spans="1:2" x14ac:dyDescent="0.2">
      <c r="A2" s="186" t="s">
        <v>132</v>
      </c>
    </row>
    <row r="7" spans="1:2" x14ac:dyDescent="0.2">
      <c r="A7" s="182">
        <v>4000</v>
      </c>
      <c r="B7" s="162" t="s">
        <v>178</v>
      </c>
    </row>
    <row r="8" spans="1:2" x14ac:dyDescent="0.2">
      <c r="A8" s="182">
        <v>4001</v>
      </c>
      <c r="B8" s="162" t="s">
        <v>174</v>
      </c>
    </row>
    <row r="9" spans="1:2" x14ac:dyDescent="0.2">
      <c r="A9" s="182">
        <v>4010</v>
      </c>
      <c r="B9" s="162" t="s">
        <v>114</v>
      </c>
    </row>
    <row r="10" spans="1:2" x14ac:dyDescent="0.2">
      <c r="A10" s="182">
        <v>4015</v>
      </c>
      <c r="B10" s="162" t="s">
        <v>13</v>
      </c>
    </row>
    <row r="11" spans="1:2" x14ac:dyDescent="0.2">
      <c r="A11" s="182">
        <v>4016</v>
      </c>
      <c r="B11" s="162" t="s">
        <v>151</v>
      </c>
    </row>
    <row r="12" spans="1:2" x14ac:dyDescent="0.2">
      <c r="A12" s="182">
        <v>4017</v>
      </c>
      <c r="B12" s="162" t="s">
        <v>183</v>
      </c>
    </row>
    <row r="13" spans="1:2" x14ac:dyDescent="0.2">
      <c r="A13" s="182">
        <v>5000</v>
      </c>
      <c r="B13" s="162" t="s">
        <v>54</v>
      </c>
    </row>
    <row r="14" spans="1:2" x14ac:dyDescent="0.2">
      <c r="A14" s="182">
        <v>5001</v>
      </c>
      <c r="B14" s="162" t="s">
        <v>134</v>
      </c>
    </row>
    <row r="15" spans="1:2" x14ac:dyDescent="0.2">
      <c r="A15" s="182">
        <v>5002</v>
      </c>
      <c r="B15" s="162" t="s">
        <v>94</v>
      </c>
    </row>
    <row r="16" spans="1:2" x14ac:dyDescent="0.2">
      <c r="A16" s="182">
        <v>5003</v>
      </c>
      <c r="B16" s="162" t="s">
        <v>135</v>
      </c>
    </row>
    <row r="17" spans="1:2" x14ac:dyDescent="0.2">
      <c r="A17" s="187" t="s">
        <v>156</v>
      </c>
      <c r="B17" s="162" t="s">
        <v>155</v>
      </c>
    </row>
    <row r="18" spans="1:2" x14ac:dyDescent="0.2">
      <c r="A18" s="182">
        <v>5004</v>
      </c>
      <c r="B18" s="162" t="s">
        <v>105</v>
      </c>
    </row>
    <row r="19" spans="1:2" x14ac:dyDescent="0.2">
      <c r="A19" s="182">
        <v>5005</v>
      </c>
      <c r="B19" s="162" t="s">
        <v>93</v>
      </c>
    </row>
    <row r="20" spans="1:2" x14ac:dyDescent="0.2">
      <c r="A20" s="182">
        <v>5006</v>
      </c>
      <c r="B20" s="162" t="s">
        <v>176</v>
      </c>
    </row>
    <row r="21" spans="1:2" x14ac:dyDescent="0.2">
      <c r="A21" s="182">
        <v>5007</v>
      </c>
      <c r="B21" s="162" t="s">
        <v>90</v>
      </c>
    </row>
    <row r="22" spans="1:2" x14ac:dyDescent="0.2">
      <c r="A22" s="182">
        <v>5008</v>
      </c>
      <c r="B22" s="162" t="s">
        <v>10</v>
      </c>
    </row>
    <row r="23" spans="1:2" x14ac:dyDescent="0.2">
      <c r="A23" s="182">
        <v>5009</v>
      </c>
      <c r="B23" s="162" t="s">
        <v>11</v>
      </c>
    </row>
    <row r="24" spans="1:2" x14ac:dyDescent="0.2">
      <c r="A24" s="182">
        <v>5010</v>
      </c>
      <c r="B24" s="162" t="s">
        <v>195</v>
      </c>
    </row>
    <row r="25" spans="1:2" x14ac:dyDescent="0.2">
      <c r="A25" s="182">
        <v>5011</v>
      </c>
      <c r="B25" s="162" t="s">
        <v>175</v>
      </c>
    </row>
    <row r="26" spans="1:2" x14ac:dyDescent="0.2">
      <c r="A26" s="182">
        <v>5013</v>
      </c>
      <c r="B26" s="162" t="s">
        <v>91</v>
      </c>
    </row>
    <row r="27" spans="1:2" x14ac:dyDescent="0.2">
      <c r="A27" s="182">
        <v>5015</v>
      </c>
      <c r="B27" s="162" t="s">
        <v>92</v>
      </c>
    </row>
    <row r="28" spans="1:2" x14ac:dyDescent="0.2">
      <c r="A28" s="182">
        <v>5016</v>
      </c>
      <c r="B28" s="162" t="s">
        <v>12</v>
      </c>
    </row>
    <row r="29" spans="1:2" x14ac:dyDescent="0.2">
      <c r="A29" s="182">
        <v>5020</v>
      </c>
      <c r="B29" s="162" t="s">
        <v>177</v>
      </c>
    </row>
    <row r="30" spans="1:2" x14ac:dyDescent="0.2">
      <c r="A30" s="182">
        <v>9000</v>
      </c>
      <c r="B30" s="162" t="s">
        <v>25</v>
      </c>
    </row>
    <row r="31" spans="1:2" x14ac:dyDescent="0.2">
      <c r="A31" s="182">
        <v>1000</v>
      </c>
      <c r="B31" s="162" t="s">
        <v>117</v>
      </c>
    </row>
    <row r="32" spans="1:2" x14ac:dyDescent="0.2">
      <c r="A32" s="182">
        <v>1100</v>
      </c>
      <c r="B32" s="162" t="s">
        <v>95</v>
      </c>
    </row>
    <row r="33" spans="1:2" x14ac:dyDescent="0.2">
      <c r="A33" s="182">
        <v>1101</v>
      </c>
      <c r="B33" s="162" t="s">
        <v>166</v>
      </c>
    </row>
    <row r="34" spans="1:2" x14ac:dyDescent="0.2">
      <c r="A34" s="182">
        <v>1200</v>
      </c>
      <c r="B34" s="162" t="s">
        <v>18</v>
      </c>
    </row>
    <row r="35" spans="1:2" x14ac:dyDescent="0.2">
      <c r="A35" s="182">
        <v>1201</v>
      </c>
      <c r="B35" s="162" t="s">
        <v>19</v>
      </c>
    </row>
    <row r="36" spans="1:2" x14ac:dyDescent="0.2">
      <c r="A36" s="182">
        <v>1202</v>
      </c>
      <c r="B36" s="162" t="s">
        <v>20</v>
      </c>
    </row>
    <row r="37" spans="1:2" x14ac:dyDescent="0.2">
      <c r="A37" s="182">
        <v>1203</v>
      </c>
      <c r="B37" s="162" t="s">
        <v>21</v>
      </c>
    </row>
    <row r="38" spans="1:2" x14ac:dyDescent="0.2">
      <c r="A38" s="182">
        <v>1204</v>
      </c>
      <c r="B38" s="162" t="s">
        <v>139</v>
      </c>
    </row>
    <row r="39" spans="1:2" x14ac:dyDescent="0.2">
      <c r="A39" s="182">
        <v>1205</v>
      </c>
      <c r="B39" s="162" t="s">
        <v>140</v>
      </c>
    </row>
    <row r="40" spans="1:2" x14ac:dyDescent="0.2">
      <c r="A40" s="182">
        <v>1210</v>
      </c>
      <c r="B40" s="162" t="s">
        <v>1</v>
      </c>
    </row>
    <row r="41" spans="1:2" x14ac:dyDescent="0.2">
      <c r="A41" s="182">
        <v>1230</v>
      </c>
      <c r="B41" s="162" t="s">
        <v>118</v>
      </c>
    </row>
    <row r="42" spans="1:2" x14ac:dyDescent="0.2">
      <c r="A42" s="182">
        <v>1250</v>
      </c>
      <c r="B42" s="162" t="s">
        <v>96</v>
      </c>
    </row>
    <row r="43" spans="1:2" x14ac:dyDescent="0.2">
      <c r="A43" s="182">
        <v>1251</v>
      </c>
      <c r="B43" s="162" t="s">
        <v>107</v>
      </c>
    </row>
    <row r="44" spans="1:2" x14ac:dyDescent="0.2">
      <c r="A44" s="182">
        <v>1260</v>
      </c>
      <c r="B44" s="162" t="s">
        <v>97</v>
      </c>
    </row>
    <row r="45" spans="1:2" x14ac:dyDescent="0.2">
      <c r="A45" s="182">
        <v>1261</v>
      </c>
      <c r="B45" s="162" t="s">
        <v>108</v>
      </c>
    </row>
    <row r="46" spans="1:2" x14ac:dyDescent="0.2">
      <c r="A46" s="182">
        <v>1270</v>
      </c>
      <c r="B46" s="162" t="s">
        <v>59</v>
      </c>
    </row>
    <row r="47" spans="1:2" x14ac:dyDescent="0.2">
      <c r="A47" s="182">
        <v>1271</v>
      </c>
      <c r="B47" s="162" t="s">
        <v>60</v>
      </c>
    </row>
    <row r="48" spans="1:2" x14ac:dyDescent="0.2">
      <c r="A48" s="182">
        <v>1300</v>
      </c>
      <c r="B48" s="162" t="s">
        <v>188</v>
      </c>
    </row>
    <row r="49" spans="1:2" x14ac:dyDescent="0.2">
      <c r="A49" s="182">
        <v>1301</v>
      </c>
      <c r="B49" s="162" t="s">
        <v>189</v>
      </c>
    </row>
    <row r="50" spans="1:2" x14ac:dyDescent="0.2">
      <c r="A50" s="182">
        <v>1400</v>
      </c>
      <c r="B50" s="162" t="s">
        <v>207</v>
      </c>
    </row>
    <row r="51" spans="1:2" x14ac:dyDescent="0.2">
      <c r="A51" s="182">
        <v>2000</v>
      </c>
      <c r="B51" s="162" t="s">
        <v>62</v>
      </c>
    </row>
    <row r="52" spans="1:2" x14ac:dyDescent="0.2">
      <c r="A52" s="182">
        <v>2010</v>
      </c>
      <c r="B52" s="162" t="s">
        <v>179</v>
      </c>
    </row>
    <row r="53" spans="1:2" x14ac:dyDescent="0.2">
      <c r="A53" s="182">
        <v>2011</v>
      </c>
      <c r="B53" s="162" t="s">
        <v>153</v>
      </c>
    </row>
    <row r="54" spans="1:2" x14ac:dyDescent="0.2">
      <c r="A54" s="182">
        <v>2100</v>
      </c>
      <c r="B54" s="162" t="s">
        <v>22</v>
      </c>
    </row>
    <row r="55" spans="1:2" x14ac:dyDescent="0.2">
      <c r="A55" s="182">
        <v>2105</v>
      </c>
      <c r="B55" s="162" t="s">
        <v>180</v>
      </c>
    </row>
    <row r="56" spans="1:2" x14ac:dyDescent="0.2">
      <c r="A56" s="182">
        <v>2106</v>
      </c>
      <c r="B56" s="162" t="s">
        <v>181</v>
      </c>
    </row>
    <row r="57" spans="1:2" x14ac:dyDescent="0.2">
      <c r="A57" s="182">
        <v>2107</v>
      </c>
      <c r="B57" s="162" t="s">
        <v>202</v>
      </c>
    </row>
    <row r="58" spans="1:2" x14ac:dyDescent="0.2">
      <c r="A58" s="182">
        <v>2200</v>
      </c>
      <c r="B58" s="162" t="s">
        <v>24</v>
      </c>
    </row>
    <row r="59" spans="1:2" x14ac:dyDescent="0.2">
      <c r="A59" s="182">
        <v>2201</v>
      </c>
      <c r="B59" s="162" t="s">
        <v>23</v>
      </c>
    </row>
    <row r="60" spans="1:2" x14ac:dyDescent="0.2">
      <c r="A60" s="182">
        <v>2202</v>
      </c>
      <c r="B60" s="162" t="s">
        <v>160</v>
      </c>
    </row>
    <row r="61" spans="1:2" x14ac:dyDescent="0.2">
      <c r="A61" s="182">
        <v>2203</v>
      </c>
      <c r="B61" s="162" t="s">
        <v>161</v>
      </c>
    </row>
    <row r="62" spans="1:2" x14ac:dyDescent="0.2">
      <c r="A62" s="182">
        <v>2300</v>
      </c>
      <c r="B62" s="162" t="s">
        <v>26</v>
      </c>
    </row>
    <row r="63" spans="1:2" x14ac:dyDescent="0.2">
      <c r="A63" s="182">
        <v>2500</v>
      </c>
      <c r="B63" s="162" t="s">
        <v>27</v>
      </c>
    </row>
    <row r="64" spans="1:2" x14ac:dyDescent="0.2">
      <c r="A64" s="182">
        <v>2501</v>
      </c>
      <c r="B64" s="162" t="s">
        <v>28</v>
      </c>
    </row>
    <row r="65" spans="1:2" x14ac:dyDescent="0.2">
      <c r="A65" s="182">
        <v>2600</v>
      </c>
      <c r="B65" s="162" t="s">
        <v>17</v>
      </c>
    </row>
    <row r="66" spans="1:2" x14ac:dyDescent="0.2">
      <c r="A66" s="182">
        <v>2700</v>
      </c>
      <c r="B66" s="162" t="s">
        <v>33</v>
      </c>
    </row>
  </sheetData>
  <phoneticPr fontId="3" type="noConversion"/>
  <pageMargins left="0.78740157499999996" right="0.78740157499999996" top="0.984251969" bottom="0.984251969" header="0.4921259845" footer="0.4921259845"/>
  <pageSetup scale="7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11</vt:i4>
      </vt:variant>
    </vt:vector>
  </HeadingPairs>
  <TitlesOfParts>
    <vt:vector size="23" baseType="lpstr">
      <vt:lpstr>TEC</vt:lpstr>
      <vt:lpstr>Juill</vt:lpstr>
      <vt:lpstr>BV</vt:lpstr>
      <vt:lpstr>Couv.</vt:lpstr>
      <vt:lpstr>TM</vt:lpstr>
      <vt:lpstr>ER</vt:lpstr>
      <vt:lpstr>BNR</vt:lpstr>
      <vt:lpstr>Bilan</vt:lpstr>
      <vt:lpstr>A</vt:lpstr>
      <vt:lpstr>A2</vt:lpstr>
      <vt:lpstr>A3</vt:lpstr>
      <vt:lpstr>Comptes GL</vt:lpstr>
      <vt:lpstr>TEC!Impression_des_titres</vt:lpstr>
      <vt:lpstr>BV!Liste_de_comptes_de_GL</vt:lpstr>
      <vt:lpstr>Liste_de_comptes_de_GL</vt:lpstr>
      <vt:lpstr>A!Zone_d_impression</vt:lpstr>
      <vt:lpstr>'A2'!Zone_d_impression</vt:lpstr>
      <vt:lpstr>'A3'!Zone_d_impression</vt:lpstr>
      <vt:lpstr>Bilan!Zone_d_impression</vt:lpstr>
      <vt:lpstr>BNR!Zone_d_impression</vt:lpstr>
      <vt:lpstr>ER!Zone_d_impression</vt:lpstr>
      <vt:lpstr>TEC!Zone_d_impression</vt:lpstr>
      <vt:lpstr>TM!Zone_d_impression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GC Fiscalité</dc:creator>
  <cp:lastModifiedBy>Robert M. Vigneault</cp:lastModifiedBy>
  <cp:lastPrinted>2024-12-03T11:27:06Z</cp:lastPrinted>
  <dcterms:created xsi:type="dcterms:W3CDTF">2013-11-01T05:11:12Z</dcterms:created>
  <dcterms:modified xsi:type="dcterms:W3CDTF">2024-12-03T11:30:42Z</dcterms:modified>
</cp:coreProperties>
</file>