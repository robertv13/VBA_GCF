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5D25585-606E-4B29-A798-D4F181C57D4B}" xr6:coauthVersionLast="47" xr6:coauthVersionMax="47" xr10:uidLastSave="{00000000-0000-0000-0000-000000000000}"/>
  <bookViews>
    <workbookView xWindow="-120" yWindow="-120" windowWidth="29040" windowHeight="15840" xr2:uid="{8B896088-70BB-4C60-BB21-C1E442DA7D5A}"/>
  </bookViews>
  <sheets>
    <sheet name="EJ" sheetId="1" r:id="rId1"/>
    <sheet name="Transactions" sheetId="3" r:id="rId2"/>
    <sheet name="PlanComptable" sheetId="2" r:id="rId3"/>
  </sheets>
  <definedNames>
    <definedName name="Acc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8" i="3" l="1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39" i="3"/>
  <c r="K38" i="3"/>
  <c r="K37" i="3"/>
  <c r="K36" i="3"/>
  <c r="K35" i="3"/>
  <c r="K34" i="3"/>
  <c r="K33" i="3"/>
  <c r="K32" i="3"/>
  <c r="K31" i="3"/>
  <c r="K21" i="3"/>
  <c r="K22" i="3"/>
  <c r="K23" i="3"/>
  <c r="K24" i="3"/>
  <c r="K25" i="3"/>
  <c r="K26" i="3"/>
  <c r="K27" i="3"/>
  <c r="K28" i="3"/>
  <c r="K29" i="3"/>
  <c r="K30" i="3"/>
  <c r="K14" i="3"/>
  <c r="K15" i="3"/>
  <c r="K16" i="3"/>
  <c r="K17" i="3"/>
  <c r="K18" i="3"/>
  <c r="K19" i="3"/>
  <c r="K20" i="3"/>
  <c r="K10" i="3"/>
  <c r="K11" i="3"/>
  <c r="K12" i="3"/>
  <c r="K13" i="3"/>
  <c r="K3" i="3"/>
  <c r="K4" i="3"/>
  <c r="K5" i="3"/>
  <c r="K6" i="3"/>
  <c r="K7" i="3"/>
  <c r="K8" i="3"/>
  <c r="K9" i="3"/>
  <c r="K2" i="3"/>
  <c r="G3" i="3"/>
  <c r="I3" i="3"/>
  <c r="H2" i="3"/>
  <c r="G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I24" i="1" l="1"/>
  <c r="H24" i="1"/>
</calcChain>
</file>

<file path=xl/sharedStrings.xml><?xml version="1.0" encoding="utf-8"?>
<sst xmlns="http://schemas.openxmlformats.org/spreadsheetml/2006/main" count="302" uniqueCount="154">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</sst>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$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thin">
        <color theme="6" tint="-0.499984740745262"/>
      </bottom>
      <diagonal/>
    </border>
    <border>
      <left/>
      <right/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1">
    <xf numFmtId="0" fontId="0" fillId="0" borderId="0" xfId="0"/>
    <xf numFmtId="164" fontId="0" fillId="0" borderId="0" xfId="0" applyNumberFormat="1"/>
    <xf numFmtId="0" fontId="0" fillId="0" borderId="10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right"/>
    </xf>
    <xf numFmtId="164" fontId="1" fillId="3" borderId="0" xfId="0" applyNumberFormat="1" applyFont="1" applyFill="1"/>
    <xf numFmtId="0" fontId="3" fillId="4" borderId="6" xfId="0" applyFont="1" applyFill="1" applyBorder="1" applyAlignment="1">
      <alignment horizontal="center" vertical="center"/>
    </xf>
    <xf numFmtId="0" fontId="5" fillId="6" borderId="24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center"/>
    </xf>
    <xf numFmtId="0" fontId="5" fillId="6" borderId="26" xfId="0" applyFont="1" applyFill="1" applyBorder="1" applyAlignment="1">
      <alignment horizontal="center"/>
    </xf>
    <xf numFmtId="0" fontId="0" fillId="0" borderId="27" xfId="0" applyBorder="1" applyAlignment="1" applyProtection="1">
      <alignment horizontal="left"/>
      <protection locked="0"/>
    </xf>
    <xf numFmtId="49" fontId="0" fillId="0" borderId="28" xfId="0" applyNumberFormat="1" applyBorder="1" applyAlignment="1" applyProtection="1">
      <alignment horizontal="center"/>
      <protection locked="0"/>
    </xf>
    <xf numFmtId="49" fontId="0" fillId="0" borderId="28" xfId="0" applyNumberFormat="1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left"/>
      <protection locked="0"/>
    </xf>
    <xf numFmtId="49" fontId="0" fillId="0" borderId="30" xfId="0" applyNumberFormat="1" applyBorder="1" applyAlignment="1" applyProtection="1">
      <alignment horizontal="center"/>
      <protection locked="0"/>
    </xf>
    <xf numFmtId="49" fontId="0" fillId="0" borderId="30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0" fillId="0" borderId="6" xfId="0" applyBorder="1"/>
    <xf numFmtId="164" fontId="0" fillId="0" borderId="6" xfId="0" applyNumberFormat="1" applyBorder="1"/>
    <xf numFmtId="0" fontId="0" fillId="0" borderId="7" xfId="0" applyBorder="1" applyAlignment="1">
      <alignment horizontal="left"/>
    </xf>
    <xf numFmtId="0" fontId="0" fillId="0" borderId="9" xfId="0" applyBorder="1"/>
    <xf numFmtId="164" fontId="0" fillId="0" borderId="9" xfId="0" applyNumberFormat="1" applyBorder="1"/>
    <xf numFmtId="0" fontId="2" fillId="0" borderId="9" xfId="0" applyFont="1" applyBorder="1"/>
    <xf numFmtId="0" fontId="6" fillId="0" borderId="19" xfId="0" applyFont="1" applyBorder="1"/>
    <xf numFmtId="0" fontId="2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2" fillId="8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6" xfId="0" applyBorder="1" applyAlignment="1">
      <alignment horizontal="center" vertical="center"/>
    </xf>
    <xf numFmtId="14" fontId="2" fillId="3" borderId="31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2" xfId="0" applyBorder="1"/>
    <xf numFmtId="14" fontId="2" fillId="0" borderId="8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1" xfId="0" applyBorder="1"/>
    <xf numFmtId="164" fontId="0" fillId="0" borderId="31" xfId="0" applyNumberFormat="1" applyBorder="1"/>
    <xf numFmtId="14" fontId="2" fillId="0" borderId="11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/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/>
    </xf>
    <xf numFmtId="0" fontId="5" fillId="5" borderId="23" xfId="0" applyFont="1" applyFill="1" applyBorder="1" applyAlignment="1">
      <alignment horizontal="center"/>
    </xf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3" borderId="4" xfId="0" applyFill="1" applyBorder="1" applyAlignment="1" applyProtection="1">
      <alignment horizontal="left"/>
      <protection locked="0"/>
    </xf>
    <xf numFmtId="0" fontId="0" fillId="3" borderId="8" xfId="0" applyFill="1" applyBorder="1" applyAlignment="1" applyProtection="1">
      <alignment horizontal="left"/>
      <protection locked="0"/>
    </xf>
    <xf numFmtId="0" fontId="0" fillId="3" borderId="9" xfId="0" applyFill="1" applyBorder="1" applyAlignment="1" applyProtection="1">
      <alignment horizontal="left"/>
      <protection locked="0"/>
    </xf>
    <xf numFmtId="164" fontId="0" fillId="3" borderId="9" xfId="0" applyNumberFormat="1" applyFill="1" applyBorder="1" applyAlignment="1" applyProtection="1">
      <alignment horizontal="right"/>
      <protection locked="0"/>
    </xf>
    <xf numFmtId="49" fontId="0" fillId="3" borderId="16" xfId="0" applyNumberFormat="1" applyFill="1" applyBorder="1" applyAlignment="1" applyProtection="1">
      <alignment horizontal="left"/>
      <protection locked="0"/>
    </xf>
    <xf numFmtId="49" fontId="0" fillId="3" borderId="17" xfId="0" applyNumberFormat="1" applyFill="1" applyBorder="1" applyAlignment="1" applyProtection="1">
      <alignment horizontal="left"/>
      <protection locked="0"/>
    </xf>
    <xf numFmtId="49" fontId="0" fillId="3" borderId="18" xfId="0" applyNumberFormat="1" applyFill="1" applyBorder="1" applyAlignment="1" applyProtection="1">
      <alignment horizontal="left"/>
      <protection locked="0"/>
    </xf>
    <xf numFmtId="49" fontId="0" fillId="3" borderId="16" xfId="0" applyNumberFormat="1" applyFill="1" applyBorder="1" applyAlignment="1" applyProtection="1">
      <alignment horizontal="center"/>
      <protection locked="0"/>
    </xf>
    <xf numFmtId="49" fontId="0" fillId="3" borderId="17" xfId="0" applyNumberFormat="1" applyFill="1" applyBorder="1" applyAlignment="1" applyProtection="1">
      <alignment horizontal="center"/>
      <protection locked="0"/>
    </xf>
    <xf numFmtId="49" fontId="0" fillId="3" borderId="18" xfId="0" applyNumberFormat="1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left"/>
      <protection locked="0"/>
    </xf>
    <xf numFmtId="0" fontId="0" fillId="3" borderId="12" xfId="0" applyFill="1" applyBorder="1" applyAlignment="1" applyProtection="1">
      <alignment horizontal="left"/>
      <protection locked="0"/>
    </xf>
    <xf numFmtId="164" fontId="0" fillId="3" borderId="12" xfId="0" applyNumberFormat="1" applyFill="1" applyBorder="1" applyAlignment="1" applyProtection="1">
      <alignment horizontal="right"/>
      <protection locked="0"/>
    </xf>
    <xf numFmtId="49" fontId="0" fillId="3" borderId="19" xfId="0" applyNumberFormat="1" applyFill="1" applyBorder="1" applyAlignment="1" applyProtection="1">
      <alignment horizontal="center"/>
      <protection locked="0"/>
    </xf>
    <xf numFmtId="49" fontId="0" fillId="3" borderId="20" xfId="0" applyNumberFormat="1" applyFill="1" applyBorder="1" applyAlignment="1" applyProtection="1">
      <alignment horizontal="center"/>
      <protection locked="0"/>
    </xf>
    <xf numFmtId="49" fontId="0" fillId="3" borderId="21" xfId="0" applyNumberFormat="1" applyFill="1" applyBorder="1" applyAlignment="1" applyProtection="1">
      <alignment horizontal="center"/>
      <protection locked="0"/>
    </xf>
    <xf numFmtId="0" fontId="8" fillId="9" borderId="20" xfId="0" applyFont="1" applyFill="1" applyBorder="1"/>
    <xf numFmtId="0" fontId="1" fillId="9" borderId="20" xfId="0" applyFont="1" applyFill="1" applyBorder="1"/>
    <xf numFmtId="0" fontId="1" fillId="9" borderId="21" xfId="0" applyFont="1" applyFill="1" applyBorder="1"/>
    <xf numFmtId="0" fontId="8" fillId="9" borderId="19" xfId="0" applyFont="1" applyFill="1" applyBorder="1"/>
    <xf numFmtId="164" fontId="0" fillId="9" borderId="20" xfId="0" applyNumberFormat="1" applyFill="1" applyBorder="1"/>
    <xf numFmtId="0" fontId="0" fillId="9" borderId="21" xfId="0" applyFill="1" applyBorder="1"/>
    <xf numFmtId="0" fontId="8" fillId="9" borderId="12" xfId="0" applyFont="1" applyFill="1" applyBorder="1"/>
    <xf numFmtId="164" fontId="0" fillId="9" borderId="12" xfId="0" applyNumberFormat="1" applyFill="1" applyBorder="1"/>
    <xf numFmtId="0" fontId="0" fillId="9" borderId="32" xfId="0" applyFill="1" applyBorder="1"/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2" fillId="0" borderId="33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3" xfId="0" applyFont="1" applyBorder="1"/>
    <xf numFmtId="0" fontId="0" fillId="0" borderId="33" xfId="0" applyBorder="1"/>
    <xf numFmtId="164" fontId="0" fillId="0" borderId="33" xfId="0" applyNumberFormat="1" applyBorder="1"/>
  </cellXfs>
  <cellStyles count="1">
    <cellStyle name="Normal" xfId="0" builtinId="0"/>
  </cellStyles>
  <dxfs count="21"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1628774</xdr:colOff>
      <xdr:row>22</xdr:row>
      <xdr:rowOff>180974</xdr:rowOff>
    </xdr:from>
    <xdr:to>
      <xdr:col>11</xdr:col>
      <xdr:colOff>841873</xdr:colOff>
      <xdr:row>24</xdr:row>
      <xdr:rowOff>76200</xdr:rowOff>
    </xdr:to>
    <xdr:sp macro="[0]!wshEJ.Post_J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B052E4D-11C7-F9D3-E177-813A113FE6D4}"/>
            </a:ext>
          </a:extLst>
        </xdr:cNvPr>
        <xdr:cNvSpPr/>
      </xdr:nvSpPr>
      <xdr:spPr>
        <a:xfrm>
          <a:off x="8067674" y="4391024"/>
          <a:ext cx="1041899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11</xdr:col>
      <xdr:colOff>704850</xdr:colOff>
      <xdr:row>24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16CF45A7-187D-C239-0E67-2F4B6B830EFB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EJ"/>
  <dimension ref="A1:L24"/>
  <sheetViews>
    <sheetView showGridLines="0" tabSelected="1" workbookViewId="0">
      <selection activeCell="A6" sqref="A6"/>
    </sheetView>
  </sheetViews>
  <sheetFormatPr baseColWidth="10" defaultRowHeight="15" x14ac:dyDescent="0.25"/>
  <cols>
    <col min="1" max="1" width="15.7109375" style="94" customWidth="1"/>
    <col min="2" max="2" width="11.42578125" style="95"/>
    <col min="3" max="3" width="5.7109375" style="3" customWidth="1"/>
    <col min="4" max="4" width="9.7109375" style="4" customWidth="1"/>
    <col min="5" max="5" width="1.7109375" style="4" customWidth="1"/>
    <col min="6" max="6" width="15.7109375" style="3" customWidth="1"/>
    <col min="7" max="7" width="11.42578125" style="3"/>
    <col min="8" max="9" width="14.7109375" style="3" customWidth="1"/>
    <col min="10" max="10" width="25.7109375" style="3" customWidth="1"/>
    <col min="11" max="11" width="1.7109375" style="3" customWidth="1"/>
    <col min="12" max="12" width="12.7109375" style="3" customWidth="1"/>
    <col min="13" max="13" width="5.7109375" style="3" customWidth="1"/>
    <col min="14" max="16384" width="11.42578125" style="3"/>
  </cols>
  <sheetData>
    <row r="1" spans="1:12" x14ac:dyDescent="0.25">
      <c r="A1" s="94" t="s">
        <v>144</v>
      </c>
      <c r="B1" s="95">
        <v>9</v>
      </c>
      <c r="D1" s="57" t="s">
        <v>8</v>
      </c>
      <c r="E1" s="57"/>
      <c r="F1" s="57"/>
      <c r="G1" s="57"/>
      <c r="H1" s="57"/>
      <c r="I1" s="57"/>
      <c r="J1" s="57"/>
      <c r="K1" s="57"/>
      <c r="L1" s="57"/>
    </row>
    <row r="2" spans="1:12" x14ac:dyDescent="0.25">
      <c r="D2" s="57"/>
      <c r="E2" s="57"/>
      <c r="F2" s="57"/>
      <c r="G2" s="57"/>
      <c r="H2" s="57"/>
      <c r="I2" s="57"/>
      <c r="J2" s="57"/>
      <c r="K2" s="57"/>
      <c r="L2" s="57"/>
    </row>
    <row r="4" spans="1:12" x14ac:dyDescent="0.25">
      <c r="D4" s="4" t="s">
        <v>4</v>
      </c>
      <c r="F4" s="65"/>
      <c r="J4" s="4" t="s">
        <v>7</v>
      </c>
      <c r="L4" s="66"/>
    </row>
    <row r="6" spans="1:12" x14ac:dyDescent="0.25">
      <c r="D6" s="4" t="s">
        <v>5</v>
      </c>
      <c r="F6" s="67"/>
      <c r="G6" s="68"/>
      <c r="H6" s="68"/>
      <c r="I6" s="68"/>
      <c r="J6" s="68"/>
      <c r="K6" s="68"/>
      <c r="L6" s="69"/>
    </row>
    <row r="7" spans="1:12" ht="15.75" thickBot="1" x14ac:dyDescent="0.3"/>
    <row r="8" spans="1:12" x14ac:dyDescent="0.25">
      <c r="D8" s="58" t="s">
        <v>1</v>
      </c>
      <c r="E8" s="59"/>
      <c r="F8" s="59"/>
      <c r="G8" s="59"/>
      <c r="H8" s="6" t="s">
        <v>2</v>
      </c>
      <c r="I8" s="6" t="s">
        <v>3</v>
      </c>
      <c r="J8" s="60" t="s">
        <v>6</v>
      </c>
      <c r="K8" s="61"/>
      <c r="L8" s="62"/>
    </row>
    <row r="9" spans="1:12" x14ac:dyDescent="0.25">
      <c r="D9" s="70"/>
      <c r="E9" s="71"/>
      <c r="F9" s="71"/>
      <c r="G9" s="71"/>
      <c r="H9" s="72"/>
      <c r="I9" s="72"/>
      <c r="J9" s="73"/>
      <c r="K9" s="74"/>
      <c r="L9" s="75"/>
    </row>
    <row r="10" spans="1:12" x14ac:dyDescent="0.25">
      <c r="D10" s="70"/>
      <c r="E10" s="71"/>
      <c r="F10" s="71"/>
      <c r="G10" s="71"/>
      <c r="H10" s="72"/>
      <c r="I10" s="72"/>
      <c r="J10" s="76"/>
      <c r="K10" s="77"/>
      <c r="L10" s="78"/>
    </row>
    <row r="11" spans="1:12" x14ac:dyDescent="0.25">
      <c r="D11" s="70"/>
      <c r="E11" s="71"/>
      <c r="F11" s="71"/>
      <c r="G11" s="71"/>
      <c r="H11" s="72"/>
      <c r="I11" s="72"/>
      <c r="J11" s="76"/>
      <c r="K11" s="77"/>
      <c r="L11" s="78"/>
    </row>
    <row r="12" spans="1:12" x14ac:dyDescent="0.25">
      <c r="D12" s="70"/>
      <c r="E12" s="71"/>
      <c r="F12" s="71"/>
      <c r="G12" s="71"/>
      <c r="H12" s="72"/>
      <c r="I12" s="72"/>
      <c r="J12" s="76"/>
      <c r="K12" s="77"/>
      <c r="L12" s="78"/>
    </row>
    <row r="13" spans="1:12" x14ac:dyDescent="0.25">
      <c r="D13" s="70"/>
      <c r="E13" s="71"/>
      <c r="F13" s="71"/>
      <c r="G13" s="71"/>
      <c r="H13" s="72"/>
      <c r="I13" s="72"/>
      <c r="J13" s="76"/>
      <c r="K13" s="77"/>
      <c r="L13" s="78"/>
    </row>
    <row r="14" spans="1:12" x14ac:dyDescent="0.25">
      <c r="D14" s="70"/>
      <c r="E14" s="71"/>
      <c r="F14" s="71"/>
      <c r="G14" s="71"/>
      <c r="H14" s="72"/>
      <c r="I14" s="72"/>
      <c r="J14" s="76"/>
      <c r="K14" s="77"/>
      <c r="L14" s="78"/>
    </row>
    <row r="15" spans="1:12" x14ac:dyDescent="0.25">
      <c r="D15" s="70"/>
      <c r="E15" s="71"/>
      <c r="F15" s="71"/>
      <c r="G15" s="71"/>
      <c r="H15" s="72"/>
      <c r="I15" s="72"/>
      <c r="J15" s="76"/>
      <c r="K15" s="77"/>
      <c r="L15" s="78"/>
    </row>
    <row r="16" spans="1:12" x14ac:dyDescent="0.25">
      <c r="D16" s="70"/>
      <c r="E16" s="71"/>
      <c r="F16" s="71"/>
      <c r="G16" s="71"/>
      <c r="H16" s="72"/>
      <c r="I16" s="72"/>
      <c r="J16" s="76"/>
      <c r="K16" s="77"/>
      <c r="L16" s="78"/>
    </row>
    <row r="17" spans="4:12" x14ac:dyDescent="0.25">
      <c r="D17" s="70"/>
      <c r="E17" s="71"/>
      <c r="F17" s="71"/>
      <c r="G17" s="71"/>
      <c r="H17" s="72"/>
      <c r="I17" s="72"/>
      <c r="J17" s="76"/>
      <c r="K17" s="77"/>
      <c r="L17" s="78"/>
    </row>
    <row r="18" spans="4:12" x14ac:dyDescent="0.25">
      <c r="D18" s="70"/>
      <c r="E18" s="71"/>
      <c r="F18" s="71"/>
      <c r="G18" s="71"/>
      <c r="H18" s="72"/>
      <c r="I18" s="72"/>
      <c r="J18" s="76"/>
      <c r="K18" s="77"/>
      <c r="L18" s="78"/>
    </row>
    <row r="19" spans="4:12" x14ac:dyDescent="0.25">
      <c r="D19" s="70"/>
      <c r="E19" s="71"/>
      <c r="F19" s="71"/>
      <c r="G19" s="71"/>
      <c r="H19" s="72"/>
      <c r="I19" s="72"/>
      <c r="J19" s="76"/>
      <c r="K19" s="77"/>
      <c r="L19" s="78"/>
    </row>
    <row r="20" spans="4:12" x14ac:dyDescent="0.25">
      <c r="D20" s="70"/>
      <c r="E20" s="71"/>
      <c r="F20" s="71"/>
      <c r="G20" s="71"/>
      <c r="H20" s="72"/>
      <c r="I20" s="72"/>
      <c r="J20" s="76"/>
      <c r="K20" s="77"/>
      <c r="L20" s="78"/>
    </row>
    <row r="21" spans="4:12" x14ac:dyDescent="0.25">
      <c r="D21" s="70"/>
      <c r="E21" s="71"/>
      <c r="F21" s="71"/>
      <c r="G21" s="71"/>
      <c r="H21" s="72"/>
      <c r="I21" s="72"/>
      <c r="J21" s="76"/>
      <c r="K21" s="77"/>
      <c r="L21" s="78"/>
    </row>
    <row r="22" spans="4:12" ht="15.75" thickBot="1" x14ac:dyDescent="0.3">
      <c r="D22" s="79"/>
      <c r="E22" s="80"/>
      <c r="F22" s="80"/>
      <c r="G22" s="80"/>
      <c r="H22" s="81"/>
      <c r="I22" s="81"/>
      <c r="J22" s="82"/>
      <c r="K22" s="83"/>
      <c r="L22" s="84"/>
    </row>
    <row r="24" spans="4:12" x14ac:dyDescent="0.25">
      <c r="H24" s="5">
        <f>SUM(H9:H22)</f>
        <v>0</v>
      </c>
      <c r="I24" s="5">
        <f>SUM(I9:I22)</f>
        <v>0</v>
      </c>
    </row>
  </sheetData>
  <sheetProtection algorithmName="SHA-512" hashValue="YetsaPsoID0BxTVp6UCU/OFtAtLFqvbE13fg1RWpy6lm5MYZ744h+R3RiOB7S/I496rCRRsfV/voVzd3Uyeeuw==" saltValue="YiX8AJnPdl63Epy4xqihOA==" spinCount="100000" sheet="1" objects="1" scenarios="1" formatCells="0" selectLockedCells="1" sort="0" autoFilter="0" pivotTables="0"/>
  <mergeCells count="32">
    <mergeCell ref="D20:G20"/>
    <mergeCell ref="D21:G21"/>
    <mergeCell ref="D22:G22"/>
    <mergeCell ref="D11:G11"/>
    <mergeCell ref="D12:G12"/>
    <mergeCell ref="D13:G13"/>
    <mergeCell ref="D14:G14"/>
    <mergeCell ref="D15:G15"/>
    <mergeCell ref="D16:G16"/>
    <mergeCell ref="J20:L20"/>
    <mergeCell ref="J21:L21"/>
    <mergeCell ref="J22:L22"/>
    <mergeCell ref="J11:L11"/>
    <mergeCell ref="J12:L12"/>
    <mergeCell ref="J13:L13"/>
    <mergeCell ref="J14:L14"/>
    <mergeCell ref="J15:L15"/>
    <mergeCell ref="J16:L16"/>
    <mergeCell ref="F6:L6"/>
    <mergeCell ref="D1:L2"/>
    <mergeCell ref="J17:L17"/>
    <mergeCell ref="J18:L18"/>
    <mergeCell ref="J19:L19"/>
    <mergeCell ref="D17:G17"/>
    <mergeCell ref="D18:G18"/>
    <mergeCell ref="D19:G19"/>
    <mergeCell ref="D8:G8"/>
    <mergeCell ref="D9:G9"/>
    <mergeCell ref="D10:G10"/>
    <mergeCell ref="J8:L8"/>
    <mergeCell ref="J9:L9"/>
    <mergeCell ref="J10:L10"/>
  </mergeCell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D9:G9 D10:G22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/>
  <dimension ref="C1:K58"/>
  <sheetViews>
    <sheetView topLeftCell="A34" workbookViewId="0">
      <selection activeCell="I51" sqref="I51"/>
    </sheetView>
  </sheetViews>
  <sheetFormatPr baseColWidth="10" defaultRowHeight="15" x14ac:dyDescent="0.25"/>
  <cols>
    <col min="3" max="3" width="5.7109375" style="31" customWidth="1"/>
    <col min="4" max="4" width="12.7109375" style="33" customWidth="1"/>
    <col min="5" max="5" width="8.7109375" style="18" customWidth="1"/>
    <col min="6" max="6" width="15.5703125" customWidth="1"/>
    <col min="7" max="7" width="37.5703125" customWidth="1"/>
    <col min="8" max="9" width="13.7109375" style="1" customWidth="1"/>
    <col min="10" max="10" width="30.28515625" customWidth="1"/>
    <col min="11" max="11" width="5.7109375" style="31" customWidth="1"/>
  </cols>
  <sheetData>
    <row r="1" spans="3:11" ht="30.75" thickBot="1" x14ac:dyDescent="0.3">
      <c r="C1" s="32" t="s">
        <v>143</v>
      </c>
      <c r="D1" s="19" t="s">
        <v>141</v>
      </c>
      <c r="E1" s="17" t="s">
        <v>140</v>
      </c>
      <c r="F1" s="19" t="s">
        <v>0</v>
      </c>
      <c r="G1" s="19" t="s">
        <v>1</v>
      </c>
      <c r="H1" s="20" t="s">
        <v>2</v>
      </c>
      <c r="I1" s="20" t="s">
        <v>3</v>
      </c>
      <c r="J1" s="19" t="s">
        <v>142</v>
      </c>
    </row>
    <row r="2" spans="3:11" x14ac:dyDescent="0.25">
      <c r="C2" s="31">
        <v>1</v>
      </c>
      <c r="D2" s="54">
        <v>45204</v>
      </c>
      <c r="E2" s="35">
        <v>1</v>
      </c>
      <c r="F2" s="21" t="s">
        <v>139</v>
      </c>
      <c r="G2" s="21">
        <f>EJ!D9</f>
        <v>0</v>
      </c>
      <c r="H2" s="22">
        <f>EJ!H9</f>
        <v>0</v>
      </c>
      <c r="I2" s="22"/>
      <c r="J2" s="23"/>
      <c r="K2" s="31">
        <f>ROW()</f>
        <v>2</v>
      </c>
    </row>
    <row r="3" spans="3:11" ht="15.75" x14ac:dyDescent="0.25">
      <c r="C3" s="31">
        <v>1</v>
      </c>
      <c r="D3" s="55">
        <v>45204</v>
      </c>
      <c r="E3" s="29">
        <v>1</v>
      </c>
      <c r="F3" s="26" t="s">
        <v>139</v>
      </c>
      <c r="G3" s="24">
        <f>EJ!D10</f>
        <v>0</v>
      </c>
      <c r="H3" s="25"/>
      <c r="I3" s="25">
        <f>EJ!I10</f>
        <v>0</v>
      </c>
      <c r="J3" s="2"/>
      <c r="K3" s="31">
        <f>ROW()</f>
        <v>3</v>
      </c>
    </row>
    <row r="4" spans="3:11" ht="16.5" thickBot="1" x14ac:dyDescent="0.3">
      <c r="C4" s="31">
        <v>1</v>
      </c>
      <c r="D4" s="56">
        <v>45204</v>
      </c>
      <c r="E4" s="30">
        <v>1</v>
      </c>
      <c r="F4" s="27"/>
      <c r="G4" s="85" t="s">
        <v>145</v>
      </c>
      <c r="H4" s="86"/>
      <c r="I4" s="86"/>
      <c r="J4" s="87"/>
      <c r="K4" s="31">
        <f>ROW()</f>
        <v>4</v>
      </c>
    </row>
    <row r="5" spans="3:11" ht="15.75" thickBot="1" x14ac:dyDescent="0.3">
      <c r="C5" s="31">
        <v>1</v>
      </c>
      <c r="D5" s="36">
        <v>45204</v>
      </c>
      <c r="E5" s="28">
        <v>1</v>
      </c>
      <c r="K5" s="31">
        <f>ROW()</f>
        <v>5</v>
      </c>
    </row>
    <row r="6" spans="3:11" x14ac:dyDescent="0.25">
      <c r="C6" s="31">
        <v>2</v>
      </c>
      <c r="D6" s="37">
        <v>45204</v>
      </c>
      <c r="E6" s="35">
        <v>2</v>
      </c>
      <c r="F6" s="21" t="s">
        <v>139</v>
      </c>
      <c r="G6" s="21" t="s">
        <v>107</v>
      </c>
      <c r="H6" s="22">
        <v>250</v>
      </c>
      <c r="I6" s="22"/>
      <c r="J6" s="38"/>
      <c r="K6" s="31">
        <f>ROW()</f>
        <v>6</v>
      </c>
    </row>
    <row r="7" spans="3:11" x14ac:dyDescent="0.25">
      <c r="C7" s="31">
        <v>2</v>
      </c>
      <c r="D7" s="43">
        <v>45204</v>
      </c>
      <c r="E7" s="44">
        <v>2</v>
      </c>
      <c r="F7" s="26" t="s">
        <v>139</v>
      </c>
      <c r="G7" s="24" t="s">
        <v>13</v>
      </c>
      <c r="H7" s="25"/>
      <c r="I7" s="25">
        <v>250</v>
      </c>
      <c r="J7" s="39"/>
      <c r="K7" s="31">
        <f>ROW()</f>
        <v>7</v>
      </c>
    </row>
    <row r="8" spans="3:11" ht="15.75" thickBot="1" x14ac:dyDescent="0.3">
      <c r="C8" s="31">
        <v>2</v>
      </c>
      <c r="D8" s="40"/>
      <c r="E8" s="41"/>
      <c r="F8" s="42"/>
      <c r="G8" s="88" t="s">
        <v>145</v>
      </c>
      <c r="H8" s="86"/>
      <c r="I8" s="86"/>
      <c r="J8" s="87"/>
      <c r="K8" s="31">
        <f>ROW()</f>
        <v>8</v>
      </c>
    </row>
    <row r="9" spans="3:11" ht="15.75" thickBot="1" x14ac:dyDescent="0.3">
      <c r="C9" s="31">
        <v>2</v>
      </c>
      <c r="D9" s="47"/>
      <c r="E9" s="48"/>
      <c r="F9" s="49"/>
      <c r="G9" s="49"/>
      <c r="H9" s="50"/>
      <c r="I9" s="50"/>
      <c r="J9" s="49"/>
      <c r="K9" s="31">
        <f>ROW()</f>
        <v>9</v>
      </c>
    </row>
    <row r="10" spans="3:11" x14ac:dyDescent="0.25">
      <c r="C10" s="31">
        <v>3</v>
      </c>
      <c r="D10" s="37">
        <v>45204</v>
      </c>
      <c r="E10" s="35">
        <v>3</v>
      </c>
      <c r="F10" s="21" t="s">
        <v>139</v>
      </c>
      <c r="G10" s="21" t="s">
        <v>107</v>
      </c>
      <c r="H10" s="22">
        <v>49.95</v>
      </c>
      <c r="I10" s="22"/>
      <c r="J10" s="38"/>
      <c r="K10" s="31">
        <f>ROW()</f>
        <v>10</v>
      </c>
    </row>
    <row r="11" spans="3:11" x14ac:dyDescent="0.25">
      <c r="C11" s="31">
        <v>3</v>
      </c>
      <c r="D11" s="43">
        <v>45204</v>
      </c>
      <c r="E11" s="44">
        <v>2</v>
      </c>
      <c r="F11" s="26" t="s">
        <v>139</v>
      </c>
      <c r="G11" s="24" t="s">
        <v>13</v>
      </c>
      <c r="H11" s="25"/>
      <c r="I11" s="25">
        <v>49.95</v>
      </c>
      <c r="J11" s="39"/>
      <c r="K11" s="31">
        <f>ROW()</f>
        <v>11</v>
      </c>
    </row>
    <row r="12" spans="3:11" ht="15.75" thickBot="1" x14ac:dyDescent="0.3">
      <c r="C12" s="31">
        <v>3</v>
      </c>
      <c r="D12" s="51">
        <v>45204</v>
      </c>
      <c r="E12" s="52">
        <v>2</v>
      </c>
      <c r="F12" s="53" t="s">
        <v>139</v>
      </c>
      <c r="G12" s="88" t="s">
        <v>145</v>
      </c>
      <c r="H12" s="89"/>
      <c r="I12" s="89"/>
      <c r="J12" s="90"/>
      <c r="K12" s="31">
        <f>ROW()</f>
        <v>12</v>
      </c>
    </row>
    <row r="13" spans="3:11" ht="15.75" thickBot="1" x14ac:dyDescent="0.3">
      <c r="C13" s="31">
        <v>3</v>
      </c>
      <c r="D13" s="45"/>
      <c r="E13" s="28"/>
      <c r="F13" s="46"/>
      <c r="K13" s="31">
        <f>ROW()</f>
        <v>13</v>
      </c>
    </row>
    <row r="14" spans="3:11" x14ac:dyDescent="0.25">
      <c r="C14" s="31">
        <v>4</v>
      </c>
      <c r="D14" s="37">
        <v>45203</v>
      </c>
      <c r="E14" s="35">
        <v>4</v>
      </c>
      <c r="F14" s="21" t="s">
        <v>146</v>
      </c>
      <c r="G14" s="21" t="s">
        <v>23</v>
      </c>
      <c r="H14" s="22">
        <v>2300</v>
      </c>
      <c r="I14" s="22"/>
      <c r="J14" s="38"/>
      <c r="K14" s="31">
        <f>ROW()</f>
        <v>14</v>
      </c>
    </row>
    <row r="15" spans="3:11" x14ac:dyDescent="0.25">
      <c r="C15" s="31">
        <v>4</v>
      </c>
      <c r="D15" s="43">
        <v>45203</v>
      </c>
      <c r="E15" s="44">
        <v>4</v>
      </c>
      <c r="F15" s="26" t="s">
        <v>146</v>
      </c>
      <c r="G15" s="24" t="s">
        <v>19</v>
      </c>
      <c r="H15" s="25"/>
      <c r="I15" s="25">
        <v>985.45</v>
      </c>
      <c r="J15" s="39"/>
      <c r="K15" s="31">
        <f>ROW()</f>
        <v>15</v>
      </c>
    </row>
    <row r="16" spans="3:11" x14ac:dyDescent="0.25">
      <c r="C16" s="31">
        <v>4</v>
      </c>
      <c r="D16" s="43">
        <v>45203</v>
      </c>
      <c r="E16" s="44">
        <v>4</v>
      </c>
      <c r="F16" s="26" t="s">
        <v>146</v>
      </c>
      <c r="G16" s="24" t="s">
        <v>25</v>
      </c>
      <c r="H16" s="25">
        <v>4589</v>
      </c>
      <c r="I16" s="25"/>
      <c r="J16" s="39"/>
      <c r="K16" s="31">
        <f>ROW()</f>
        <v>16</v>
      </c>
    </row>
    <row r="17" spans="3:11" x14ac:dyDescent="0.25">
      <c r="C17" s="31">
        <v>4</v>
      </c>
      <c r="D17" s="43">
        <v>45203</v>
      </c>
      <c r="E17" s="44">
        <v>4</v>
      </c>
      <c r="F17" s="26" t="s">
        <v>146</v>
      </c>
      <c r="G17" s="24" t="s">
        <v>21</v>
      </c>
      <c r="H17" s="25"/>
      <c r="I17" s="25">
        <v>1750</v>
      </c>
      <c r="J17" s="39"/>
      <c r="K17" s="31">
        <f>ROW()</f>
        <v>17</v>
      </c>
    </row>
    <row r="18" spans="3:11" x14ac:dyDescent="0.25">
      <c r="C18" s="31">
        <v>4</v>
      </c>
      <c r="D18" s="43">
        <v>45203</v>
      </c>
      <c r="E18" s="44">
        <v>4</v>
      </c>
      <c r="F18" s="26" t="s">
        <v>146</v>
      </c>
      <c r="G18" s="24" t="s">
        <v>13</v>
      </c>
      <c r="H18" s="25"/>
      <c r="I18" s="25">
        <v>4153.55</v>
      </c>
      <c r="J18" s="39"/>
      <c r="K18" s="31">
        <f>ROW()</f>
        <v>18</v>
      </c>
    </row>
    <row r="19" spans="3:11" ht="15.75" thickBot="1" x14ac:dyDescent="0.3">
      <c r="C19" s="31">
        <v>4</v>
      </c>
      <c r="D19" s="51">
        <v>45203</v>
      </c>
      <c r="E19" s="52">
        <v>4</v>
      </c>
      <c r="F19" s="53" t="s">
        <v>146</v>
      </c>
      <c r="G19" s="88" t="s">
        <v>147</v>
      </c>
      <c r="H19" s="89"/>
      <c r="I19" s="89"/>
      <c r="J19" s="90"/>
      <c r="K19" s="31">
        <f>ROW()</f>
        <v>19</v>
      </c>
    </row>
    <row r="20" spans="3:11" ht="15.75" thickBot="1" x14ac:dyDescent="0.3">
      <c r="C20" s="31">
        <v>4</v>
      </c>
      <c r="D20" s="45">
        <v>45203</v>
      </c>
      <c r="E20" s="28">
        <v>4</v>
      </c>
      <c r="F20" s="46" t="s">
        <v>146</v>
      </c>
      <c r="K20" s="31">
        <f>ROW()</f>
        <v>20</v>
      </c>
    </row>
    <row r="21" spans="3:11" x14ac:dyDescent="0.25">
      <c r="C21" s="31">
        <v>5</v>
      </c>
      <c r="D21" s="37">
        <v>45204</v>
      </c>
      <c r="E21" s="35">
        <v>5</v>
      </c>
      <c r="F21" s="21" t="s">
        <v>148</v>
      </c>
      <c r="G21" s="21" t="s">
        <v>15</v>
      </c>
      <c r="H21" s="22">
        <v>1228.72</v>
      </c>
      <c r="I21" s="22"/>
      <c r="J21" s="38"/>
      <c r="K21" s="31">
        <f>ROW()</f>
        <v>21</v>
      </c>
    </row>
    <row r="22" spans="3:11" x14ac:dyDescent="0.25">
      <c r="C22" s="31">
        <v>5</v>
      </c>
      <c r="D22" s="43">
        <v>45204</v>
      </c>
      <c r="E22" s="44">
        <v>5</v>
      </c>
      <c r="F22" s="26" t="s">
        <v>148</v>
      </c>
      <c r="G22" s="24" t="s">
        <v>88</v>
      </c>
      <c r="H22" s="25"/>
      <c r="I22" s="25">
        <v>1625</v>
      </c>
      <c r="J22" s="39"/>
      <c r="K22" s="31">
        <f>ROW()</f>
        <v>22</v>
      </c>
    </row>
    <row r="23" spans="3:11" x14ac:dyDescent="0.25">
      <c r="C23" s="31">
        <v>5</v>
      </c>
      <c r="D23" s="43">
        <v>45204</v>
      </c>
      <c r="E23" s="44">
        <v>5</v>
      </c>
      <c r="F23" s="26" t="s">
        <v>148</v>
      </c>
      <c r="G23" s="24" t="s">
        <v>121</v>
      </c>
      <c r="H23" s="25"/>
      <c r="I23" s="25">
        <v>31</v>
      </c>
      <c r="J23" s="39"/>
      <c r="K23" s="31">
        <f>ROW()</f>
        <v>23</v>
      </c>
    </row>
    <row r="24" spans="3:11" x14ac:dyDescent="0.25">
      <c r="C24" s="31">
        <v>5</v>
      </c>
      <c r="D24" s="43">
        <v>45204</v>
      </c>
      <c r="E24" s="44">
        <v>5</v>
      </c>
      <c r="F24" s="26" t="s">
        <v>148</v>
      </c>
      <c r="G24" s="24" t="s">
        <v>119</v>
      </c>
      <c r="H24" s="25"/>
      <c r="I24" s="25">
        <v>32</v>
      </c>
      <c r="J24" s="39"/>
      <c r="K24" s="31">
        <f>ROW()</f>
        <v>24</v>
      </c>
    </row>
    <row r="25" spans="3:11" x14ac:dyDescent="0.25">
      <c r="C25" s="31">
        <v>5</v>
      </c>
      <c r="D25" s="43">
        <v>45204</v>
      </c>
      <c r="E25" s="44">
        <v>5</v>
      </c>
      <c r="F25" s="26" t="s">
        <v>148</v>
      </c>
      <c r="G25" s="24" t="s">
        <v>123</v>
      </c>
      <c r="H25" s="25"/>
      <c r="I25" s="25">
        <v>33</v>
      </c>
      <c r="J25" s="39"/>
      <c r="K25" s="31">
        <f>ROW()</f>
        <v>25</v>
      </c>
    </row>
    <row r="26" spans="3:11" x14ac:dyDescent="0.25">
      <c r="C26" s="31">
        <v>5</v>
      </c>
      <c r="D26" s="43">
        <v>45204</v>
      </c>
      <c r="E26" s="44">
        <v>5</v>
      </c>
      <c r="F26" s="26" t="s">
        <v>148</v>
      </c>
      <c r="G26" s="24" t="s">
        <v>23</v>
      </c>
      <c r="H26" s="25"/>
      <c r="I26" s="25">
        <v>86.05</v>
      </c>
      <c r="J26" s="39"/>
      <c r="K26" s="31">
        <f>ROW()</f>
        <v>26</v>
      </c>
    </row>
    <row r="27" spans="3:11" x14ac:dyDescent="0.25">
      <c r="C27" s="31">
        <v>5</v>
      </c>
      <c r="D27" s="43">
        <v>45204</v>
      </c>
      <c r="E27" s="44">
        <v>5</v>
      </c>
      <c r="F27" s="26" t="s">
        <v>148</v>
      </c>
      <c r="G27" s="24" t="s">
        <v>25</v>
      </c>
      <c r="H27" s="25"/>
      <c r="I27" s="25">
        <v>171.67</v>
      </c>
      <c r="J27" s="39"/>
      <c r="K27" s="31">
        <f>ROW()</f>
        <v>27</v>
      </c>
    </row>
    <row r="28" spans="3:11" x14ac:dyDescent="0.25">
      <c r="C28" s="31">
        <v>5</v>
      </c>
      <c r="D28" s="43">
        <v>45204</v>
      </c>
      <c r="E28" s="44">
        <v>5</v>
      </c>
      <c r="F28" s="26" t="s">
        <v>148</v>
      </c>
      <c r="G28" s="24" t="s">
        <v>33</v>
      </c>
      <c r="H28" s="25">
        <v>750</v>
      </c>
      <c r="I28" s="25"/>
      <c r="J28" s="39"/>
      <c r="K28" s="31">
        <f>ROW()</f>
        <v>28</v>
      </c>
    </row>
    <row r="29" spans="3:11" ht="15.75" thickBot="1" x14ac:dyDescent="0.3">
      <c r="C29" s="31">
        <v>5</v>
      </c>
      <c r="D29" s="51">
        <v>45204</v>
      </c>
      <c r="E29" s="52">
        <v>5</v>
      </c>
      <c r="F29" s="53" t="s">
        <v>148</v>
      </c>
      <c r="G29" s="91" t="s">
        <v>149</v>
      </c>
      <c r="H29" s="92"/>
      <c r="I29" s="92"/>
      <c r="J29" s="93"/>
      <c r="K29" s="31">
        <f>ROW()</f>
        <v>29</v>
      </c>
    </row>
    <row r="30" spans="3:11" ht="15.75" thickBot="1" x14ac:dyDescent="0.3">
      <c r="C30" s="31">
        <v>5</v>
      </c>
      <c r="D30" s="96">
        <v>45204</v>
      </c>
      <c r="E30" s="97">
        <v>5</v>
      </c>
      <c r="F30" s="98" t="s">
        <v>148</v>
      </c>
      <c r="G30" s="99"/>
      <c r="H30" s="100"/>
      <c r="I30" s="100"/>
      <c r="J30" s="99"/>
      <c r="K30" s="31">
        <f>ROW()</f>
        <v>30</v>
      </c>
    </row>
    <row r="31" spans="3:11" x14ac:dyDescent="0.25">
      <c r="C31" s="31">
        <v>6</v>
      </c>
      <c r="D31" s="37">
        <v>45204</v>
      </c>
      <c r="E31" s="35">
        <v>6</v>
      </c>
      <c r="F31" s="21" t="s">
        <v>148</v>
      </c>
      <c r="G31" s="21" t="s">
        <v>15</v>
      </c>
      <c r="H31" s="22">
        <v>1228.72</v>
      </c>
      <c r="I31" s="22"/>
      <c r="J31" s="38"/>
      <c r="K31" s="31">
        <f>ROW()</f>
        <v>31</v>
      </c>
    </row>
    <row r="32" spans="3:11" x14ac:dyDescent="0.25">
      <c r="C32" s="31">
        <v>6</v>
      </c>
      <c r="D32" s="43">
        <v>45204</v>
      </c>
      <c r="E32" s="44">
        <v>6</v>
      </c>
      <c r="F32" s="26" t="s">
        <v>148</v>
      </c>
      <c r="G32" s="24" t="s">
        <v>88</v>
      </c>
      <c r="H32" s="25"/>
      <c r="I32" s="25">
        <v>1625</v>
      </c>
      <c r="J32" s="39"/>
      <c r="K32" s="31">
        <f>ROW()</f>
        <v>32</v>
      </c>
    </row>
    <row r="33" spans="3:11" x14ac:dyDescent="0.25">
      <c r="C33" s="31">
        <v>6</v>
      </c>
      <c r="D33" s="43">
        <v>45204</v>
      </c>
      <c r="E33" s="44">
        <v>6</v>
      </c>
      <c r="F33" s="26" t="s">
        <v>148</v>
      </c>
      <c r="G33" s="24" t="s">
        <v>121</v>
      </c>
      <c r="H33" s="25"/>
      <c r="I33" s="25">
        <v>31</v>
      </c>
      <c r="J33" s="39"/>
      <c r="K33" s="31">
        <f>ROW()</f>
        <v>33</v>
      </c>
    </row>
    <row r="34" spans="3:11" x14ac:dyDescent="0.25">
      <c r="C34" s="31">
        <v>6</v>
      </c>
      <c r="D34" s="43">
        <v>45204</v>
      </c>
      <c r="E34" s="44">
        <v>6</v>
      </c>
      <c r="F34" s="26" t="s">
        <v>148</v>
      </c>
      <c r="G34" s="24" t="s">
        <v>119</v>
      </c>
      <c r="H34" s="25"/>
      <c r="I34" s="25">
        <v>32</v>
      </c>
      <c r="J34" s="39"/>
      <c r="K34" s="31">
        <f>ROW()</f>
        <v>34</v>
      </c>
    </row>
    <row r="35" spans="3:11" x14ac:dyDescent="0.25">
      <c r="C35" s="31">
        <v>6</v>
      </c>
      <c r="D35" s="43">
        <v>45204</v>
      </c>
      <c r="E35" s="44">
        <v>6</v>
      </c>
      <c r="F35" s="26" t="s">
        <v>148</v>
      </c>
      <c r="G35" s="24" t="s">
        <v>123</v>
      </c>
      <c r="H35" s="25"/>
      <c r="I35" s="25">
        <v>33</v>
      </c>
      <c r="J35" s="39"/>
      <c r="K35" s="31">
        <f>ROW()</f>
        <v>35</v>
      </c>
    </row>
    <row r="36" spans="3:11" x14ac:dyDescent="0.25">
      <c r="C36" s="31">
        <v>6</v>
      </c>
      <c r="D36" s="43">
        <v>45204</v>
      </c>
      <c r="E36" s="44">
        <v>6</v>
      </c>
      <c r="F36" s="26" t="s">
        <v>148</v>
      </c>
      <c r="G36" s="24" t="s">
        <v>23</v>
      </c>
      <c r="H36" s="25"/>
      <c r="I36" s="25">
        <v>86.05</v>
      </c>
      <c r="J36" s="39"/>
      <c r="K36" s="31">
        <f>ROW()</f>
        <v>36</v>
      </c>
    </row>
    <row r="37" spans="3:11" x14ac:dyDescent="0.25">
      <c r="C37" s="31">
        <v>6</v>
      </c>
      <c r="D37" s="43">
        <v>45204</v>
      </c>
      <c r="E37" s="44">
        <v>6</v>
      </c>
      <c r="F37" s="26" t="s">
        <v>148</v>
      </c>
      <c r="G37" s="24" t="s">
        <v>25</v>
      </c>
      <c r="H37" s="25"/>
      <c r="I37" s="25">
        <v>171.67</v>
      </c>
      <c r="J37" s="39"/>
      <c r="K37" s="31">
        <f>ROW()</f>
        <v>37</v>
      </c>
    </row>
    <row r="38" spans="3:11" x14ac:dyDescent="0.25">
      <c r="C38" s="31">
        <v>6</v>
      </c>
      <c r="D38" s="43">
        <v>45204</v>
      </c>
      <c r="E38" s="44">
        <v>6</v>
      </c>
      <c r="F38" s="26" t="s">
        <v>148</v>
      </c>
      <c r="G38" s="24" t="s">
        <v>33</v>
      </c>
      <c r="H38" s="25">
        <v>750</v>
      </c>
      <c r="I38" s="25"/>
      <c r="J38" s="39"/>
      <c r="K38" s="31">
        <f>ROW()</f>
        <v>38</v>
      </c>
    </row>
    <row r="39" spans="3:11" ht="15.75" thickBot="1" x14ac:dyDescent="0.3">
      <c r="C39" s="31">
        <v>6</v>
      </c>
      <c r="D39" s="51">
        <v>45204</v>
      </c>
      <c r="E39" s="52">
        <v>6</v>
      </c>
      <c r="F39" s="53" t="s">
        <v>148</v>
      </c>
      <c r="G39" s="88" t="s">
        <v>149</v>
      </c>
      <c r="H39" s="89"/>
      <c r="I39" s="89"/>
      <c r="J39" s="90"/>
      <c r="K39" s="31">
        <f>ROW()</f>
        <v>39</v>
      </c>
    </row>
    <row r="40" spans="3:11" ht="15.75" thickBot="1" x14ac:dyDescent="0.3">
      <c r="C40" s="31">
        <v>6</v>
      </c>
      <c r="D40" s="45">
        <v>45204</v>
      </c>
      <c r="E40" s="28">
        <v>6</v>
      </c>
      <c r="F40" s="46" t="s">
        <v>148</v>
      </c>
    </row>
    <row r="41" spans="3:11" x14ac:dyDescent="0.25">
      <c r="C41" s="31">
        <v>7</v>
      </c>
      <c r="D41" s="37">
        <v>45203</v>
      </c>
      <c r="E41" s="35">
        <v>7</v>
      </c>
      <c r="F41" s="21" t="s">
        <v>150</v>
      </c>
      <c r="G41" s="21" t="s">
        <v>15</v>
      </c>
      <c r="H41" s="22">
        <v>430.11</v>
      </c>
      <c r="I41" s="22"/>
      <c r="J41" s="38"/>
      <c r="K41" s="31">
        <f>ROW()</f>
        <v>41</v>
      </c>
    </row>
    <row r="42" spans="3:11" x14ac:dyDescent="0.25">
      <c r="C42" s="31">
        <v>7</v>
      </c>
      <c r="D42" s="43">
        <v>45203</v>
      </c>
      <c r="E42" s="44">
        <v>7</v>
      </c>
      <c r="F42" s="26" t="s">
        <v>150</v>
      </c>
      <c r="G42" s="24" t="s">
        <v>88</v>
      </c>
      <c r="H42" s="25"/>
      <c r="I42" s="25">
        <v>612.5</v>
      </c>
      <c r="J42" s="39"/>
      <c r="K42" s="31">
        <f>ROW()</f>
        <v>42</v>
      </c>
    </row>
    <row r="43" spans="3:11" x14ac:dyDescent="0.25">
      <c r="C43" s="31">
        <v>7</v>
      </c>
      <c r="D43" s="43">
        <v>45203</v>
      </c>
      <c r="E43" s="44">
        <v>7</v>
      </c>
      <c r="F43" s="26" t="s">
        <v>150</v>
      </c>
      <c r="G43" s="24" t="s">
        <v>121</v>
      </c>
      <c r="H43" s="25"/>
      <c r="I43" s="25">
        <v>21</v>
      </c>
      <c r="J43" s="39"/>
      <c r="K43" s="31">
        <f>ROW()</f>
        <v>43</v>
      </c>
    </row>
    <row r="44" spans="3:11" x14ac:dyDescent="0.25">
      <c r="C44" s="31">
        <v>7</v>
      </c>
      <c r="D44" s="43">
        <v>45203</v>
      </c>
      <c r="E44" s="44">
        <v>7</v>
      </c>
      <c r="F44" s="26" t="s">
        <v>150</v>
      </c>
      <c r="G44" s="24" t="s">
        <v>119</v>
      </c>
      <c r="H44" s="25"/>
      <c r="I44" s="25">
        <v>22</v>
      </c>
      <c r="J44" s="39"/>
      <c r="K44" s="31">
        <f>ROW()</f>
        <v>44</v>
      </c>
    </row>
    <row r="45" spans="3:11" x14ac:dyDescent="0.25">
      <c r="C45" s="31">
        <v>7</v>
      </c>
      <c r="D45" s="43">
        <v>45203</v>
      </c>
      <c r="E45" s="44">
        <v>7</v>
      </c>
      <c r="F45" s="26" t="s">
        <v>150</v>
      </c>
      <c r="G45" s="24" t="s">
        <v>123</v>
      </c>
      <c r="H45" s="25"/>
      <c r="I45" s="25">
        <v>23</v>
      </c>
      <c r="J45" s="39"/>
      <c r="K45" s="31">
        <f>ROW()</f>
        <v>45</v>
      </c>
    </row>
    <row r="46" spans="3:11" x14ac:dyDescent="0.25">
      <c r="C46" s="31">
        <v>7</v>
      </c>
      <c r="D46" s="43">
        <v>45203</v>
      </c>
      <c r="E46" s="44">
        <v>7</v>
      </c>
      <c r="F46" s="26" t="s">
        <v>150</v>
      </c>
      <c r="G46" s="24" t="s">
        <v>23</v>
      </c>
      <c r="H46" s="25"/>
      <c r="I46" s="25">
        <v>33.93</v>
      </c>
      <c r="J46" s="39"/>
      <c r="K46" s="31">
        <f>ROW()</f>
        <v>46</v>
      </c>
    </row>
    <row r="47" spans="3:11" x14ac:dyDescent="0.25">
      <c r="C47" s="31">
        <v>7</v>
      </c>
      <c r="D47" s="43">
        <v>45203</v>
      </c>
      <c r="E47" s="44">
        <v>7</v>
      </c>
      <c r="F47" s="26" t="s">
        <v>150</v>
      </c>
      <c r="G47" s="24" t="s">
        <v>25</v>
      </c>
      <c r="H47" s="25"/>
      <c r="I47" s="25">
        <v>67.680000000000007</v>
      </c>
      <c r="J47" s="39"/>
      <c r="K47" s="31">
        <f>ROW()</f>
        <v>47</v>
      </c>
    </row>
    <row r="48" spans="3:11" x14ac:dyDescent="0.25">
      <c r="C48" s="31">
        <v>7</v>
      </c>
      <c r="D48" s="43">
        <v>45203</v>
      </c>
      <c r="E48" s="44">
        <v>7</v>
      </c>
      <c r="F48" s="26" t="s">
        <v>150</v>
      </c>
      <c r="G48" s="24" t="s">
        <v>33</v>
      </c>
      <c r="H48" s="25">
        <v>350</v>
      </c>
      <c r="I48" s="25"/>
      <c r="J48" s="39"/>
      <c r="K48" s="31">
        <f>ROW()</f>
        <v>48</v>
      </c>
    </row>
    <row r="49" spans="3:11" ht="15.75" thickBot="1" x14ac:dyDescent="0.3">
      <c r="C49" s="31">
        <v>7</v>
      </c>
      <c r="D49" s="51">
        <v>45203</v>
      </c>
      <c r="E49" s="52">
        <v>7</v>
      </c>
      <c r="F49" s="53" t="s">
        <v>150</v>
      </c>
      <c r="G49" s="88" t="s">
        <v>151</v>
      </c>
      <c r="H49" s="89"/>
      <c r="I49" s="89"/>
      <c r="J49" s="90"/>
      <c r="K49" s="31">
        <f>ROW()</f>
        <v>49</v>
      </c>
    </row>
    <row r="50" spans="3:11" x14ac:dyDescent="0.25">
      <c r="C50" s="31">
        <v>7</v>
      </c>
      <c r="D50" s="45">
        <v>45203</v>
      </c>
      <c r="E50" s="28">
        <v>7</v>
      </c>
      <c r="F50" s="46" t="s">
        <v>150</v>
      </c>
      <c r="K50" s="31">
        <f>ROW()</f>
        <v>50</v>
      </c>
    </row>
    <row r="51" spans="3:11" x14ac:dyDescent="0.25">
      <c r="C51" s="31">
        <v>8</v>
      </c>
      <c r="D51" s="34">
        <v>45204</v>
      </c>
      <c r="E51" s="18">
        <v>8</v>
      </c>
      <c r="F51" t="s">
        <v>152</v>
      </c>
      <c r="G51" t="s">
        <v>15</v>
      </c>
      <c r="H51" s="1">
        <v>1248.6300000000001</v>
      </c>
      <c r="K51" s="31">
        <f>ROW()</f>
        <v>51</v>
      </c>
    </row>
    <row r="52" spans="3:11" x14ac:dyDescent="0.25">
      <c r="C52" s="31">
        <v>8</v>
      </c>
      <c r="D52" s="34">
        <v>45204</v>
      </c>
      <c r="E52" s="18">
        <v>8</v>
      </c>
      <c r="F52" t="s">
        <v>152</v>
      </c>
      <c r="G52" t="s">
        <v>88</v>
      </c>
      <c r="I52" s="1">
        <v>1050</v>
      </c>
      <c r="K52" s="31">
        <f>ROW()</f>
        <v>52</v>
      </c>
    </row>
    <row r="53" spans="3:11" x14ac:dyDescent="0.25">
      <c r="C53" s="31">
        <v>8</v>
      </c>
      <c r="D53" s="34">
        <v>45204</v>
      </c>
      <c r="E53" s="18">
        <v>8</v>
      </c>
      <c r="F53" t="s">
        <v>152</v>
      </c>
      <c r="G53" t="s">
        <v>121</v>
      </c>
      <c r="I53" s="1">
        <v>11</v>
      </c>
      <c r="K53" s="31">
        <f>ROW()</f>
        <v>53</v>
      </c>
    </row>
    <row r="54" spans="3:11" x14ac:dyDescent="0.25">
      <c r="C54" s="31">
        <v>8</v>
      </c>
      <c r="D54" s="34">
        <v>45204</v>
      </c>
      <c r="E54" s="18">
        <v>8</v>
      </c>
      <c r="F54" t="s">
        <v>152</v>
      </c>
      <c r="G54" t="s">
        <v>119</v>
      </c>
      <c r="I54" s="1">
        <v>12</v>
      </c>
      <c r="K54" s="31">
        <f>ROW()</f>
        <v>54</v>
      </c>
    </row>
    <row r="55" spans="3:11" x14ac:dyDescent="0.25">
      <c r="C55" s="31">
        <v>8</v>
      </c>
      <c r="D55" s="34">
        <v>45204</v>
      </c>
      <c r="E55" s="18">
        <v>8</v>
      </c>
      <c r="F55" t="s">
        <v>152</v>
      </c>
      <c r="G55" t="s">
        <v>123</v>
      </c>
      <c r="I55" s="1">
        <v>13</v>
      </c>
      <c r="K55" s="31">
        <f>ROW()</f>
        <v>55</v>
      </c>
    </row>
    <row r="56" spans="3:11" x14ac:dyDescent="0.25">
      <c r="C56" s="31">
        <v>8</v>
      </c>
      <c r="D56" s="34">
        <v>45204</v>
      </c>
      <c r="E56" s="18">
        <v>8</v>
      </c>
      <c r="F56" t="s">
        <v>152</v>
      </c>
      <c r="G56" t="s">
        <v>23</v>
      </c>
      <c r="I56" s="1">
        <v>54.3</v>
      </c>
      <c r="K56" s="31">
        <f>ROW()</f>
        <v>56</v>
      </c>
    </row>
    <row r="57" spans="3:11" x14ac:dyDescent="0.25">
      <c r="C57" s="31">
        <v>8</v>
      </c>
      <c r="D57" s="34">
        <v>45204</v>
      </c>
      <c r="E57" s="18">
        <v>8</v>
      </c>
      <c r="F57" t="s">
        <v>152</v>
      </c>
      <c r="G57" t="s">
        <v>25</v>
      </c>
      <c r="I57" s="1">
        <v>108.33</v>
      </c>
      <c r="K57" s="31">
        <f>ROW()</f>
        <v>57</v>
      </c>
    </row>
    <row r="58" spans="3:11" x14ac:dyDescent="0.25">
      <c r="C58" s="31">
        <v>8</v>
      </c>
      <c r="D58" s="34">
        <v>45204</v>
      </c>
      <c r="E58" s="18">
        <v>8</v>
      </c>
      <c r="F58" t="s">
        <v>152</v>
      </c>
      <c r="G58" t="s">
        <v>153</v>
      </c>
      <c r="K58" s="31">
        <f>ROW()</f>
        <v>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workbookViewId="0">
      <selection activeCell="J10" sqref="J10"/>
    </sheetView>
  </sheetViews>
  <sheetFormatPr baseColWidth="10" defaultRowHeight="15" x14ac:dyDescent="0.25"/>
  <cols>
    <col min="1" max="1" width="37.42578125" bestFit="1" customWidth="1"/>
    <col min="2" max="3" width="5.7109375" customWidth="1"/>
    <col min="6" max="6" width="37.42578125" bestFit="1" customWidth="1"/>
    <col min="7" max="7" width="5.7109375" customWidth="1"/>
  </cols>
  <sheetData>
    <row r="1" spans="1:6" x14ac:dyDescent="0.25">
      <c r="C1" s="12"/>
      <c r="D1" s="63" t="s">
        <v>136</v>
      </c>
      <c r="E1" s="64"/>
      <c r="F1" s="64"/>
    </row>
    <row r="2" spans="1:6" ht="15.75" thickBot="1" x14ac:dyDescent="0.3">
      <c r="A2" t="s">
        <v>138</v>
      </c>
      <c r="C2" s="12"/>
      <c r="D2" s="7" t="s">
        <v>9</v>
      </c>
      <c r="E2" s="8" t="s">
        <v>137</v>
      </c>
      <c r="F2" s="9" t="s">
        <v>10</v>
      </c>
    </row>
    <row r="3" spans="1:6" x14ac:dyDescent="0.25">
      <c r="A3" s="16" t="str">
        <f>F3</f>
        <v>Encaisse</v>
      </c>
      <c r="C3" s="12"/>
      <c r="D3" s="10" t="s">
        <v>11</v>
      </c>
      <c r="E3" s="11" t="s">
        <v>12</v>
      </c>
      <c r="F3" s="12" t="s">
        <v>13</v>
      </c>
    </row>
    <row r="4" spans="1:6" x14ac:dyDescent="0.25">
      <c r="A4" s="16" t="str">
        <f t="shared" ref="A4:A62" si="0">F4</f>
        <v>Comptes Clients</v>
      </c>
      <c r="C4" s="12"/>
      <c r="D4" s="10" t="s">
        <v>11</v>
      </c>
      <c r="E4" s="11" t="s">
        <v>14</v>
      </c>
      <c r="F4" s="12" t="s">
        <v>15</v>
      </c>
    </row>
    <row r="5" spans="1:6" x14ac:dyDescent="0.25">
      <c r="A5" s="16" t="str">
        <f t="shared" si="0"/>
        <v>Provision pour mauvaises créances</v>
      </c>
      <c r="C5" s="12"/>
      <c r="D5" s="10" t="s">
        <v>11</v>
      </c>
      <c r="E5" s="11" t="s">
        <v>16</v>
      </c>
      <c r="F5" s="12" t="s">
        <v>17</v>
      </c>
    </row>
    <row r="6" spans="1:6" x14ac:dyDescent="0.25">
      <c r="A6" s="16" t="str">
        <f t="shared" si="0"/>
        <v>TPS payée</v>
      </c>
      <c r="C6" s="12"/>
      <c r="D6" s="10" t="s">
        <v>11</v>
      </c>
      <c r="E6" s="11" t="s">
        <v>18</v>
      </c>
      <c r="F6" s="12" t="s">
        <v>19</v>
      </c>
    </row>
    <row r="7" spans="1:6" x14ac:dyDescent="0.25">
      <c r="A7" s="16" t="str">
        <f t="shared" si="0"/>
        <v>TVQ payée</v>
      </c>
      <c r="C7" s="12"/>
      <c r="D7" s="10" t="s">
        <v>11</v>
      </c>
      <c r="E7" s="11" t="s">
        <v>20</v>
      </c>
      <c r="F7" s="12" t="s">
        <v>21</v>
      </c>
    </row>
    <row r="8" spans="1:6" x14ac:dyDescent="0.25">
      <c r="A8" s="16" t="str">
        <f t="shared" si="0"/>
        <v>TPS facturée</v>
      </c>
      <c r="C8" s="12"/>
      <c r="D8" s="10" t="s">
        <v>11</v>
      </c>
      <c r="E8" s="11" t="s">
        <v>22</v>
      </c>
      <c r="F8" s="12" t="s">
        <v>23</v>
      </c>
    </row>
    <row r="9" spans="1:6" x14ac:dyDescent="0.25">
      <c r="A9" s="16" t="str">
        <f t="shared" si="0"/>
        <v>TVQ facturée</v>
      </c>
      <c r="C9" s="12"/>
      <c r="D9" s="10" t="s">
        <v>11</v>
      </c>
      <c r="E9" s="11" t="s">
        <v>24</v>
      </c>
      <c r="F9" s="12" t="s">
        <v>25</v>
      </c>
    </row>
    <row r="10" spans="1:6" x14ac:dyDescent="0.25">
      <c r="A10" s="16" t="str">
        <f t="shared" si="0"/>
        <v>Acomptes provisionnels - TPS</v>
      </c>
      <c r="C10" s="12"/>
      <c r="D10" s="10" t="s">
        <v>11</v>
      </c>
      <c r="E10" s="11" t="s">
        <v>26</v>
      </c>
      <c r="F10" s="12" t="s">
        <v>27</v>
      </c>
    </row>
    <row r="11" spans="1:6" x14ac:dyDescent="0.25">
      <c r="A11" s="16" t="str">
        <f t="shared" si="0"/>
        <v>Acomptes provisionnels - TVQ</v>
      </c>
      <c r="D11" s="10" t="s">
        <v>11</v>
      </c>
      <c r="E11" s="11" t="s">
        <v>28</v>
      </c>
      <c r="F11" s="12" t="s">
        <v>29</v>
      </c>
    </row>
    <row r="12" spans="1:6" x14ac:dyDescent="0.25">
      <c r="A12" s="16" t="str">
        <f t="shared" si="0"/>
        <v>Travaux en cours</v>
      </c>
      <c r="D12" s="10" t="s">
        <v>11</v>
      </c>
      <c r="E12" s="11" t="s">
        <v>30</v>
      </c>
      <c r="F12" s="12" t="s">
        <v>31</v>
      </c>
    </row>
    <row r="13" spans="1:6" x14ac:dyDescent="0.25">
      <c r="A13" s="16" t="str">
        <f t="shared" si="0"/>
        <v>Frais payés d'avance</v>
      </c>
      <c r="D13" s="10" t="s">
        <v>11</v>
      </c>
      <c r="E13" s="11" t="s">
        <v>32</v>
      </c>
      <c r="F13" s="12" t="s">
        <v>33</v>
      </c>
    </row>
    <row r="14" spans="1:6" x14ac:dyDescent="0.25">
      <c r="A14" s="16" t="str">
        <f t="shared" si="0"/>
        <v>Mobilier de bureau</v>
      </c>
      <c r="D14" s="10" t="s">
        <v>11</v>
      </c>
      <c r="E14" s="11" t="s">
        <v>34</v>
      </c>
      <c r="F14" s="12" t="s">
        <v>35</v>
      </c>
    </row>
    <row r="15" spans="1:6" x14ac:dyDescent="0.25">
      <c r="A15" s="16" t="str">
        <f t="shared" si="0"/>
        <v>Amort. Cum - mobil. de bureau</v>
      </c>
      <c r="D15" s="10" t="s">
        <v>11</v>
      </c>
      <c r="E15" s="11" t="s">
        <v>36</v>
      </c>
      <c r="F15" s="12" t="s">
        <v>37</v>
      </c>
    </row>
    <row r="16" spans="1:6" x14ac:dyDescent="0.25">
      <c r="A16" s="16" t="str">
        <f t="shared" si="0"/>
        <v>Matériel informatique</v>
      </c>
      <c r="D16" s="10" t="s">
        <v>11</v>
      </c>
      <c r="E16" s="11" t="s">
        <v>38</v>
      </c>
      <c r="F16" s="12" t="s">
        <v>39</v>
      </c>
    </row>
    <row r="17" spans="1:6" x14ac:dyDescent="0.25">
      <c r="A17" s="16" t="str">
        <f t="shared" si="0"/>
        <v>Amort. Cum - mat. Inform.</v>
      </c>
      <c r="D17" s="10" t="s">
        <v>11</v>
      </c>
      <c r="E17" s="11" t="s">
        <v>40</v>
      </c>
      <c r="F17" s="12" t="s">
        <v>41</v>
      </c>
    </row>
    <row r="18" spans="1:6" x14ac:dyDescent="0.25">
      <c r="A18" s="16" t="str">
        <f t="shared" si="0"/>
        <v>Logiciel informatique</v>
      </c>
      <c r="D18" s="10" t="s">
        <v>11</v>
      </c>
      <c r="E18" s="11" t="s">
        <v>42</v>
      </c>
      <c r="F18" s="12" t="s">
        <v>43</v>
      </c>
    </row>
    <row r="19" spans="1:6" x14ac:dyDescent="0.25">
      <c r="A19" s="16" t="str">
        <f t="shared" si="0"/>
        <v>Amort. Cum - logiciels</v>
      </c>
      <c r="D19" s="10" t="s">
        <v>11</v>
      </c>
      <c r="E19" s="11" t="s">
        <v>44</v>
      </c>
      <c r="F19" s="12" t="s">
        <v>45</v>
      </c>
    </row>
    <row r="20" spans="1:6" x14ac:dyDescent="0.25">
      <c r="A20" s="16" t="str">
        <f t="shared" si="0"/>
        <v>Achalandage</v>
      </c>
      <c r="D20" s="10" t="s">
        <v>11</v>
      </c>
      <c r="E20" s="11" t="s">
        <v>46</v>
      </c>
      <c r="F20" s="12" t="s">
        <v>47</v>
      </c>
    </row>
    <row r="21" spans="1:6" x14ac:dyDescent="0.25">
      <c r="A21" s="16" t="str">
        <f t="shared" si="0"/>
        <v>Amort. Cum - Achalandage</v>
      </c>
      <c r="D21" s="10" t="s">
        <v>11</v>
      </c>
      <c r="E21" s="11" t="s">
        <v>48</v>
      </c>
      <c r="F21" s="12" t="s">
        <v>49</v>
      </c>
    </row>
    <row r="22" spans="1:6" x14ac:dyDescent="0.25">
      <c r="A22" s="16" t="str">
        <f t="shared" si="0"/>
        <v>Avance - Prêt GCP</v>
      </c>
      <c r="D22" s="10" t="s">
        <v>11</v>
      </c>
      <c r="E22" s="11" t="s">
        <v>50</v>
      </c>
      <c r="F22" s="12" t="s">
        <v>51</v>
      </c>
    </row>
    <row r="23" spans="1:6" x14ac:dyDescent="0.25">
      <c r="A23" s="16" t="str">
        <f t="shared" si="0"/>
        <v>VISA Odyssey Desjardins</v>
      </c>
      <c r="D23" s="10" t="s">
        <v>52</v>
      </c>
      <c r="E23" s="11" t="s">
        <v>53</v>
      </c>
      <c r="F23" s="12" t="s">
        <v>54</v>
      </c>
    </row>
    <row r="24" spans="1:6" x14ac:dyDescent="0.25">
      <c r="A24" s="16" t="str">
        <f t="shared" si="0"/>
        <v>Avances de Guillaume Charron</v>
      </c>
      <c r="D24" s="10" t="s">
        <v>52</v>
      </c>
      <c r="E24" s="11" t="s">
        <v>55</v>
      </c>
      <c r="F24" s="12" t="s">
        <v>56</v>
      </c>
    </row>
    <row r="25" spans="1:6" x14ac:dyDescent="0.25">
      <c r="A25" s="16" t="str">
        <f t="shared" si="0"/>
        <v>Avances à Fiducie Famille Charron</v>
      </c>
      <c r="D25" s="10" t="s">
        <v>52</v>
      </c>
      <c r="E25" s="11" t="s">
        <v>57</v>
      </c>
      <c r="F25" s="12" t="s">
        <v>58</v>
      </c>
    </row>
    <row r="26" spans="1:6" x14ac:dyDescent="0.25">
      <c r="A26" s="16" t="str">
        <f t="shared" si="0"/>
        <v>Compte fournisseur</v>
      </c>
      <c r="D26" s="10" t="s">
        <v>52</v>
      </c>
      <c r="E26" s="11" t="s">
        <v>59</v>
      </c>
      <c r="F26" s="12" t="s">
        <v>60</v>
      </c>
    </row>
    <row r="27" spans="1:6" x14ac:dyDescent="0.25">
      <c r="A27" s="16" t="str">
        <f t="shared" si="0"/>
        <v>Avances avec 9249-3626 Québec inc.</v>
      </c>
      <c r="D27" s="10" t="s">
        <v>52</v>
      </c>
      <c r="E27" s="11" t="s">
        <v>61</v>
      </c>
      <c r="F27" s="12" t="s">
        <v>62</v>
      </c>
    </row>
    <row r="28" spans="1:6" x14ac:dyDescent="0.25">
      <c r="A28" s="16" t="str">
        <f t="shared" si="0"/>
        <v>Avances avec 9333-4829 Québec inc</v>
      </c>
      <c r="D28" s="10" t="s">
        <v>52</v>
      </c>
      <c r="E28" s="11" t="s">
        <v>63</v>
      </c>
      <c r="F28" s="12" t="s">
        <v>64</v>
      </c>
    </row>
    <row r="29" spans="1:6" x14ac:dyDescent="0.25">
      <c r="A29" s="16" t="str">
        <f t="shared" si="0"/>
        <v>Prêt - Compte d'urgence</v>
      </c>
      <c r="D29" s="10" t="s">
        <v>52</v>
      </c>
      <c r="E29" s="11" t="s">
        <v>65</v>
      </c>
      <c r="F29" s="12" t="s">
        <v>66</v>
      </c>
    </row>
    <row r="30" spans="1:6" x14ac:dyDescent="0.25">
      <c r="A30" s="16" t="str">
        <f t="shared" si="0"/>
        <v>Impôt Fédéral à payer</v>
      </c>
      <c r="D30" s="10" t="s">
        <v>52</v>
      </c>
      <c r="E30" s="11" t="s">
        <v>67</v>
      </c>
      <c r="F30" s="12" t="s">
        <v>68</v>
      </c>
    </row>
    <row r="31" spans="1:6" x14ac:dyDescent="0.25">
      <c r="A31" s="16" t="str">
        <f t="shared" si="0"/>
        <v>Impôt Québec à payer</v>
      </c>
      <c r="D31" s="10" t="s">
        <v>52</v>
      </c>
      <c r="E31" s="11" t="s">
        <v>69</v>
      </c>
      <c r="F31" s="12" t="s">
        <v>70</v>
      </c>
    </row>
    <row r="32" spans="1:6" x14ac:dyDescent="0.25">
      <c r="A32" s="16" t="str">
        <f t="shared" si="0"/>
        <v>Acomptes - Impôt Fédéral</v>
      </c>
      <c r="D32" s="10" t="s">
        <v>52</v>
      </c>
      <c r="E32" s="11" t="s">
        <v>71</v>
      </c>
      <c r="F32" s="12" t="s">
        <v>72</v>
      </c>
    </row>
    <row r="33" spans="1:6" x14ac:dyDescent="0.25">
      <c r="A33" s="16" t="str">
        <f t="shared" si="0"/>
        <v>Acomptes - Impôt Québec</v>
      </c>
      <c r="D33" s="10" t="s">
        <v>52</v>
      </c>
      <c r="E33" s="11" t="s">
        <v>73</v>
      </c>
      <c r="F33" s="12" t="s">
        <v>74</v>
      </c>
    </row>
    <row r="34" spans="1:6" x14ac:dyDescent="0.25">
      <c r="A34" s="16" t="str">
        <f t="shared" si="0"/>
        <v>Produit perçu d'avance</v>
      </c>
      <c r="D34" s="10" t="s">
        <v>52</v>
      </c>
      <c r="E34" s="11" t="s">
        <v>75</v>
      </c>
      <c r="F34" s="12" t="s">
        <v>76</v>
      </c>
    </row>
    <row r="35" spans="1:6" x14ac:dyDescent="0.25">
      <c r="A35" s="16" t="str">
        <f t="shared" si="0"/>
        <v>Actions ordinaires</v>
      </c>
      <c r="D35" s="10" t="s">
        <v>77</v>
      </c>
      <c r="E35" s="11" t="s">
        <v>78</v>
      </c>
      <c r="F35" s="12" t="s">
        <v>79</v>
      </c>
    </row>
    <row r="36" spans="1:6" x14ac:dyDescent="0.25">
      <c r="A36" s="16" t="str">
        <f t="shared" si="0"/>
        <v>Actions privilégiées</v>
      </c>
      <c r="D36" s="10" t="s">
        <v>77</v>
      </c>
      <c r="E36" s="11" t="s">
        <v>80</v>
      </c>
      <c r="F36" s="12" t="s">
        <v>81</v>
      </c>
    </row>
    <row r="37" spans="1:6" x14ac:dyDescent="0.25">
      <c r="A37" s="16" t="str">
        <f t="shared" si="0"/>
        <v>BNR</v>
      </c>
      <c r="D37" s="10" t="s">
        <v>77</v>
      </c>
      <c r="E37" s="11" t="s">
        <v>82</v>
      </c>
      <c r="F37" s="12" t="s">
        <v>83</v>
      </c>
    </row>
    <row r="38" spans="1:6" x14ac:dyDescent="0.25">
      <c r="A38" s="16" t="str">
        <f t="shared" si="0"/>
        <v>Dividendes</v>
      </c>
      <c r="D38" s="10" t="s">
        <v>77</v>
      </c>
      <c r="E38" s="11" t="s">
        <v>84</v>
      </c>
      <c r="F38" s="12" t="s">
        <v>85</v>
      </c>
    </row>
    <row r="39" spans="1:6" x14ac:dyDescent="0.25">
      <c r="A39" s="16" t="str">
        <f t="shared" si="0"/>
        <v>Revenus de consultation</v>
      </c>
      <c r="D39" s="10" t="s">
        <v>86</v>
      </c>
      <c r="E39" s="11" t="s">
        <v>87</v>
      </c>
      <c r="F39" s="12" t="s">
        <v>88</v>
      </c>
    </row>
    <row r="40" spans="1:6" x14ac:dyDescent="0.25">
      <c r="A40" s="16" t="str">
        <f t="shared" si="0"/>
        <v>Revenus - Sociétés apparentées</v>
      </c>
      <c r="D40" s="10" t="s">
        <v>86</v>
      </c>
      <c r="E40" s="11" t="s">
        <v>89</v>
      </c>
      <c r="F40" s="12" t="s">
        <v>90</v>
      </c>
    </row>
    <row r="41" spans="1:6" x14ac:dyDescent="0.25">
      <c r="A41" s="16" t="str">
        <f t="shared" si="0"/>
        <v>Revenus - travaux en cours</v>
      </c>
      <c r="D41" s="10" t="s">
        <v>86</v>
      </c>
      <c r="E41" s="11" t="s">
        <v>91</v>
      </c>
      <c r="F41" s="12" t="s">
        <v>92</v>
      </c>
    </row>
    <row r="42" spans="1:6" x14ac:dyDescent="0.25">
      <c r="A42" s="16" t="str">
        <f t="shared" si="0"/>
        <v>Revenus d'intérêts</v>
      </c>
      <c r="D42" s="10" t="s">
        <v>86</v>
      </c>
      <c r="E42" s="11" t="s">
        <v>93</v>
      </c>
      <c r="F42" s="12" t="s">
        <v>94</v>
      </c>
    </row>
    <row r="43" spans="1:6" x14ac:dyDescent="0.25">
      <c r="A43" s="16" t="str">
        <f t="shared" si="0"/>
        <v>Revenus de dividendes</v>
      </c>
      <c r="D43" s="10" t="s">
        <v>86</v>
      </c>
      <c r="E43" s="11" t="s">
        <v>95</v>
      </c>
      <c r="F43" s="12" t="s">
        <v>96</v>
      </c>
    </row>
    <row r="44" spans="1:6" x14ac:dyDescent="0.25">
      <c r="A44" s="16" t="str">
        <f t="shared" si="0"/>
        <v>Prise de valeur - Valeur de consolidation</v>
      </c>
      <c r="D44" s="10" t="s">
        <v>86</v>
      </c>
      <c r="E44" s="11" t="s">
        <v>97</v>
      </c>
      <c r="F44" s="11" t="s">
        <v>98</v>
      </c>
    </row>
    <row r="45" spans="1:6" x14ac:dyDescent="0.25">
      <c r="A45" s="16" t="str">
        <f t="shared" si="0"/>
        <v>Doc. et outils de recherche</v>
      </c>
      <c r="D45" s="10" t="s">
        <v>99</v>
      </c>
      <c r="E45" s="11" t="s">
        <v>100</v>
      </c>
      <c r="F45" s="12" t="s">
        <v>101</v>
      </c>
    </row>
    <row r="46" spans="1:6" x14ac:dyDescent="0.25">
      <c r="A46" s="16" t="str">
        <f t="shared" si="0"/>
        <v>Formations</v>
      </c>
      <c r="D46" s="10" t="s">
        <v>99</v>
      </c>
      <c r="E46" s="11" t="s">
        <v>102</v>
      </c>
      <c r="F46" s="12" t="s">
        <v>103</v>
      </c>
    </row>
    <row r="47" spans="1:6" x14ac:dyDescent="0.25">
      <c r="A47" s="16" t="str">
        <f t="shared" si="0"/>
        <v>Fournitures de bureau</v>
      </c>
      <c r="D47" s="10" t="s">
        <v>99</v>
      </c>
      <c r="E47" s="11" t="s">
        <v>104</v>
      </c>
      <c r="F47" s="12" t="s">
        <v>105</v>
      </c>
    </row>
    <row r="48" spans="1:6" x14ac:dyDescent="0.25">
      <c r="A48" s="16" t="str">
        <f t="shared" si="0"/>
        <v>Frais de représentation</v>
      </c>
      <c r="D48" s="10" t="s">
        <v>99</v>
      </c>
      <c r="E48" s="11" t="s">
        <v>106</v>
      </c>
      <c r="F48" s="12" t="s">
        <v>107</v>
      </c>
    </row>
    <row r="49" spans="1:6" x14ac:dyDescent="0.25">
      <c r="A49" s="16" t="str">
        <f t="shared" si="0"/>
        <v>Golf / Pourvoirie</v>
      </c>
      <c r="D49" s="10" t="s">
        <v>99</v>
      </c>
      <c r="E49" s="11" t="s">
        <v>108</v>
      </c>
      <c r="F49" s="12" t="s">
        <v>109</v>
      </c>
    </row>
    <row r="50" spans="1:6" x14ac:dyDescent="0.25">
      <c r="A50" s="16" t="str">
        <f t="shared" si="0"/>
        <v>Frais de déplacement</v>
      </c>
      <c r="D50" s="10" t="s">
        <v>99</v>
      </c>
      <c r="E50" s="11" t="s">
        <v>110</v>
      </c>
      <c r="F50" s="12" t="s">
        <v>111</v>
      </c>
    </row>
    <row r="51" spans="1:6" x14ac:dyDescent="0.25">
      <c r="A51" s="16" t="str">
        <f t="shared" si="0"/>
        <v>Frais de publicité</v>
      </c>
      <c r="D51" s="10" t="s">
        <v>99</v>
      </c>
      <c r="E51" s="11" t="s">
        <v>112</v>
      </c>
      <c r="F51" s="12" t="s">
        <v>113</v>
      </c>
    </row>
    <row r="52" spans="1:6" x14ac:dyDescent="0.25">
      <c r="A52" s="16" t="str">
        <f t="shared" si="0"/>
        <v>Fournitures informatiques &amp; Site web</v>
      </c>
      <c r="D52" s="10" t="s">
        <v>99</v>
      </c>
      <c r="E52" s="11" t="s">
        <v>114</v>
      </c>
      <c r="F52" s="12" t="s">
        <v>115</v>
      </c>
    </row>
    <row r="53" spans="1:6" x14ac:dyDescent="0.25">
      <c r="A53" s="16" t="str">
        <f t="shared" si="0"/>
        <v>Loyer</v>
      </c>
      <c r="D53" s="10" t="s">
        <v>99</v>
      </c>
      <c r="E53" s="11" t="s">
        <v>116</v>
      </c>
      <c r="F53" s="12" t="s">
        <v>117</v>
      </c>
    </row>
    <row r="54" spans="1:6" x14ac:dyDescent="0.25">
      <c r="A54" s="16" t="str">
        <f t="shared" si="0"/>
        <v>Frais de communications</v>
      </c>
      <c r="D54" s="10" t="s">
        <v>99</v>
      </c>
      <c r="E54" s="11" t="s">
        <v>118</v>
      </c>
      <c r="F54" s="12" t="s">
        <v>119</v>
      </c>
    </row>
    <row r="55" spans="1:6" x14ac:dyDescent="0.25">
      <c r="A55" s="16" t="str">
        <f t="shared" si="0"/>
        <v>Frais de poste</v>
      </c>
      <c r="D55" s="10" t="s">
        <v>99</v>
      </c>
      <c r="E55" s="11" t="s">
        <v>120</v>
      </c>
      <c r="F55" s="12" t="s">
        <v>121</v>
      </c>
    </row>
    <row r="56" spans="1:6" x14ac:dyDescent="0.25">
      <c r="A56" s="16" t="str">
        <f t="shared" si="0"/>
        <v>Salaires et Sous-traitance</v>
      </c>
      <c r="D56" s="10" t="s">
        <v>99</v>
      </c>
      <c r="E56" s="11" t="s">
        <v>122</v>
      </c>
      <c r="F56" s="12" t="s">
        <v>123</v>
      </c>
    </row>
    <row r="57" spans="1:6" x14ac:dyDescent="0.25">
      <c r="A57" s="16" t="str">
        <f t="shared" si="0"/>
        <v>Assurance &amp; Cotisation professionnelle</v>
      </c>
      <c r="D57" s="10" t="s">
        <v>99</v>
      </c>
      <c r="E57" s="11" t="s">
        <v>124</v>
      </c>
      <c r="F57" s="12" t="s">
        <v>125</v>
      </c>
    </row>
    <row r="58" spans="1:6" x14ac:dyDescent="0.25">
      <c r="A58" s="16" t="str">
        <f t="shared" si="0"/>
        <v>Frais financiers</v>
      </c>
      <c r="D58" s="10" t="s">
        <v>99</v>
      </c>
      <c r="E58" s="11" t="s">
        <v>126</v>
      </c>
      <c r="F58" s="12" t="s">
        <v>127</v>
      </c>
    </row>
    <row r="59" spans="1:6" x14ac:dyDescent="0.25">
      <c r="A59" s="16" t="str">
        <f t="shared" si="0"/>
        <v>Amortissement</v>
      </c>
      <c r="D59" s="10" t="s">
        <v>99</v>
      </c>
      <c r="E59" s="11" t="s">
        <v>128</v>
      </c>
      <c r="F59" s="12" t="s">
        <v>129</v>
      </c>
    </row>
    <row r="60" spans="1:6" x14ac:dyDescent="0.25">
      <c r="A60" s="16" t="str">
        <f t="shared" si="0"/>
        <v>Mauvaises créances</v>
      </c>
      <c r="D60" s="10" t="s">
        <v>99</v>
      </c>
      <c r="E60" s="11" t="s">
        <v>130</v>
      </c>
      <c r="F60" s="12" t="s">
        <v>131</v>
      </c>
    </row>
    <row r="61" spans="1:6" x14ac:dyDescent="0.25">
      <c r="A61" s="16" t="str">
        <f t="shared" si="0"/>
        <v>Assurance - loyer</v>
      </c>
      <c r="D61" s="10" t="s">
        <v>99</v>
      </c>
      <c r="E61" s="11" t="s">
        <v>132</v>
      </c>
      <c r="F61" s="12" t="s">
        <v>133</v>
      </c>
    </row>
    <row r="62" spans="1:6" ht="15.75" thickBot="1" x14ac:dyDescent="0.3">
      <c r="A62" s="16" t="str">
        <f t="shared" si="0"/>
        <v>Impôts exigibles</v>
      </c>
      <c r="D62" s="13" t="s">
        <v>99</v>
      </c>
      <c r="E62" s="14" t="s">
        <v>134</v>
      </c>
      <c r="F62" s="15" t="s">
        <v>135</v>
      </c>
    </row>
  </sheetData>
  <mergeCells count="1">
    <mergeCell ref="D1:F1"/>
  </mergeCells>
  <conditionalFormatting sqref="D3:F22">
    <cfRule type="expression" dxfId="20" priority="7">
      <formula>#REF!=ROW()</formula>
    </cfRule>
  </conditionalFormatting>
  <conditionalFormatting sqref="D3:F9">
    <cfRule type="expression" dxfId="19" priority="8">
      <formula>AND($K1&lt;&gt;"",MOD(ROW(),2)=0)</formula>
    </cfRule>
  </conditionalFormatting>
  <conditionalFormatting sqref="D3:F62">
    <cfRule type="expression" dxfId="18" priority="6">
      <formula>MOD(ROW(),2)=0</formula>
    </cfRule>
  </conditionalFormatting>
  <conditionalFormatting sqref="D5:F42 D56:F57">
    <cfRule type="expression" dxfId="17" priority="9">
      <formula>AND($K1&lt;&gt;"",MOD(ROW(),2)=0)</formula>
    </cfRule>
  </conditionalFormatting>
  <conditionalFormatting sqref="D8:F9 D3:F3">
    <cfRule type="expression" dxfId="16" priority="5">
      <formula>AND($K1048576&lt;&gt;"",MOD(ROW(),2)=0)</formula>
    </cfRule>
  </conditionalFormatting>
  <conditionalFormatting sqref="D3:D62">
    <cfRule type="expression" dxfId="15" priority="10">
      <formula>AND($L1048564&lt;&gt;"",MOD(ROW(),2)=0)</formula>
    </cfRule>
  </conditionalFormatting>
  <conditionalFormatting sqref="D46:F46">
    <cfRule type="expression" dxfId="14" priority="11">
      <formula>AND(#REF!&lt;&gt;"",MOD(ROW(),2)=0)</formula>
    </cfRule>
  </conditionalFormatting>
  <conditionalFormatting sqref="D50:F62">
    <cfRule type="expression" dxfId="13" priority="12">
      <formula>AND($K84&lt;&gt;"",MOD(ROW(),2)=0)</formula>
    </cfRule>
  </conditionalFormatting>
  <conditionalFormatting sqref="D58:F58">
    <cfRule type="expression" dxfId="12" priority="13">
      <formula>AND(#REF!&lt;&gt;"",MOD(ROW(),2)=0)</formula>
    </cfRule>
  </conditionalFormatting>
  <conditionalFormatting sqref="D62:F62">
    <cfRule type="expression" dxfId="11" priority="14">
      <formula>AND($K84&lt;&gt;"",MOD(ROW(),2)=0)</formula>
    </cfRule>
  </conditionalFormatting>
  <conditionalFormatting sqref="D47:F49">
    <cfRule type="expression" dxfId="10" priority="15">
      <formula>AND($K79&lt;&gt;"",MOD(ROW(),2)=0)</formula>
    </cfRule>
  </conditionalFormatting>
  <conditionalFormatting sqref="D59:F61">
    <cfRule type="expression" dxfId="9" priority="16">
      <formula>AND($K79&lt;&gt;"",MOD(ROW(),2)=0)</formula>
    </cfRule>
  </conditionalFormatting>
  <conditionalFormatting sqref="D4:F4">
    <cfRule type="expression" dxfId="8" priority="17">
      <formula>AND(#REF!&lt;&gt;"",MOD(ROW(),2)=0)</formula>
    </cfRule>
  </conditionalFormatting>
  <conditionalFormatting sqref="D52:F54">
    <cfRule type="expression" dxfId="7" priority="18">
      <formula>AND($K36&lt;&gt;"",MOD(ROW(),2)=0)</formula>
    </cfRule>
  </conditionalFormatting>
  <conditionalFormatting sqref="D43:F43">
    <cfRule type="expression" dxfId="6" priority="24">
      <formula>AND($K50&lt;&gt;"",MOD(ROW(),2)=0)</formula>
    </cfRule>
  </conditionalFormatting>
  <conditionalFormatting sqref="D55:F55">
    <cfRule type="expression" dxfId="5" priority="25">
      <formula>AND($K50&lt;&gt;"",MOD(ROW(),2)=0)</formula>
    </cfRule>
  </conditionalFormatting>
  <conditionalFormatting sqref="D44:F45">
    <cfRule type="expression" dxfId="4" priority="26">
      <formula>AND($K52&lt;&gt;"",MOD(ROW(),2)=0)</formula>
    </cfRule>
  </conditionalFormatting>
  <conditionalFormatting sqref="C1:C10">
    <cfRule type="expression" dxfId="3" priority="2">
      <formula>#REF!=ROW()</formula>
    </cfRule>
  </conditionalFormatting>
  <conditionalFormatting sqref="C1:C10">
    <cfRule type="expression" dxfId="2" priority="3">
      <formula>AND($K1048575&lt;&gt;"",MOD(ROW(),2)=0)</formula>
    </cfRule>
  </conditionalFormatting>
  <conditionalFormatting sqref="C1:C10">
    <cfRule type="expression" dxfId="1" priority="1">
      <formula>MOD(ROW(),2)=0</formula>
    </cfRule>
  </conditionalFormatting>
  <conditionalFormatting sqref="C1:C10">
    <cfRule type="expression" dxfId="0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EJ</vt:lpstr>
      <vt:lpstr>Transactions</vt:lpstr>
      <vt:lpstr>PlanComptable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2023-10-05T16:17:00Z</dcterms:created>
  <dcterms:modified xsi:type="dcterms:W3CDTF">2023-10-06T10:16:05Z</dcterms:modified>
</cp:coreProperties>
</file>