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6827" codeName="{E757BCB4-07E6-AE0B-56E0-F0EEF7A6E26C}"/>
  <workbookPr codeName="ThisWorkbook" defaultThemeVersion="124226"/>
  <mc:AlternateContent xmlns:mc="http://schemas.openxmlformats.org/markup-compatibility/2006">
    <mc:Choice Requires="x15">
      <x15ac:absPath xmlns:x15ac="http://schemas.microsoft.com/office/spreadsheetml/2010/11/ac" url="C:\VBA\GC_FISCALITÉ\"/>
    </mc:Choice>
  </mc:AlternateContent>
  <xr:revisionPtr revIDLastSave="0" documentId="13_ncr:1_{04289EDF-E4DF-4ABC-BF45-7CDB8067FF47}" xr6:coauthVersionLast="47" xr6:coauthVersionMax="47" xr10:uidLastSave="{00000000-0000-0000-0000-000000000000}"/>
  <bookViews>
    <workbookView xWindow="-120" yWindow="-120" windowWidth="29040" windowHeight="15840" tabRatio="421" activeTab="1" xr2:uid="{00000000-000D-0000-FFFF-FFFF00000000}"/>
  </bookViews>
  <sheets>
    <sheet name="Chart Of Accounts" sheetId="2" r:id="rId1"/>
    <sheet name="Écritures" sheetId="1" r:id="rId2"/>
    <sheet name="Transactions" sheetId="3" r:id="rId3"/>
    <sheet name="CalPopUp" sheetId="4" r:id="rId4"/>
    <sheet name="Code" sheetId="5" r:id="rId5"/>
  </sheets>
  <externalReferences>
    <externalReference r:id="rId6"/>
  </externalReferences>
  <definedNames>
    <definedName name="_xlnm._FilterDatabase" localSheetId="2" hidden="1">Transactions!$D$4:$N$64</definedName>
    <definedName name="AccountsFilterList">OFFSET('Chart Of Accounts'!$A$3,,,COUNTA('Chart Of Accounts'!$H$4:$H$999)+1,1)</definedName>
    <definedName name="AccountsList_Names">OFFSET('Chart Of Accounts'!$H$4,,,COUNTA('Chart Of Accounts'!$H$4:$H$999),1)</definedName>
    <definedName name="AccountsList_Type">OFFSET('Chart Of Accounts'!$F$4,,,COUNTA('Chart Of Accounts'!$H$4:$H$999),1)</definedName>
    <definedName name="AcctType">'Chart Of Accounts'!$D$4:$D$8</definedName>
    <definedName name="CalMonths">CalPopUp!$A$8:$A$19</definedName>
    <definedName name="CalYear">CalPopUp!$A$2</definedName>
    <definedName name="_xlnm.Criteria" localSheetId="2">Transactions!$Q$2:$T$4</definedName>
    <definedName name="DebitType">'Chart Of Accounts'!$N$3:$O$7</definedName>
    <definedName name="_xlnm.Extract" localSheetId="2">Transactions!$V$2:$AF$2</definedName>
    <definedName name="Names">OFFSET('Chart Of Accounts'!$L$4,,,COUNTA('Chart Of Accounts'!$L$4:$L$18),1)</definedName>
    <definedName name="Trans_Credit">OFFSET(Transactions!$K$4,1,,COUNTA(Transactions!$E$4:$E$999999)-1,1)</definedName>
    <definedName name="Trans_CreditAcct">OFFSET(Transactions!$I$4,1,,COUNTA(Transactions!$E$4:$E$999999)-1,1)</definedName>
    <definedName name="Trans_Date">OFFSET(Transactions!$E$4,1,,COUNTA(Transactions!$E$4:$E$999999)-1,1)</definedName>
    <definedName name="Trans_Debit">OFFSET(Transactions!$J$4,1,,COUNTA(Transactions!$E$4:$E$999999)-1,1)</definedName>
    <definedName name="Trans_DebitAcct">OFFSET(Transactions!$H$4,1,,COUNTA(Transactions!$E$4:$E$999999)-1,1)</definedName>
    <definedName name="Trans_Numb">OFFSET(Transactions!$D$4,1,,COUNTA(Transactions!$E$4:$E$999999)-1,1)</definedName>
    <definedName name="TransType">OFFSET('Chart Of Accounts'!$D$11,,,COUNTA('Chart Of Accounts'!$D$11:$D$48),1)</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29" i="1" l="1"/>
  <c r="B28" i="1"/>
  <c r="A1" i="4"/>
  <c r="B27" i="1"/>
  <c r="B26" i="1"/>
  <c r="B25" i="1"/>
  <c r="B20" i="1"/>
  <c r="B21" i="1"/>
  <c r="B22" i="1" s="1"/>
  <c r="B23" i="1" s="1"/>
  <c r="B24" i="1" s="1"/>
  <c r="B12" i="1"/>
  <c r="B13" i="1" s="1"/>
  <c r="B14" i="1" s="1"/>
  <c r="B15" i="1" s="1"/>
  <c r="B16" i="1" s="1"/>
  <c r="B17" i="1" s="1"/>
  <c r="B18" i="1" s="1"/>
  <c r="B19" i="1" s="1"/>
  <c r="A52" i="2"/>
  <c r="A53" i="2"/>
  <c r="A54" i="2"/>
  <c r="A55" i="2"/>
  <c r="A56" i="2"/>
  <c r="A57" i="2"/>
  <c r="A58" i="2"/>
  <c r="A59" i="2"/>
  <c r="A60" i="2"/>
  <c r="A61" i="2"/>
  <c r="A62" i="2"/>
  <c r="A63" i="2"/>
  <c r="S3" i="3" l="1"/>
  <c r="B7" i="1"/>
  <c r="B3" i="1"/>
  <c r="B4" i="1" s="1"/>
  <c r="F3" i="1" l="1"/>
  <c r="I336" i="1"/>
  <c r="I334" i="1"/>
  <c r="I332" i="1"/>
  <c r="I330" i="1"/>
  <c r="I328" i="1"/>
  <c r="I326" i="1"/>
  <c r="I324" i="1"/>
  <c r="I322" i="1"/>
  <c r="I320" i="1"/>
  <c r="I318" i="1"/>
  <c r="I316" i="1"/>
  <c r="I314" i="1"/>
  <c r="I312" i="1"/>
  <c r="I310" i="1"/>
  <c r="I308" i="1"/>
  <c r="I306" i="1"/>
  <c r="I304" i="1"/>
  <c r="I302" i="1"/>
  <c r="I300" i="1"/>
  <c r="I298" i="1"/>
  <c r="I296" i="1"/>
  <c r="I294" i="1"/>
  <c r="I292" i="1"/>
  <c r="I290" i="1"/>
  <c r="I288" i="1"/>
  <c r="I286" i="1"/>
  <c r="I284" i="1"/>
  <c r="I282" i="1"/>
  <c r="I280" i="1"/>
  <c r="I278" i="1"/>
  <c r="I276" i="1"/>
  <c r="I274" i="1"/>
  <c r="I272" i="1"/>
  <c r="I270" i="1"/>
  <c r="I268" i="1"/>
  <c r="I266" i="1"/>
  <c r="I264" i="1"/>
  <c r="I262" i="1"/>
  <c r="I260" i="1"/>
  <c r="I258" i="1"/>
  <c r="I256" i="1"/>
  <c r="I254" i="1"/>
  <c r="I252" i="1"/>
  <c r="I250" i="1"/>
  <c r="I248" i="1"/>
  <c r="I246" i="1"/>
  <c r="I244" i="1"/>
  <c r="I242" i="1"/>
  <c r="I240" i="1"/>
  <c r="I238" i="1"/>
  <c r="I236" i="1"/>
  <c r="I234" i="1"/>
  <c r="I232" i="1"/>
  <c r="I230" i="1"/>
  <c r="I228" i="1"/>
  <c r="I226" i="1"/>
  <c r="I224" i="1"/>
  <c r="I222" i="1"/>
  <c r="I220" i="1"/>
  <c r="I218" i="1"/>
  <c r="I216" i="1"/>
  <c r="I214" i="1"/>
  <c r="I212" i="1"/>
  <c r="I210" i="1"/>
  <c r="I208" i="1"/>
  <c r="I206" i="1"/>
  <c r="I204" i="1"/>
  <c r="I202" i="1"/>
  <c r="I200" i="1"/>
  <c r="I198" i="1"/>
  <c r="I196" i="1"/>
  <c r="I194" i="1"/>
  <c r="I192" i="1"/>
  <c r="I190" i="1"/>
  <c r="I188" i="1"/>
  <c r="I186" i="1"/>
  <c r="I184" i="1"/>
  <c r="I182" i="1"/>
  <c r="I180" i="1"/>
  <c r="I178" i="1"/>
  <c r="I176" i="1"/>
  <c r="I174" i="1"/>
  <c r="I172" i="1"/>
  <c r="I170" i="1"/>
  <c r="I168" i="1"/>
  <c r="I166" i="1"/>
  <c r="I164" i="1"/>
  <c r="I162" i="1"/>
  <c r="I160" i="1"/>
  <c r="I158" i="1"/>
  <c r="I156" i="1"/>
  <c r="I154" i="1"/>
  <c r="I152" i="1"/>
  <c r="I150" i="1"/>
  <c r="I148" i="1"/>
  <c r="I146" i="1"/>
  <c r="I144" i="1"/>
  <c r="I142" i="1"/>
  <c r="I140" i="1"/>
  <c r="I138" i="1"/>
  <c r="I136" i="1"/>
  <c r="I134" i="1"/>
  <c r="I132" i="1"/>
  <c r="I130" i="1"/>
  <c r="I128" i="1"/>
  <c r="I126" i="1"/>
  <c r="I124" i="1"/>
  <c r="I122" i="1"/>
  <c r="I120" i="1"/>
  <c r="I118" i="1"/>
  <c r="I116" i="1"/>
  <c r="I114" i="1"/>
  <c r="I112" i="1"/>
  <c r="I110" i="1"/>
  <c r="I108" i="1"/>
  <c r="I106" i="1"/>
  <c r="I104" i="1"/>
  <c r="I102" i="1"/>
  <c r="I100" i="1"/>
  <c r="I98" i="1"/>
  <c r="I96" i="1"/>
  <c r="I94" i="1"/>
  <c r="I92" i="1"/>
  <c r="I90" i="1"/>
  <c r="I88" i="1"/>
  <c r="I86" i="1"/>
  <c r="I84" i="1"/>
  <c r="I82" i="1"/>
  <c r="I80" i="1"/>
  <c r="I78" i="1"/>
  <c r="I76" i="1"/>
  <c r="I74" i="1"/>
  <c r="I72" i="1"/>
  <c r="I70" i="1"/>
  <c r="I68" i="1"/>
  <c r="T4" i="3"/>
  <c r="B8" i="1"/>
  <c r="I50" i="1" s="1" a="1"/>
  <c r="I50" i="1" s="1"/>
  <c r="I52" i="1" l="1"/>
  <c r="I54" i="1"/>
  <c r="I56" i="1"/>
  <c r="I58" i="1"/>
  <c r="I60" i="1"/>
  <c r="I62" i="1"/>
  <c r="I64" i="1"/>
  <c r="I66" i="1"/>
  <c r="I48" i="1" a="1"/>
  <c r="I48" i="1" s="1"/>
  <c r="I32" i="1" a="1"/>
  <c r="I32" i="1" s="1"/>
  <c r="I16" i="1" a="1"/>
  <c r="I16" i="1" s="1"/>
  <c r="I10" i="1" a="1"/>
  <c r="I10" i="1" s="1"/>
  <c r="I36" i="1" a="1"/>
  <c r="I36" i="1" s="1"/>
  <c r="I34" i="1" a="1"/>
  <c r="I34" i="1" s="1"/>
  <c r="I18" i="1" a="1"/>
  <c r="I18" i="1" s="1"/>
  <c r="I46" i="1" a="1"/>
  <c r="I46" i="1" s="1"/>
  <c r="I30" i="1" a="1"/>
  <c r="I30" i="1" s="1"/>
  <c r="I14" i="1" a="1"/>
  <c r="I14" i="1" s="1"/>
  <c r="I26" i="1" a="1"/>
  <c r="I26" i="1" s="1"/>
  <c r="I20" i="1" a="1"/>
  <c r="I20" i="1" s="1"/>
  <c r="I44" i="1" a="1"/>
  <c r="I44" i="1" s="1"/>
  <c r="I28" i="1" a="1"/>
  <c r="I28" i="1" s="1"/>
  <c r="I12" i="1" a="1"/>
  <c r="I12" i="1" s="1"/>
  <c r="I42" i="1" a="1"/>
  <c r="I42" i="1" s="1"/>
  <c r="I40" i="1" a="1"/>
  <c r="I40" i="1" s="1"/>
  <c r="I24" i="1" a="1"/>
  <c r="I24" i="1" s="1"/>
  <c r="I38" i="1" a="1"/>
  <c r="I38" i="1" s="1"/>
  <c r="I22" i="1" a="1"/>
  <c r="I22" i="1" s="1"/>
  <c r="I8" i="1" a="1"/>
  <c r="I8" i="1" s="1"/>
  <c r="I4" i="1"/>
  <c r="B9" i="1"/>
  <c r="A4" i="4" l="1"/>
  <c r="A5" i="4" s="1"/>
  <c r="B1" i="4" l="1"/>
  <c r="C1" i="4" l="1"/>
  <c r="D1" i="4" l="1"/>
  <c r="E1" i="4" l="1"/>
  <c r="F1" i="4" l="1"/>
  <c r="G1" i="4" l="1"/>
  <c r="H1" i="4" l="1"/>
  <c r="B2" i="4" l="1"/>
  <c r="C2" i="4" l="1"/>
  <c r="D2" i="4" l="1"/>
  <c r="E2" i="4" l="1"/>
  <c r="F2" i="4" l="1"/>
  <c r="G2" i="4" l="1"/>
  <c r="H2" i="4" l="1"/>
  <c r="B3" i="4" l="1"/>
  <c r="C3" i="4" l="1"/>
  <c r="D3" i="4" l="1"/>
  <c r="E3" i="4" l="1"/>
  <c r="F3" i="4" l="1"/>
  <c r="G3" i="4" l="1"/>
  <c r="H3" i="4" l="1"/>
  <c r="B4" i="4" l="1"/>
  <c r="C4" i="4" l="1"/>
  <c r="D4" i="4" l="1"/>
  <c r="E4" i="4" l="1"/>
  <c r="F4" i="4" l="1"/>
  <c r="G4" i="4" l="1"/>
  <c r="H4" i="4" l="1"/>
  <c r="B5" i="4" l="1"/>
  <c r="C5" i="4" l="1"/>
  <c r="D5" i="4" l="1"/>
  <c r="E5" i="4" l="1"/>
  <c r="F5" i="4" l="1"/>
  <c r="G5" i="4" l="1"/>
  <c r="H5" i="4" l="1"/>
  <c r="B6" i="4" l="1"/>
  <c r="C6" i="4" s="1"/>
  <c r="D6" i="4" s="1"/>
  <c r="E6" i="4" s="1"/>
  <c r="F6" i="4" s="1"/>
  <c r="G6" i="4" s="1"/>
  <c r="H6" i="4" s="1"/>
  <c r="A20" i="4"/>
  <c r="A6" i="4" l="1"/>
  <c r="R4" i="3" l="1"/>
  <c r="R3" i="3"/>
  <c r="Q4" i="3"/>
  <c r="Q3" i="3"/>
  <c r="A4" i="2"/>
  <c r="A5" i="2"/>
  <c r="A6" i="2"/>
  <c r="A7" i="2"/>
  <c r="A8" i="2"/>
  <c r="A9" i="2"/>
  <c r="A10" i="2"/>
  <c r="A11" i="2"/>
  <c r="A12" i="2"/>
  <c r="A13" i="2"/>
  <c r="A14" i="2"/>
  <c r="A15" i="2"/>
  <c r="A16" i="2"/>
  <c r="A17" i="2"/>
  <c r="A18" i="2"/>
  <c r="A19" i="2"/>
  <c r="A20" i="2"/>
  <c r="A21" i="2"/>
  <c r="A22" i="2"/>
  <c r="A23" i="2"/>
  <c r="A24" i="2"/>
  <c r="A25" i="2"/>
  <c r="A26" i="2"/>
  <c r="A27" i="2"/>
  <c r="A28" i="2"/>
  <c r="A29" i="2"/>
  <c r="A30" i="2"/>
  <c r="A31" i="2"/>
  <c r="A32" i="2"/>
  <c r="A33" i="2"/>
  <c r="A34" i="2"/>
  <c r="A35" i="2"/>
  <c r="A36" i="2"/>
  <c r="A37" i="2"/>
  <c r="A38" i="2"/>
  <c r="A39" i="2"/>
  <c r="A40" i="2"/>
  <c r="A41" i="2"/>
  <c r="A42" i="2"/>
  <c r="A43" i="2"/>
  <c r="A44" i="2"/>
  <c r="A45" i="2"/>
  <c r="A46" i="2"/>
  <c r="A47" i="2"/>
  <c r="A48" i="2"/>
  <c r="A49" i="2"/>
  <c r="A50" i="2"/>
  <c r="A51" i="2"/>
  <c r="J24" i="2" l="1"/>
  <c r="J23" i="2"/>
  <c r="J22" i="2"/>
  <c r="J21" i="2"/>
  <c r="J20" i="2"/>
  <c r="J19" i="2"/>
  <c r="J18" i="2"/>
  <c r="J17" i="2"/>
  <c r="J16" i="2"/>
  <c r="J15" i="2"/>
  <c r="J14" i="2"/>
  <c r="J13" i="2"/>
  <c r="J12" i="2"/>
  <c r="J11" i="2"/>
  <c r="J10" i="2"/>
  <c r="J9" i="2"/>
  <c r="J7" i="2"/>
  <c r="J6" i="2"/>
  <c r="J5" i="2"/>
  <c r="J4" i="2"/>
  <c r="J8" i="2" l="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<sst xmlns="http://schemas.openxmlformats.org/spreadsheetml/2006/main" count="1202" uniqueCount="324">
  <si>
    <t>Date</t>
  </si>
  <si>
    <t>Balance</t>
  </si>
  <si>
    <t>Type</t>
  </si>
  <si>
    <t>Memo</t>
  </si>
  <si>
    <t>Debit</t>
  </si>
  <si>
    <t>Credit</t>
  </si>
  <si>
    <t>Trans #</t>
  </si>
  <si>
    <t>Name</t>
  </si>
  <si>
    <t>Account Name</t>
  </si>
  <si>
    <t>Description</t>
  </si>
  <si>
    <t>Chart Of Accounts</t>
  </si>
  <si>
    <t>Debit Account</t>
  </si>
  <si>
    <t>Credit Account</t>
  </si>
  <si>
    <t>Name / Vendor</t>
  </si>
  <si>
    <t>Increase</t>
  </si>
  <si>
    <t>Decrease</t>
  </si>
  <si>
    <t>Save &amp; Edit</t>
  </si>
  <si>
    <t>Selected Row</t>
  </si>
  <si>
    <t>New Trans</t>
  </si>
  <si>
    <t>Load Journal</t>
  </si>
  <si>
    <t>Account #</t>
  </si>
  <si>
    <t>Trans. Row</t>
  </si>
  <si>
    <t>Next Trans#</t>
  </si>
  <si>
    <t>Row</t>
  </si>
  <si>
    <t>Criteria</t>
  </si>
  <si>
    <t>February</t>
  </si>
  <si>
    <t>March</t>
  </si>
  <si>
    <t>April</t>
  </si>
  <si>
    <t>May</t>
  </si>
  <si>
    <t>June</t>
  </si>
  <si>
    <t>July</t>
  </si>
  <si>
    <t>August</t>
  </si>
  <si>
    <t>September</t>
  </si>
  <si>
    <t>October</t>
  </si>
  <si>
    <t>November</t>
  </si>
  <si>
    <t>December</t>
  </si>
  <si>
    <t>Debit Type</t>
  </si>
  <si>
    <t>Saved Row</t>
  </si>
  <si>
    <t>Account Type</t>
  </si>
  <si>
    <t>Italian Restaurant</t>
  </si>
  <si>
    <t>Temp. Col.</t>
  </si>
  <si>
    <t>Debits &amp; Credit Rules</t>
  </si>
  <si>
    <t>Advanced Filter Results</t>
  </si>
  <si>
    <t>Actifs</t>
  </si>
  <si>
    <t>1000</t>
  </si>
  <si>
    <t>Encaisse</t>
  </si>
  <si>
    <t>1100</t>
  </si>
  <si>
    <t>Comptes Clients</t>
  </si>
  <si>
    <t>1101</t>
  </si>
  <si>
    <t>Provision pour mauvaises créances</t>
  </si>
  <si>
    <t>1200</t>
  </si>
  <si>
    <t>TPS payée</t>
  </si>
  <si>
    <t>1201</t>
  </si>
  <si>
    <t>TVQ payée</t>
  </si>
  <si>
    <t>1202</t>
  </si>
  <si>
    <t>TPS facturée</t>
  </si>
  <si>
    <t>1203</t>
  </si>
  <si>
    <t>TVQ facturée</t>
  </si>
  <si>
    <t>1204</t>
  </si>
  <si>
    <t>Acomptes provisionnels - TPS</t>
  </si>
  <si>
    <t>1205</t>
  </si>
  <si>
    <t>Acomptes provisionnels - TVQ</t>
  </si>
  <si>
    <t>1210</t>
  </si>
  <si>
    <t>Travaux en cours</t>
  </si>
  <si>
    <t>1230</t>
  </si>
  <si>
    <t>Frais payés d'avance</t>
  </si>
  <si>
    <t>1250</t>
  </si>
  <si>
    <t>Mobilier de bureau</t>
  </si>
  <si>
    <t>1251</t>
  </si>
  <si>
    <t>Amort. Cum - mobil. de bureau</t>
  </si>
  <si>
    <t>1260</t>
  </si>
  <si>
    <t>Matériel informatique</t>
  </si>
  <si>
    <t>1261</t>
  </si>
  <si>
    <t>Amort. Cum - mat. Inform.</t>
  </si>
  <si>
    <t>1270</t>
  </si>
  <si>
    <t>Logiciel informatique</t>
  </si>
  <si>
    <t>1271</t>
  </si>
  <si>
    <t>Amort. Cum - logiciels</t>
  </si>
  <si>
    <t>1300</t>
  </si>
  <si>
    <t>Achalandage</t>
  </si>
  <si>
    <t>1301</t>
  </si>
  <si>
    <t>Amort. Cum - Achalandage</t>
  </si>
  <si>
    <t>1400</t>
  </si>
  <si>
    <t>Avance - Prêt GCP</t>
  </si>
  <si>
    <t>Passifs</t>
  </si>
  <si>
    <t>2000</t>
  </si>
  <si>
    <t>Carte de crédit</t>
  </si>
  <si>
    <t>2010</t>
  </si>
  <si>
    <t>Avances de Guillaume Charron</t>
  </si>
  <si>
    <t>2011</t>
  </si>
  <si>
    <t>Avances à Fiducie Famille Charron</t>
  </si>
  <si>
    <t>2100</t>
  </si>
  <si>
    <t>Compte fournisseur</t>
  </si>
  <si>
    <t>2105</t>
  </si>
  <si>
    <t>Avances avec 9249-3626 Québec inc.</t>
  </si>
  <si>
    <t>2106</t>
  </si>
  <si>
    <t>Avances avec 9333-4829 Québec inc</t>
  </si>
  <si>
    <t>2107</t>
  </si>
  <si>
    <t>Prêt - Compte d'urgence</t>
  </si>
  <si>
    <t>2200</t>
  </si>
  <si>
    <t>Impôt Fédéral à payer</t>
  </si>
  <si>
    <t>2201</t>
  </si>
  <si>
    <t>Impôt Québec à payer</t>
  </si>
  <si>
    <t>2202</t>
  </si>
  <si>
    <t>Acomptes - Impôt Fédéral</t>
  </si>
  <si>
    <t>2203</t>
  </si>
  <si>
    <t>Acomptes - Impôt Québec</t>
  </si>
  <si>
    <t>2300</t>
  </si>
  <si>
    <t>Produit perçu d'avance</t>
  </si>
  <si>
    <t>Équité</t>
  </si>
  <si>
    <t>2500</t>
  </si>
  <si>
    <t>Actions ordinaires</t>
  </si>
  <si>
    <t>2501</t>
  </si>
  <si>
    <t>Actions privilégiées</t>
  </si>
  <si>
    <t>2600</t>
  </si>
  <si>
    <t>BNR</t>
  </si>
  <si>
    <t>2700</t>
  </si>
  <si>
    <t>Dividendes</t>
  </si>
  <si>
    <t>Revenus</t>
  </si>
  <si>
    <t>4000</t>
  </si>
  <si>
    <t>Revenus de consultation</t>
  </si>
  <si>
    <t>4001</t>
  </si>
  <si>
    <t>Revenus - Sociétés apparentées</t>
  </si>
  <si>
    <t>4010</t>
  </si>
  <si>
    <t>Revenus - travaux en cours</t>
  </si>
  <si>
    <t>4015</t>
  </si>
  <si>
    <t>Revenus d'intérêts</t>
  </si>
  <si>
    <t>4016</t>
  </si>
  <si>
    <t>Revenus de dividendes</t>
  </si>
  <si>
    <t>4017</t>
  </si>
  <si>
    <t>Prise de valeur - Valeur de consolidation</t>
  </si>
  <si>
    <t>Dépenses</t>
  </si>
  <si>
    <t>5000</t>
  </si>
  <si>
    <t>Doc. et outils de recherche</t>
  </si>
  <si>
    <t>5001</t>
  </si>
  <si>
    <t>Formations</t>
  </si>
  <si>
    <t>5002</t>
  </si>
  <si>
    <t>Fournitures de bureau</t>
  </si>
  <si>
    <t>5003</t>
  </si>
  <si>
    <t>Frais de représentation</t>
  </si>
  <si>
    <t>5003b</t>
  </si>
  <si>
    <t>Golf / Pourvoirie</t>
  </si>
  <si>
    <t>5004</t>
  </si>
  <si>
    <t>Frais de déplacement</t>
  </si>
  <si>
    <t>5005</t>
  </si>
  <si>
    <t>Frais de publicité</t>
  </si>
  <si>
    <t>5006</t>
  </si>
  <si>
    <t>Fournitures informatiques &amp; Site web</t>
  </si>
  <si>
    <t>5007</t>
  </si>
  <si>
    <t>Loyer</t>
  </si>
  <si>
    <t>5008</t>
  </si>
  <si>
    <t>Frais de communications</t>
  </si>
  <si>
    <t>5009</t>
  </si>
  <si>
    <t>Frais de poste</t>
  </si>
  <si>
    <t>5010</t>
  </si>
  <si>
    <t>Salaires et Sous-traitance</t>
  </si>
  <si>
    <t>5011</t>
  </si>
  <si>
    <t>Assurance &amp; Cotisation professionnelle</t>
  </si>
  <si>
    <t>5013</t>
  </si>
  <si>
    <t>Frais financiers</t>
  </si>
  <si>
    <t>5015</t>
  </si>
  <si>
    <t>Amortissement</t>
  </si>
  <si>
    <t>5016</t>
  </si>
  <si>
    <t>Mauvaises créances</t>
  </si>
  <si>
    <t>5020</t>
  </si>
  <si>
    <t>Assurance - loyer</t>
  </si>
  <si>
    <t>9000</t>
  </si>
  <si>
    <t>Impôts exigibles</t>
  </si>
  <si>
    <t>Guillaume Charron</t>
  </si>
  <si>
    <t>Dépôt</t>
  </si>
  <si>
    <t>Apport initial</t>
  </si>
  <si>
    <t>Repas avec l'avocat</t>
  </si>
  <si>
    <t>Retrait</t>
  </si>
  <si>
    <t>Apport</t>
  </si>
  <si>
    <t>Transfert</t>
  </si>
  <si>
    <t>Chèque</t>
  </si>
  <si>
    <t>Paiement</t>
  </si>
  <si>
    <t>Facture</t>
  </si>
  <si>
    <t>Achats</t>
  </si>
  <si>
    <t>Crédit</t>
  </si>
  <si>
    <t>VISA Odyssey Desjardins</t>
  </si>
  <si>
    <t>Bureau en Gros</t>
  </si>
  <si>
    <t>Bureau + Chaise + Classeur</t>
  </si>
  <si>
    <t>9299-2585 Québec inc.</t>
  </si>
  <si>
    <t>Huwiz inc.</t>
  </si>
  <si>
    <t>Les logiciels INFORMAT inc.</t>
  </si>
  <si>
    <t>Facture # 00507</t>
  </si>
  <si>
    <t>DESJARDINS</t>
  </si>
  <si>
    <t>Chèque # 00001</t>
  </si>
  <si>
    <t>Scores</t>
  </si>
  <si>
    <t>Home Dépôt</t>
  </si>
  <si>
    <t>Restaurant Italien</t>
  </si>
  <si>
    <t>Entrevue pour poste de réceptionniste</t>
  </si>
  <si>
    <t>Date de:</t>
  </si>
  <si>
    <t>Date À:</t>
  </si>
  <si>
    <t>Compte à afficher:</t>
  </si>
  <si>
    <t>January</t>
  </si>
  <si>
    <t>Facture # 00508</t>
  </si>
  <si>
    <t>Chèque # 00002</t>
  </si>
  <si>
    <t>Imprimante HP 7400</t>
  </si>
  <si>
    <t>Cartouches d'encre Noire + 3 couleurs</t>
  </si>
  <si>
    <t>Débit</t>
  </si>
  <si>
    <t>Solde</t>
  </si>
  <si>
    <t>Impact Assurances</t>
  </si>
  <si>
    <t>[All accounts]</t>
  </si>
  <si>
    <t>Chèque # 00003 / Assurance professionnelle (1 an)</t>
  </si>
  <si>
    <t>Selected Trans #</t>
  </si>
  <si>
    <t>Facture # 00509</t>
  </si>
  <si>
    <t>CCH</t>
  </si>
  <si>
    <t>Logiciel Impôt Rapide - Version 2020</t>
  </si>
  <si>
    <t>Chèque # 00004</t>
  </si>
  <si>
    <t>Chèque # 00005</t>
  </si>
  <si>
    <t>Lunch avec un client</t>
  </si>
  <si>
    <t>Sheet1</t>
  </si>
  <si>
    <t>General Journal</t>
  </si>
  <si>
    <t>Sheet2</t>
  </si>
  <si>
    <t>Sheet3</t>
  </si>
  <si>
    <t>Sheet4</t>
  </si>
  <si>
    <t>Transactions</t>
  </si>
  <si>
    <t>CalPopUp</t>
  </si>
  <si>
    <t>Private Sub Worksheet_Change</t>
  </si>
  <si>
    <t>(ByVal Target As Range)</t>
  </si>
  <si>
    <t>()</t>
  </si>
  <si>
    <t>Private Sub Worksheet_Deactivate</t>
  </si>
  <si>
    <t>Private Sub Worksheet_SelectionChange</t>
  </si>
  <si>
    <t>Worksheets</t>
  </si>
  <si>
    <t>Modules</t>
  </si>
  <si>
    <t>CodeReset_Macs</t>
  </si>
  <si>
    <t>PopUp_Calendar</t>
  </si>
  <si>
    <t>Trans_Macros</t>
  </si>
  <si>
    <t>Trans_SaveMacs</t>
  </si>
  <si>
    <t>ResetCalc</t>
  </si>
  <si>
    <t>StopCalc</t>
  </si>
  <si>
    <t>CalCol1</t>
  </si>
  <si>
    <t>CalCol2</t>
  </si>
  <si>
    <t>CalCol3</t>
  </si>
  <si>
    <t>CalCol4</t>
  </si>
  <si>
    <t>CalCol5</t>
  </si>
  <si>
    <t>CalCol6</t>
  </si>
  <si>
    <t>CalCol7</t>
  </si>
  <si>
    <t>CalCol8</t>
  </si>
  <si>
    <t>CalCol9</t>
  </si>
  <si>
    <t>CalendarHide</t>
  </si>
  <si>
    <t>CallFormulaReplacement</t>
  </si>
  <si>
    <t>CheckForSheet</t>
  </si>
  <si>
    <t>CreateCalSht</t>
  </si>
  <si>
    <t>DayBtn1</t>
  </si>
  <si>
    <t>DayBtn10</t>
  </si>
  <si>
    <t>DayBtn11</t>
  </si>
  <si>
    <t>DayBtn12</t>
  </si>
  <si>
    <t>DayBtn13</t>
  </si>
  <si>
    <t>DayBtn14</t>
  </si>
  <si>
    <t>DayBtn15</t>
  </si>
  <si>
    <t>DayBtn16</t>
  </si>
  <si>
    <t>DayBtn17</t>
  </si>
  <si>
    <t>DayBtn18</t>
  </si>
  <si>
    <t>DayBtn19</t>
  </si>
  <si>
    <t>DayBtn20</t>
  </si>
  <si>
    <t>DayBtn21</t>
  </si>
  <si>
    <t>DayBtn22</t>
  </si>
  <si>
    <t>DayBtn23</t>
  </si>
  <si>
    <t>DayBtn24</t>
  </si>
  <si>
    <t>DayBtn25</t>
  </si>
  <si>
    <t>DayBtn26</t>
  </si>
  <si>
    <t>DayBtn27</t>
  </si>
  <si>
    <t>DayBtn28</t>
  </si>
  <si>
    <t>DayBtn29</t>
  </si>
  <si>
    <t>DayBtn30</t>
  </si>
  <si>
    <t>DayBtn31</t>
  </si>
  <si>
    <t>DayBtn32</t>
  </si>
  <si>
    <t>DayBtn33</t>
  </si>
  <si>
    <t>DayBtn34</t>
  </si>
  <si>
    <t>DayBtn35</t>
  </si>
  <si>
    <t>DayBtn36</t>
  </si>
  <si>
    <t>DayBtn37</t>
  </si>
  <si>
    <t>DayBtn38</t>
  </si>
  <si>
    <t>DayBtn39</t>
  </si>
  <si>
    <t>DayBtn40</t>
  </si>
  <si>
    <t>DayBtn41</t>
  </si>
  <si>
    <t>DayBtn42</t>
  </si>
  <si>
    <t>DayBtn2</t>
  </si>
  <si>
    <t>DayBtn3</t>
  </si>
  <si>
    <t>DayBtn4</t>
  </si>
  <si>
    <t>DayBtn5</t>
  </si>
  <si>
    <t>DayBtn6</t>
  </si>
  <si>
    <t>DayBtn7</t>
  </si>
  <si>
    <t>DayBtn8</t>
  </si>
  <si>
    <t>DayBtn9</t>
  </si>
  <si>
    <t>GroupCal</t>
  </si>
  <si>
    <t>MacroLinkRemover</t>
  </si>
  <si>
    <t>NextMonth</t>
  </si>
  <si>
    <t>PrevMonth</t>
  </si>
  <si>
    <t>ShowSettings</t>
  </si>
  <si>
    <t>UnGroupCal</t>
  </si>
  <si>
    <t>LoadTransactions</t>
  </si>
  <si>
    <t>ShowSaveButton</t>
  </si>
  <si>
    <t>Trans_Save</t>
  </si>
  <si>
    <t>CalendarShow</t>
  </si>
  <si>
    <t>ÉCRITURES DE JOURNAL</t>
  </si>
  <si>
    <t>Clients &amp; Fournisseurs</t>
  </si>
  <si>
    <t>Types de compte</t>
  </si>
  <si>
    <t>Types de transactions</t>
  </si>
  <si>
    <t>Liste des Transactions</t>
  </si>
  <si>
    <t>Plan Comptable &amp; Listes Diverses</t>
  </si>
  <si>
    <t>Canplex inc.</t>
  </si>
  <si>
    <t>Chèque # 00006</t>
  </si>
  <si>
    <t>Chèque # 00007</t>
  </si>
  <si>
    <t>Hommes de Cœur</t>
  </si>
  <si>
    <t>Facture # 00510</t>
  </si>
  <si>
    <t>La Tomate Blanche</t>
  </si>
  <si>
    <t>Lunch avec Michael De Souza</t>
  </si>
  <si>
    <t>Chèque # 00003</t>
  </si>
  <si>
    <t>Chèque # 00008</t>
  </si>
  <si>
    <t>Chèque # 00009</t>
  </si>
  <si>
    <t>Chèque # 00010</t>
  </si>
  <si>
    <t>Chèque # 00011</t>
  </si>
  <si>
    <t>Chèque # 00012</t>
  </si>
  <si>
    <t>Chèque # 00013</t>
  </si>
  <si>
    <t>Revenu Québec</t>
  </si>
  <si>
    <t>Remise TPS - 2023-06-01 ­@ 2023-08-31</t>
  </si>
  <si>
    <t>Solde courant</t>
  </si>
  <si>
    <t>Mémo / Notes</t>
  </si>
  <si>
    <t>Compte - Débit</t>
  </si>
  <si>
    <t xml:space="preserve">     Compte - Crédit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</si>
</sst>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7" formatCode="#,##0.00\ &quot;$&quot;_);\(#,##0.00\ &quot;$&quot;\)"/>
    <numFmt numFmtId="44" formatCode="_ * #,##0.00_)\ &quot;$&quot;_ ;_ * \(#,##0.00\)\ &quot;$&quot;_ ;_ * &quot;-&quot;??_)\ &quot;$&quot;_ ;_ @_ "/>
    <numFmt numFmtId="164" formatCode="&quot;$&quot;#,##0.00_);\(&quot;$&quot;#,##0.00\)"/>
    <numFmt numFmtId="165" formatCode="_(&quot;$&quot;* #,##0.00_);_(&quot;$&quot;* \(#,##0.00\);_(&quot;$&quot;* &quot;-&quot;??_);_(@_)"/>
    <numFmt numFmtId="166" formatCode="d"/>
  </numFmts>
  <fonts count="20" x14ac:knownFonts="1">
    <font>
      <sz val="11"/>
      <color theme="1"/>
      <name val="Calibri"/>
      <family val="2"/>
      <scheme val="minor"/>
    </font>
    <font>
      <b/>
      <sz val="36"/>
      <color theme="4" tint="-0.249977111117893"/>
      <name val="Source Sans Pro Black"/>
      <family val="2"/>
    </font>
    <font>
      <sz val="11"/>
      <color theme="1"/>
      <name val="Calibri"/>
      <family val="2"/>
      <scheme val="minor"/>
    </font>
    <font>
      <b/>
      <sz val="11"/>
      <color theme="6" tint="-0.499984740745262"/>
      <name val="Calibri"/>
      <family val="2"/>
      <scheme val="minor"/>
    </font>
    <font>
      <sz val="30"/>
      <color theme="1"/>
      <name val="Cambria"/>
      <family val="1"/>
      <scheme val="major"/>
    </font>
    <font>
      <sz val="30"/>
      <color theme="6" tint="-0.499984740745262"/>
      <name val="Cambria"/>
      <family val="1"/>
      <scheme val="major"/>
    </font>
    <font>
      <b/>
      <sz val="18"/>
      <color rgb="FF0070C0"/>
      <name val="Cambria"/>
      <family val="1"/>
      <scheme val="major"/>
    </font>
    <font>
      <b/>
      <sz val="11"/>
      <color theme="8" tint="-0.499984740745262"/>
      <name val="Cambria"/>
      <family val="1"/>
      <scheme val="major"/>
    </font>
    <font>
      <b/>
      <sz val="30"/>
      <color theme="8" tint="-0.499984740745262"/>
      <name val="Cambria"/>
      <family val="1"/>
      <scheme val="major"/>
    </font>
    <font>
      <b/>
      <sz val="11"/>
      <color theme="1"/>
      <name val="Calibri"/>
      <family val="2"/>
      <scheme val="minor"/>
    </font>
    <font>
      <b/>
      <sz val="16"/>
      <color theme="1"/>
      <name val="Cambria"/>
      <family val="1"/>
      <scheme val="major"/>
    </font>
    <font>
      <sz val="20"/>
      <color theme="1"/>
      <name val="Calibri"/>
      <family val="2"/>
      <scheme val="minor"/>
    </font>
    <font>
      <sz val="11"/>
      <color rgb="FFFF0000"/>
      <name val="Calibri"/>
      <family val="2"/>
      <scheme val="minor"/>
    </font>
    <font>
      <b/>
      <sz val="36"/>
      <color rgb="FFFF0000"/>
      <name val="Source Sans Pro Black"/>
      <family val="2"/>
    </font>
    <font>
      <sz val="8"/>
      <name val="Calibri"/>
      <family val="2"/>
      <scheme val="minor"/>
    </font>
    <font>
      <b/>
      <sz val="12"/>
      <color rgb="FF0070C0"/>
      <name val="Calibri"/>
      <family val="2"/>
      <scheme val="minor"/>
    </font>
    <font>
      <b/>
      <sz val="11"/>
      <color rgb="FFFF0000"/>
      <name val="Calibri"/>
      <family val="2"/>
      <scheme val="minor"/>
    </font>
    <font>
      <sz val="9"/>
      <color rgb="FFFF0000"/>
      <name val="Calibri"/>
      <family val="2"/>
      <scheme val="minor"/>
    </font>
    <font>
      <b/>
      <sz val="14"/>
      <color rgb="FFFF0000"/>
      <name val="Calibri"/>
      <family val="2"/>
      <scheme val="minor"/>
    </font>
    <font>
      <b/>
      <sz val="11"/>
      <color rgb="FF0070C0"/>
      <name val="Calibri"/>
      <family val="2"/>
      <scheme val="minor"/>
    </font>
  </fonts>
  <fills count="17">
    <fill>
      <patternFill patternType="none"/>
    </fill>
    <fill>
      <patternFill patternType="gray125"/>
    </fill>
    <fill>
      <gradientFill degree="90">
        <stop position="0">
          <color theme="4" tint="0.40000610370189521"/>
        </stop>
        <stop position="1">
          <color theme="4" tint="0.59999389629810485"/>
        </stop>
      </gradientFill>
    </fill>
    <fill>
      <gradientFill degree="90">
        <stop position="0">
          <color theme="4" tint="0.59999389629810485"/>
        </stop>
        <stop position="1">
          <color theme="4" tint="0.80001220740379042"/>
        </stop>
      </gradientFill>
    </fill>
    <fill>
      <patternFill patternType="solid">
        <fgColor theme="4" tint="0.79998168889431442"/>
        <bgColor indexed="64"/>
      </patternFill>
    </fill>
    <fill>
      <patternFill patternType="solid">
        <fgColor theme="4" tint="0.59999389629810485"/>
        <bgColor indexed="64"/>
      </patternFill>
    </fill>
    <fill>
      <patternFill patternType="solid">
        <fgColor theme="0"/>
        <bgColor indexed="64"/>
      </patternFill>
    </fill>
    <fill>
      <gradientFill degree="90">
        <stop position="0">
          <color theme="6" tint="0.59999389629810485"/>
        </stop>
        <stop position="1">
          <color theme="6" tint="0.80001220740379042"/>
        </stop>
      </gradientFill>
    </fill>
    <fill>
      <patternFill patternType="solid">
        <fgColor theme="8" tint="0.59999389629810485"/>
        <bgColor indexed="64"/>
      </patternFill>
    </fill>
    <fill>
      <gradientFill degree="90">
        <stop position="0">
          <color theme="6" tint="0.40000610370189521"/>
        </stop>
        <stop position="1">
          <color theme="6" tint="0.59999389629810485"/>
        </stop>
      </gradientFill>
    </fill>
    <fill>
      <patternFill patternType="solid">
        <fgColor theme="6" tint="0.79998168889431442"/>
        <bgColor indexed="64"/>
      </patternFill>
    </fill>
    <fill>
      <patternFill patternType="solid">
        <fgColor rgb="FFEAF0F6"/>
        <bgColor indexed="64"/>
      </patternFill>
    </fill>
    <fill>
      <patternFill patternType="solid">
        <fgColor theme="0" tint="-0.14999847407452621"/>
        <bgColor indexed="64"/>
      </patternFill>
    </fill>
    <fill>
      <gradientFill degree="90">
        <stop position="0">
          <color theme="8" tint="0.40000610370189521"/>
        </stop>
        <stop position="1">
          <color theme="8" tint="0.59999389629810485"/>
        </stop>
      </gradientFill>
    </fill>
    <fill>
      <gradientFill degree="90">
        <stop position="0">
          <color theme="8" tint="0.59999389629810485"/>
        </stop>
        <stop position="1">
          <color theme="8" tint="0.80001220740379042"/>
        </stop>
      </gradientFill>
    </fill>
    <fill>
      <patternFill patternType="solid">
        <fgColor theme="8" tint="0.79998168889431442"/>
        <bgColor indexed="64"/>
      </patternFill>
    </fill>
    <fill>
      <patternFill patternType="solid">
        <fgColor rgb="FFFFFF99"/>
        <bgColor indexed="64"/>
      </patternFill>
    </fill>
  </fills>
  <borders count="65">
    <border>
      <left/>
      <right/>
      <top/>
      <bottom/>
      <diagonal/>
    </border>
    <border>
      <left style="thin">
        <color indexed="64"/>
      </left>
      <right style="thin">
        <color indexed="64"/>
      </right>
      <top style="thin">
        <color indexed="64"/>
      </top>
      <bottom style="thin">
        <color indexed="64"/>
      </bottom>
      <diagonal/>
    </border>
    <border>
      <left style="thin">
        <color rgb="FF0070C0"/>
      </left>
      <right style="thin">
        <color rgb="FF0070C0"/>
      </right>
      <top style="thin">
        <color rgb="FF0070C0"/>
      </top>
      <bottom style="thin">
        <color rgb="FF0070C0"/>
      </bottom>
      <diagonal/>
    </border>
    <border>
      <left style="hair">
        <color rgb="FF0070C0"/>
      </left>
      <right style="hair">
        <color rgb="FF0070C0"/>
      </right>
      <top style="thin">
        <color rgb="FF0070C0"/>
      </top>
      <bottom style="hair">
        <color rgb="FF0070C0"/>
      </bottom>
      <diagonal/>
    </border>
    <border>
      <left style="medium">
        <color rgb="FF0070C0"/>
      </left>
      <right style="thin">
        <color rgb="FF0070C0"/>
      </right>
      <top style="medium">
        <color rgb="FF0070C0"/>
      </top>
      <bottom style="thin">
        <color rgb="FF0070C0"/>
      </bottom>
      <diagonal/>
    </border>
    <border>
      <left style="thin">
        <color rgb="FF0070C0"/>
      </left>
      <right style="thin">
        <color rgb="FF0070C0"/>
      </right>
      <top style="medium">
        <color rgb="FF0070C0"/>
      </top>
      <bottom style="thin">
        <color rgb="FF0070C0"/>
      </bottom>
      <diagonal/>
    </border>
    <border>
      <left style="medium">
        <color rgb="FF0070C0"/>
      </left>
      <right style="thin">
        <color rgb="FF0070C0"/>
      </right>
      <top style="thin">
        <color rgb="FF0070C0"/>
      </top>
      <bottom style="thin">
        <color rgb="FF0070C0"/>
      </bottom>
      <diagonal/>
    </border>
    <border>
      <left style="thin">
        <color rgb="FF0070C0"/>
      </left>
      <right style="thin">
        <color rgb="FF0070C0"/>
      </right>
      <top style="thin">
        <color rgb="FF0070C0"/>
      </top>
      <bottom style="hair">
        <color rgb="FF0070C0"/>
      </bottom>
      <diagonal/>
    </border>
    <border>
      <left style="thin">
        <color rgb="FF0070C0"/>
      </left>
      <right style="thin">
        <color rgb="FF0070C0"/>
      </right>
      <top style="hair">
        <color rgb="FF0070C0"/>
      </top>
      <bottom style="thin">
        <color rgb="FF0070C0"/>
      </bottom>
      <diagonal/>
    </border>
    <border>
      <left style="medium">
        <color rgb="FF0070C0"/>
      </left>
      <right style="hair">
        <color rgb="FF0070C0"/>
      </right>
      <top style="thin">
        <color rgb="FF0070C0"/>
      </top>
      <bottom style="hair">
        <color rgb="FF0070C0"/>
      </bottom>
      <diagonal/>
    </border>
    <border>
      <left style="medium">
        <color theme="6" tint="-0.499984740745262"/>
      </left>
      <right style="thin">
        <color theme="6" tint="-0.499984740745262"/>
      </right>
      <top style="thin">
        <color theme="6" tint="-0.499984740745262"/>
      </top>
      <bottom style="medium">
        <color theme="6" tint="-0.499984740745262"/>
      </bottom>
      <diagonal/>
    </border>
    <border>
      <left style="thin">
        <color theme="6" tint="-0.499984740745262"/>
      </left>
      <right style="thin">
        <color theme="6" tint="-0.499984740745262"/>
      </right>
      <top style="thin">
        <color theme="6" tint="-0.499984740745262"/>
      </top>
      <bottom style="medium">
        <color theme="6" tint="-0.499984740745262"/>
      </bottom>
      <diagonal/>
    </border>
    <border>
      <left style="thin">
        <color theme="6" tint="-0.499984740745262"/>
      </left>
      <right style="medium">
        <color theme="6" tint="-0.499984740745262"/>
      </right>
      <top style="thin">
        <color theme="6" tint="-0.499984740745262"/>
      </top>
      <bottom style="medium">
        <color theme="6" tint="-0.499984740745262"/>
      </bottom>
      <diagonal/>
    </border>
    <border>
      <left style="medium">
        <color theme="6" tint="-0.499984740745262"/>
      </left>
      <right style="medium">
        <color theme="6" tint="-0.499984740745262"/>
      </right>
      <top style="medium">
        <color theme="6" tint="-0.499984740745262"/>
      </top>
      <bottom style="medium">
        <color theme="6" tint="-0.499984740745262"/>
      </bottom>
      <diagonal/>
    </border>
    <border>
      <left style="medium">
        <color theme="6" tint="-0.499984740745262"/>
      </left>
      <right style="medium">
        <color theme="6" tint="-0.499984740745262"/>
      </right>
      <top style="medium">
        <color theme="6" tint="-0.499984740745262"/>
      </top>
      <bottom style="thin">
        <color theme="6" tint="-0.499984740745262"/>
      </bottom>
      <diagonal/>
    </border>
    <border>
      <left style="hair">
        <color rgb="FF0070C0"/>
      </left>
      <right/>
      <top style="thin">
        <color rgb="FF0070C0"/>
      </top>
      <bottom style="hair">
        <color rgb="FF0070C0"/>
      </bottom>
      <diagonal/>
    </border>
    <border>
      <left style="hair">
        <color rgb="FF0070C0"/>
      </left>
      <right style="medium">
        <color rgb="FF0070C0"/>
      </right>
      <top style="medium">
        <color rgb="FF0070C0"/>
      </top>
      <bottom/>
      <diagonal/>
    </border>
    <border>
      <left style="hair">
        <color rgb="FF0070C0"/>
      </left>
      <right style="medium">
        <color rgb="FF0070C0"/>
      </right>
      <top/>
      <bottom style="medium">
        <color rgb="FF0070C0"/>
      </bottom>
      <diagonal/>
    </border>
    <border>
      <left style="thin">
        <color rgb="FF0070C0"/>
      </left>
      <right style="medium">
        <color rgb="FF0070C0"/>
      </right>
      <top style="medium">
        <color rgb="FF0070C0"/>
      </top>
      <bottom/>
      <diagonal/>
    </border>
    <border>
      <left style="thin">
        <color rgb="FF0070C0"/>
      </left>
      <right style="medium">
        <color rgb="FF0070C0"/>
      </right>
      <top/>
      <bottom/>
      <diagonal/>
    </border>
    <border>
      <left style="hair">
        <color rgb="FF0070C0"/>
      </left>
      <right style="medium">
        <color rgb="FF0070C0"/>
      </right>
      <top style="thin">
        <color rgb="FF0070C0"/>
      </top>
      <bottom/>
      <diagonal/>
    </border>
    <border>
      <left/>
      <right style="thin">
        <color theme="6" tint="-0.499984740745262"/>
      </right>
      <top style="thin">
        <color theme="6" tint="-0.499984740745262"/>
      </top>
      <bottom style="medium">
        <color theme="6" tint="-0.499984740745262"/>
      </bottom>
      <diagonal/>
    </border>
    <border>
      <left style="medium">
        <color theme="6" tint="-0.499984740745262"/>
      </left>
      <right/>
      <top style="medium">
        <color theme="6" tint="-0.499984740745262"/>
      </top>
      <bottom style="thin">
        <color theme="6" tint="-0.499984740745262"/>
      </bottom>
      <diagonal/>
    </border>
    <border>
      <left/>
      <right/>
      <top style="medium">
        <color theme="6" tint="-0.499984740745262"/>
      </top>
      <bottom style="thin">
        <color theme="6" tint="-0.499984740745262"/>
      </bottom>
      <diagonal/>
    </border>
    <border>
      <left/>
      <right style="medium">
        <color theme="6" tint="-0.499984740745262"/>
      </right>
      <top style="medium">
        <color theme="6" tint="-0.499984740745262"/>
      </top>
      <bottom style="thin">
        <color theme="6" tint="-0.499984740745262"/>
      </bottom>
      <diagonal/>
    </border>
    <border>
      <left style="medium">
        <color theme="6" tint="-0.499984740745262"/>
      </left>
      <right style="medium">
        <color theme="6" tint="-0.499984740745262"/>
      </right>
      <top style="thin">
        <color theme="6" tint="-0.499984740745262"/>
      </top>
      <bottom style="hair">
        <color theme="6" tint="0.39994506668294322"/>
      </bottom>
      <diagonal/>
    </border>
    <border>
      <left style="medium">
        <color theme="6" tint="-0.499984740745262"/>
      </left>
      <right style="medium">
        <color theme="6" tint="-0.499984740745262"/>
      </right>
      <top style="hair">
        <color theme="6" tint="0.39994506668294322"/>
      </top>
      <bottom style="hair">
        <color theme="6" tint="0.39994506668294322"/>
      </bottom>
      <diagonal/>
    </border>
    <border>
      <left style="medium">
        <color theme="6" tint="-0.499984740745262"/>
      </left>
      <right style="medium">
        <color theme="6" tint="-0.499984740745262"/>
      </right>
      <top style="hair">
        <color theme="6" tint="0.39994506668294322"/>
      </top>
      <bottom style="medium">
        <color theme="6" tint="-0.499984740745262"/>
      </bottom>
      <diagonal/>
    </border>
    <border>
      <left/>
      <right/>
      <top style="medium">
        <color theme="6" tint="-0.499984740745262"/>
      </top>
      <bottom style="hair">
        <color theme="6" tint="0.39994506668294322"/>
      </bottom>
      <diagonal/>
    </border>
    <border>
      <left style="hair">
        <color theme="6" tint="-0.499984740745262"/>
      </left>
      <right style="medium">
        <color theme="6" tint="-0.499984740745262"/>
      </right>
      <top style="medium">
        <color theme="6" tint="-0.499984740745262"/>
      </top>
      <bottom style="hair">
        <color theme="6" tint="0.39994506668294322"/>
      </bottom>
      <diagonal/>
    </border>
    <border>
      <left style="medium">
        <color theme="6" tint="-0.499984740745262"/>
      </left>
      <right style="hair">
        <color theme="6" tint="-0.499984740745262"/>
      </right>
      <top style="hair">
        <color theme="6" tint="0.39994506668294322"/>
      </top>
      <bottom style="hair">
        <color theme="6" tint="0.39994506668294322"/>
      </bottom>
      <diagonal/>
    </border>
    <border>
      <left/>
      <right style="hair">
        <color theme="6" tint="-0.499984740745262"/>
      </right>
      <top style="hair">
        <color theme="6" tint="0.39994506668294322"/>
      </top>
      <bottom style="hair">
        <color theme="6" tint="0.39994506668294322"/>
      </bottom>
      <diagonal/>
    </border>
    <border>
      <left/>
      <right/>
      <top style="hair">
        <color theme="6" tint="0.39994506668294322"/>
      </top>
      <bottom style="hair">
        <color theme="6" tint="0.39994506668294322"/>
      </bottom>
      <diagonal/>
    </border>
    <border>
      <left style="hair">
        <color theme="6" tint="-0.499984740745262"/>
      </left>
      <right style="medium">
        <color theme="6" tint="-0.499984740745262"/>
      </right>
      <top style="hair">
        <color theme="6" tint="0.39994506668294322"/>
      </top>
      <bottom style="hair">
        <color theme="6" tint="0.39994506668294322"/>
      </bottom>
      <diagonal/>
    </border>
    <border>
      <left style="medium">
        <color theme="6" tint="-0.499984740745262"/>
      </left>
      <right style="hair">
        <color theme="6" tint="-0.499984740745262"/>
      </right>
      <top style="hair">
        <color theme="6" tint="0.39994506668294322"/>
      </top>
      <bottom style="medium">
        <color theme="6" tint="-0.499984740745262"/>
      </bottom>
      <diagonal/>
    </border>
    <border>
      <left/>
      <right style="hair">
        <color theme="6" tint="-0.499984740745262"/>
      </right>
      <top style="hair">
        <color theme="6" tint="0.39994506668294322"/>
      </top>
      <bottom style="medium">
        <color theme="6" tint="-0.499984740745262"/>
      </bottom>
      <diagonal/>
    </border>
    <border>
      <left/>
      <right/>
      <top style="hair">
        <color theme="6" tint="0.39994506668294322"/>
      </top>
      <bottom style="medium">
        <color theme="6" tint="-0.499984740745262"/>
      </bottom>
      <diagonal/>
    </border>
    <border>
      <left style="hair">
        <color theme="6" tint="-0.499984740745262"/>
      </left>
      <right style="medium">
        <color theme="6" tint="-0.499984740745262"/>
      </right>
      <top style="hair">
        <color theme="6" tint="0.39994506668294322"/>
      </top>
      <bottom style="medium">
        <color theme="6" tint="-0.499984740745262"/>
      </bottom>
      <diagonal/>
    </border>
    <border>
      <left style="medium">
        <color theme="6" tint="-0.499984740745262"/>
      </left>
      <right style="medium">
        <color theme="6" tint="-0.499984740745262"/>
      </right>
      <top style="medium">
        <color theme="6" tint="-0.499984740745262"/>
      </top>
      <bottom style="hair">
        <color theme="6" tint="0.39994506668294322"/>
      </bottom>
      <diagonal/>
    </border>
    <border>
      <left style="medium">
        <color rgb="FF0070C0"/>
      </left>
      <right style="hair">
        <color rgb="FF0070C0"/>
      </right>
      <top style="hair">
        <color rgb="FF0070C0"/>
      </top>
      <bottom style="medium">
        <color rgb="FF0070C0"/>
      </bottom>
      <diagonal/>
    </border>
    <border>
      <left style="hair">
        <color rgb="FF0070C0"/>
      </left>
      <right style="hair">
        <color rgb="FF0070C0"/>
      </right>
      <top style="hair">
        <color rgb="FF0070C0"/>
      </top>
      <bottom style="medium">
        <color rgb="FF0070C0"/>
      </bottom>
      <diagonal/>
    </border>
    <border>
      <left style="hair">
        <color rgb="FF0070C0"/>
      </left>
      <right/>
      <top style="hair">
        <color rgb="FF0070C0"/>
      </top>
      <bottom style="medium">
        <color rgb="FF0070C0"/>
      </bottom>
      <diagonal/>
    </border>
    <border>
      <left style="medium">
        <color rgb="FF0070C0"/>
      </left>
      <right style="hair">
        <color rgb="FF0070C0"/>
      </right>
      <top style="medium">
        <color rgb="FF0070C0"/>
      </top>
      <bottom style="hair">
        <color rgb="FF0070C0"/>
      </bottom>
      <diagonal/>
    </border>
    <border>
      <left style="hair">
        <color rgb="FF0070C0"/>
      </left>
      <right style="hair">
        <color rgb="FF0070C0"/>
      </right>
      <top style="medium">
        <color rgb="FF0070C0"/>
      </top>
      <bottom style="hair">
        <color rgb="FF0070C0"/>
      </bottom>
      <diagonal/>
    </border>
    <border>
      <left style="hair">
        <color rgb="FF0070C0"/>
      </left>
      <right/>
      <top style="medium">
        <color rgb="FF0070C0"/>
      </top>
      <bottom style="hair">
        <color rgb="FF0070C0"/>
      </bottom>
      <diagonal/>
    </border>
    <border>
      <left style="thin">
        <color rgb="FF0070C0"/>
      </left>
      <right style="thin">
        <color rgb="FF0070C0"/>
      </right>
      <top/>
      <bottom/>
      <diagonal/>
    </border>
    <border>
      <left style="thin">
        <color indexed="64"/>
      </left>
      <right style="thin">
        <color indexed="64"/>
      </right>
      <top/>
      <bottom/>
      <diagonal/>
    </border>
    <border>
      <left style="medium">
        <color theme="6" tint="-0.499984740745262"/>
      </left>
      <right style="thin">
        <color theme="6" tint="-0.499984740745262"/>
      </right>
      <top style="medium">
        <color theme="6" tint="-0.499984740745262"/>
      </top>
      <bottom style="thin">
        <color theme="6" tint="-0.499984740745262"/>
      </bottom>
      <diagonal/>
    </border>
    <border>
      <left style="thin">
        <color theme="6" tint="-0.499984740745262"/>
      </left>
      <right style="thin">
        <color theme="6" tint="-0.499984740745262"/>
      </right>
      <top style="medium">
        <color theme="6" tint="-0.499984740745262"/>
      </top>
      <bottom style="thin">
        <color theme="6" tint="-0.499984740745262"/>
      </bottom>
      <diagonal/>
    </border>
    <border>
      <left style="thin">
        <color theme="6" tint="-0.499984740745262"/>
      </left>
      <right style="medium">
        <color theme="6" tint="-0.499984740745262"/>
      </right>
      <top style="medium">
        <color theme="6" tint="-0.499984740745262"/>
      </top>
      <bottom style="thin">
        <color theme="6" tint="-0.499984740745262"/>
      </bottom>
      <diagonal/>
    </border>
    <border>
      <left style="medium">
        <color theme="6" tint="-0.499984740745262"/>
      </left>
      <right style="thin">
        <color theme="6" tint="-0.499984740745262"/>
      </right>
      <top style="thin">
        <color theme="6" tint="-0.499984740745262"/>
      </top>
      <bottom style="thin">
        <color theme="6" tint="-0.499984740745262"/>
      </bottom>
      <diagonal/>
    </border>
    <border>
      <left style="thin">
        <color theme="6" tint="-0.499984740745262"/>
      </left>
      <right style="thin">
        <color theme="6" tint="-0.499984740745262"/>
      </right>
      <top style="thin">
        <color theme="6" tint="-0.499984740745262"/>
      </top>
      <bottom style="thin">
        <color theme="6" tint="-0.499984740745262"/>
      </bottom>
      <diagonal/>
    </border>
    <border>
      <left style="thin">
        <color theme="6" tint="-0.499984740745262"/>
      </left>
      <right style="medium">
        <color theme="6" tint="-0.499984740745262"/>
      </right>
      <top style="thin">
        <color theme="6" tint="-0.499984740745262"/>
      </top>
      <bottom style="thin">
        <color theme="6" tint="-0.499984740745262"/>
      </bottom>
      <diagonal/>
    </border>
    <border>
      <left style="medium">
        <color theme="8" tint="-0.499984740745262"/>
      </left>
      <right style="hair">
        <color theme="8" tint="-0.24994659260841701"/>
      </right>
      <top/>
      <bottom/>
      <diagonal/>
    </border>
    <border>
      <left style="hair">
        <color theme="8" tint="-0.24994659260841701"/>
      </left>
      <right style="hair">
        <color theme="8" tint="-0.24994659260841701"/>
      </right>
      <top/>
      <bottom/>
      <diagonal/>
    </border>
    <border>
      <left style="hair">
        <color theme="8" tint="-0.24994659260841701"/>
      </left>
      <right style="medium">
        <color theme="8" tint="-0.499984740745262"/>
      </right>
      <top/>
      <bottom/>
      <diagonal/>
    </border>
    <border>
      <left style="medium">
        <color theme="8" tint="-0.499984740745262"/>
      </left>
      <right style="hair">
        <color theme="8" tint="-0.24994659260841701"/>
      </right>
      <top/>
      <bottom style="medium">
        <color theme="8" tint="-0.499984740745262"/>
      </bottom>
      <diagonal/>
    </border>
    <border>
      <left style="hair">
        <color theme="8" tint="-0.24994659260841701"/>
      </left>
      <right style="hair">
        <color theme="8" tint="-0.24994659260841701"/>
      </right>
      <top/>
      <bottom style="medium">
        <color theme="8" tint="-0.499984740745262"/>
      </bottom>
      <diagonal/>
    </border>
    <border>
      <left style="hair">
        <color theme="8" tint="-0.24994659260841701"/>
      </left>
      <right style="medium">
        <color theme="8" tint="-0.499984740745262"/>
      </right>
      <top/>
      <bottom style="medium">
        <color theme="8" tint="-0.499984740745262"/>
      </bottom>
      <diagonal/>
    </border>
    <border>
      <left style="medium">
        <color theme="8" tint="-0.499984740745262"/>
      </left>
      <right style="hair">
        <color theme="8" tint="-0.24994659260841701"/>
      </right>
      <top style="medium">
        <color theme="8" tint="-0.499984740745262"/>
      </top>
      <bottom style="thin">
        <color theme="8" tint="-0.499984740745262"/>
      </bottom>
      <diagonal/>
    </border>
    <border>
      <left style="hair">
        <color theme="8" tint="-0.24994659260841701"/>
      </left>
      <right style="hair">
        <color theme="8" tint="-0.24994659260841701"/>
      </right>
      <top style="medium">
        <color theme="8" tint="-0.499984740745262"/>
      </top>
      <bottom style="thin">
        <color theme="8" tint="-0.499984740745262"/>
      </bottom>
      <diagonal/>
    </border>
    <border>
      <left style="hair">
        <color theme="8" tint="-0.24994659260841701"/>
      </left>
      <right style="medium">
        <color theme="8" tint="-0.499984740745262"/>
      </right>
      <top style="medium">
        <color theme="8" tint="-0.499984740745262"/>
      </top>
      <bottom style="thin">
        <color theme="8" tint="-0.499984740745262"/>
      </bottom>
      <diagonal/>
    </border>
    <border>
      <left style="thin">
        <color rgb="FF0070C0"/>
      </left>
      <right style="thin">
        <color rgb="FF0070C0"/>
      </right>
      <top style="medium">
        <color rgb="FF0070C0"/>
      </top>
      <bottom/>
      <diagonal/>
    </border>
    <border>
      <left style="thin">
        <color rgb="FF0070C0"/>
      </left>
      <right style="thin">
        <color rgb="FF0070C0"/>
      </right>
      <top/>
      <bottom style="thin">
        <color rgb="FF0070C0"/>
      </bottom>
      <diagonal/>
    </border>
    <border>
      <left style="medium">
        <color theme="6" tint="-0.499984740745262"/>
      </left>
      <right style="medium">
        <color theme="6" tint="-0.499984740745262"/>
      </right>
      <top style="hair">
        <color theme="6" tint="0.39994506668294322"/>
      </top>
      <bottom/>
      <diagonal/>
    </border>
  </borders>
  <cellStyleXfs count="2">
    <xf numFmtId="0" fontId="0" fillId="0" borderId="0"/>
    <xf numFmtId="165" fontId="2" fillId="0" borderId="0" applyFont="0" applyFill="0" applyBorder="0" applyAlignment="0" applyProtection="0"/>
  </cellStyleXfs>
  <cellXfs count="146">
    <xf numFmtId="0" fontId="0" fillId="0" borderId="0" xfId="0"/>
    <xf numFmtId="0" fontId="0" fillId="3" borderId="0" xfId="0" applyFill="1"/>
    <xf numFmtId="0" fontId="0" fillId="4" borderId="0" xfId="0" applyFill="1"/>
    <xf numFmtId="14" fontId="1" fillId="2" borderId="0" xfId="0" applyNumberFormat="1" applyFont="1" applyFill="1" applyAlignment="1">
      <alignment vertical="center"/>
    </xf>
    <xf numFmtId="0" fontId="0" fillId="5" borderId="4" xfId="0" applyFill="1" applyBorder="1" applyAlignment="1">
      <alignment horizontal="center"/>
    </xf>
    <xf numFmtId="0" fontId="0" fillId="5" borderId="5" xfId="0" applyFill="1" applyBorder="1" applyAlignment="1">
      <alignment horizontal="center"/>
    </xf>
    <xf numFmtId="0" fontId="0" fillId="5" borderId="6" xfId="0" applyFill="1" applyBorder="1" applyAlignment="1">
      <alignment horizontal="center"/>
    </xf>
    <xf numFmtId="0" fontId="0" fillId="5" borderId="2" xfId="0" applyFill="1" applyBorder="1" applyAlignment="1">
      <alignment horizontal="center"/>
    </xf>
    <xf numFmtId="0" fontId="0" fillId="0" borderId="3" xfId="0" applyBorder="1"/>
    <xf numFmtId="0" fontId="0" fillId="4" borderId="0" xfId="0" applyFill="1" applyAlignment="1">
      <alignment horizontal="center"/>
    </xf>
    <xf numFmtId="0" fontId="0" fillId="4" borderId="7" xfId="0" applyFill="1" applyBorder="1" applyAlignment="1">
      <alignment horizontal="center"/>
    </xf>
    <xf numFmtId="0" fontId="3" fillId="7" borderId="10" xfId="0" applyFont="1" applyFill="1" applyBorder="1" applyAlignment="1">
      <alignment horizontal="center"/>
    </xf>
    <xf numFmtId="0" fontId="3" fillId="7" borderId="11" xfId="0" applyFont="1" applyFill="1" applyBorder="1" applyAlignment="1">
      <alignment horizontal="center"/>
    </xf>
    <xf numFmtId="0" fontId="3" fillId="7" borderId="12" xfId="0" applyFont="1" applyFill="1" applyBorder="1" applyAlignment="1">
      <alignment horizontal="center"/>
    </xf>
    <xf numFmtId="0" fontId="0" fillId="7" borderId="0" xfId="0" applyFill="1"/>
    <xf numFmtId="0" fontId="0" fillId="0" borderId="0" xfId="0" applyAlignment="1">
      <alignment horizontal="center"/>
    </xf>
    <xf numFmtId="0" fontId="4" fillId="9" borderId="0" xfId="0" applyFont="1" applyFill="1"/>
    <xf numFmtId="0" fontId="0" fillId="10" borderId="0" xfId="0" applyFill="1"/>
    <xf numFmtId="0" fontId="0" fillId="4" borderId="16" xfId="0" applyFill="1" applyBorder="1"/>
    <xf numFmtId="0" fontId="0" fillId="4" borderId="17" xfId="0" applyFill="1" applyBorder="1"/>
    <xf numFmtId="0" fontId="0" fillId="4" borderId="20" xfId="0" applyFill="1" applyBorder="1"/>
    <xf numFmtId="0" fontId="3" fillId="7" borderId="21" xfId="0" applyFont="1" applyFill="1" applyBorder="1" applyAlignment="1">
      <alignment horizontal="center"/>
    </xf>
    <xf numFmtId="0" fontId="3" fillId="7" borderId="13" xfId="0" applyFont="1" applyFill="1" applyBorder="1" applyAlignment="1">
      <alignment horizontal="center"/>
    </xf>
    <xf numFmtId="0" fontId="3" fillId="7" borderId="14" xfId="0" applyFont="1" applyFill="1" applyBorder="1" applyAlignment="1">
      <alignment horizontal="center"/>
    </xf>
    <xf numFmtId="0" fontId="0" fillId="0" borderId="26" xfId="0" applyBorder="1" applyProtection="1">
      <protection locked="0"/>
    </xf>
    <xf numFmtId="0" fontId="0" fillId="0" borderId="26" xfId="0" applyBorder="1"/>
    <xf numFmtId="0" fontId="0" fillId="0" borderId="27" xfId="0" applyBorder="1"/>
    <xf numFmtId="0" fontId="0" fillId="0" borderId="28" xfId="0" applyBorder="1" applyProtection="1">
      <protection locked="0"/>
    </xf>
    <xf numFmtId="165" fontId="0" fillId="0" borderId="29" xfId="1" applyFont="1" applyFill="1" applyBorder="1"/>
    <xf numFmtId="0" fontId="0" fillId="0" borderId="32" xfId="0" applyBorder="1" applyProtection="1">
      <protection locked="0"/>
    </xf>
    <xf numFmtId="165" fontId="0" fillId="0" borderId="33" xfId="1" applyFont="1" applyFill="1" applyBorder="1"/>
    <xf numFmtId="0" fontId="0" fillId="0" borderId="32" xfId="0" applyBorder="1" applyAlignment="1" applyProtection="1">
      <alignment horizontal="center"/>
      <protection locked="0"/>
    </xf>
    <xf numFmtId="165" fontId="0" fillId="0" borderId="33" xfId="1" applyFont="1" applyFill="1" applyBorder="1" applyAlignment="1">
      <alignment horizontal="center"/>
    </xf>
    <xf numFmtId="0" fontId="0" fillId="0" borderId="36" xfId="0" applyBorder="1" applyProtection="1">
      <protection locked="0"/>
    </xf>
    <xf numFmtId="165" fontId="0" fillId="0" borderId="37" xfId="1" applyFont="1" applyFill="1" applyBorder="1"/>
    <xf numFmtId="0" fontId="0" fillId="0" borderId="38" xfId="0" applyBorder="1"/>
    <xf numFmtId="0" fontId="3" fillId="7" borderId="14" xfId="0" applyFont="1" applyFill="1" applyBorder="1" applyAlignment="1" applyProtection="1">
      <alignment horizontal="center"/>
      <protection locked="0"/>
    </xf>
    <xf numFmtId="14" fontId="0" fillId="6" borderId="8" xfId="0" applyNumberFormat="1" applyFill="1" applyBorder="1" applyAlignment="1">
      <alignment horizontal="center"/>
    </xf>
    <xf numFmtId="0" fontId="0" fillId="11" borderId="40" xfId="0" applyFill="1" applyBorder="1"/>
    <xf numFmtId="165" fontId="0" fillId="11" borderId="40" xfId="1" applyFont="1" applyFill="1" applyBorder="1"/>
    <xf numFmtId="165" fontId="0" fillId="4" borderId="41" xfId="1" applyFont="1" applyFill="1" applyBorder="1"/>
    <xf numFmtId="0" fontId="0" fillId="0" borderId="43" xfId="0" applyBorder="1"/>
    <xf numFmtId="165" fontId="0" fillId="0" borderId="43" xfId="1" applyFont="1" applyFill="1" applyBorder="1"/>
    <xf numFmtId="165" fontId="0" fillId="4" borderId="44" xfId="1" applyFont="1" applyFill="1" applyBorder="1"/>
    <xf numFmtId="14" fontId="0" fillId="0" borderId="0" xfId="0" applyNumberFormat="1"/>
    <xf numFmtId="14" fontId="0" fillId="0" borderId="0" xfId="0" applyNumberFormat="1" applyAlignment="1">
      <alignment horizontal="center"/>
    </xf>
    <xf numFmtId="0" fontId="0" fillId="0" borderId="8" xfId="0" applyBorder="1" applyAlignment="1">
      <alignment horizontal="center"/>
    </xf>
    <xf numFmtId="0" fontId="0" fillId="3" borderId="0" xfId="0" applyFill="1" applyAlignment="1">
      <alignment horizontal="center"/>
    </xf>
    <xf numFmtId="14" fontId="0" fillId="0" borderId="9" xfId="0" applyNumberFormat="1" applyBorder="1" applyAlignment="1">
      <alignment horizontal="center"/>
    </xf>
    <xf numFmtId="0" fontId="0" fillId="11" borderId="39" xfId="0" applyFill="1" applyBorder="1" applyAlignment="1">
      <alignment horizontal="center"/>
    </xf>
    <xf numFmtId="14" fontId="0" fillId="0" borderId="42" xfId="0" applyNumberFormat="1" applyBorder="1" applyAlignment="1">
      <alignment horizontal="center"/>
    </xf>
    <xf numFmtId="0" fontId="0" fillId="12" borderId="0" xfId="0" applyFill="1"/>
    <xf numFmtId="166" fontId="0" fillId="0" borderId="0" xfId="0" applyNumberFormat="1"/>
    <xf numFmtId="0" fontId="0" fillId="8" borderId="1" xfId="0" applyFill="1" applyBorder="1"/>
    <xf numFmtId="0" fontId="7" fillId="13" borderId="0" xfId="0" applyFont="1" applyFill="1"/>
    <xf numFmtId="0" fontId="0" fillId="14" borderId="0" xfId="0" applyFill="1"/>
    <xf numFmtId="0" fontId="0" fillId="8" borderId="46" xfId="0" applyFill="1" applyBorder="1"/>
    <xf numFmtId="0" fontId="0" fillId="8" borderId="1" xfId="0" applyFill="1" applyBorder="1" applyAlignment="1">
      <alignment horizontal="center"/>
    </xf>
    <xf numFmtId="164" fontId="0" fillId="11" borderId="40" xfId="1" applyNumberFormat="1" applyFont="1" applyFill="1" applyBorder="1"/>
    <xf numFmtId="165" fontId="0" fillId="0" borderId="0" xfId="1" applyFont="1"/>
    <xf numFmtId="164" fontId="0" fillId="0" borderId="43" xfId="1" applyNumberFormat="1" applyFont="1" applyFill="1" applyBorder="1"/>
    <xf numFmtId="165" fontId="0" fillId="4" borderId="8" xfId="1" applyFont="1" applyFill="1" applyBorder="1" applyAlignment="1">
      <alignment horizontal="center"/>
    </xf>
    <xf numFmtId="0" fontId="0" fillId="10" borderId="50" xfId="0" applyFill="1" applyBorder="1"/>
    <xf numFmtId="0" fontId="0" fillId="10" borderId="51" xfId="0" applyFill="1" applyBorder="1"/>
    <xf numFmtId="0" fontId="0" fillId="10" borderId="52" xfId="0" applyFill="1" applyBorder="1"/>
    <xf numFmtId="0" fontId="0" fillId="10" borderId="10" xfId="0" applyFill="1" applyBorder="1"/>
    <xf numFmtId="0" fontId="0" fillId="10" borderId="11" xfId="0" applyFill="1" applyBorder="1"/>
    <xf numFmtId="0" fontId="0" fillId="10" borderId="12" xfId="0" applyFill="1" applyBorder="1"/>
    <xf numFmtId="0" fontId="9" fillId="7" borderId="50" xfId="0" applyFont="1" applyFill="1" applyBorder="1" applyAlignment="1">
      <alignment horizontal="center"/>
    </xf>
    <xf numFmtId="0" fontId="9" fillId="7" borderId="51" xfId="0" applyFont="1" applyFill="1" applyBorder="1" applyAlignment="1">
      <alignment horizontal="center"/>
    </xf>
    <xf numFmtId="0" fontId="9" fillId="7" borderId="52" xfId="0" applyFont="1" applyFill="1" applyBorder="1" applyAlignment="1">
      <alignment horizontal="center"/>
    </xf>
    <xf numFmtId="0" fontId="0" fillId="15" borderId="0" xfId="0" applyFill="1"/>
    <xf numFmtId="14" fontId="0" fillId="15" borderId="0" xfId="0" applyNumberFormat="1" applyFill="1" applyAlignment="1">
      <alignment horizontal="center"/>
    </xf>
    <xf numFmtId="0" fontId="0" fillId="15" borderId="0" xfId="0" applyFill="1" applyAlignment="1">
      <alignment horizontal="center"/>
    </xf>
    <xf numFmtId="165" fontId="0" fillId="15" borderId="0" xfId="1" applyFont="1" applyFill="1"/>
    <xf numFmtId="0" fontId="0" fillId="0" borderId="53" xfId="0" applyBorder="1" applyAlignment="1">
      <alignment horizontal="center"/>
    </xf>
    <xf numFmtId="14" fontId="0" fillId="0" borderId="54" xfId="0" applyNumberFormat="1" applyBorder="1" applyAlignment="1">
      <alignment horizontal="center"/>
    </xf>
    <xf numFmtId="0" fontId="0" fillId="0" borderId="54" xfId="0" applyBorder="1"/>
    <xf numFmtId="164" fontId="0" fillId="0" borderId="54" xfId="1" applyNumberFormat="1" applyFont="1" applyBorder="1"/>
    <xf numFmtId="0" fontId="0" fillId="0" borderId="55" xfId="0" applyBorder="1" applyAlignment="1">
      <alignment horizontal="center"/>
    </xf>
    <xf numFmtId="165" fontId="0" fillId="0" borderId="54" xfId="1" applyFont="1" applyBorder="1"/>
    <xf numFmtId="0" fontId="0" fillId="0" borderId="56" xfId="0" applyBorder="1" applyAlignment="1">
      <alignment horizontal="center"/>
    </xf>
    <xf numFmtId="14" fontId="0" fillId="0" borderId="57" xfId="0" applyNumberFormat="1" applyBorder="1" applyAlignment="1">
      <alignment horizontal="center"/>
    </xf>
    <xf numFmtId="0" fontId="0" fillId="0" borderId="57" xfId="0" applyBorder="1"/>
    <xf numFmtId="165" fontId="0" fillId="0" borderId="57" xfId="1" applyFont="1" applyBorder="1"/>
    <xf numFmtId="0" fontId="0" fillId="0" borderId="58" xfId="0" applyBorder="1" applyAlignment="1">
      <alignment horizontal="center"/>
    </xf>
    <xf numFmtId="0" fontId="0" fillId="8" borderId="59" xfId="0" applyFill="1" applyBorder="1" applyAlignment="1">
      <alignment horizontal="center"/>
    </xf>
    <xf numFmtId="14" fontId="0" fillId="8" borderId="60" xfId="0" applyNumberFormat="1" applyFill="1" applyBorder="1" applyAlignment="1">
      <alignment horizontal="center"/>
    </xf>
    <xf numFmtId="0" fontId="0" fillId="8" borderId="60" xfId="0" applyFill="1" applyBorder="1" applyAlignment="1">
      <alignment horizontal="center"/>
    </xf>
    <xf numFmtId="165" fontId="0" fillId="8" borderId="60" xfId="1" applyFont="1" applyFill="1" applyBorder="1" applyAlignment="1">
      <alignment horizontal="center"/>
    </xf>
    <xf numFmtId="0" fontId="0" fillId="8" borderId="61" xfId="0" applyFill="1" applyBorder="1" applyAlignment="1">
      <alignment horizontal="center"/>
    </xf>
    <xf numFmtId="14" fontId="13" fillId="2" borderId="0" xfId="0" applyNumberFormat="1" applyFont="1" applyFill="1" applyAlignment="1">
      <alignment horizontal="center" vertical="center"/>
    </xf>
    <xf numFmtId="0" fontId="12" fillId="3" borderId="0" xfId="0" applyFont="1" applyFill="1" applyAlignment="1">
      <alignment horizontal="center"/>
    </xf>
    <xf numFmtId="0" fontId="12" fillId="4" borderId="0" xfId="0" applyFont="1" applyFill="1" applyAlignment="1">
      <alignment horizontal="center"/>
    </xf>
    <xf numFmtId="0" fontId="12" fillId="0" borderId="0" xfId="0" applyFont="1" applyAlignment="1">
      <alignment horizontal="center"/>
    </xf>
    <xf numFmtId="0" fontId="0" fillId="0" borderId="30" xfId="0" applyBorder="1" applyAlignment="1" applyProtection="1">
      <alignment horizontal="left"/>
      <protection locked="0"/>
    </xf>
    <xf numFmtId="49" fontId="0" fillId="0" borderId="31" xfId="0" applyNumberFormat="1" applyBorder="1" applyAlignment="1" applyProtection="1">
      <alignment horizontal="center"/>
      <protection locked="0"/>
    </xf>
    <xf numFmtId="49" fontId="0" fillId="0" borderId="31" xfId="0" applyNumberFormat="1" applyBorder="1" applyAlignment="1" applyProtection="1">
      <alignment horizontal="left"/>
      <protection locked="0"/>
    </xf>
    <xf numFmtId="0" fontId="0" fillId="5" borderId="5" xfId="0" applyFill="1" applyBorder="1" applyAlignment="1">
      <alignment horizontal="left"/>
    </xf>
    <xf numFmtId="0" fontId="0" fillId="5" borderId="2" xfId="0" applyFill="1" applyBorder="1" applyAlignment="1">
      <alignment horizontal="left"/>
    </xf>
    <xf numFmtId="0" fontId="0" fillId="0" borderId="34" xfId="0" applyBorder="1" applyAlignment="1" applyProtection="1">
      <alignment horizontal="left"/>
      <protection locked="0"/>
    </xf>
    <xf numFmtId="49" fontId="0" fillId="0" borderId="35" xfId="0" applyNumberFormat="1" applyBorder="1" applyAlignment="1" applyProtection="1">
      <alignment horizontal="center"/>
      <protection locked="0"/>
    </xf>
    <xf numFmtId="49" fontId="0" fillId="0" borderId="35" xfId="0" applyNumberFormat="1" applyBorder="1" applyAlignment="1" applyProtection="1">
      <alignment horizontal="left"/>
      <protection locked="0"/>
    </xf>
    <xf numFmtId="0" fontId="0" fillId="0" borderId="25" xfId="0" applyBorder="1"/>
    <xf numFmtId="0" fontId="9" fillId="0" borderId="0" xfId="0" applyFont="1"/>
    <xf numFmtId="0" fontId="15" fillId="0" borderId="0" xfId="0" applyFont="1"/>
    <xf numFmtId="0" fontId="16" fillId="0" borderId="0" xfId="0" applyFont="1"/>
    <xf numFmtId="4" fontId="0" fillId="0" borderId="0" xfId="0" applyNumberFormat="1"/>
    <xf numFmtId="44" fontId="0" fillId="4" borderId="15" xfId="1" applyNumberFormat="1" applyFont="1" applyFill="1" applyBorder="1"/>
    <xf numFmtId="44" fontId="0" fillId="0" borderId="3" xfId="1" applyNumberFormat="1" applyFont="1" applyFill="1" applyBorder="1"/>
    <xf numFmtId="44" fontId="0" fillId="11" borderId="40" xfId="1" applyNumberFormat="1" applyFont="1" applyFill="1" applyBorder="1"/>
    <xf numFmtId="44" fontId="0" fillId="0" borderId="43" xfId="1" applyNumberFormat="1" applyFont="1" applyFill="1" applyBorder="1"/>
    <xf numFmtId="44" fontId="0" fillId="4" borderId="41" xfId="1" applyNumberFormat="1" applyFont="1" applyFill="1" applyBorder="1"/>
    <xf numFmtId="0" fontId="0" fillId="16" borderId="0" xfId="0" applyFill="1" applyAlignment="1">
      <alignment horizontal="center"/>
    </xf>
    <xf numFmtId="0" fontId="0" fillId="16" borderId="0" xfId="0" applyFill="1"/>
    <xf numFmtId="7" fontId="0" fillId="0" borderId="3" xfId="1" applyNumberFormat="1" applyFont="1" applyFill="1" applyBorder="1"/>
    <xf numFmtId="7" fontId="0" fillId="11" borderId="40" xfId="1" applyNumberFormat="1" applyFont="1" applyFill="1" applyBorder="1"/>
    <xf numFmtId="7" fontId="0" fillId="0" borderId="43" xfId="1" applyNumberFormat="1" applyFont="1" applyFill="1" applyBorder="1"/>
    <xf numFmtId="0" fontId="0" fillId="11" borderId="40" xfId="0" applyFill="1" applyBorder="1" applyAlignment="1">
      <alignment horizontal="right"/>
    </xf>
    <xf numFmtId="14" fontId="1" fillId="0" borderId="0" xfId="0" applyNumberFormat="1" applyFont="1" applyAlignment="1">
      <alignment vertical="center"/>
    </xf>
    <xf numFmtId="3" fontId="0" fillId="0" borderId="0" xfId="0" applyNumberFormat="1" applyAlignment="1">
      <alignment horizontal="center"/>
    </xf>
    <xf numFmtId="0" fontId="0" fillId="0" borderId="0" xfId="0" applyAlignment="1">
      <alignment horizontal="center" vertical="center"/>
    </xf>
    <xf numFmtId="4" fontId="0" fillId="0" borderId="0" xfId="0" applyNumberFormat="1" applyAlignment="1">
      <alignment horizontal="center" vertical="center" wrapText="1"/>
    </xf>
    <xf numFmtId="0" fontId="0" fillId="0" borderId="0" xfId="0" applyAlignment="1">
      <alignment horizontal="center" vertical="center" wrapText="1"/>
    </xf>
    <xf numFmtId="3" fontId="0" fillId="0" borderId="0" xfId="0" applyNumberFormat="1" applyAlignment="1">
      <alignment horizontal="center" vertical="center" wrapText="1"/>
    </xf>
    <xf numFmtId="4" fontId="17" fillId="0" borderId="0" xfId="0" quotePrefix="1" applyNumberFormat="1" applyFont="1" applyAlignment="1">
      <alignment horizontal="center" vertical="center" wrapText="1"/>
    </xf>
    <xf numFmtId="0" fontId="19" fillId="0" borderId="0" xfId="0" applyFont="1" applyAlignment="1">
      <alignment horizontal="center" vertical="center" wrapText="1"/>
    </xf>
    <xf numFmtId="44" fontId="0" fillId="0" borderId="0" xfId="0" applyNumberFormat="1"/>
    <xf numFmtId="4" fontId="9" fillId="0" borderId="0" xfId="0" applyNumberFormat="1" applyFont="1"/>
    <xf numFmtId="0" fontId="5" fillId="9" borderId="0" xfId="0" applyFont="1" applyFill="1" applyAlignment="1">
      <alignment horizontal="center" vertical="top"/>
    </xf>
    <xf numFmtId="0" fontId="3" fillId="9" borderId="22" xfId="0" applyFont="1" applyFill="1" applyBorder="1" applyAlignment="1">
      <alignment horizontal="center"/>
    </xf>
    <xf numFmtId="0" fontId="3" fillId="9" borderId="23" xfId="0" applyFont="1" applyFill="1" applyBorder="1" applyAlignment="1">
      <alignment horizontal="center"/>
    </xf>
    <xf numFmtId="0" fontId="3" fillId="9" borderId="24" xfId="0" applyFont="1" applyFill="1" applyBorder="1" applyAlignment="1">
      <alignment horizontal="center"/>
    </xf>
    <xf numFmtId="0" fontId="10" fillId="9" borderId="47" xfId="0" applyFont="1" applyFill="1" applyBorder="1" applyAlignment="1">
      <alignment horizontal="center" vertical="center"/>
    </xf>
    <xf numFmtId="0" fontId="10" fillId="9" borderId="48" xfId="0" applyFont="1" applyFill="1" applyBorder="1" applyAlignment="1">
      <alignment horizontal="center" vertical="center"/>
    </xf>
    <xf numFmtId="0" fontId="10" fillId="9" borderId="49" xfId="0" applyFont="1" applyFill="1" applyBorder="1" applyAlignment="1">
      <alignment horizontal="center" vertical="center"/>
    </xf>
    <xf numFmtId="4" fontId="18" fillId="0" borderId="0" xfId="0" applyNumberFormat="1" applyFont="1" applyAlignment="1">
      <alignment horizontal="center"/>
    </xf>
    <xf numFmtId="14" fontId="1" fillId="2" borderId="0" xfId="0" applyNumberFormat="1" applyFont="1" applyFill="1" applyAlignment="1">
      <alignment horizontal="center" vertical="center"/>
    </xf>
    <xf numFmtId="0" fontId="0" fillId="5" borderId="18" xfId="0" applyFill="1" applyBorder="1" applyAlignment="1">
      <alignment horizontal="center" wrapText="1"/>
    </xf>
    <xf numFmtId="0" fontId="0" fillId="5" borderId="19" xfId="0" applyFill="1" applyBorder="1" applyAlignment="1">
      <alignment horizontal="center" wrapText="1"/>
    </xf>
    <xf numFmtId="0" fontId="6" fillId="4" borderId="45" xfId="0" applyFont="1" applyFill="1" applyBorder="1" applyAlignment="1">
      <alignment horizontal="center" vertical="center"/>
    </xf>
    <xf numFmtId="0" fontId="0" fillId="5" borderId="62" xfId="0" applyFill="1" applyBorder="1" applyAlignment="1">
      <alignment horizontal="center" vertical="center"/>
    </xf>
    <xf numFmtId="0" fontId="0" fillId="5" borderId="63" xfId="0" applyFill="1" applyBorder="1" applyAlignment="1">
      <alignment horizontal="center" vertical="center"/>
    </xf>
    <xf numFmtId="0" fontId="11" fillId="8" borderId="0" xfId="0" applyFont="1" applyFill="1" applyAlignment="1">
      <alignment horizontal="center" vertical="center"/>
    </xf>
    <xf numFmtId="0" fontId="8" fillId="13" borderId="0" xfId="0" applyFont="1" applyFill="1" applyAlignment="1">
      <alignment horizontal="center" vertical="center"/>
    </xf>
    <xf numFmtId="0" fontId="0" fillId="0" borderId="64" xfId="0" applyBorder="1"/>
  </cellXfs>
  <cellStyles count="2">
    <cellStyle name="Monétaire" xfId="1" builtinId="4"/>
    <cellStyle name="Normal" xfId="0" builtinId="0"/>
  </cellStyles>
  <dxfs count="59">
    <dxf>
      <fill>
        <patternFill>
          <bgColor rgb="FFDCEFF4"/>
        </patternFill>
      </fill>
    </dxf>
    <dxf>
      <fill>
        <patternFill>
          <bgColor rgb="FFDCEFF4"/>
        </patternFill>
      </fill>
    </dxf>
    <dxf>
      <fill>
        <patternFill>
          <bgColor theme="4" tint="0.79998168889431442"/>
        </patternFill>
      </fill>
      <border>
        <left/>
        <right/>
        <top/>
        <bottom/>
        <vertical/>
        <horizontal/>
      </border>
    </dxf>
    <dxf>
      <fill>
        <patternFill>
          <bgColor theme="9" tint="0.59996337778862885"/>
        </patternFill>
      </fill>
    </dxf>
    <dxf>
      <border>
        <bottom style="thin">
          <color rgb="FF0070C0"/>
        </bottom>
        <vertical/>
        <horizontal/>
      </border>
    </dxf>
    <dxf>
      <fill>
        <patternFill>
          <bgColor theme="4" tint="0.79998168889431442"/>
        </patternFill>
      </fill>
    </dxf>
    <dxf>
      <fill>
        <patternFill>
          <bgColor theme="4" tint="0.79998168889431442"/>
        </patternFill>
      </fill>
      <border>
        <left/>
        <right/>
        <bottom/>
      </border>
    </dxf>
    <dxf>
      <border>
        <left/>
        <right/>
        <bottom/>
        <vertical/>
        <horizontal/>
      </border>
    </dxf>
    <dxf>
      <fill>
        <patternFill>
          <bgColor theme="9" tint="0.79998168889431442"/>
        </patternFill>
      </fill>
    </dxf>
    <dxf>
      <fill>
        <patternFill>
          <bgColor rgb="FF00D661"/>
        </patternFill>
      </fill>
    </dxf>
    <dxf>
      <fill>
        <gradientFill degree="90">
          <stop position="0">
            <color rgb="FF00D661"/>
          </stop>
          <stop position="1">
            <color rgb="FF00D661"/>
          </stop>
        </gradientFill>
      </fill>
    </dxf>
    <dxf>
      <fill>
        <patternFill>
          <bgColor rgb="FFF1F5E7"/>
        </patternFill>
      </fill>
    </dxf>
    <dxf>
      <fill>
        <patternFill>
          <bgColor rgb="FFFAFBF7"/>
        </patternFill>
      </fill>
    </dxf>
    <dxf>
      <fill>
        <patternFill>
          <bgColor rgb="FFF1F5E7"/>
        </patternFill>
      </fill>
    </dxf>
    <dxf>
      <fill>
        <patternFill>
          <bgColor rgb="FFF5F8EE"/>
        </patternFill>
      </fill>
    </dxf>
    <dxf>
      <fill>
        <patternFill>
          <bgColor rgb="FFF5F8EE"/>
        </patternFill>
      </fill>
    </dxf>
    <dxf>
      <fill>
        <patternFill>
          <bgColor rgb="FFF1F5E7"/>
        </patternFill>
      </fill>
    </dxf>
    <dxf>
      <fill>
        <patternFill>
          <bgColor rgb="FFFAFBF7"/>
        </patternFill>
      </fill>
    </dxf>
    <dxf>
      <fill>
        <patternFill>
          <bgColor rgb="FFF1F5E7"/>
        </patternFill>
      </fill>
    </dxf>
    <dxf>
      <fill>
        <patternFill>
          <bgColor rgb="FFF1F5E7"/>
        </patternFill>
      </fill>
    </dxf>
    <dxf>
      <fill>
        <patternFill>
          <bgColor rgb="FFFAFBF7"/>
        </patternFill>
      </fill>
    </dxf>
    <dxf>
      <fill>
        <patternFill>
          <bgColor rgb="FFF1F5E7"/>
        </patternFill>
      </fill>
    </dxf>
    <dxf>
      <fill>
        <patternFill>
          <bgColor rgb="FFFAFBF7"/>
        </patternFill>
      </fill>
    </dxf>
    <dxf>
      <fill>
        <patternFill>
          <bgColor rgb="FFF1F5E7"/>
        </patternFill>
      </fill>
    </dxf>
    <dxf>
      <fill>
        <patternFill>
          <bgColor rgb="FFF1F5E7"/>
        </patternFill>
      </fill>
    </dxf>
    <dxf>
      <fill>
        <patternFill>
          <bgColor rgb="FFF1F5E7"/>
        </patternFill>
      </fill>
    </dxf>
    <dxf>
      <fill>
        <patternFill>
          <bgColor rgb="FFFAFBF7"/>
        </patternFill>
      </fill>
    </dxf>
    <dxf>
      <fill>
        <patternFill>
          <bgColor rgb="FFF1F5E7"/>
        </patternFill>
      </fill>
    </dxf>
    <dxf>
      <fill>
        <patternFill>
          <bgColor rgb="FFF1F5E7"/>
        </patternFill>
      </fill>
    </dxf>
    <dxf>
      <fill>
        <patternFill>
          <bgColor rgb="FFFAFBF7"/>
        </patternFill>
      </fill>
    </dxf>
    <dxf>
      <fill>
        <patternFill>
          <bgColor rgb="FFF1F5E7"/>
        </patternFill>
      </fill>
    </dxf>
    <dxf>
      <fill>
        <patternFill>
          <bgColor rgb="FFF1F5E7"/>
        </patternFill>
      </fill>
    </dxf>
    <dxf>
      <fill>
        <patternFill>
          <bgColor rgb="FFFAFBF7"/>
        </patternFill>
      </fill>
    </dxf>
    <dxf>
      <fill>
        <patternFill>
          <bgColor rgb="FFF1F5E7"/>
        </patternFill>
      </fill>
    </dxf>
    <dxf>
      <fill>
        <patternFill>
          <bgColor rgb="FFF1F5E7"/>
        </patternFill>
      </fill>
    </dxf>
    <dxf>
      <fill>
        <patternFill>
          <bgColor rgb="FFFAFBF7"/>
        </patternFill>
      </fill>
    </dxf>
    <dxf>
      <fill>
        <patternFill>
          <bgColor rgb="FFF1F5E7"/>
        </patternFill>
      </fill>
    </dxf>
    <dxf>
      <fill>
        <patternFill>
          <bgColor rgb="FFF1F5E7"/>
        </patternFill>
      </fill>
    </dxf>
    <dxf>
      <fill>
        <patternFill>
          <bgColor rgb="FFF1F5E7"/>
        </patternFill>
      </fill>
    </dxf>
    <dxf>
      <fill>
        <patternFill>
          <bgColor rgb="FFF1F5E7"/>
        </patternFill>
      </fill>
    </dxf>
    <dxf>
      <fill>
        <patternFill>
          <bgColor rgb="FFF1F5E7"/>
        </patternFill>
      </fill>
    </dxf>
    <dxf>
      <fill>
        <patternFill>
          <bgColor rgb="FFF1F5E7"/>
        </patternFill>
      </fill>
    </dxf>
    <dxf>
      <fill>
        <patternFill>
          <bgColor rgb="FFF1F5E7"/>
        </patternFill>
      </fill>
    </dxf>
    <dxf>
      <fill>
        <patternFill>
          <bgColor rgb="FFF1F5E7"/>
        </patternFill>
      </fill>
    </dxf>
    <dxf>
      <fill>
        <patternFill>
          <bgColor rgb="FFF1F5E7"/>
        </patternFill>
      </fill>
    </dxf>
    <dxf>
      <fill>
        <patternFill>
          <bgColor rgb="FFF1F5E7"/>
        </patternFill>
      </fill>
    </dxf>
    <dxf>
      <fill>
        <patternFill>
          <bgColor rgb="FFF1F5E7"/>
        </patternFill>
      </fill>
    </dxf>
    <dxf>
      <fill>
        <patternFill>
          <bgColor rgb="FFF1F5E7"/>
        </patternFill>
      </fill>
    </dxf>
    <dxf>
      <fill>
        <patternFill>
          <bgColor rgb="FFF1F5E7"/>
        </patternFill>
      </fill>
    </dxf>
    <dxf>
      <fill>
        <patternFill>
          <bgColor rgb="FFF1F5E7"/>
        </patternFill>
      </fill>
    </dxf>
    <dxf>
      <fill>
        <patternFill>
          <bgColor rgb="FFF1F5E7"/>
        </patternFill>
      </fill>
    </dxf>
    <dxf>
      <fill>
        <patternFill>
          <bgColor rgb="FFF5F8EE"/>
        </patternFill>
      </fill>
    </dxf>
    <dxf>
      <fill>
        <patternFill>
          <bgColor rgb="FFF1F5E7"/>
        </patternFill>
      </fill>
    </dxf>
    <dxf>
      <font>
        <b/>
        <i val="0"/>
        <color theme="0"/>
      </font>
      <fill>
        <gradientFill degree="90">
          <stop position="0">
            <color theme="6" tint="-0.25098422193060094"/>
          </stop>
          <stop position="1">
            <color theme="6" tint="-0.49803155613879818"/>
          </stop>
        </gradientFill>
      </fill>
    </dxf>
    <dxf>
      <fill>
        <patternFill>
          <bgColor rgb="FFF5F8EE"/>
        </patternFill>
      </fill>
    </dxf>
    <dxf>
      <fill>
        <patternFill>
          <bgColor rgb="FFF1F5E7"/>
        </patternFill>
      </fill>
    </dxf>
    <dxf>
      <fill>
        <patternFill>
          <bgColor rgb="FFFAFBF7"/>
        </patternFill>
      </fill>
    </dxf>
    <dxf>
      <fill>
        <patternFill>
          <bgColor rgb="FFF1F5E7"/>
        </patternFill>
      </fill>
    </dxf>
    <dxf>
      <font>
        <b/>
        <i val="0"/>
        <color theme="0"/>
      </font>
      <fill>
        <gradientFill degree="90">
          <stop position="0">
            <color theme="6" tint="-0.25098422193060094"/>
          </stop>
          <stop position="1">
            <color theme="6" tint="-0.49803155613879818"/>
          </stop>
        </gradientFill>
      </fill>
    </dxf>
  </dxfs>
  <tableStyles count="0" defaultTableStyle="TableStyleMedium2" defaultPivotStyle="PivotStyleLight16"/>
  <colors>
    <mruColors>
      <color rgb="FFFFFF99"/>
      <color rgb="FFDCEFF4"/>
      <color rgb="FF00D661"/>
      <color rgb="FFEAF0F6"/>
      <color rgb="FFF5F8EE"/>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externalLink" Target="externalLinks/externalLink1.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eetMetadata" Target="metadata.xml"/><Relationship Id="rId4" Type="http://schemas.openxmlformats.org/officeDocument/2006/relationships/worksheet" Target="worksheets/sheet4.xml"/><Relationship Id="rId9" Type="http://schemas.openxmlformats.org/officeDocument/2006/relationships/sharedStrings" Target="sharedStrings.xml"/></Relationships>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 Id="rId4" Type="http://schemas.openxmlformats.org/officeDocument/2006/relationships/image" Target="../media/image4.png"/></Relationships>
</file>

<file path=xl/drawings/_rels/drawing2.xml.rels><?xml version="1.0" encoding="UTF-8" standalone="yes"?>
<Relationships xmlns="http://schemas.openxmlformats.org/package/2006/relationships"><Relationship Id="rId1" Type="http://schemas.openxmlformats.org/officeDocument/2006/relationships/image" Target="../media/image3.png"/></Relationships>
</file>

<file path=xl/drawings/drawing1.xml><?xml version="1.0" encoding="utf-8"?>
<xdr:wsDr xmlns:xdr="http://schemas.openxmlformats.org/drawingml/2006/spreadsheetDrawing" xmlns:a="http://schemas.openxmlformats.org/drawingml/2006/main">
  <xdr:twoCellAnchor editAs="oneCell">
    <xdr:from>
      <xdr:col>3</xdr:col>
      <xdr:colOff>28575</xdr:colOff>
      <xdr:row>0</xdr:row>
      <xdr:rowOff>85725</xdr:rowOff>
    </xdr:from>
    <xdr:to>
      <xdr:col>3</xdr:col>
      <xdr:colOff>657225</xdr:colOff>
      <xdr:row>1</xdr:row>
      <xdr:rowOff>123825</xdr:rowOff>
    </xdr:to>
    <xdr:pic>
      <xdr:nvPicPr>
        <xdr:cNvPr id="4" name="Picture 3">
          <a:extLst>
            <a:ext uri="{FF2B5EF4-FFF2-40B4-BE49-F238E27FC236}">
              <a16:creationId xmlns:a16="http://schemas.microsoft.com/office/drawing/2014/main" id="{00000000-0008-0000-0100-000004000000}"/>
            </a:ext>
          </a:extLst>
        </xdr:cNvPr>
        <xdr:cNvPicPr>
          <a:picLocks noChangeAspect="1"/>
        </xdr:cNvPicPr>
      </xdr:nvPicPr>
      <xdr:blipFill>
        <a:blip xmlns:r="http://schemas.openxmlformats.org/officeDocument/2006/relationships" r:embed="rId1" cstate="print">
          <a:duotone>
            <a:schemeClr val="accent1">
              <a:shade val="45000"/>
              <a:satMod val="135000"/>
            </a:schemeClr>
            <a:prstClr val="white"/>
          </a:duotone>
          <a:extLst>
            <a:ext uri="{28A0092B-C50C-407E-A947-70E740481C1C}">
              <a14:useLocalDpi xmlns:a14="http://schemas.microsoft.com/office/drawing/2010/main" val="0"/>
            </a:ext>
          </a:extLst>
        </a:blip>
        <a:stretch>
          <a:fillRect/>
        </a:stretch>
      </xdr:blipFill>
      <xdr:spPr>
        <a:xfrm>
          <a:off x="2400300" y="85725"/>
          <a:ext cx="628650" cy="628650"/>
        </a:xfrm>
        <a:prstGeom prst="rect">
          <a:avLst/>
        </a:prstGeom>
      </xdr:spPr>
    </xdr:pic>
    <xdr:clientData/>
  </xdr:twoCellAnchor>
  <xdr:twoCellAnchor>
    <xdr:from>
      <xdr:col>9</xdr:col>
      <xdr:colOff>63500</xdr:colOff>
      <xdr:row>65</xdr:row>
      <xdr:rowOff>38100</xdr:rowOff>
    </xdr:from>
    <xdr:to>
      <xdr:col>9</xdr:col>
      <xdr:colOff>374396</xdr:colOff>
      <xdr:row>66</xdr:row>
      <xdr:rowOff>161925</xdr:rowOff>
    </xdr:to>
    <xdr:grpSp>
      <xdr:nvGrpSpPr>
        <xdr:cNvPr id="10" name="SaveBtn" hidden="1">
          <a:extLst>
            <a:ext uri="{FF2B5EF4-FFF2-40B4-BE49-F238E27FC236}">
              <a16:creationId xmlns:a16="http://schemas.microsoft.com/office/drawing/2014/main" id="{00000000-0008-0000-0100-00000A000000}"/>
            </a:ext>
          </a:extLst>
        </xdr:cNvPr>
        <xdr:cNvGrpSpPr/>
      </xdr:nvGrpSpPr>
      <xdr:grpSpPr>
        <a:xfrm>
          <a:off x="12480636" y="13070032"/>
          <a:ext cx="310896" cy="314325"/>
          <a:chOff x="11111354" y="1660399"/>
          <a:chExt cx="310896" cy="314325"/>
        </a:xfrm>
      </xdr:grpSpPr>
      <xdr:sp macro="[0]!Trans_Save" textlink="">
        <xdr:nvSpPr>
          <xdr:cNvPr id="6" name="Rectangle 5" hidden="1">
            <a:extLst>
              <a:ext uri="{FF2B5EF4-FFF2-40B4-BE49-F238E27FC236}">
                <a16:creationId xmlns:a16="http://schemas.microsoft.com/office/drawing/2014/main" id="{00000000-0008-0000-0100-000006000000}"/>
              </a:ext>
            </a:extLst>
          </xdr:cNvPr>
          <xdr:cNvSpPr/>
        </xdr:nvSpPr>
        <xdr:spPr>
          <a:xfrm>
            <a:off x="11111354" y="1660399"/>
            <a:ext cx="310896" cy="314325"/>
          </a:xfrm>
          <a:prstGeom prst="rect">
            <a:avLst/>
          </a:prstGeom>
          <a:solidFill>
            <a:schemeClr val="accent1">
              <a:lumMod val="40000"/>
              <a:lumOff val="60000"/>
            </a:schemeClr>
          </a:solid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en-US" sz="1100"/>
          </a:p>
        </xdr:txBody>
      </xdr:sp>
      <xdr:pic macro="[0]!Trans_Save">
        <xdr:nvPicPr>
          <xdr:cNvPr id="7" name="Picture 6" hidden="1">
            <a:extLst>
              <a:ext uri="{FF2B5EF4-FFF2-40B4-BE49-F238E27FC236}">
                <a16:creationId xmlns:a16="http://schemas.microsoft.com/office/drawing/2014/main" id="{00000000-0008-0000-0100-000007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1129642" y="1680337"/>
            <a:ext cx="274320" cy="274320"/>
          </a:xfrm>
          <a:prstGeom prst="rect">
            <a:avLst/>
          </a:prstGeom>
        </xdr:spPr>
      </xdr:pic>
    </xdr:grpSp>
    <xdr:clientData/>
  </xdr:twoCellAnchor>
  <xdr:twoCellAnchor editAs="oneCell">
    <xdr:from>
      <xdr:col>3</xdr:col>
      <xdr:colOff>0</xdr:colOff>
      <xdr:row>68</xdr:row>
      <xdr:rowOff>0</xdr:rowOff>
    </xdr:from>
    <xdr:to>
      <xdr:col>4</xdr:col>
      <xdr:colOff>1129553</xdr:colOff>
      <xdr:row>79</xdr:row>
      <xdr:rowOff>78130</xdr:rowOff>
    </xdr:to>
    <xdr:grpSp>
      <xdr:nvGrpSpPr>
        <xdr:cNvPr id="103" name="Calendar" hidden="1">
          <a:extLst>
            <a:ext uri="{FF2B5EF4-FFF2-40B4-BE49-F238E27FC236}">
              <a16:creationId xmlns:a16="http://schemas.microsoft.com/office/drawing/2014/main" id="{E2A076F7-0883-7D08-A8AF-7C487C124FC6}"/>
            </a:ext>
          </a:extLst>
        </xdr:cNvPr>
        <xdr:cNvGrpSpPr/>
      </xdr:nvGrpSpPr>
      <xdr:grpSpPr>
        <a:xfrm>
          <a:off x="2727614" y="13612091"/>
          <a:ext cx="2064734" cy="2225584"/>
          <a:chOff x="2724150" y="13249275"/>
          <a:chExt cx="2063003" cy="2230780"/>
        </a:xfrm>
      </xdr:grpSpPr>
      <xdr:sp macro="" textlink="">
        <xdr:nvSpPr>
          <xdr:cNvPr id="17" name="Settings" hidden="1">
            <a:extLst>
              <a:ext uri="{FF2B5EF4-FFF2-40B4-BE49-F238E27FC236}">
                <a16:creationId xmlns:a16="http://schemas.microsoft.com/office/drawing/2014/main" id="{00000000-0008-0000-0100-000011000000}"/>
              </a:ext>
            </a:extLst>
          </xdr:cNvPr>
          <xdr:cNvSpPr/>
        </xdr:nvSpPr>
        <xdr:spPr>
          <a:xfrm>
            <a:off x="2726009" y="15243743"/>
            <a:ext cx="2061144" cy="236312"/>
          </a:xfrm>
          <a:prstGeom prst="rect">
            <a:avLst/>
          </a:prstGeom>
          <a:solidFill>
            <a:srgbClr val="8DB4E3"/>
          </a:solidFill>
          <a:ln w="6350"/>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en-US" sz="1100"/>
          </a:p>
        </xdr:txBody>
      </xdr:sp>
      <xdr:sp macro="" textlink="">
        <xdr:nvSpPr>
          <xdr:cNvPr id="18" name="CalBack" hidden="1">
            <a:extLst>
              <a:ext uri="{FF2B5EF4-FFF2-40B4-BE49-F238E27FC236}">
                <a16:creationId xmlns:a16="http://schemas.microsoft.com/office/drawing/2014/main" id="{00000000-0008-0000-0100-000012000000}"/>
              </a:ext>
            </a:extLst>
          </xdr:cNvPr>
          <xdr:cNvSpPr/>
        </xdr:nvSpPr>
        <xdr:spPr>
          <a:xfrm>
            <a:off x="2724150" y="13249275"/>
            <a:ext cx="2061144" cy="1985017"/>
          </a:xfrm>
          <a:prstGeom prst="rect">
            <a:avLst/>
          </a:prstGeom>
          <a:solidFill>
            <a:srgbClr val="8DB4E3"/>
          </a:solidFill>
          <a:ln w="6350"/>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en-US" sz="1100"/>
          </a:p>
        </xdr:txBody>
      </xdr:sp>
      <xdr:sp macro="" textlink="CalPopUp!$A$5">
        <xdr:nvSpPr>
          <xdr:cNvPr id="19" name="MonthYear" hidden="1">
            <a:extLst>
              <a:ext uri="{FF2B5EF4-FFF2-40B4-BE49-F238E27FC236}">
                <a16:creationId xmlns:a16="http://schemas.microsoft.com/office/drawing/2014/main" id="{00000000-0008-0000-0100-000013000000}"/>
              </a:ext>
            </a:extLst>
          </xdr:cNvPr>
          <xdr:cNvSpPr txBox="1"/>
        </xdr:nvSpPr>
        <xdr:spPr>
          <a:xfrm>
            <a:off x="3007264" y="13448253"/>
            <a:ext cx="1497913" cy="1890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lIns="0" tIns="0" rIns="0" bIns="0" rtlCol="0" anchor="t"/>
          <a:lstStyle/>
          <a:p>
            <a:pPr algn="ctr"/>
            <a:fld id="{4EFCB9A6-CCEA-406D-8817-CE7ECAE9C66F}" type="TxLink">
              <a:rPr lang="en-US" sz="1100" b="0" i="0" u="none" strike="noStrike">
                <a:solidFill>
                  <a:srgbClr val="000000"/>
                </a:solidFill>
                <a:latin typeface="Calibri"/>
                <a:cs typeface="Calibri"/>
              </a:rPr>
              <a:pPr algn="ctr"/>
              <a:t>September 2023</a:t>
            </a:fld>
            <a:endParaRPr lang="en-US" sz="1100" b="1">
              <a:solidFill>
                <a:schemeClr val="tx1">
                  <a:lumMod val="75000"/>
                  <a:lumOff val="25000"/>
                </a:schemeClr>
              </a:solidFill>
            </a:endParaRPr>
          </a:p>
        </xdr:txBody>
      </xdr:sp>
      <xdr:sp macro="" textlink="">
        <xdr:nvSpPr>
          <xdr:cNvPr id="20" name="CalBorder" hidden="1">
            <a:extLst>
              <a:ext uri="{FF2B5EF4-FFF2-40B4-BE49-F238E27FC236}">
                <a16:creationId xmlns:a16="http://schemas.microsoft.com/office/drawing/2014/main" id="{00000000-0008-0000-0100-000014000000}"/>
              </a:ext>
            </a:extLst>
          </xdr:cNvPr>
          <xdr:cNvSpPr/>
        </xdr:nvSpPr>
        <xdr:spPr>
          <a:xfrm>
            <a:off x="2828376" y="13419120"/>
            <a:ext cx="1855687" cy="1620005"/>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en-US" sz="1100">
              <a:solidFill>
                <a:schemeClr val="tx1">
                  <a:lumMod val="75000"/>
                  <a:lumOff val="25000"/>
                </a:schemeClr>
              </a:solidFill>
            </a:endParaRPr>
          </a:p>
        </xdr:txBody>
      </xdr:sp>
      <xdr:sp macro="DayBtn1" textlink="CalPopUp!$B$1">
        <xdr:nvSpPr>
          <xdr:cNvPr id="21" name="1Day" hidden="1">
            <a:extLst>
              <a:ext uri="{FF2B5EF4-FFF2-40B4-BE49-F238E27FC236}">
                <a16:creationId xmlns:a16="http://schemas.microsoft.com/office/drawing/2014/main" id="{00000000-0008-0000-0100-000015000000}"/>
              </a:ext>
            </a:extLst>
          </xdr:cNvPr>
          <xdr:cNvSpPr/>
        </xdr:nvSpPr>
        <xdr:spPr>
          <a:xfrm>
            <a:off x="2843498" y="13845728"/>
            <a:ext cx="254171"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6F3EBFD2-5463-440B-B164-49E6D8F1068E}" type="TxLink">
              <a:rPr lang="en-US" sz="1100" b="0" i="0" u="none" strike="noStrike">
                <a:solidFill>
                  <a:srgbClr val="000000"/>
                </a:solidFill>
                <a:latin typeface="Calibri"/>
                <a:cs typeface="Calibri"/>
              </a:rPr>
              <a:pPr algn="r"/>
              <a:t> </a:t>
            </a:fld>
            <a:endParaRPr lang="en-US" sz="900" b="0">
              <a:solidFill>
                <a:schemeClr val="tx1">
                  <a:lumMod val="85000"/>
                  <a:lumOff val="15000"/>
                </a:schemeClr>
              </a:solidFill>
              <a:latin typeface="Tahoma" pitchFamily="34" charset="0"/>
              <a:cs typeface="Tahoma" pitchFamily="34" charset="0"/>
            </a:endParaRPr>
          </a:p>
        </xdr:txBody>
      </xdr:sp>
      <xdr:sp macro="DayBtn3" textlink="CalPopUp!$D$1">
        <xdr:nvSpPr>
          <xdr:cNvPr id="22" name="3Day" hidden="1">
            <a:extLst>
              <a:ext uri="{FF2B5EF4-FFF2-40B4-BE49-F238E27FC236}">
                <a16:creationId xmlns:a16="http://schemas.microsoft.com/office/drawing/2014/main" id="{00000000-0008-0000-0100-000016000000}"/>
              </a:ext>
            </a:extLst>
          </xdr:cNvPr>
          <xdr:cNvSpPr/>
        </xdr:nvSpPr>
        <xdr:spPr>
          <a:xfrm>
            <a:off x="3365283" y="13845728"/>
            <a:ext cx="255240"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E8BC6D55-DCDC-453D-9640-4D62C05906D0}" type="TxLink">
              <a:rPr lang="en-US" sz="1100" b="0" i="0" u="none" strike="noStrike">
                <a:solidFill>
                  <a:srgbClr val="000000"/>
                </a:solidFill>
                <a:latin typeface="Calibri"/>
                <a:cs typeface="Calibri"/>
              </a:rPr>
              <a:pPr algn="r"/>
              <a:t> </a:t>
            </a:fld>
            <a:endParaRPr lang="en-US" sz="900" b="0" i="0" u="none" strike="noStrike">
              <a:solidFill>
                <a:schemeClr val="tx1">
                  <a:lumMod val="85000"/>
                  <a:lumOff val="15000"/>
                </a:schemeClr>
              </a:solidFill>
              <a:latin typeface="Tahoma" pitchFamily="34" charset="0"/>
              <a:cs typeface="Tahoma" pitchFamily="34" charset="0"/>
            </a:endParaRPr>
          </a:p>
        </xdr:txBody>
      </xdr:sp>
      <xdr:sp macro="DayBtn14" textlink="CalPopUp!$H$2">
        <xdr:nvSpPr>
          <xdr:cNvPr id="23" name="14Day" hidden="1">
            <a:extLst>
              <a:ext uri="{FF2B5EF4-FFF2-40B4-BE49-F238E27FC236}">
                <a16:creationId xmlns:a16="http://schemas.microsoft.com/office/drawing/2014/main" id="{00000000-0008-0000-0100-000017000000}"/>
              </a:ext>
            </a:extLst>
          </xdr:cNvPr>
          <xdr:cNvSpPr/>
        </xdr:nvSpPr>
        <xdr:spPr>
          <a:xfrm>
            <a:off x="4407718" y="14041198"/>
            <a:ext cx="258234"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BE098AC8-C1C1-438A-82E7-C476878F78D4}" type="TxLink">
              <a:rPr lang="en-US" sz="1100" b="0" i="0" u="none" strike="noStrike">
                <a:solidFill>
                  <a:srgbClr val="000000"/>
                </a:solidFill>
                <a:latin typeface="Calibri"/>
                <a:cs typeface="Calibri"/>
              </a:rPr>
              <a:pPr algn="r"/>
              <a:t>9</a:t>
            </a:fld>
            <a:endParaRPr lang="en-US" sz="900" b="0">
              <a:solidFill>
                <a:schemeClr val="tx1">
                  <a:lumMod val="85000"/>
                  <a:lumOff val="15000"/>
                </a:schemeClr>
              </a:solidFill>
              <a:latin typeface="Tahoma" pitchFamily="34" charset="0"/>
              <a:cs typeface="Tahoma" pitchFamily="34" charset="0"/>
            </a:endParaRPr>
          </a:p>
        </xdr:txBody>
      </xdr:sp>
      <xdr:sp macro="DayBtn7" textlink="CalPopUp!$H$1">
        <xdr:nvSpPr>
          <xdr:cNvPr id="24" name="7Day" hidden="1">
            <a:extLst>
              <a:ext uri="{FF2B5EF4-FFF2-40B4-BE49-F238E27FC236}">
                <a16:creationId xmlns:a16="http://schemas.microsoft.com/office/drawing/2014/main" id="{00000000-0008-0000-0100-000018000000}"/>
              </a:ext>
            </a:extLst>
          </xdr:cNvPr>
          <xdr:cNvSpPr/>
        </xdr:nvSpPr>
        <xdr:spPr>
          <a:xfrm>
            <a:off x="4407718" y="13845728"/>
            <a:ext cx="258234"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F0321D8F-38A3-420D-90D3-948122EE3480}" type="TxLink">
              <a:rPr lang="en-US" sz="1100" b="0" i="0" u="none" strike="noStrike">
                <a:solidFill>
                  <a:srgbClr val="000000"/>
                </a:solidFill>
                <a:latin typeface="Calibri"/>
                <a:cs typeface="Calibri"/>
              </a:rPr>
              <a:pPr algn="r"/>
              <a:t>2</a:t>
            </a:fld>
            <a:endParaRPr lang="en-US" sz="900" b="0">
              <a:solidFill>
                <a:schemeClr val="tx1">
                  <a:lumMod val="85000"/>
                  <a:lumOff val="15000"/>
                </a:schemeClr>
              </a:solidFill>
              <a:latin typeface="Tahoma" pitchFamily="34" charset="0"/>
              <a:cs typeface="Tahoma" pitchFamily="34" charset="0"/>
            </a:endParaRPr>
          </a:p>
        </xdr:txBody>
      </xdr:sp>
      <xdr:sp macro="DayBtn4" textlink="CalPopUp!$E$1">
        <xdr:nvSpPr>
          <xdr:cNvPr id="25" name="4Day" hidden="1">
            <a:extLst>
              <a:ext uri="{FF2B5EF4-FFF2-40B4-BE49-F238E27FC236}">
                <a16:creationId xmlns:a16="http://schemas.microsoft.com/office/drawing/2014/main" id="{00000000-0008-0000-0100-000019000000}"/>
              </a:ext>
            </a:extLst>
          </xdr:cNvPr>
          <xdr:cNvSpPr/>
        </xdr:nvSpPr>
        <xdr:spPr>
          <a:xfrm>
            <a:off x="3626752" y="13845728"/>
            <a:ext cx="253321"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91F87DEB-1487-41EA-B8A5-FC55F61ABEB0}" type="TxLink">
              <a:rPr lang="en-US" sz="1100" b="0" i="0" u="none" strike="noStrike">
                <a:solidFill>
                  <a:srgbClr val="000000"/>
                </a:solidFill>
                <a:latin typeface="Calibri"/>
                <a:cs typeface="Calibri"/>
              </a:rPr>
              <a:pPr algn="r"/>
              <a:t> </a:t>
            </a:fld>
            <a:endParaRPr lang="en-US" sz="900" b="0">
              <a:solidFill>
                <a:schemeClr val="tx1">
                  <a:lumMod val="85000"/>
                  <a:lumOff val="15000"/>
                </a:schemeClr>
              </a:solidFill>
              <a:latin typeface="Tahoma" pitchFamily="34" charset="0"/>
              <a:cs typeface="Tahoma" pitchFamily="34" charset="0"/>
            </a:endParaRPr>
          </a:p>
        </xdr:txBody>
      </xdr:sp>
      <xdr:sp macro="DayBtn2" textlink="CalPopUp!$C$1">
        <xdr:nvSpPr>
          <xdr:cNvPr id="26" name="2Day" hidden="1">
            <a:extLst>
              <a:ext uri="{FF2B5EF4-FFF2-40B4-BE49-F238E27FC236}">
                <a16:creationId xmlns:a16="http://schemas.microsoft.com/office/drawing/2014/main" id="{00000000-0008-0000-0100-00001A000000}"/>
              </a:ext>
            </a:extLst>
          </xdr:cNvPr>
          <xdr:cNvSpPr/>
        </xdr:nvSpPr>
        <xdr:spPr>
          <a:xfrm>
            <a:off x="3103545" y="13845728"/>
            <a:ext cx="253322"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2DB980A6-8366-4E84-AB57-4E71A52F56C6}" type="TxLink">
              <a:rPr lang="en-US" sz="1100" b="0" i="0" u="none" strike="noStrike">
                <a:solidFill>
                  <a:srgbClr val="000000"/>
                </a:solidFill>
                <a:latin typeface="Calibri"/>
                <a:cs typeface="Calibri"/>
              </a:rPr>
              <a:pPr algn="r"/>
              <a:t> </a:t>
            </a:fld>
            <a:endParaRPr lang="en-US" sz="900" b="0">
              <a:solidFill>
                <a:schemeClr val="tx1">
                  <a:lumMod val="85000"/>
                  <a:lumOff val="15000"/>
                </a:schemeClr>
              </a:solidFill>
              <a:latin typeface="Tahoma" pitchFamily="34" charset="0"/>
              <a:cs typeface="Tahoma" pitchFamily="34" charset="0"/>
            </a:endParaRPr>
          </a:p>
        </xdr:txBody>
      </xdr:sp>
      <xdr:sp macro="DayBtn5" textlink="CalPopUp!$F$1">
        <xdr:nvSpPr>
          <xdr:cNvPr id="27" name="5Day" hidden="1">
            <a:extLst>
              <a:ext uri="{FF2B5EF4-FFF2-40B4-BE49-F238E27FC236}">
                <a16:creationId xmlns:a16="http://schemas.microsoft.com/office/drawing/2014/main" id="{00000000-0008-0000-0100-00001B000000}"/>
              </a:ext>
            </a:extLst>
          </xdr:cNvPr>
          <xdr:cNvSpPr/>
        </xdr:nvSpPr>
        <xdr:spPr>
          <a:xfrm>
            <a:off x="3884258" y="13845728"/>
            <a:ext cx="258234"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C0998E4E-2A6A-4F96-8956-373F3435FB1F}" type="TxLink">
              <a:rPr lang="en-US" sz="1100" b="0" i="0" u="none" strike="noStrike">
                <a:solidFill>
                  <a:srgbClr val="000000"/>
                </a:solidFill>
                <a:latin typeface="Calibri"/>
                <a:cs typeface="Calibri"/>
              </a:rPr>
              <a:pPr algn="r"/>
              <a:t> </a:t>
            </a:fld>
            <a:endParaRPr lang="en-US" sz="900" b="0">
              <a:solidFill>
                <a:schemeClr val="tx1">
                  <a:lumMod val="85000"/>
                  <a:lumOff val="15000"/>
                </a:schemeClr>
              </a:solidFill>
              <a:latin typeface="Tahoma" pitchFamily="34" charset="0"/>
              <a:cs typeface="Tahoma" pitchFamily="34" charset="0"/>
            </a:endParaRPr>
          </a:p>
        </xdr:txBody>
      </xdr:sp>
      <xdr:sp macro="DayBtn8" textlink="CalPopUp!$B$2">
        <xdr:nvSpPr>
          <xdr:cNvPr id="28" name="8Day" hidden="1">
            <a:extLst>
              <a:ext uri="{FF2B5EF4-FFF2-40B4-BE49-F238E27FC236}">
                <a16:creationId xmlns:a16="http://schemas.microsoft.com/office/drawing/2014/main" id="{00000000-0008-0000-0100-00001C000000}"/>
              </a:ext>
            </a:extLst>
          </xdr:cNvPr>
          <xdr:cNvSpPr/>
        </xdr:nvSpPr>
        <xdr:spPr>
          <a:xfrm>
            <a:off x="2843498" y="14041198"/>
            <a:ext cx="254171"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37D40543-6DBF-4917-9073-83A1565D935A}" type="TxLink">
              <a:rPr lang="en-US" sz="1100" b="0" i="0" u="none" strike="noStrike">
                <a:solidFill>
                  <a:srgbClr val="000000"/>
                </a:solidFill>
                <a:latin typeface="Calibri"/>
                <a:cs typeface="Calibri"/>
              </a:rPr>
              <a:pPr algn="r"/>
              <a:t>3</a:t>
            </a:fld>
            <a:endParaRPr lang="en-US" sz="900" b="0">
              <a:solidFill>
                <a:schemeClr val="tx1">
                  <a:lumMod val="85000"/>
                  <a:lumOff val="15000"/>
                </a:schemeClr>
              </a:solidFill>
              <a:latin typeface="Tahoma" pitchFamily="34" charset="0"/>
              <a:cs typeface="Tahoma" pitchFamily="34" charset="0"/>
            </a:endParaRPr>
          </a:p>
        </xdr:txBody>
      </xdr:sp>
      <xdr:sp macro="DayBtn10" textlink="CalPopUp!$D$2">
        <xdr:nvSpPr>
          <xdr:cNvPr id="29" name="10Day" hidden="1">
            <a:extLst>
              <a:ext uri="{FF2B5EF4-FFF2-40B4-BE49-F238E27FC236}">
                <a16:creationId xmlns:a16="http://schemas.microsoft.com/office/drawing/2014/main" id="{00000000-0008-0000-0100-00001D000000}"/>
              </a:ext>
            </a:extLst>
          </xdr:cNvPr>
          <xdr:cNvSpPr/>
        </xdr:nvSpPr>
        <xdr:spPr>
          <a:xfrm>
            <a:off x="3365283" y="14041198"/>
            <a:ext cx="255240"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07BB9338-6E7A-4A94-AF06-0EF844454A7F}" type="TxLink">
              <a:rPr lang="en-US" sz="1100" b="0" i="0" u="none" strike="noStrike">
                <a:solidFill>
                  <a:srgbClr val="000000"/>
                </a:solidFill>
                <a:latin typeface="Calibri"/>
                <a:cs typeface="Calibri"/>
              </a:rPr>
              <a:pPr algn="r"/>
              <a:t>5</a:t>
            </a:fld>
            <a:endParaRPr lang="en-US" sz="900" b="0" i="0" u="none" strike="noStrike">
              <a:solidFill>
                <a:schemeClr val="tx1">
                  <a:lumMod val="85000"/>
                  <a:lumOff val="15000"/>
                </a:schemeClr>
              </a:solidFill>
              <a:latin typeface="Tahoma" pitchFamily="34" charset="0"/>
              <a:cs typeface="Tahoma" pitchFamily="34" charset="0"/>
            </a:endParaRPr>
          </a:p>
        </xdr:txBody>
      </xdr:sp>
      <xdr:sp macro="DayBtn6" textlink="CalPopUp!$G$1">
        <xdr:nvSpPr>
          <xdr:cNvPr id="30" name="6Day" hidden="1">
            <a:extLst>
              <a:ext uri="{FF2B5EF4-FFF2-40B4-BE49-F238E27FC236}">
                <a16:creationId xmlns:a16="http://schemas.microsoft.com/office/drawing/2014/main" id="{00000000-0008-0000-0100-00001E000000}"/>
              </a:ext>
            </a:extLst>
          </xdr:cNvPr>
          <xdr:cNvSpPr/>
        </xdr:nvSpPr>
        <xdr:spPr>
          <a:xfrm>
            <a:off x="4147450" y="13845728"/>
            <a:ext cx="253321"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FC663B72-83F5-48EA-83E4-22FB1341E15B}" type="TxLink">
              <a:rPr lang="en-US" sz="1100" b="0" i="0" u="none" strike="noStrike">
                <a:solidFill>
                  <a:srgbClr val="000000"/>
                </a:solidFill>
                <a:latin typeface="Calibri"/>
                <a:cs typeface="Calibri"/>
              </a:rPr>
              <a:pPr algn="r"/>
              <a:t>1</a:t>
            </a:fld>
            <a:endParaRPr lang="en-US" sz="900" b="0">
              <a:solidFill>
                <a:schemeClr val="tx1">
                  <a:lumMod val="85000"/>
                  <a:lumOff val="15000"/>
                </a:schemeClr>
              </a:solidFill>
              <a:latin typeface="Tahoma" pitchFamily="34" charset="0"/>
              <a:cs typeface="Tahoma" pitchFamily="34" charset="0"/>
            </a:endParaRPr>
          </a:p>
        </xdr:txBody>
      </xdr:sp>
      <xdr:sp macro="DayBtn13" textlink="CalPopUp!$G$2">
        <xdr:nvSpPr>
          <xdr:cNvPr id="31" name="13Day" hidden="1">
            <a:extLst>
              <a:ext uri="{FF2B5EF4-FFF2-40B4-BE49-F238E27FC236}">
                <a16:creationId xmlns:a16="http://schemas.microsoft.com/office/drawing/2014/main" id="{00000000-0008-0000-0100-00001F000000}"/>
              </a:ext>
            </a:extLst>
          </xdr:cNvPr>
          <xdr:cNvSpPr/>
        </xdr:nvSpPr>
        <xdr:spPr>
          <a:xfrm>
            <a:off x="4147450" y="14041198"/>
            <a:ext cx="253321"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D73AFB5E-5A36-4B31-B8D6-0C1542F41547}" type="TxLink">
              <a:rPr lang="en-US" sz="1100" b="0" i="0" u="none" strike="noStrike">
                <a:solidFill>
                  <a:srgbClr val="000000"/>
                </a:solidFill>
                <a:latin typeface="Calibri"/>
                <a:cs typeface="Calibri"/>
              </a:rPr>
              <a:pPr algn="r"/>
              <a:t>8</a:t>
            </a:fld>
            <a:endParaRPr lang="en-US" sz="900" b="0">
              <a:solidFill>
                <a:schemeClr val="tx1">
                  <a:lumMod val="85000"/>
                  <a:lumOff val="15000"/>
                </a:schemeClr>
              </a:solidFill>
              <a:latin typeface="Tahoma" pitchFamily="34" charset="0"/>
              <a:cs typeface="Tahoma" pitchFamily="34" charset="0"/>
            </a:endParaRPr>
          </a:p>
        </xdr:txBody>
      </xdr:sp>
      <xdr:sp macro="DayBtn11" textlink="CalPopUp!$E$2">
        <xdr:nvSpPr>
          <xdr:cNvPr id="32" name="11Day" hidden="1">
            <a:extLst>
              <a:ext uri="{FF2B5EF4-FFF2-40B4-BE49-F238E27FC236}">
                <a16:creationId xmlns:a16="http://schemas.microsoft.com/office/drawing/2014/main" id="{00000000-0008-0000-0100-000020000000}"/>
              </a:ext>
            </a:extLst>
          </xdr:cNvPr>
          <xdr:cNvSpPr/>
        </xdr:nvSpPr>
        <xdr:spPr>
          <a:xfrm>
            <a:off x="3626752" y="14041198"/>
            <a:ext cx="253321"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7B9BC5A1-3D0D-4FF0-B3E5-D569F94E258F}" type="TxLink">
              <a:rPr lang="en-US" sz="1100" b="0" i="0" u="none" strike="noStrike">
                <a:solidFill>
                  <a:srgbClr val="000000"/>
                </a:solidFill>
                <a:latin typeface="Calibri"/>
                <a:cs typeface="Calibri"/>
              </a:rPr>
              <a:pPr algn="r"/>
              <a:t>6</a:t>
            </a:fld>
            <a:endParaRPr lang="en-US" sz="900" b="0">
              <a:solidFill>
                <a:schemeClr val="tx1">
                  <a:lumMod val="85000"/>
                  <a:lumOff val="15000"/>
                </a:schemeClr>
              </a:solidFill>
              <a:latin typeface="Tahoma" pitchFamily="34" charset="0"/>
              <a:cs typeface="Tahoma" pitchFamily="34" charset="0"/>
            </a:endParaRPr>
          </a:p>
        </xdr:txBody>
      </xdr:sp>
      <xdr:sp macro="DayBtn9" textlink="CalPopUp!$C$2">
        <xdr:nvSpPr>
          <xdr:cNvPr id="33" name="9Day" hidden="1">
            <a:extLst>
              <a:ext uri="{FF2B5EF4-FFF2-40B4-BE49-F238E27FC236}">
                <a16:creationId xmlns:a16="http://schemas.microsoft.com/office/drawing/2014/main" id="{00000000-0008-0000-0100-000021000000}"/>
              </a:ext>
            </a:extLst>
          </xdr:cNvPr>
          <xdr:cNvSpPr/>
        </xdr:nvSpPr>
        <xdr:spPr>
          <a:xfrm>
            <a:off x="3103545" y="14041198"/>
            <a:ext cx="253322"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9F825E40-626E-46F1-AD7D-C4B93F1DD588}" type="TxLink">
              <a:rPr lang="en-US" sz="1100" b="0" i="0" u="none" strike="noStrike">
                <a:solidFill>
                  <a:srgbClr val="000000"/>
                </a:solidFill>
                <a:latin typeface="Calibri"/>
                <a:cs typeface="Calibri"/>
              </a:rPr>
              <a:pPr algn="r"/>
              <a:t>4</a:t>
            </a:fld>
            <a:endParaRPr lang="en-US" sz="900" b="0">
              <a:solidFill>
                <a:schemeClr val="tx1">
                  <a:lumMod val="85000"/>
                  <a:lumOff val="15000"/>
                </a:schemeClr>
              </a:solidFill>
              <a:latin typeface="Tahoma" pitchFamily="34" charset="0"/>
              <a:cs typeface="Tahoma" pitchFamily="34" charset="0"/>
            </a:endParaRPr>
          </a:p>
        </xdr:txBody>
      </xdr:sp>
      <xdr:sp macro="DayBtn12" textlink="CalPopUp!$F$2">
        <xdr:nvSpPr>
          <xdr:cNvPr id="34" name="12Day" hidden="1">
            <a:extLst>
              <a:ext uri="{FF2B5EF4-FFF2-40B4-BE49-F238E27FC236}">
                <a16:creationId xmlns:a16="http://schemas.microsoft.com/office/drawing/2014/main" id="{00000000-0008-0000-0100-000022000000}"/>
              </a:ext>
            </a:extLst>
          </xdr:cNvPr>
          <xdr:cNvSpPr/>
        </xdr:nvSpPr>
        <xdr:spPr>
          <a:xfrm>
            <a:off x="3884258" y="14041198"/>
            <a:ext cx="258234"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A8B9A895-6D67-4445-ACDA-B01D37F34331}" type="TxLink">
              <a:rPr lang="en-US" sz="1100" b="0" i="0" u="none" strike="noStrike">
                <a:solidFill>
                  <a:srgbClr val="000000"/>
                </a:solidFill>
                <a:latin typeface="Calibri"/>
                <a:cs typeface="Calibri"/>
              </a:rPr>
              <a:pPr algn="r"/>
              <a:t>7</a:t>
            </a:fld>
            <a:endParaRPr lang="en-US" sz="900" b="0">
              <a:solidFill>
                <a:schemeClr val="tx1">
                  <a:lumMod val="85000"/>
                  <a:lumOff val="15000"/>
                </a:schemeClr>
              </a:solidFill>
              <a:latin typeface="Tahoma" pitchFamily="34" charset="0"/>
              <a:cs typeface="Tahoma" pitchFamily="34" charset="0"/>
            </a:endParaRPr>
          </a:p>
        </xdr:txBody>
      </xdr:sp>
      <xdr:sp macro="DayBtn15" textlink="CalPopUp!$B$3">
        <xdr:nvSpPr>
          <xdr:cNvPr id="35" name="15Day" hidden="1">
            <a:extLst>
              <a:ext uri="{FF2B5EF4-FFF2-40B4-BE49-F238E27FC236}">
                <a16:creationId xmlns:a16="http://schemas.microsoft.com/office/drawing/2014/main" id="{00000000-0008-0000-0100-000023000000}"/>
              </a:ext>
            </a:extLst>
          </xdr:cNvPr>
          <xdr:cNvSpPr/>
        </xdr:nvSpPr>
        <xdr:spPr>
          <a:xfrm>
            <a:off x="2843498" y="14236761"/>
            <a:ext cx="254171"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F98A8C9B-010C-4DB0-A7CC-B6340E649FA6}" type="TxLink">
              <a:rPr lang="en-US" sz="1100" b="0" i="0" u="none" strike="noStrike">
                <a:solidFill>
                  <a:srgbClr val="000000"/>
                </a:solidFill>
                <a:latin typeface="Calibri"/>
                <a:cs typeface="Calibri"/>
              </a:rPr>
              <a:pPr algn="r"/>
              <a:t>10</a:t>
            </a:fld>
            <a:endParaRPr lang="en-US" sz="900" b="0">
              <a:solidFill>
                <a:schemeClr val="tx1">
                  <a:lumMod val="85000"/>
                  <a:lumOff val="15000"/>
                </a:schemeClr>
              </a:solidFill>
              <a:latin typeface="Tahoma" pitchFamily="34" charset="0"/>
              <a:cs typeface="Tahoma" pitchFamily="34" charset="0"/>
            </a:endParaRPr>
          </a:p>
        </xdr:txBody>
      </xdr:sp>
      <xdr:sp macro="DayBtn17" textlink="CalPopUp!$D$3">
        <xdr:nvSpPr>
          <xdr:cNvPr id="36" name="17Day" hidden="1">
            <a:extLst>
              <a:ext uri="{FF2B5EF4-FFF2-40B4-BE49-F238E27FC236}">
                <a16:creationId xmlns:a16="http://schemas.microsoft.com/office/drawing/2014/main" id="{00000000-0008-0000-0100-000024000000}"/>
              </a:ext>
            </a:extLst>
          </xdr:cNvPr>
          <xdr:cNvSpPr/>
        </xdr:nvSpPr>
        <xdr:spPr>
          <a:xfrm>
            <a:off x="3365283" y="14236761"/>
            <a:ext cx="255240"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2E19B096-BAD9-402A-9642-2E52C58B91FC}" type="TxLink">
              <a:rPr lang="en-US" sz="1100" b="0" i="0" u="none" strike="noStrike">
                <a:solidFill>
                  <a:srgbClr val="000000"/>
                </a:solidFill>
                <a:latin typeface="Calibri"/>
                <a:cs typeface="Calibri"/>
              </a:rPr>
              <a:pPr algn="r"/>
              <a:t>12</a:t>
            </a:fld>
            <a:endParaRPr lang="en-US" sz="900" b="0" i="0" u="none" strike="noStrike">
              <a:solidFill>
                <a:schemeClr val="tx1">
                  <a:lumMod val="85000"/>
                  <a:lumOff val="15000"/>
                </a:schemeClr>
              </a:solidFill>
              <a:latin typeface="Tahoma" pitchFamily="34" charset="0"/>
              <a:cs typeface="Tahoma" pitchFamily="34" charset="0"/>
            </a:endParaRPr>
          </a:p>
        </xdr:txBody>
      </xdr:sp>
      <xdr:sp macro="DayBtn20" textlink="CalPopUp!$G$3">
        <xdr:nvSpPr>
          <xdr:cNvPr id="37" name="20Day" hidden="1">
            <a:extLst>
              <a:ext uri="{FF2B5EF4-FFF2-40B4-BE49-F238E27FC236}">
                <a16:creationId xmlns:a16="http://schemas.microsoft.com/office/drawing/2014/main" id="{00000000-0008-0000-0100-000025000000}"/>
              </a:ext>
            </a:extLst>
          </xdr:cNvPr>
          <xdr:cNvSpPr/>
        </xdr:nvSpPr>
        <xdr:spPr>
          <a:xfrm>
            <a:off x="4147450" y="14236761"/>
            <a:ext cx="253321"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9B7A671D-0185-44E8-960B-BBB089EC7E4A}" type="TxLink">
              <a:rPr lang="en-US" sz="1100" b="0" i="0" u="none" strike="noStrike">
                <a:solidFill>
                  <a:srgbClr val="000000"/>
                </a:solidFill>
                <a:latin typeface="Calibri"/>
                <a:cs typeface="Calibri"/>
              </a:rPr>
              <a:pPr algn="r"/>
              <a:t>15</a:t>
            </a:fld>
            <a:endParaRPr lang="en-US" sz="900" b="0">
              <a:solidFill>
                <a:schemeClr val="tx1">
                  <a:lumMod val="85000"/>
                  <a:lumOff val="15000"/>
                </a:schemeClr>
              </a:solidFill>
              <a:latin typeface="Tahoma" pitchFamily="34" charset="0"/>
              <a:cs typeface="Tahoma" pitchFamily="34" charset="0"/>
            </a:endParaRPr>
          </a:p>
        </xdr:txBody>
      </xdr:sp>
      <xdr:sp macro="DayBtn21" textlink="CalPopUp!$H$3">
        <xdr:nvSpPr>
          <xdr:cNvPr id="38" name="21Day" hidden="1">
            <a:extLst>
              <a:ext uri="{FF2B5EF4-FFF2-40B4-BE49-F238E27FC236}">
                <a16:creationId xmlns:a16="http://schemas.microsoft.com/office/drawing/2014/main" id="{00000000-0008-0000-0100-000026000000}"/>
              </a:ext>
            </a:extLst>
          </xdr:cNvPr>
          <xdr:cNvSpPr/>
        </xdr:nvSpPr>
        <xdr:spPr>
          <a:xfrm>
            <a:off x="4407718" y="14236761"/>
            <a:ext cx="258729"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0B92ADA5-6901-42A0-BAB1-932578646108}" type="TxLink">
              <a:rPr lang="en-US" sz="1100" b="0" i="0" u="none" strike="noStrike">
                <a:solidFill>
                  <a:srgbClr val="000000"/>
                </a:solidFill>
                <a:latin typeface="Calibri"/>
                <a:cs typeface="Calibri"/>
              </a:rPr>
              <a:pPr algn="r"/>
              <a:t>16</a:t>
            </a:fld>
            <a:endParaRPr lang="en-US" sz="900" b="0">
              <a:solidFill>
                <a:schemeClr val="tx1">
                  <a:lumMod val="85000"/>
                  <a:lumOff val="15000"/>
                </a:schemeClr>
              </a:solidFill>
              <a:latin typeface="Tahoma" pitchFamily="34" charset="0"/>
              <a:cs typeface="Tahoma" pitchFamily="34" charset="0"/>
            </a:endParaRPr>
          </a:p>
        </xdr:txBody>
      </xdr:sp>
      <xdr:sp macro="DayBtn18" textlink="CalPopUp!$E$3">
        <xdr:nvSpPr>
          <xdr:cNvPr id="39" name="18Day" hidden="1">
            <a:extLst>
              <a:ext uri="{FF2B5EF4-FFF2-40B4-BE49-F238E27FC236}">
                <a16:creationId xmlns:a16="http://schemas.microsoft.com/office/drawing/2014/main" id="{00000000-0008-0000-0100-000027000000}"/>
              </a:ext>
            </a:extLst>
          </xdr:cNvPr>
          <xdr:cNvSpPr/>
        </xdr:nvSpPr>
        <xdr:spPr>
          <a:xfrm>
            <a:off x="3626752" y="14236761"/>
            <a:ext cx="253321"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8D1C8CA5-A552-48D2-9F49-DC377D8E3A2D}" type="TxLink">
              <a:rPr lang="en-US" sz="1100" b="0" i="0" u="none" strike="noStrike">
                <a:solidFill>
                  <a:srgbClr val="000000"/>
                </a:solidFill>
                <a:latin typeface="Calibri"/>
                <a:cs typeface="Calibri"/>
              </a:rPr>
              <a:pPr algn="r"/>
              <a:t>13</a:t>
            </a:fld>
            <a:endParaRPr lang="en-US" sz="900" b="0">
              <a:solidFill>
                <a:schemeClr val="tx1">
                  <a:lumMod val="85000"/>
                  <a:lumOff val="15000"/>
                </a:schemeClr>
              </a:solidFill>
              <a:latin typeface="Tahoma" pitchFamily="34" charset="0"/>
              <a:cs typeface="Tahoma" pitchFamily="34" charset="0"/>
            </a:endParaRPr>
          </a:p>
        </xdr:txBody>
      </xdr:sp>
      <xdr:sp macro="DayBtn16" textlink="CalPopUp!$C$3">
        <xdr:nvSpPr>
          <xdr:cNvPr id="40" name="16Day" hidden="1">
            <a:extLst>
              <a:ext uri="{FF2B5EF4-FFF2-40B4-BE49-F238E27FC236}">
                <a16:creationId xmlns:a16="http://schemas.microsoft.com/office/drawing/2014/main" id="{00000000-0008-0000-0100-000028000000}"/>
              </a:ext>
            </a:extLst>
          </xdr:cNvPr>
          <xdr:cNvSpPr/>
        </xdr:nvSpPr>
        <xdr:spPr>
          <a:xfrm>
            <a:off x="3103545" y="14236761"/>
            <a:ext cx="253322"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3126667B-A599-4FFF-9EEF-7F96A8D7C699}" type="TxLink">
              <a:rPr lang="en-US" sz="1100" b="0" i="0" u="none" strike="noStrike">
                <a:solidFill>
                  <a:srgbClr val="000000"/>
                </a:solidFill>
                <a:latin typeface="Calibri"/>
                <a:cs typeface="Calibri"/>
              </a:rPr>
              <a:pPr algn="r"/>
              <a:t>11</a:t>
            </a:fld>
            <a:endParaRPr lang="en-US" sz="900" b="0">
              <a:solidFill>
                <a:schemeClr val="tx1">
                  <a:lumMod val="85000"/>
                  <a:lumOff val="15000"/>
                </a:schemeClr>
              </a:solidFill>
              <a:latin typeface="Tahoma" pitchFamily="34" charset="0"/>
              <a:cs typeface="Tahoma" pitchFamily="34" charset="0"/>
            </a:endParaRPr>
          </a:p>
        </xdr:txBody>
      </xdr:sp>
      <xdr:sp macro="DayBtn19" textlink="CalPopUp!$F$3">
        <xdr:nvSpPr>
          <xdr:cNvPr id="41" name="19Day" hidden="1">
            <a:extLst>
              <a:ext uri="{FF2B5EF4-FFF2-40B4-BE49-F238E27FC236}">
                <a16:creationId xmlns:a16="http://schemas.microsoft.com/office/drawing/2014/main" id="{00000000-0008-0000-0100-000029000000}"/>
              </a:ext>
            </a:extLst>
          </xdr:cNvPr>
          <xdr:cNvSpPr/>
        </xdr:nvSpPr>
        <xdr:spPr>
          <a:xfrm>
            <a:off x="3884258" y="14236761"/>
            <a:ext cx="258234"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2BB83799-036A-4977-97CD-4F90DC6552DC}" type="TxLink">
              <a:rPr lang="en-US" sz="1100" b="0" i="0" u="none" strike="noStrike">
                <a:solidFill>
                  <a:srgbClr val="000000"/>
                </a:solidFill>
                <a:latin typeface="Calibri"/>
                <a:cs typeface="Calibri"/>
              </a:rPr>
              <a:pPr algn="r"/>
              <a:t>14</a:t>
            </a:fld>
            <a:endParaRPr lang="en-US" sz="900" b="0">
              <a:solidFill>
                <a:schemeClr val="tx1">
                  <a:lumMod val="85000"/>
                  <a:lumOff val="15000"/>
                </a:schemeClr>
              </a:solidFill>
              <a:latin typeface="Tahoma" pitchFamily="34" charset="0"/>
              <a:cs typeface="Tahoma" pitchFamily="34" charset="0"/>
            </a:endParaRPr>
          </a:p>
        </xdr:txBody>
      </xdr:sp>
      <xdr:sp macro="DayBtn22" textlink="CalPopUp!$B$4">
        <xdr:nvSpPr>
          <xdr:cNvPr id="42" name="22Day" hidden="1">
            <a:extLst>
              <a:ext uri="{FF2B5EF4-FFF2-40B4-BE49-F238E27FC236}">
                <a16:creationId xmlns:a16="http://schemas.microsoft.com/office/drawing/2014/main" id="{00000000-0008-0000-0100-00002A000000}"/>
              </a:ext>
            </a:extLst>
          </xdr:cNvPr>
          <xdr:cNvSpPr/>
        </xdr:nvSpPr>
        <xdr:spPr>
          <a:xfrm>
            <a:off x="2843498" y="14432560"/>
            <a:ext cx="254171"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41254D44-8AE8-4D23-8FF8-230C4EE2E453}" type="TxLink">
              <a:rPr lang="en-US" sz="1100" b="0" i="0" u="none" strike="noStrike">
                <a:solidFill>
                  <a:srgbClr val="000000"/>
                </a:solidFill>
                <a:latin typeface="Calibri"/>
                <a:cs typeface="Calibri"/>
              </a:rPr>
              <a:pPr algn="r"/>
              <a:t>17</a:t>
            </a:fld>
            <a:endParaRPr lang="en-US" sz="900" b="0">
              <a:solidFill>
                <a:schemeClr val="tx1">
                  <a:lumMod val="85000"/>
                  <a:lumOff val="15000"/>
                </a:schemeClr>
              </a:solidFill>
              <a:latin typeface="Tahoma" pitchFamily="34" charset="0"/>
              <a:cs typeface="Tahoma" pitchFamily="34" charset="0"/>
            </a:endParaRPr>
          </a:p>
        </xdr:txBody>
      </xdr:sp>
      <xdr:sp macro="DayBtn24" textlink="CalPopUp!$D$4">
        <xdr:nvSpPr>
          <xdr:cNvPr id="43" name="24Day" hidden="1">
            <a:extLst>
              <a:ext uri="{FF2B5EF4-FFF2-40B4-BE49-F238E27FC236}">
                <a16:creationId xmlns:a16="http://schemas.microsoft.com/office/drawing/2014/main" id="{00000000-0008-0000-0100-00002B000000}"/>
              </a:ext>
            </a:extLst>
          </xdr:cNvPr>
          <xdr:cNvSpPr/>
        </xdr:nvSpPr>
        <xdr:spPr>
          <a:xfrm>
            <a:off x="3365283" y="14432560"/>
            <a:ext cx="255240"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FECC6210-925A-4E29-A01A-AD6D5B717E36}" type="TxLink">
              <a:rPr lang="en-US" sz="1100" b="0" i="0" u="none" strike="noStrike">
                <a:solidFill>
                  <a:srgbClr val="000000"/>
                </a:solidFill>
                <a:latin typeface="Calibri"/>
                <a:cs typeface="Calibri"/>
              </a:rPr>
              <a:pPr algn="r"/>
              <a:t>19</a:t>
            </a:fld>
            <a:endParaRPr lang="en-US" sz="900" b="0" i="0" u="none" strike="noStrike">
              <a:solidFill>
                <a:schemeClr val="tx1">
                  <a:lumMod val="85000"/>
                  <a:lumOff val="15000"/>
                </a:schemeClr>
              </a:solidFill>
              <a:latin typeface="Tahoma" pitchFamily="34" charset="0"/>
              <a:cs typeface="Tahoma" pitchFamily="34" charset="0"/>
            </a:endParaRPr>
          </a:p>
        </xdr:txBody>
      </xdr:sp>
      <xdr:sp macro="DayBtn26" textlink="CalPopUp!$F$4">
        <xdr:nvSpPr>
          <xdr:cNvPr id="44" name="26Day" hidden="1">
            <a:extLst>
              <a:ext uri="{FF2B5EF4-FFF2-40B4-BE49-F238E27FC236}">
                <a16:creationId xmlns:a16="http://schemas.microsoft.com/office/drawing/2014/main" id="{00000000-0008-0000-0100-00002C000000}"/>
              </a:ext>
            </a:extLst>
          </xdr:cNvPr>
          <xdr:cNvSpPr/>
        </xdr:nvSpPr>
        <xdr:spPr>
          <a:xfrm>
            <a:off x="3884258" y="14432560"/>
            <a:ext cx="258729"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4A80FC14-9295-45A0-A0D6-0B6CC4AC9678}" type="TxLink">
              <a:rPr lang="en-US" sz="1100" b="0" i="0" u="none" strike="noStrike">
                <a:solidFill>
                  <a:srgbClr val="000000"/>
                </a:solidFill>
                <a:latin typeface="Calibri"/>
                <a:cs typeface="Calibri"/>
              </a:rPr>
              <a:pPr algn="r"/>
              <a:t>21</a:t>
            </a:fld>
            <a:endParaRPr lang="en-US" sz="900" b="0">
              <a:solidFill>
                <a:schemeClr val="tx1">
                  <a:lumMod val="85000"/>
                  <a:lumOff val="15000"/>
                </a:schemeClr>
              </a:solidFill>
              <a:latin typeface="Tahoma" pitchFamily="34" charset="0"/>
              <a:cs typeface="Tahoma" pitchFamily="34" charset="0"/>
            </a:endParaRPr>
          </a:p>
        </xdr:txBody>
      </xdr:sp>
      <xdr:sp macro="DayBtn27" textlink="CalPopUp!$G$4">
        <xdr:nvSpPr>
          <xdr:cNvPr id="45" name="27Day" hidden="1">
            <a:extLst>
              <a:ext uri="{FF2B5EF4-FFF2-40B4-BE49-F238E27FC236}">
                <a16:creationId xmlns:a16="http://schemas.microsoft.com/office/drawing/2014/main" id="{00000000-0008-0000-0100-00002D000000}"/>
              </a:ext>
            </a:extLst>
          </xdr:cNvPr>
          <xdr:cNvSpPr/>
        </xdr:nvSpPr>
        <xdr:spPr>
          <a:xfrm>
            <a:off x="4147450" y="14432560"/>
            <a:ext cx="253321"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8E1A0D64-DD9A-4066-85CC-BF34155D92DB}" type="TxLink">
              <a:rPr lang="en-US" sz="1100" b="0" i="0" u="none" strike="noStrike">
                <a:solidFill>
                  <a:srgbClr val="000000"/>
                </a:solidFill>
                <a:latin typeface="Calibri"/>
                <a:cs typeface="Calibri"/>
              </a:rPr>
              <a:pPr algn="r"/>
              <a:t>22</a:t>
            </a:fld>
            <a:endParaRPr lang="en-US" sz="900" b="0">
              <a:solidFill>
                <a:schemeClr val="tx1">
                  <a:lumMod val="85000"/>
                  <a:lumOff val="15000"/>
                </a:schemeClr>
              </a:solidFill>
              <a:latin typeface="Tahoma" pitchFamily="34" charset="0"/>
              <a:cs typeface="Tahoma" pitchFamily="34" charset="0"/>
            </a:endParaRPr>
          </a:p>
        </xdr:txBody>
      </xdr:sp>
      <xdr:sp macro="DayBtn25" textlink="CalPopUp!$E$4">
        <xdr:nvSpPr>
          <xdr:cNvPr id="46" name="25Day" hidden="1">
            <a:extLst>
              <a:ext uri="{FF2B5EF4-FFF2-40B4-BE49-F238E27FC236}">
                <a16:creationId xmlns:a16="http://schemas.microsoft.com/office/drawing/2014/main" id="{00000000-0008-0000-0100-00002E000000}"/>
              </a:ext>
            </a:extLst>
          </xdr:cNvPr>
          <xdr:cNvSpPr/>
        </xdr:nvSpPr>
        <xdr:spPr>
          <a:xfrm>
            <a:off x="3626752" y="14432560"/>
            <a:ext cx="253321"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8C69E9D1-C137-4271-B0E4-C43AE907A04F}" type="TxLink">
              <a:rPr lang="en-US" sz="1100" b="0" i="0" u="none" strike="noStrike">
                <a:solidFill>
                  <a:srgbClr val="000000"/>
                </a:solidFill>
                <a:latin typeface="Calibri"/>
                <a:cs typeface="Calibri"/>
              </a:rPr>
              <a:pPr algn="r"/>
              <a:t>20</a:t>
            </a:fld>
            <a:endParaRPr lang="en-US" sz="900" b="0">
              <a:solidFill>
                <a:schemeClr val="tx1">
                  <a:lumMod val="85000"/>
                  <a:lumOff val="15000"/>
                </a:schemeClr>
              </a:solidFill>
              <a:latin typeface="Tahoma" pitchFamily="34" charset="0"/>
              <a:cs typeface="Tahoma" pitchFamily="34" charset="0"/>
            </a:endParaRPr>
          </a:p>
        </xdr:txBody>
      </xdr:sp>
      <xdr:sp macro="DayBtn23" textlink="CalPopUp!$C$4">
        <xdr:nvSpPr>
          <xdr:cNvPr id="47" name="23Day" hidden="1">
            <a:extLst>
              <a:ext uri="{FF2B5EF4-FFF2-40B4-BE49-F238E27FC236}">
                <a16:creationId xmlns:a16="http://schemas.microsoft.com/office/drawing/2014/main" id="{00000000-0008-0000-0100-00002F000000}"/>
              </a:ext>
            </a:extLst>
          </xdr:cNvPr>
          <xdr:cNvSpPr/>
        </xdr:nvSpPr>
        <xdr:spPr>
          <a:xfrm>
            <a:off x="3103545" y="14432560"/>
            <a:ext cx="253322"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1610A9FE-D38F-4741-9324-CE1F90642EA0}" type="TxLink">
              <a:rPr lang="en-US" sz="1100" b="0" i="0" u="none" strike="noStrike">
                <a:solidFill>
                  <a:srgbClr val="000000"/>
                </a:solidFill>
                <a:latin typeface="Calibri"/>
                <a:cs typeface="Calibri"/>
              </a:rPr>
              <a:pPr algn="r"/>
              <a:t>18</a:t>
            </a:fld>
            <a:endParaRPr lang="en-US" sz="900" b="0">
              <a:solidFill>
                <a:schemeClr val="tx1">
                  <a:lumMod val="85000"/>
                  <a:lumOff val="15000"/>
                </a:schemeClr>
              </a:solidFill>
              <a:latin typeface="Tahoma" pitchFamily="34" charset="0"/>
              <a:cs typeface="Tahoma" pitchFamily="34" charset="0"/>
            </a:endParaRPr>
          </a:p>
        </xdr:txBody>
      </xdr:sp>
      <xdr:sp macro="DayBtn28" textlink="CalPopUp!$H$4">
        <xdr:nvSpPr>
          <xdr:cNvPr id="48" name="28Day" hidden="1">
            <a:extLst>
              <a:ext uri="{FF2B5EF4-FFF2-40B4-BE49-F238E27FC236}">
                <a16:creationId xmlns:a16="http://schemas.microsoft.com/office/drawing/2014/main" id="{00000000-0008-0000-0100-000030000000}"/>
              </a:ext>
            </a:extLst>
          </xdr:cNvPr>
          <xdr:cNvSpPr/>
        </xdr:nvSpPr>
        <xdr:spPr>
          <a:xfrm>
            <a:off x="4407718" y="14432560"/>
            <a:ext cx="258234"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3CB3D604-D5AB-461B-BF4B-C092149FB63C}" type="TxLink">
              <a:rPr lang="en-US" sz="1100" b="0" i="0" u="none" strike="noStrike">
                <a:solidFill>
                  <a:srgbClr val="000000"/>
                </a:solidFill>
                <a:latin typeface="Calibri"/>
                <a:cs typeface="Calibri"/>
              </a:rPr>
              <a:pPr algn="r"/>
              <a:t>23</a:t>
            </a:fld>
            <a:endParaRPr lang="en-US" sz="900" b="0">
              <a:solidFill>
                <a:schemeClr val="tx1">
                  <a:lumMod val="85000"/>
                  <a:lumOff val="15000"/>
                </a:schemeClr>
              </a:solidFill>
              <a:latin typeface="Tahoma" pitchFamily="34" charset="0"/>
              <a:cs typeface="Tahoma" pitchFamily="34" charset="0"/>
            </a:endParaRPr>
          </a:p>
        </xdr:txBody>
      </xdr:sp>
      <xdr:sp macro="DayBtn29" textlink="CalPopUp!$B$5">
        <xdr:nvSpPr>
          <xdr:cNvPr id="49" name="29Day" hidden="1">
            <a:extLst>
              <a:ext uri="{FF2B5EF4-FFF2-40B4-BE49-F238E27FC236}">
                <a16:creationId xmlns:a16="http://schemas.microsoft.com/office/drawing/2014/main" id="{00000000-0008-0000-0100-000031000000}"/>
              </a:ext>
            </a:extLst>
          </xdr:cNvPr>
          <xdr:cNvSpPr/>
        </xdr:nvSpPr>
        <xdr:spPr>
          <a:xfrm>
            <a:off x="2843498" y="14629329"/>
            <a:ext cx="254171"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74AF68D5-CEBC-4706-B737-1E3010DC6A92}" type="TxLink">
              <a:rPr lang="en-US" sz="1100" b="0" i="0" u="none" strike="noStrike">
                <a:solidFill>
                  <a:srgbClr val="000000"/>
                </a:solidFill>
                <a:latin typeface="Calibri"/>
                <a:cs typeface="Calibri"/>
              </a:rPr>
              <a:pPr algn="r"/>
              <a:t>24</a:t>
            </a:fld>
            <a:endParaRPr lang="en-US" sz="900" b="0">
              <a:solidFill>
                <a:schemeClr val="tx1">
                  <a:lumMod val="85000"/>
                  <a:lumOff val="15000"/>
                </a:schemeClr>
              </a:solidFill>
              <a:latin typeface="Tahoma" pitchFamily="34" charset="0"/>
              <a:cs typeface="Tahoma" pitchFamily="34" charset="0"/>
            </a:endParaRPr>
          </a:p>
        </xdr:txBody>
      </xdr:sp>
      <xdr:sp macro="DayBtn31" textlink="CalPopUp!$D$5">
        <xdr:nvSpPr>
          <xdr:cNvPr id="50" name="31Day" hidden="1">
            <a:extLst>
              <a:ext uri="{FF2B5EF4-FFF2-40B4-BE49-F238E27FC236}">
                <a16:creationId xmlns:a16="http://schemas.microsoft.com/office/drawing/2014/main" id="{00000000-0008-0000-0100-000032000000}"/>
              </a:ext>
            </a:extLst>
          </xdr:cNvPr>
          <xdr:cNvSpPr/>
        </xdr:nvSpPr>
        <xdr:spPr>
          <a:xfrm>
            <a:off x="3365283" y="14629329"/>
            <a:ext cx="255240"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AF2B8614-6F9A-4414-BD6C-787C12EC6552}" type="TxLink">
              <a:rPr lang="en-US" sz="1100" b="0" i="0" u="none" strike="noStrike">
                <a:solidFill>
                  <a:srgbClr val="000000"/>
                </a:solidFill>
                <a:latin typeface="Calibri"/>
                <a:cs typeface="Calibri"/>
              </a:rPr>
              <a:pPr algn="r"/>
              <a:t>26</a:t>
            </a:fld>
            <a:endParaRPr lang="en-US" sz="900" b="0" i="0" u="none" strike="noStrike">
              <a:solidFill>
                <a:schemeClr val="tx1">
                  <a:lumMod val="85000"/>
                  <a:lumOff val="15000"/>
                </a:schemeClr>
              </a:solidFill>
              <a:latin typeface="Tahoma" pitchFamily="34" charset="0"/>
              <a:cs typeface="Tahoma" pitchFamily="34" charset="0"/>
            </a:endParaRPr>
          </a:p>
        </xdr:txBody>
      </xdr:sp>
      <xdr:sp macro="DayBtn34" textlink="CalPopUp!$G$5">
        <xdr:nvSpPr>
          <xdr:cNvPr id="51" name="34Day" hidden="1">
            <a:extLst>
              <a:ext uri="{FF2B5EF4-FFF2-40B4-BE49-F238E27FC236}">
                <a16:creationId xmlns:a16="http://schemas.microsoft.com/office/drawing/2014/main" id="{00000000-0008-0000-0100-000033000000}"/>
              </a:ext>
            </a:extLst>
          </xdr:cNvPr>
          <xdr:cNvSpPr/>
        </xdr:nvSpPr>
        <xdr:spPr>
          <a:xfrm>
            <a:off x="4148946" y="14629329"/>
            <a:ext cx="253321"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A2BB2783-0792-49BE-8C39-2D93C7252844}" type="TxLink">
              <a:rPr lang="en-US" sz="1100" b="0" i="0" u="none" strike="noStrike">
                <a:solidFill>
                  <a:srgbClr val="000000"/>
                </a:solidFill>
                <a:latin typeface="Calibri"/>
                <a:cs typeface="Calibri"/>
              </a:rPr>
              <a:pPr algn="r"/>
              <a:t>29</a:t>
            </a:fld>
            <a:endParaRPr lang="en-US" sz="900" b="0">
              <a:solidFill>
                <a:schemeClr val="tx1">
                  <a:lumMod val="85000"/>
                  <a:lumOff val="15000"/>
                </a:schemeClr>
              </a:solidFill>
              <a:latin typeface="Tahoma" pitchFamily="34" charset="0"/>
              <a:cs typeface="Tahoma" pitchFamily="34" charset="0"/>
            </a:endParaRPr>
          </a:p>
        </xdr:txBody>
      </xdr:sp>
      <xdr:sp macro="DayBtn35" textlink="CalPopUp!$H$5">
        <xdr:nvSpPr>
          <xdr:cNvPr id="52" name="35Day" hidden="1">
            <a:extLst>
              <a:ext uri="{FF2B5EF4-FFF2-40B4-BE49-F238E27FC236}">
                <a16:creationId xmlns:a16="http://schemas.microsoft.com/office/drawing/2014/main" id="{00000000-0008-0000-0100-000034000000}"/>
              </a:ext>
            </a:extLst>
          </xdr:cNvPr>
          <xdr:cNvSpPr/>
        </xdr:nvSpPr>
        <xdr:spPr>
          <a:xfrm>
            <a:off x="4409215" y="14629329"/>
            <a:ext cx="258729"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A57D8579-D49C-4D3A-93A8-958673A197F2}" type="TxLink">
              <a:rPr lang="en-US" sz="1100" b="0" i="0" u="none" strike="noStrike">
                <a:solidFill>
                  <a:srgbClr val="000000"/>
                </a:solidFill>
                <a:latin typeface="Calibri"/>
                <a:cs typeface="Calibri"/>
              </a:rPr>
              <a:pPr algn="r"/>
              <a:t>30</a:t>
            </a:fld>
            <a:endParaRPr lang="en-US" sz="900" b="0">
              <a:solidFill>
                <a:schemeClr val="tx1">
                  <a:lumMod val="85000"/>
                  <a:lumOff val="15000"/>
                </a:schemeClr>
              </a:solidFill>
              <a:latin typeface="Tahoma" pitchFamily="34" charset="0"/>
              <a:cs typeface="Tahoma" pitchFamily="34" charset="0"/>
            </a:endParaRPr>
          </a:p>
        </xdr:txBody>
      </xdr:sp>
      <xdr:sp macro="DayBtn32" textlink="CalPopUp!$E$5">
        <xdr:nvSpPr>
          <xdr:cNvPr id="53" name="32Day" hidden="1">
            <a:extLst>
              <a:ext uri="{FF2B5EF4-FFF2-40B4-BE49-F238E27FC236}">
                <a16:creationId xmlns:a16="http://schemas.microsoft.com/office/drawing/2014/main" id="{00000000-0008-0000-0100-000035000000}"/>
              </a:ext>
            </a:extLst>
          </xdr:cNvPr>
          <xdr:cNvSpPr/>
        </xdr:nvSpPr>
        <xdr:spPr>
          <a:xfrm>
            <a:off x="3626752" y="14629329"/>
            <a:ext cx="253321"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650DD7B4-5701-4CAF-8927-53991941EE6F}" type="TxLink">
              <a:rPr lang="en-US" sz="1100" b="0" i="0" u="none" strike="noStrike">
                <a:solidFill>
                  <a:srgbClr val="000000"/>
                </a:solidFill>
                <a:latin typeface="Calibri"/>
                <a:cs typeface="Calibri"/>
              </a:rPr>
              <a:pPr algn="r"/>
              <a:t>27</a:t>
            </a:fld>
            <a:endParaRPr lang="en-US" sz="900" b="0">
              <a:solidFill>
                <a:schemeClr val="tx1">
                  <a:lumMod val="85000"/>
                  <a:lumOff val="15000"/>
                </a:schemeClr>
              </a:solidFill>
              <a:latin typeface="Tahoma" pitchFamily="34" charset="0"/>
              <a:cs typeface="Tahoma" pitchFamily="34" charset="0"/>
            </a:endParaRPr>
          </a:p>
        </xdr:txBody>
      </xdr:sp>
      <xdr:sp macro="DayBtn30" textlink="CalPopUp!$C$5">
        <xdr:nvSpPr>
          <xdr:cNvPr id="54" name="30Day" hidden="1">
            <a:extLst>
              <a:ext uri="{FF2B5EF4-FFF2-40B4-BE49-F238E27FC236}">
                <a16:creationId xmlns:a16="http://schemas.microsoft.com/office/drawing/2014/main" id="{00000000-0008-0000-0100-000036000000}"/>
              </a:ext>
            </a:extLst>
          </xdr:cNvPr>
          <xdr:cNvSpPr/>
        </xdr:nvSpPr>
        <xdr:spPr>
          <a:xfrm>
            <a:off x="3103545" y="14629329"/>
            <a:ext cx="253322"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C8BF1479-9637-40D9-AA69-F37EB53CC750}" type="TxLink">
              <a:rPr lang="en-US" sz="1100" b="0" i="0" u="none" strike="noStrike">
                <a:solidFill>
                  <a:srgbClr val="000000"/>
                </a:solidFill>
                <a:latin typeface="Calibri"/>
                <a:cs typeface="Calibri"/>
              </a:rPr>
              <a:pPr algn="r"/>
              <a:t>25</a:t>
            </a:fld>
            <a:endParaRPr lang="en-US" sz="900" b="0">
              <a:solidFill>
                <a:schemeClr val="tx1">
                  <a:lumMod val="85000"/>
                  <a:lumOff val="15000"/>
                </a:schemeClr>
              </a:solidFill>
              <a:latin typeface="Tahoma" pitchFamily="34" charset="0"/>
              <a:cs typeface="Tahoma" pitchFamily="34" charset="0"/>
            </a:endParaRPr>
          </a:p>
        </xdr:txBody>
      </xdr:sp>
      <xdr:sp macro="DayBtn33" textlink="CalPopUp!$F$5">
        <xdr:nvSpPr>
          <xdr:cNvPr id="55" name="33Day" hidden="1">
            <a:extLst>
              <a:ext uri="{FF2B5EF4-FFF2-40B4-BE49-F238E27FC236}">
                <a16:creationId xmlns:a16="http://schemas.microsoft.com/office/drawing/2014/main" id="{00000000-0008-0000-0100-000037000000}"/>
              </a:ext>
            </a:extLst>
          </xdr:cNvPr>
          <xdr:cNvSpPr/>
        </xdr:nvSpPr>
        <xdr:spPr>
          <a:xfrm>
            <a:off x="3885754" y="14629329"/>
            <a:ext cx="258234"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4C5CA5C3-9576-40B4-B08E-24304DFA8B95}" type="TxLink">
              <a:rPr lang="en-US" sz="1100" b="0" i="0" u="none" strike="noStrike">
                <a:solidFill>
                  <a:srgbClr val="000000"/>
                </a:solidFill>
                <a:latin typeface="Calibri"/>
                <a:cs typeface="Calibri"/>
              </a:rPr>
              <a:pPr algn="r"/>
              <a:t>28</a:t>
            </a:fld>
            <a:endParaRPr lang="en-US" sz="900" b="0">
              <a:solidFill>
                <a:schemeClr val="tx1">
                  <a:lumMod val="85000"/>
                  <a:lumOff val="15000"/>
                </a:schemeClr>
              </a:solidFill>
              <a:latin typeface="Tahoma" pitchFamily="34" charset="0"/>
              <a:cs typeface="Tahoma" pitchFamily="34" charset="0"/>
            </a:endParaRPr>
          </a:p>
        </xdr:txBody>
      </xdr:sp>
      <xdr:sp macro="" textlink="">
        <xdr:nvSpPr>
          <xdr:cNvPr id="56" name="Sa" hidden="1">
            <a:extLst>
              <a:ext uri="{FF2B5EF4-FFF2-40B4-BE49-F238E27FC236}">
                <a16:creationId xmlns:a16="http://schemas.microsoft.com/office/drawing/2014/main" id="{00000000-0008-0000-0100-000038000000}"/>
              </a:ext>
            </a:extLst>
          </xdr:cNvPr>
          <xdr:cNvSpPr/>
        </xdr:nvSpPr>
        <xdr:spPr>
          <a:xfrm>
            <a:off x="4409108" y="13646310"/>
            <a:ext cx="258234" cy="190562"/>
          </a:xfrm>
          <a:prstGeom prst="rect">
            <a:avLst/>
          </a:prstGeom>
          <a:solidFill>
            <a:schemeClr val="bg1"/>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lIns="0" tIns="0" rIns="0" bIns="0" rtlCol="0" anchor="ctr"/>
          <a:lstStyle/>
          <a:p>
            <a:pPr algn="ctr"/>
            <a:r>
              <a:rPr lang="en-US" sz="900" b="1">
                <a:solidFill>
                  <a:schemeClr val="tx1">
                    <a:lumMod val="85000"/>
                    <a:lumOff val="15000"/>
                  </a:schemeClr>
                </a:solidFill>
                <a:latin typeface="Tahoma" pitchFamily="34" charset="0"/>
                <a:cs typeface="Tahoma" pitchFamily="34" charset="0"/>
              </a:rPr>
              <a:t>Sa</a:t>
            </a:r>
          </a:p>
        </xdr:txBody>
      </xdr:sp>
      <xdr:sp macro="" textlink="">
        <xdr:nvSpPr>
          <xdr:cNvPr id="57" name="Fr" hidden="1">
            <a:extLst>
              <a:ext uri="{FF2B5EF4-FFF2-40B4-BE49-F238E27FC236}">
                <a16:creationId xmlns:a16="http://schemas.microsoft.com/office/drawing/2014/main" id="{00000000-0008-0000-0100-000039000000}"/>
              </a:ext>
            </a:extLst>
          </xdr:cNvPr>
          <xdr:cNvSpPr/>
        </xdr:nvSpPr>
        <xdr:spPr>
          <a:xfrm>
            <a:off x="4148840" y="13646310"/>
            <a:ext cx="253321" cy="190562"/>
          </a:xfrm>
          <a:prstGeom prst="rect">
            <a:avLst/>
          </a:prstGeom>
          <a:solidFill>
            <a:schemeClr val="bg1"/>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lIns="0" tIns="0" rIns="0" bIns="0" rtlCol="0" anchor="ctr"/>
          <a:lstStyle/>
          <a:p>
            <a:pPr algn="ctr"/>
            <a:r>
              <a:rPr lang="en-US" sz="900" b="1">
                <a:solidFill>
                  <a:schemeClr val="tx1">
                    <a:lumMod val="85000"/>
                    <a:lumOff val="15000"/>
                  </a:schemeClr>
                </a:solidFill>
                <a:latin typeface="Tahoma" pitchFamily="34" charset="0"/>
                <a:cs typeface="Tahoma" pitchFamily="34" charset="0"/>
              </a:rPr>
              <a:t>Fr</a:t>
            </a:r>
          </a:p>
        </xdr:txBody>
      </xdr:sp>
      <xdr:sp macro="" textlink="">
        <xdr:nvSpPr>
          <xdr:cNvPr id="58" name="Th" hidden="1">
            <a:extLst>
              <a:ext uri="{FF2B5EF4-FFF2-40B4-BE49-F238E27FC236}">
                <a16:creationId xmlns:a16="http://schemas.microsoft.com/office/drawing/2014/main" id="{00000000-0008-0000-0100-00003A000000}"/>
              </a:ext>
            </a:extLst>
          </xdr:cNvPr>
          <xdr:cNvSpPr/>
        </xdr:nvSpPr>
        <xdr:spPr>
          <a:xfrm>
            <a:off x="3884786" y="13646310"/>
            <a:ext cx="259094" cy="190562"/>
          </a:xfrm>
          <a:prstGeom prst="rect">
            <a:avLst/>
          </a:prstGeom>
          <a:solidFill>
            <a:schemeClr val="bg1"/>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lIns="0" tIns="0" rIns="0" bIns="0" rtlCol="0" anchor="ctr"/>
          <a:lstStyle/>
          <a:p>
            <a:pPr algn="ctr"/>
            <a:r>
              <a:rPr lang="en-US" sz="900" b="1">
                <a:solidFill>
                  <a:schemeClr val="tx1">
                    <a:lumMod val="85000"/>
                    <a:lumOff val="15000"/>
                  </a:schemeClr>
                </a:solidFill>
                <a:latin typeface="Tahoma" pitchFamily="34" charset="0"/>
                <a:cs typeface="Tahoma" pitchFamily="34" charset="0"/>
              </a:rPr>
              <a:t>Th</a:t>
            </a:r>
          </a:p>
        </xdr:txBody>
      </xdr:sp>
      <xdr:sp macro="" textlink="">
        <xdr:nvSpPr>
          <xdr:cNvPr id="59" name="We" hidden="1">
            <a:extLst>
              <a:ext uri="{FF2B5EF4-FFF2-40B4-BE49-F238E27FC236}">
                <a16:creationId xmlns:a16="http://schemas.microsoft.com/office/drawing/2014/main" id="{00000000-0008-0000-0100-00003B000000}"/>
              </a:ext>
            </a:extLst>
          </xdr:cNvPr>
          <xdr:cNvSpPr/>
        </xdr:nvSpPr>
        <xdr:spPr>
          <a:xfrm>
            <a:off x="3628140" y="13646310"/>
            <a:ext cx="252461" cy="190562"/>
          </a:xfrm>
          <a:prstGeom prst="rect">
            <a:avLst/>
          </a:prstGeom>
          <a:solidFill>
            <a:schemeClr val="bg1"/>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lIns="0" tIns="0" rIns="0" bIns="0" rtlCol="0" anchor="ctr"/>
          <a:lstStyle/>
          <a:p>
            <a:pPr algn="ctr"/>
            <a:r>
              <a:rPr lang="en-US" sz="900" b="1">
                <a:solidFill>
                  <a:schemeClr val="tx1">
                    <a:lumMod val="85000"/>
                    <a:lumOff val="15000"/>
                  </a:schemeClr>
                </a:solidFill>
                <a:latin typeface="Tahoma" pitchFamily="34" charset="0"/>
                <a:cs typeface="Tahoma" pitchFamily="34" charset="0"/>
              </a:rPr>
              <a:t>WeW</a:t>
            </a:r>
          </a:p>
        </xdr:txBody>
      </xdr:sp>
      <xdr:sp macro="" textlink="">
        <xdr:nvSpPr>
          <xdr:cNvPr id="60" name="Tu" hidden="1">
            <a:extLst>
              <a:ext uri="{FF2B5EF4-FFF2-40B4-BE49-F238E27FC236}">
                <a16:creationId xmlns:a16="http://schemas.microsoft.com/office/drawing/2014/main" id="{00000000-0008-0000-0100-00003C000000}"/>
              </a:ext>
            </a:extLst>
          </xdr:cNvPr>
          <xdr:cNvSpPr/>
        </xdr:nvSpPr>
        <xdr:spPr>
          <a:xfrm>
            <a:off x="3365812" y="13646310"/>
            <a:ext cx="256098" cy="190562"/>
          </a:xfrm>
          <a:prstGeom prst="rect">
            <a:avLst/>
          </a:prstGeom>
          <a:solidFill>
            <a:schemeClr val="bg1"/>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lIns="0" tIns="0" rIns="0" bIns="0" rtlCol="0" anchor="ctr"/>
          <a:lstStyle/>
          <a:p>
            <a:pPr algn="ctr"/>
            <a:r>
              <a:rPr lang="en-US" sz="900" b="1" i="0" u="none" strike="noStrike">
                <a:solidFill>
                  <a:schemeClr val="tx1">
                    <a:lumMod val="85000"/>
                    <a:lumOff val="15000"/>
                  </a:schemeClr>
                </a:solidFill>
                <a:latin typeface="Tahoma" pitchFamily="34" charset="0"/>
                <a:cs typeface="Tahoma" pitchFamily="34" charset="0"/>
              </a:rPr>
              <a:t>Tu</a:t>
            </a:r>
          </a:p>
        </xdr:txBody>
      </xdr:sp>
      <xdr:sp macro="" textlink="">
        <xdr:nvSpPr>
          <xdr:cNvPr id="61" name="Mo" hidden="1">
            <a:extLst>
              <a:ext uri="{FF2B5EF4-FFF2-40B4-BE49-F238E27FC236}">
                <a16:creationId xmlns:a16="http://schemas.microsoft.com/office/drawing/2014/main" id="{00000000-0008-0000-0100-00003D000000}"/>
              </a:ext>
            </a:extLst>
          </xdr:cNvPr>
          <xdr:cNvSpPr/>
        </xdr:nvSpPr>
        <xdr:spPr>
          <a:xfrm>
            <a:off x="3104933" y="13646310"/>
            <a:ext cx="252462" cy="190562"/>
          </a:xfrm>
          <a:prstGeom prst="rect">
            <a:avLst/>
          </a:prstGeom>
          <a:solidFill>
            <a:schemeClr val="bg1"/>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lIns="0" tIns="0" rIns="0" bIns="0" rtlCol="0" anchor="ctr"/>
          <a:lstStyle/>
          <a:p>
            <a:pPr algn="l"/>
            <a:r>
              <a:rPr lang="en-US" sz="900" b="1" i="0" u="none" strike="noStrike">
                <a:solidFill>
                  <a:schemeClr val="tx1">
                    <a:lumMod val="85000"/>
                    <a:lumOff val="15000"/>
                  </a:schemeClr>
                </a:solidFill>
                <a:latin typeface="Tahoma" pitchFamily="34" charset="0"/>
                <a:cs typeface="Tahoma" pitchFamily="34" charset="0"/>
              </a:rPr>
              <a:t>Mo</a:t>
            </a:r>
          </a:p>
        </xdr:txBody>
      </xdr:sp>
      <xdr:sp macro="" textlink="">
        <xdr:nvSpPr>
          <xdr:cNvPr id="62" name="Su" hidden="1">
            <a:extLst>
              <a:ext uri="{FF2B5EF4-FFF2-40B4-BE49-F238E27FC236}">
                <a16:creationId xmlns:a16="http://schemas.microsoft.com/office/drawing/2014/main" id="{00000000-0008-0000-0100-00003E000000}"/>
              </a:ext>
            </a:extLst>
          </xdr:cNvPr>
          <xdr:cNvSpPr/>
        </xdr:nvSpPr>
        <xdr:spPr>
          <a:xfrm>
            <a:off x="2844886" y="13646310"/>
            <a:ext cx="254171" cy="190562"/>
          </a:xfrm>
          <a:prstGeom prst="rect">
            <a:avLst/>
          </a:prstGeom>
          <a:solidFill>
            <a:schemeClr val="bg1"/>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lIns="0" tIns="0" rIns="0" bIns="0" rtlCol="0" anchor="ctr"/>
          <a:lstStyle/>
          <a:p>
            <a:pPr algn="ctr"/>
            <a:r>
              <a:rPr lang="en-US" sz="900" b="1" i="0" u="none" strike="noStrike">
                <a:solidFill>
                  <a:schemeClr val="tx1">
                    <a:lumMod val="85000"/>
                    <a:lumOff val="15000"/>
                  </a:schemeClr>
                </a:solidFill>
                <a:latin typeface="Tahoma" pitchFamily="34" charset="0"/>
                <a:cs typeface="Tahoma" pitchFamily="34" charset="0"/>
              </a:rPr>
              <a:t>Su</a:t>
            </a:r>
          </a:p>
        </xdr:txBody>
      </xdr:sp>
      <xdr:pic macro="ShowSettings">
        <xdr:nvPicPr>
          <xdr:cNvPr id="63" name="SetBtn" hidden="1">
            <a:extLst>
              <a:ext uri="{FF2B5EF4-FFF2-40B4-BE49-F238E27FC236}">
                <a16:creationId xmlns:a16="http://schemas.microsoft.com/office/drawing/2014/main" id="{00000000-0008-0000-0100-00003F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4592409" y="15062694"/>
            <a:ext cx="133738" cy="143241"/>
          </a:xfrm>
          <a:prstGeom prst="rect">
            <a:avLst/>
          </a:prstGeom>
        </xdr:spPr>
      </xdr:pic>
      <xdr:sp macro="CalCol1" textlink="">
        <xdr:nvSpPr>
          <xdr:cNvPr id="64" name="CalCol1" hidden="1">
            <a:extLst>
              <a:ext uri="{FF2B5EF4-FFF2-40B4-BE49-F238E27FC236}">
                <a16:creationId xmlns:a16="http://schemas.microsoft.com/office/drawing/2014/main" id="{00000000-0008-0000-0100-000040000000}"/>
              </a:ext>
            </a:extLst>
          </xdr:cNvPr>
          <xdr:cNvSpPr/>
        </xdr:nvSpPr>
        <xdr:spPr>
          <a:xfrm>
            <a:off x="2823881" y="15285722"/>
            <a:ext cx="126743" cy="132335"/>
          </a:xfrm>
          <a:prstGeom prst="ellipse">
            <a:avLst/>
          </a:prstGeom>
          <a:solidFill>
            <a:srgbClr val="EAEAEA"/>
          </a:solidFill>
          <a:ln w="635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CalCol2" textlink="">
        <xdr:nvSpPr>
          <xdr:cNvPr id="65" name="CalCol2" hidden="1">
            <a:extLst>
              <a:ext uri="{FF2B5EF4-FFF2-40B4-BE49-F238E27FC236}">
                <a16:creationId xmlns:a16="http://schemas.microsoft.com/office/drawing/2014/main" id="{00000000-0008-0000-0100-000041000000}"/>
              </a:ext>
            </a:extLst>
          </xdr:cNvPr>
          <xdr:cNvSpPr/>
        </xdr:nvSpPr>
        <xdr:spPr>
          <a:xfrm>
            <a:off x="3043338" y="15285722"/>
            <a:ext cx="126743" cy="132335"/>
          </a:xfrm>
          <a:prstGeom prst="ellipse">
            <a:avLst/>
          </a:prstGeom>
          <a:solidFill>
            <a:schemeClr val="bg2">
              <a:lumMod val="75000"/>
            </a:schemeClr>
          </a:solidFill>
          <a:ln w="635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CalCol3" textlink="">
        <xdr:nvSpPr>
          <xdr:cNvPr id="66" name="CalCol3" hidden="1">
            <a:extLst>
              <a:ext uri="{FF2B5EF4-FFF2-40B4-BE49-F238E27FC236}">
                <a16:creationId xmlns:a16="http://schemas.microsoft.com/office/drawing/2014/main" id="{00000000-0008-0000-0100-000042000000}"/>
              </a:ext>
            </a:extLst>
          </xdr:cNvPr>
          <xdr:cNvSpPr/>
        </xdr:nvSpPr>
        <xdr:spPr>
          <a:xfrm>
            <a:off x="3262794" y="15285722"/>
            <a:ext cx="127561" cy="132335"/>
          </a:xfrm>
          <a:prstGeom prst="ellipse">
            <a:avLst/>
          </a:prstGeom>
          <a:solidFill>
            <a:schemeClr val="tx2">
              <a:lumMod val="40000"/>
              <a:lumOff val="60000"/>
            </a:schemeClr>
          </a:solidFill>
          <a:ln w="635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CalCol4" textlink="">
        <xdr:nvSpPr>
          <xdr:cNvPr id="67" name="CalCol4" hidden="1">
            <a:extLst>
              <a:ext uri="{FF2B5EF4-FFF2-40B4-BE49-F238E27FC236}">
                <a16:creationId xmlns:a16="http://schemas.microsoft.com/office/drawing/2014/main" id="{00000000-0008-0000-0100-000043000000}"/>
              </a:ext>
            </a:extLst>
          </xdr:cNvPr>
          <xdr:cNvSpPr/>
        </xdr:nvSpPr>
        <xdr:spPr>
          <a:xfrm>
            <a:off x="3483068" y="15285722"/>
            <a:ext cx="126743" cy="132335"/>
          </a:xfrm>
          <a:prstGeom prst="ellipse">
            <a:avLst/>
          </a:prstGeom>
          <a:solidFill>
            <a:schemeClr val="accent1">
              <a:lumMod val="40000"/>
              <a:lumOff val="60000"/>
            </a:schemeClr>
          </a:solidFill>
          <a:ln w="635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CalCol5" textlink="">
        <xdr:nvSpPr>
          <xdr:cNvPr id="68" name="CalCol5" hidden="1">
            <a:extLst>
              <a:ext uri="{FF2B5EF4-FFF2-40B4-BE49-F238E27FC236}">
                <a16:creationId xmlns:a16="http://schemas.microsoft.com/office/drawing/2014/main" id="{00000000-0008-0000-0100-000044000000}"/>
              </a:ext>
            </a:extLst>
          </xdr:cNvPr>
          <xdr:cNvSpPr/>
        </xdr:nvSpPr>
        <xdr:spPr>
          <a:xfrm>
            <a:off x="3702525" y="15285722"/>
            <a:ext cx="126743" cy="132335"/>
          </a:xfrm>
          <a:prstGeom prst="ellipse">
            <a:avLst/>
          </a:prstGeom>
          <a:solidFill>
            <a:schemeClr val="accent2">
              <a:lumMod val="40000"/>
              <a:lumOff val="60000"/>
            </a:schemeClr>
          </a:solidFill>
          <a:ln w="635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CalCol6" textlink="">
        <xdr:nvSpPr>
          <xdr:cNvPr id="69" name="CalCol6" hidden="1">
            <a:extLst>
              <a:ext uri="{FF2B5EF4-FFF2-40B4-BE49-F238E27FC236}">
                <a16:creationId xmlns:a16="http://schemas.microsoft.com/office/drawing/2014/main" id="{00000000-0008-0000-0100-000045000000}"/>
              </a:ext>
            </a:extLst>
          </xdr:cNvPr>
          <xdr:cNvSpPr/>
        </xdr:nvSpPr>
        <xdr:spPr>
          <a:xfrm>
            <a:off x="3922799" y="15285722"/>
            <a:ext cx="126743" cy="132335"/>
          </a:xfrm>
          <a:prstGeom prst="ellipse">
            <a:avLst/>
          </a:prstGeom>
          <a:solidFill>
            <a:schemeClr val="accent3">
              <a:lumMod val="40000"/>
              <a:lumOff val="60000"/>
            </a:schemeClr>
          </a:solidFill>
          <a:ln w="635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CalCol7" textlink="">
        <xdr:nvSpPr>
          <xdr:cNvPr id="70" name="CalCol7" hidden="1">
            <a:extLst>
              <a:ext uri="{FF2B5EF4-FFF2-40B4-BE49-F238E27FC236}">
                <a16:creationId xmlns:a16="http://schemas.microsoft.com/office/drawing/2014/main" id="{00000000-0008-0000-0100-000046000000}"/>
              </a:ext>
            </a:extLst>
          </xdr:cNvPr>
          <xdr:cNvSpPr/>
        </xdr:nvSpPr>
        <xdr:spPr>
          <a:xfrm>
            <a:off x="4142256" y="15285722"/>
            <a:ext cx="126743" cy="132335"/>
          </a:xfrm>
          <a:prstGeom prst="ellipse">
            <a:avLst/>
          </a:prstGeom>
          <a:solidFill>
            <a:schemeClr val="accent4">
              <a:lumMod val="40000"/>
              <a:lumOff val="60000"/>
            </a:schemeClr>
          </a:solidFill>
          <a:ln w="635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CalCol8" textlink="">
        <xdr:nvSpPr>
          <xdr:cNvPr id="71" name="CalCol8" hidden="1">
            <a:extLst>
              <a:ext uri="{FF2B5EF4-FFF2-40B4-BE49-F238E27FC236}">
                <a16:creationId xmlns:a16="http://schemas.microsoft.com/office/drawing/2014/main" id="{00000000-0008-0000-0100-000047000000}"/>
              </a:ext>
            </a:extLst>
          </xdr:cNvPr>
          <xdr:cNvSpPr/>
        </xdr:nvSpPr>
        <xdr:spPr>
          <a:xfrm>
            <a:off x="4361713" y="15285722"/>
            <a:ext cx="127559" cy="132335"/>
          </a:xfrm>
          <a:prstGeom prst="ellipse">
            <a:avLst/>
          </a:prstGeom>
          <a:solidFill>
            <a:schemeClr val="accent5">
              <a:lumMod val="40000"/>
              <a:lumOff val="60000"/>
            </a:schemeClr>
          </a:solidFill>
          <a:ln w="635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CalCol9" textlink="">
        <xdr:nvSpPr>
          <xdr:cNvPr id="72" name="CalCol9" hidden="1">
            <a:extLst>
              <a:ext uri="{FF2B5EF4-FFF2-40B4-BE49-F238E27FC236}">
                <a16:creationId xmlns:a16="http://schemas.microsoft.com/office/drawing/2014/main" id="{00000000-0008-0000-0100-000048000000}"/>
              </a:ext>
            </a:extLst>
          </xdr:cNvPr>
          <xdr:cNvSpPr/>
        </xdr:nvSpPr>
        <xdr:spPr>
          <a:xfrm>
            <a:off x="4581987" y="15285722"/>
            <a:ext cx="126743" cy="132335"/>
          </a:xfrm>
          <a:prstGeom prst="ellipse">
            <a:avLst/>
          </a:prstGeom>
          <a:solidFill>
            <a:schemeClr val="accent6">
              <a:lumMod val="40000"/>
              <a:lumOff val="60000"/>
            </a:schemeClr>
          </a:solidFill>
          <a:ln w="635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nvGrpSpPr>
          <xdr:cNvPr id="102" name="PrevMonth" hidden="1">
            <a:extLst>
              <a:ext uri="{FF2B5EF4-FFF2-40B4-BE49-F238E27FC236}">
                <a16:creationId xmlns:a16="http://schemas.microsoft.com/office/drawing/2014/main" id="{2976CAD4-5CCE-D301-8F34-A3F63A2A7FF4}"/>
              </a:ext>
            </a:extLst>
          </xdr:cNvPr>
          <xdr:cNvGrpSpPr/>
        </xdr:nvGrpSpPr>
        <xdr:grpSpPr>
          <a:xfrm>
            <a:off x="2893453" y="13485587"/>
            <a:ext cx="101668" cy="108892"/>
            <a:chOff x="2893453" y="13485587"/>
            <a:chExt cx="101668" cy="108892"/>
          </a:xfrm>
        </xdr:grpSpPr>
        <xdr:sp macro="PrevMonth" textlink="">
          <xdr:nvSpPr>
            <xdr:cNvPr id="84" name="PrevRec" hidden="1">
              <a:extLst>
                <a:ext uri="{FF2B5EF4-FFF2-40B4-BE49-F238E27FC236}">
                  <a16:creationId xmlns:a16="http://schemas.microsoft.com/office/drawing/2014/main" id="{00000000-0008-0000-0100-000054000000}"/>
                </a:ext>
              </a:extLst>
            </xdr:cNvPr>
            <xdr:cNvSpPr/>
          </xdr:nvSpPr>
          <xdr:spPr>
            <a:xfrm>
              <a:off x="2893453" y="13485587"/>
              <a:ext cx="101668" cy="108892"/>
            </a:xfrm>
            <a:prstGeom prst="roundRect">
              <a:avLst/>
            </a:prstGeom>
            <a:solidFill>
              <a:srgbClr val="000000"/>
            </a:solidFill>
          </xdr:spPr>
          <xdr:style>
            <a:lnRef idx="2">
              <a:schemeClr val="dk1">
                <a:shade val="50000"/>
              </a:schemeClr>
            </a:lnRef>
            <a:fillRef idx="1">
              <a:schemeClr val="dk1"/>
            </a:fillRef>
            <a:effectRef idx="0">
              <a:schemeClr val="dk1"/>
            </a:effectRef>
            <a:fontRef idx="minor">
              <a:schemeClr val="lt1"/>
            </a:fontRef>
          </xdr:style>
          <xdr:txBody>
            <a:bodyPr vertOverflow="clip" rtlCol="0" anchor="ctr"/>
            <a:lstStyle/>
            <a:p>
              <a:pPr algn="ctr"/>
              <a:endParaRPr lang="en-US" sz="1100">
                <a:solidFill>
                  <a:schemeClr val="tx1">
                    <a:lumMod val="75000"/>
                    <a:lumOff val="25000"/>
                  </a:schemeClr>
                </a:solidFill>
              </a:endParaRPr>
            </a:p>
          </xdr:txBody>
        </xdr:sp>
        <xdr:sp macro="PrevMonth" textlink="">
          <xdr:nvSpPr>
            <xdr:cNvPr id="85" name="PrevTri" hidden="1">
              <a:extLst>
                <a:ext uri="{FF2B5EF4-FFF2-40B4-BE49-F238E27FC236}">
                  <a16:creationId xmlns:a16="http://schemas.microsoft.com/office/drawing/2014/main" id="{00000000-0008-0000-0100-000055000000}"/>
                </a:ext>
              </a:extLst>
            </xdr:cNvPr>
            <xdr:cNvSpPr/>
          </xdr:nvSpPr>
          <xdr:spPr>
            <a:xfrm rot="16200000">
              <a:off x="2902742" y="13512895"/>
              <a:ext cx="72307" cy="54278"/>
            </a:xfrm>
            <a:prstGeom prst="triangle">
              <a:avLst/>
            </a:prstGeom>
            <a:solidFill>
              <a:sysClr val="window" lastClr="FFFFFF"/>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en-US" sz="1100">
                <a:solidFill>
                  <a:schemeClr val="tx1">
                    <a:lumMod val="75000"/>
                    <a:lumOff val="25000"/>
                  </a:schemeClr>
                </a:solidFill>
              </a:endParaRPr>
            </a:p>
          </xdr:txBody>
        </xdr:sp>
      </xdr:grpSp>
      <xdr:grpSp>
        <xdr:nvGrpSpPr>
          <xdr:cNvPr id="101" name="NextMonth" hidden="1">
            <a:extLst>
              <a:ext uri="{FF2B5EF4-FFF2-40B4-BE49-F238E27FC236}">
                <a16:creationId xmlns:a16="http://schemas.microsoft.com/office/drawing/2014/main" id="{9C2F82AD-62B5-CFF1-05FC-043EC5B5C637}"/>
              </a:ext>
            </a:extLst>
          </xdr:cNvPr>
          <xdr:cNvGrpSpPr/>
        </xdr:nvGrpSpPr>
        <xdr:grpSpPr>
          <a:xfrm>
            <a:off x="4534618" y="13485587"/>
            <a:ext cx="101668" cy="108892"/>
            <a:chOff x="4534618" y="13485587"/>
            <a:chExt cx="101668" cy="108892"/>
          </a:xfrm>
        </xdr:grpSpPr>
        <xdr:sp macro="NextMonth" textlink="">
          <xdr:nvSpPr>
            <xdr:cNvPr id="82" name="NextRec" hidden="1">
              <a:extLst>
                <a:ext uri="{FF2B5EF4-FFF2-40B4-BE49-F238E27FC236}">
                  <a16:creationId xmlns:a16="http://schemas.microsoft.com/office/drawing/2014/main" id="{00000000-0008-0000-0100-000052000000}"/>
                </a:ext>
              </a:extLst>
            </xdr:cNvPr>
            <xdr:cNvSpPr/>
          </xdr:nvSpPr>
          <xdr:spPr>
            <a:xfrm>
              <a:off x="4534618" y="13485587"/>
              <a:ext cx="101668" cy="108892"/>
            </a:xfrm>
            <a:prstGeom prst="roundRect">
              <a:avLst/>
            </a:prstGeom>
            <a:solidFill>
              <a:srgbClr val="000000"/>
            </a:solidFill>
          </xdr:spPr>
          <xdr:style>
            <a:lnRef idx="2">
              <a:schemeClr val="dk1">
                <a:shade val="50000"/>
              </a:schemeClr>
            </a:lnRef>
            <a:fillRef idx="1">
              <a:schemeClr val="dk1"/>
            </a:fillRef>
            <a:effectRef idx="0">
              <a:schemeClr val="dk1"/>
            </a:effectRef>
            <a:fontRef idx="minor">
              <a:schemeClr val="lt1"/>
            </a:fontRef>
          </xdr:style>
          <xdr:txBody>
            <a:bodyPr vertOverflow="clip" rtlCol="0" anchor="ctr"/>
            <a:lstStyle/>
            <a:p>
              <a:pPr algn="ctr"/>
              <a:endParaRPr lang="en-US" sz="1100">
                <a:solidFill>
                  <a:schemeClr val="tx1">
                    <a:lumMod val="75000"/>
                    <a:lumOff val="25000"/>
                  </a:schemeClr>
                </a:solidFill>
              </a:endParaRPr>
            </a:p>
          </xdr:txBody>
        </xdr:sp>
        <xdr:sp macro="NextMonth" textlink="">
          <xdr:nvSpPr>
            <xdr:cNvPr id="83" name="NextTri" hidden="1">
              <a:extLst>
                <a:ext uri="{FF2B5EF4-FFF2-40B4-BE49-F238E27FC236}">
                  <a16:creationId xmlns:a16="http://schemas.microsoft.com/office/drawing/2014/main" id="{00000000-0008-0000-0100-000053000000}"/>
                </a:ext>
              </a:extLst>
            </xdr:cNvPr>
            <xdr:cNvSpPr/>
          </xdr:nvSpPr>
          <xdr:spPr>
            <a:xfrm rot="5400000">
              <a:off x="4552731" y="13512895"/>
              <a:ext cx="72307" cy="54278"/>
            </a:xfrm>
            <a:prstGeom prst="triangle">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en-US" sz="1100">
                <a:solidFill>
                  <a:schemeClr val="tx1">
                    <a:lumMod val="75000"/>
                    <a:lumOff val="25000"/>
                  </a:schemeClr>
                </a:solidFill>
              </a:endParaRPr>
            </a:p>
          </xdr:txBody>
        </xdr:sp>
      </xdr:grpSp>
      <xdr:sp macro="DayBtn40" textlink="CalPopUp!$F$6">
        <xdr:nvSpPr>
          <xdr:cNvPr id="75" name="40Day" hidden="1">
            <a:extLst>
              <a:ext uri="{FF2B5EF4-FFF2-40B4-BE49-F238E27FC236}">
                <a16:creationId xmlns:a16="http://schemas.microsoft.com/office/drawing/2014/main" id="{00000000-0008-0000-0100-00004B000000}"/>
              </a:ext>
            </a:extLst>
          </xdr:cNvPr>
          <xdr:cNvSpPr/>
        </xdr:nvSpPr>
        <xdr:spPr>
          <a:xfrm>
            <a:off x="3886803" y="14825128"/>
            <a:ext cx="258964"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CF8A7712-0674-4BC0-B888-834D3A71F9B4}" type="TxLink">
              <a:rPr lang="en-US" sz="1100" b="0" i="0" u="none" strike="noStrike">
                <a:solidFill>
                  <a:srgbClr val="000000"/>
                </a:solidFill>
                <a:latin typeface="Calibri"/>
                <a:cs typeface="Calibri"/>
              </a:rPr>
              <a:pPr algn="r"/>
              <a:t> </a:t>
            </a:fld>
            <a:endParaRPr lang="en-US" sz="900" b="0">
              <a:solidFill>
                <a:schemeClr val="tx1">
                  <a:lumMod val="85000"/>
                  <a:lumOff val="15000"/>
                </a:schemeClr>
              </a:solidFill>
              <a:latin typeface="Tahoma" pitchFamily="34" charset="0"/>
              <a:cs typeface="Tahoma" pitchFamily="34" charset="0"/>
            </a:endParaRPr>
          </a:p>
        </xdr:txBody>
      </xdr:sp>
      <xdr:sp macro="DayBtn41" textlink="CalPopUp!$G$6">
        <xdr:nvSpPr>
          <xdr:cNvPr id="76" name="41Day" hidden="1">
            <a:extLst>
              <a:ext uri="{FF2B5EF4-FFF2-40B4-BE49-F238E27FC236}">
                <a16:creationId xmlns:a16="http://schemas.microsoft.com/office/drawing/2014/main" id="{00000000-0008-0000-0100-00004C000000}"/>
              </a:ext>
            </a:extLst>
          </xdr:cNvPr>
          <xdr:cNvSpPr/>
        </xdr:nvSpPr>
        <xdr:spPr>
          <a:xfrm>
            <a:off x="4150232" y="14825128"/>
            <a:ext cx="253550"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969F8183-2DEE-4821-B997-2851F4DB9719}" type="TxLink">
              <a:rPr lang="en-US" sz="1100" b="0" i="0" u="none" strike="noStrike">
                <a:solidFill>
                  <a:srgbClr val="000000"/>
                </a:solidFill>
                <a:latin typeface="Calibri"/>
                <a:cs typeface="Calibri"/>
              </a:rPr>
              <a:pPr algn="r"/>
              <a:t> </a:t>
            </a:fld>
            <a:endParaRPr lang="en-US" sz="900" b="0">
              <a:solidFill>
                <a:schemeClr val="tx1">
                  <a:lumMod val="85000"/>
                  <a:lumOff val="15000"/>
                </a:schemeClr>
              </a:solidFill>
              <a:latin typeface="Tahoma" pitchFamily="34" charset="0"/>
              <a:cs typeface="Tahoma" pitchFamily="34" charset="0"/>
            </a:endParaRPr>
          </a:p>
        </xdr:txBody>
      </xdr:sp>
      <xdr:sp macro="DayBtn39" textlink="CalPopUp!$E$6">
        <xdr:nvSpPr>
          <xdr:cNvPr id="77" name="39Day" hidden="1">
            <a:extLst>
              <a:ext uri="{FF2B5EF4-FFF2-40B4-BE49-F238E27FC236}">
                <a16:creationId xmlns:a16="http://schemas.microsoft.com/office/drawing/2014/main" id="{00000000-0008-0000-0100-00004D000000}"/>
              </a:ext>
            </a:extLst>
          </xdr:cNvPr>
          <xdr:cNvSpPr/>
        </xdr:nvSpPr>
        <xdr:spPr>
          <a:xfrm>
            <a:off x="3627566" y="14825128"/>
            <a:ext cx="253550"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62735EAC-C14F-47FF-A35A-0E941C503B1A}" type="TxLink">
              <a:rPr lang="en-US" sz="1100" b="0" i="0" u="none" strike="noStrike">
                <a:solidFill>
                  <a:srgbClr val="000000"/>
                </a:solidFill>
                <a:latin typeface="Calibri"/>
                <a:cs typeface="Calibri"/>
              </a:rPr>
              <a:pPr algn="r"/>
              <a:t> </a:t>
            </a:fld>
            <a:endParaRPr lang="en-US" sz="900" b="0">
              <a:solidFill>
                <a:schemeClr val="tx1">
                  <a:lumMod val="85000"/>
                  <a:lumOff val="15000"/>
                </a:schemeClr>
              </a:solidFill>
              <a:latin typeface="Tahoma" pitchFamily="34" charset="0"/>
              <a:cs typeface="Tahoma" pitchFamily="34" charset="0"/>
            </a:endParaRPr>
          </a:p>
        </xdr:txBody>
      </xdr:sp>
      <xdr:sp macro="DayBtn38" textlink="CalPopUp!$D$6">
        <xdr:nvSpPr>
          <xdr:cNvPr id="78" name="38Day" hidden="1">
            <a:extLst>
              <a:ext uri="{FF2B5EF4-FFF2-40B4-BE49-F238E27FC236}">
                <a16:creationId xmlns:a16="http://schemas.microsoft.com/office/drawing/2014/main" id="{00000000-0008-0000-0100-00004E000000}"/>
              </a:ext>
            </a:extLst>
          </xdr:cNvPr>
          <xdr:cNvSpPr/>
        </xdr:nvSpPr>
        <xdr:spPr>
          <a:xfrm>
            <a:off x="3365861" y="14825128"/>
            <a:ext cx="255468"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7F6B3443-6565-4514-82F3-C19D10C4292D}" type="TxLink">
              <a:rPr lang="en-US" sz="1100" b="0" i="0" u="none" strike="noStrike">
                <a:solidFill>
                  <a:srgbClr val="000000"/>
                </a:solidFill>
                <a:latin typeface="Calibri"/>
                <a:cs typeface="Calibri"/>
              </a:rPr>
              <a:pPr algn="r"/>
              <a:t> </a:t>
            </a:fld>
            <a:endParaRPr lang="en-US" sz="900" b="0" i="0" u="none" strike="noStrike">
              <a:solidFill>
                <a:schemeClr val="tx1">
                  <a:lumMod val="85000"/>
                  <a:lumOff val="15000"/>
                </a:schemeClr>
              </a:solidFill>
              <a:latin typeface="Tahoma" pitchFamily="34" charset="0"/>
              <a:cs typeface="Tahoma" pitchFamily="34" charset="0"/>
            </a:endParaRPr>
          </a:p>
        </xdr:txBody>
      </xdr:sp>
      <xdr:sp macro="DayBtn42" textlink="CalPopUp!$H$6">
        <xdr:nvSpPr>
          <xdr:cNvPr id="79" name="42Day" hidden="1">
            <a:extLst>
              <a:ext uri="{FF2B5EF4-FFF2-40B4-BE49-F238E27FC236}">
                <a16:creationId xmlns:a16="http://schemas.microsoft.com/office/drawing/2014/main" id="{00000000-0008-0000-0100-00004F000000}"/>
              </a:ext>
            </a:extLst>
          </xdr:cNvPr>
          <xdr:cNvSpPr/>
        </xdr:nvSpPr>
        <xdr:spPr>
          <a:xfrm>
            <a:off x="4410735" y="14825128"/>
            <a:ext cx="258467"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280E3499-D3C2-43B2-8A5F-4AAAF0D36307}" type="TxLink">
              <a:rPr lang="en-US" sz="1100" b="0" i="0" u="none" strike="noStrike">
                <a:solidFill>
                  <a:srgbClr val="000000"/>
                </a:solidFill>
                <a:latin typeface="Calibri"/>
                <a:cs typeface="Calibri"/>
              </a:rPr>
              <a:pPr algn="r"/>
              <a:t> </a:t>
            </a:fld>
            <a:endParaRPr lang="en-US" sz="900" b="0">
              <a:solidFill>
                <a:schemeClr val="tx1">
                  <a:lumMod val="85000"/>
                  <a:lumOff val="15000"/>
                </a:schemeClr>
              </a:solidFill>
              <a:latin typeface="Tahoma" pitchFamily="34" charset="0"/>
              <a:cs typeface="Tahoma" pitchFamily="34" charset="0"/>
            </a:endParaRPr>
          </a:p>
        </xdr:txBody>
      </xdr:sp>
      <xdr:sp macro="DayBtn37" textlink="CalPopUp!$C$6">
        <xdr:nvSpPr>
          <xdr:cNvPr id="80" name="37Day" hidden="1">
            <a:extLst>
              <a:ext uri="{FF2B5EF4-FFF2-40B4-BE49-F238E27FC236}">
                <a16:creationId xmlns:a16="http://schemas.microsoft.com/office/drawing/2014/main" id="{00000000-0008-0000-0100-000050000000}"/>
              </a:ext>
            </a:extLst>
          </xdr:cNvPr>
          <xdr:cNvSpPr/>
        </xdr:nvSpPr>
        <xdr:spPr>
          <a:xfrm>
            <a:off x="3103888" y="14825128"/>
            <a:ext cx="253550"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105FEF00-E4EF-4D8F-83F1-B6788CCB0F97}" type="TxLink">
              <a:rPr lang="en-US" sz="1100" b="0" i="0" u="none" strike="noStrike">
                <a:solidFill>
                  <a:srgbClr val="000000"/>
                </a:solidFill>
                <a:latin typeface="Calibri"/>
                <a:cs typeface="Calibri"/>
              </a:rPr>
              <a:pPr algn="r"/>
              <a:t> </a:t>
            </a:fld>
            <a:endParaRPr lang="en-US" sz="900" b="0">
              <a:solidFill>
                <a:schemeClr val="tx1">
                  <a:lumMod val="85000"/>
                  <a:lumOff val="15000"/>
                </a:schemeClr>
              </a:solidFill>
              <a:latin typeface="Tahoma" pitchFamily="34" charset="0"/>
              <a:cs typeface="Tahoma" pitchFamily="34" charset="0"/>
            </a:endParaRPr>
          </a:p>
        </xdr:txBody>
      </xdr:sp>
      <xdr:sp macro="DayBtn36" textlink="CalPopUp!$B$6">
        <xdr:nvSpPr>
          <xdr:cNvPr id="81" name="36Day" hidden="1">
            <a:extLst>
              <a:ext uri="{FF2B5EF4-FFF2-40B4-BE49-F238E27FC236}">
                <a16:creationId xmlns:a16="http://schemas.microsoft.com/office/drawing/2014/main" id="{00000000-0008-0000-0100-000051000000}"/>
              </a:ext>
            </a:extLst>
          </xdr:cNvPr>
          <xdr:cNvSpPr/>
        </xdr:nvSpPr>
        <xdr:spPr>
          <a:xfrm>
            <a:off x="2843605" y="14825128"/>
            <a:ext cx="254399"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B5AF724F-B99B-4AEA-A9CE-BD38E4138B07}" type="TxLink">
              <a:rPr lang="en-US" sz="1100" b="0" i="0" u="none" strike="noStrike">
                <a:solidFill>
                  <a:srgbClr val="000000"/>
                </a:solidFill>
                <a:latin typeface="Calibri"/>
                <a:cs typeface="Calibri"/>
              </a:rPr>
              <a:pPr algn="r"/>
              <a:t> </a:t>
            </a:fld>
            <a:endParaRPr lang="en-US" sz="900" b="0">
              <a:solidFill>
                <a:schemeClr val="tx1">
                  <a:lumMod val="85000"/>
                  <a:lumOff val="15000"/>
                </a:schemeClr>
              </a:solidFill>
              <a:latin typeface="Tahoma" pitchFamily="34" charset="0"/>
              <a:cs typeface="Tahoma" pitchFamily="34" charset="0"/>
            </a:endParaRPr>
          </a:p>
        </xdr:txBody>
      </xdr:sp>
    </xdr:grpSp>
    <xdr:clientData/>
  </xdr:twoCellAnchor>
  <xdr:twoCellAnchor>
    <xdr:from>
      <xdr:col>2</xdr:col>
      <xdr:colOff>742949</xdr:colOff>
      <xdr:row>1</xdr:row>
      <xdr:rowOff>180975</xdr:rowOff>
    </xdr:from>
    <xdr:to>
      <xdr:col>3</xdr:col>
      <xdr:colOff>866774</xdr:colOff>
      <xdr:row>3</xdr:row>
      <xdr:rowOff>180975</xdr:rowOff>
    </xdr:to>
    <xdr:grpSp>
      <xdr:nvGrpSpPr>
        <xdr:cNvPr id="660" name="Group 659">
          <a:extLst>
            <a:ext uri="{FF2B5EF4-FFF2-40B4-BE49-F238E27FC236}">
              <a16:creationId xmlns:a16="http://schemas.microsoft.com/office/drawing/2014/main" id="{00000000-0008-0000-0100-000094020000}"/>
            </a:ext>
          </a:extLst>
        </xdr:cNvPr>
        <xdr:cNvGrpSpPr/>
      </xdr:nvGrpSpPr>
      <xdr:grpSpPr>
        <a:xfrm>
          <a:off x="2723283" y="769793"/>
          <a:ext cx="871105" cy="381000"/>
          <a:chOff x="2371725" y="809625"/>
          <a:chExt cx="704850" cy="381000"/>
        </a:xfrm>
      </xdr:grpSpPr>
      <xdr:sp macro="[0]!LoadTransactions" textlink="">
        <xdr:nvSpPr>
          <xdr:cNvPr id="15" name="Rectangle 14">
            <a:extLst>
              <a:ext uri="{FF2B5EF4-FFF2-40B4-BE49-F238E27FC236}">
                <a16:creationId xmlns:a16="http://schemas.microsoft.com/office/drawing/2014/main" id="{00000000-0008-0000-0100-00000F000000}"/>
              </a:ext>
            </a:extLst>
          </xdr:cNvPr>
          <xdr:cNvSpPr/>
        </xdr:nvSpPr>
        <xdr:spPr>
          <a:xfrm>
            <a:off x="2390775" y="809625"/>
            <a:ext cx="685800" cy="381000"/>
          </a:xfrm>
          <a:prstGeom prst="rect">
            <a:avLst/>
          </a:prstGeom>
        </xdr:spPr>
        <xdr:style>
          <a:lnRef idx="0">
            <a:schemeClr val="accent1"/>
          </a:lnRef>
          <a:fillRef idx="3">
            <a:schemeClr val="accent1"/>
          </a:fillRef>
          <a:effectRef idx="3">
            <a:schemeClr val="accent1"/>
          </a:effectRef>
          <a:fontRef idx="minor">
            <a:schemeClr val="lt1"/>
          </a:fontRef>
        </xdr:style>
        <xdr:txBody>
          <a:bodyPr vertOverflow="clip" horzOverflow="clip" rIns="46800" rtlCol="0" anchor="ctr"/>
          <a:lstStyle/>
          <a:p>
            <a:pPr algn="r"/>
            <a:r>
              <a:rPr lang="en-US" sz="1100"/>
              <a:t>Refresh</a:t>
            </a:r>
          </a:p>
        </xdr:txBody>
      </xdr:sp>
      <xdr:pic macro="[0]!LoadTransactions">
        <xdr:nvPicPr>
          <xdr:cNvPr id="659" name="Picture 658">
            <a:extLst>
              <a:ext uri="{FF2B5EF4-FFF2-40B4-BE49-F238E27FC236}">
                <a16:creationId xmlns:a16="http://schemas.microsoft.com/office/drawing/2014/main" id="{00000000-0008-0000-0100-00009302000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2371725" y="914400"/>
            <a:ext cx="255181" cy="182880"/>
          </a:xfrm>
          <a:prstGeom prst="rect">
            <a:avLst/>
          </a:prstGeom>
        </xdr:spPr>
      </xdr:pic>
    </xdr:grpSp>
    <xdr:clientData/>
  </xdr:twoCellAnchor>
</xdr:wsDr>
</file>

<file path=xl/drawings/drawing2.xml><?xml version="1.0" encoding="utf-8"?>
<xdr:wsDr xmlns:xdr="http://schemas.openxmlformats.org/drawingml/2006/spreadsheetDrawing" xmlns:a="http://schemas.openxmlformats.org/drawingml/2006/main">
  <xdr:twoCellAnchor editAs="oneCell">
    <xdr:from>
      <xdr:col>3</xdr:col>
      <xdr:colOff>180975</xdr:colOff>
      <xdr:row>13</xdr:row>
      <xdr:rowOff>38100</xdr:rowOff>
    </xdr:from>
    <xdr:to>
      <xdr:col>6</xdr:col>
      <xdr:colOff>420373</xdr:colOff>
      <xdr:row>24</xdr:row>
      <xdr:rowOff>169917</xdr:rowOff>
    </xdr:to>
    <xdr:grpSp>
      <xdr:nvGrpSpPr>
        <xdr:cNvPr id="78" name="Calendar">
          <a:extLst>
            <a:ext uri="{FF2B5EF4-FFF2-40B4-BE49-F238E27FC236}">
              <a16:creationId xmlns:a16="http://schemas.microsoft.com/office/drawing/2014/main" id="{00000000-0008-0000-0300-00004E000000}"/>
            </a:ext>
          </a:extLst>
        </xdr:cNvPr>
        <xdr:cNvGrpSpPr/>
      </xdr:nvGrpSpPr>
      <xdr:grpSpPr>
        <a:xfrm>
          <a:off x="2209800" y="2514600"/>
          <a:ext cx="2068198" cy="2227317"/>
          <a:chOff x="8382000" y="1162050"/>
          <a:chExt cx="2063003" cy="2230780"/>
        </a:xfrm>
      </xdr:grpSpPr>
      <xdr:sp macro="" textlink="">
        <xdr:nvSpPr>
          <xdr:cNvPr id="79" name="Settings">
            <a:extLst>
              <a:ext uri="{FF2B5EF4-FFF2-40B4-BE49-F238E27FC236}">
                <a16:creationId xmlns:a16="http://schemas.microsoft.com/office/drawing/2014/main" id="{00000000-0008-0000-0300-00004F000000}"/>
              </a:ext>
            </a:extLst>
          </xdr:cNvPr>
          <xdr:cNvSpPr/>
        </xdr:nvSpPr>
        <xdr:spPr>
          <a:xfrm>
            <a:off x="8383859" y="3156518"/>
            <a:ext cx="2061144" cy="236312"/>
          </a:xfrm>
          <a:prstGeom prst="rect">
            <a:avLst/>
          </a:prstGeom>
          <a:solidFill>
            <a:srgbClr val="8DB4E3"/>
          </a:solidFill>
          <a:ln w="6350"/>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en-US" sz="1100"/>
          </a:p>
        </xdr:txBody>
      </xdr:sp>
      <xdr:sp macro="" textlink="">
        <xdr:nvSpPr>
          <xdr:cNvPr id="80" name="CalBack">
            <a:extLst>
              <a:ext uri="{FF2B5EF4-FFF2-40B4-BE49-F238E27FC236}">
                <a16:creationId xmlns:a16="http://schemas.microsoft.com/office/drawing/2014/main" id="{00000000-0008-0000-0300-000050000000}"/>
              </a:ext>
            </a:extLst>
          </xdr:cNvPr>
          <xdr:cNvSpPr/>
        </xdr:nvSpPr>
        <xdr:spPr>
          <a:xfrm>
            <a:off x="8382000" y="1162050"/>
            <a:ext cx="2061144" cy="1985017"/>
          </a:xfrm>
          <a:prstGeom prst="rect">
            <a:avLst/>
          </a:prstGeom>
          <a:solidFill>
            <a:srgbClr val="8DB4E3"/>
          </a:solidFill>
          <a:ln w="6350"/>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en-US" sz="1100"/>
          </a:p>
        </xdr:txBody>
      </xdr:sp>
      <xdr:sp macro="" textlink="CalPopUp!$A$5">
        <xdr:nvSpPr>
          <xdr:cNvPr id="81" name="MonthYear">
            <a:extLst>
              <a:ext uri="{FF2B5EF4-FFF2-40B4-BE49-F238E27FC236}">
                <a16:creationId xmlns:a16="http://schemas.microsoft.com/office/drawing/2014/main" id="{00000000-0008-0000-0300-000051000000}"/>
              </a:ext>
            </a:extLst>
          </xdr:cNvPr>
          <xdr:cNvSpPr txBox="1"/>
        </xdr:nvSpPr>
        <xdr:spPr>
          <a:xfrm>
            <a:off x="8665114" y="1361028"/>
            <a:ext cx="1497913" cy="1890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lIns="0" tIns="0" rIns="0" bIns="0" rtlCol="0" anchor="t"/>
          <a:lstStyle/>
          <a:p>
            <a:pPr algn="ctr"/>
            <a:fld id="{4EFCB9A6-CCEA-406D-8817-CE7ECAE9C66F}" type="TxLink">
              <a:rPr lang="en-US" sz="1100" b="0" i="0" u="none" strike="noStrike">
                <a:solidFill>
                  <a:srgbClr val="000000"/>
                </a:solidFill>
                <a:latin typeface="Calibri"/>
                <a:cs typeface="Calibri"/>
              </a:rPr>
              <a:pPr algn="ctr"/>
              <a:t>September 2023</a:t>
            </a:fld>
            <a:endParaRPr lang="en-US" sz="1100" b="1">
              <a:solidFill>
                <a:schemeClr val="tx1">
                  <a:lumMod val="75000"/>
                  <a:lumOff val="25000"/>
                </a:schemeClr>
              </a:solidFill>
            </a:endParaRPr>
          </a:p>
        </xdr:txBody>
      </xdr:sp>
      <xdr:sp macro="" textlink="">
        <xdr:nvSpPr>
          <xdr:cNvPr id="82" name="CalBorder">
            <a:extLst>
              <a:ext uri="{FF2B5EF4-FFF2-40B4-BE49-F238E27FC236}">
                <a16:creationId xmlns:a16="http://schemas.microsoft.com/office/drawing/2014/main" id="{00000000-0008-0000-0300-000052000000}"/>
              </a:ext>
            </a:extLst>
          </xdr:cNvPr>
          <xdr:cNvSpPr/>
        </xdr:nvSpPr>
        <xdr:spPr>
          <a:xfrm>
            <a:off x="8486226" y="1331895"/>
            <a:ext cx="1855687" cy="1620005"/>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en-US" sz="1100">
              <a:solidFill>
                <a:schemeClr val="tx1">
                  <a:lumMod val="75000"/>
                  <a:lumOff val="25000"/>
                </a:schemeClr>
              </a:solidFill>
            </a:endParaRPr>
          </a:p>
        </xdr:txBody>
      </xdr:sp>
      <xdr:sp macro="DayBtn1" textlink="CalPopUp!$B$1">
        <xdr:nvSpPr>
          <xdr:cNvPr id="83" name="1Day">
            <a:extLst>
              <a:ext uri="{FF2B5EF4-FFF2-40B4-BE49-F238E27FC236}">
                <a16:creationId xmlns:a16="http://schemas.microsoft.com/office/drawing/2014/main" id="{00000000-0008-0000-0300-000053000000}"/>
              </a:ext>
            </a:extLst>
          </xdr:cNvPr>
          <xdr:cNvSpPr/>
        </xdr:nvSpPr>
        <xdr:spPr>
          <a:xfrm>
            <a:off x="8501348" y="1758503"/>
            <a:ext cx="254171"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6F3EBFD2-5463-440B-B164-49E6D8F1068E}" type="TxLink">
              <a:rPr lang="en-US" sz="1100" b="0" i="0" u="none" strike="noStrike">
                <a:solidFill>
                  <a:srgbClr val="000000"/>
                </a:solidFill>
                <a:latin typeface="Calibri"/>
                <a:cs typeface="Calibri"/>
              </a:rPr>
              <a:pPr algn="r"/>
              <a:t> </a:t>
            </a:fld>
            <a:endParaRPr lang="en-US" sz="900" b="0">
              <a:solidFill>
                <a:schemeClr val="tx1">
                  <a:lumMod val="85000"/>
                  <a:lumOff val="15000"/>
                </a:schemeClr>
              </a:solidFill>
              <a:latin typeface="Tahoma" pitchFamily="34" charset="0"/>
              <a:cs typeface="Tahoma" pitchFamily="34" charset="0"/>
            </a:endParaRPr>
          </a:p>
        </xdr:txBody>
      </xdr:sp>
      <xdr:sp macro="DayBtn3" textlink="CalPopUp!$D$1">
        <xdr:nvSpPr>
          <xdr:cNvPr id="84" name="3Day">
            <a:extLst>
              <a:ext uri="{FF2B5EF4-FFF2-40B4-BE49-F238E27FC236}">
                <a16:creationId xmlns:a16="http://schemas.microsoft.com/office/drawing/2014/main" id="{00000000-0008-0000-0300-000054000000}"/>
              </a:ext>
            </a:extLst>
          </xdr:cNvPr>
          <xdr:cNvSpPr/>
        </xdr:nvSpPr>
        <xdr:spPr>
          <a:xfrm>
            <a:off x="9023133" y="1758503"/>
            <a:ext cx="255240"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E8BC6D55-DCDC-453D-9640-4D62C05906D0}" type="TxLink">
              <a:rPr lang="en-US" sz="1100" b="0" i="0" u="none" strike="noStrike">
                <a:solidFill>
                  <a:srgbClr val="000000"/>
                </a:solidFill>
                <a:latin typeface="Calibri"/>
                <a:cs typeface="Calibri"/>
              </a:rPr>
              <a:pPr algn="r"/>
              <a:t> </a:t>
            </a:fld>
            <a:endParaRPr lang="en-US" sz="900" b="0" i="0" u="none" strike="noStrike">
              <a:solidFill>
                <a:schemeClr val="tx1">
                  <a:lumMod val="85000"/>
                  <a:lumOff val="15000"/>
                </a:schemeClr>
              </a:solidFill>
              <a:latin typeface="Tahoma" pitchFamily="34" charset="0"/>
              <a:cs typeface="Tahoma" pitchFamily="34" charset="0"/>
            </a:endParaRPr>
          </a:p>
        </xdr:txBody>
      </xdr:sp>
      <xdr:sp macro="DayBtn14" textlink="CalPopUp!$H$2">
        <xdr:nvSpPr>
          <xdr:cNvPr id="85" name="14Day">
            <a:extLst>
              <a:ext uri="{FF2B5EF4-FFF2-40B4-BE49-F238E27FC236}">
                <a16:creationId xmlns:a16="http://schemas.microsoft.com/office/drawing/2014/main" id="{00000000-0008-0000-0300-000055000000}"/>
              </a:ext>
            </a:extLst>
          </xdr:cNvPr>
          <xdr:cNvSpPr/>
        </xdr:nvSpPr>
        <xdr:spPr>
          <a:xfrm>
            <a:off x="10065568" y="1953973"/>
            <a:ext cx="258234"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BE098AC8-C1C1-438A-82E7-C476878F78D4}" type="TxLink">
              <a:rPr lang="en-US" sz="1100" b="0" i="0" u="none" strike="noStrike">
                <a:solidFill>
                  <a:srgbClr val="000000"/>
                </a:solidFill>
                <a:latin typeface="Calibri"/>
                <a:cs typeface="Calibri"/>
              </a:rPr>
              <a:pPr algn="r"/>
              <a:t>9</a:t>
            </a:fld>
            <a:endParaRPr lang="en-US" sz="900" b="0">
              <a:solidFill>
                <a:schemeClr val="tx1">
                  <a:lumMod val="85000"/>
                  <a:lumOff val="15000"/>
                </a:schemeClr>
              </a:solidFill>
              <a:latin typeface="Tahoma" pitchFamily="34" charset="0"/>
              <a:cs typeface="Tahoma" pitchFamily="34" charset="0"/>
            </a:endParaRPr>
          </a:p>
        </xdr:txBody>
      </xdr:sp>
      <xdr:sp macro="DayBtn7" textlink="CalPopUp!$H$1">
        <xdr:nvSpPr>
          <xdr:cNvPr id="86" name="7Day">
            <a:extLst>
              <a:ext uri="{FF2B5EF4-FFF2-40B4-BE49-F238E27FC236}">
                <a16:creationId xmlns:a16="http://schemas.microsoft.com/office/drawing/2014/main" id="{00000000-0008-0000-0300-000056000000}"/>
              </a:ext>
            </a:extLst>
          </xdr:cNvPr>
          <xdr:cNvSpPr/>
        </xdr:nvSpPr>
        <xdr:spPr>
          <a:xfrm>
            <a:off x="10065568" y="1758503"/>
            <a:ext cx="258234"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F0321D8F-38A3-420D-90D3-948122EE3480}" type="TxLink">
              <a:rPr lang="en-US" sz="1100" b="0" i="0" u="none" strike="noStrike">
                <a:solidFill>
                  <a:srgbClr val="000000"/>
                </a:solidFill>
                <a:latin typeface="Calibri"/>
                <a:cs typeface="Calibri"/>
              </a:rPr>
              <a:pPr algn="r"/>
              <a:t>2</a:t>
            </a:fld>
            <a:endParaRPr lang="en-US" sz="900" b="0">
              <a:solidFill>
                <a:schemeClr val="tx1">
                  <a:lumMod val="85000"/>
                  <a:lumOff val="15000"/>
                </a:schemeClr>
              </a:solidFill>
              <a:latin typeface="Tahoma" pitchFamily="34" charset="0"/>
              <a:cs typeface="Tahoma" pitchFamily="34" charset="0"/>
            </a:endParaRPr>
          </a:p>
        </xdr:txBody>
      </xdr:sp>
      <xdr:sp macro="DayBtn4" textlink="CalPopUp!$E$1">
        <xdr:nvSpPr>
          <xdr:cNvPr id="87" name="4Day">
            <a:extLst>
              <a:ext uri="{FF2B5EF4-FFF2-40B4-BE49-F238E27FC236}">
                <a16:creationId xmlns:a16="http://schemas.microsoft.com/office/drawing/2014/main" id="{00000000-0008-0000-0300-000057000000}"/>
              </a:ext>
            </a:extLst>
          </xdr:cNvPr>
          <xdr:cNvSpPr/>
        </xdr:nvSpPr>
        <xdr:spPr>
          <a:xfrm>
            <a:off x="9284602" y="1758503"/>
            <a:ext cx="253321"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91F87DEB-1487-41EA-B8A5-FC55F61ABEB0}" type="TxLink">
              <a:rPr lang="en-US" sz="1100" b="0" i="0" u="none" strike="noStrike">
                <a:solidFill>
                  <a:srgbClr val="000000"/>
                </a:solidFill>
                <a:latin typeface="Calibri"/>
                <a:cs typeface="Calibri"/>
              </a:rPr>
              <a:pPr algn="r"/>
              <a:t> </a:t>
            </a:fld>
            <a:endParaRPr lang="en-US" sz="900" b="0">
              <a:solidFill>
                <a:schemeClr val="tx1">
                  <a:lumMod val="85000"/>
                  <a:lumOff val="15000"/>
                </a:schemeClr>
              </a:solidFill>
              <a:latin typeface="Tahoma" pitchFamily="34" charset="0"/>
              <a:cs typeface="Tahoma" pitchFamily="34" charset="0"/>
            </a:endParaRPr>
          </a:p>
        </xdr:txBody>
      </xdr:sp>
      <xdr:sp macro="DayBtn2" textlink="CalPopUp!$C$1">
        <xdr:nvSpPr>
          <xdr:cNvPr id="88" name="2Day">
            <a:extLst>
              <a:ext uri="{FF2B5EF4-FFF2-40B4-BE49-F238E27FC236}">
                <a16:creationId xmlns:a16="http://schemas.microsoft.com/office/drawing/2014/main" id="{00000000-0008-0000-0300-000058000000}"/>
              </a:ext>
            </a:extLst>
          </xdr:cNvPr>
          <xdr:cNvSpPr/>
        </xdr:nvSpPr>
        <xdr:spPr>
          <a:xfrm>
            <a:off x="8761395" y="1758503"/>
            <a:ext cx="253322" cy="190562"/>
          </a:xfrm>
          <a:prstGeom prst="rect">
            <a:avLst/>
          </a:prstGeom>
          <a:solidFill>
            <a:srgbClr val="FCD5B4"/>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2DB980A6-8366-4E84-AB57-4E71A52F56C6}" type="TxLink">
              <a:rPr lang="en-US" sz="1100" b="1" i="0" u="none" strike="noStrike">
                <a:solidFill>
                  <a:srgbClr val="000000"/>
                </a:solidFill>
                <a:latin typeface="Calibri"/>
                <a:cs typeface="Calibri"/>
              </a:rPr>
              <a:pPr algn="r"/>
              <a:t> </a:t>
            </a:fld>
            <a:endParaRPr lang="en-US" sz="900" b="1">
              <a:solidFill>
                <a:schemeClr val="tx1">
                  <a:lumMod val="85000"/>
                  <a:lumOff val="15000"/>
                </a:schemeClr>
              </a:solidFill>
              <a:latin typeface="Tahoma" pitchFamily="34" charset="0"/>
              <a:cs typeface="Tahoma" pitchFamily="34" charset="0"/>
            </a:endParaRPr>
          </a:p>
        </xdr:txBody>
      </xdr:sp>
      <xdr:sp macro="DayBtn5" textlink="CalPopUp!$F$1">
        <xdr:nvSpPr>
          <xdr:cNvPr id="89" name="5Day">
            <a:extLst>
              <a:ext uri="{FF2B5EF4-FFF2-40B4-BE49-F238E27FC236}">
                <a16:creationId xmlns:a16="http://schemas.microsoft.com/office/drawing/2014/main" id="{00000000-0008-0000-0300-000059000000}"/>
              </a:ext>
            </a:extLst>
          </xdr:cNvPr>
          <xdr:cNvSpPr/>
        </xdr:nvSpPr>
        <xdr:spPr>
          <a:xfrm>
            <a:off x="9542108" y="1758503"/>
            <a:ext cx="258234"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C0998E4E-2A6A-4F96-8956-373F3435FB1F}" type="TxLink">
              <a:rPr lang="en-US" sz="1100" b="0" i="0" u="none" strike="noStrike">
                <a:solidFill>
                  <a:srgbClr val="000000"/>
                </a:solidFill>
                <a:latin typeface="Calibri"/>
                <a:cs typeface="Calibri"/>
              </a:rPr>
              <a:pPr algn="r"/>
              <a:t> </a:t>
            </a:fld>
            <a:endParaRPr lang="en-US" sz="900" b="0">
              <a:solidFill>
                <a:schemeClr val="tx1">
                  <a:lumMod val="85000"/>
                  <a:lumOff val="15000"/>
                </a:schemeClr>
              </a:solidFill>
              <a:latin typeface="Tahoma" pitchFamily="34" charset="0"/>
              <a:cs typeface="Tahoma" pitchFamily="34" charset="0"/>
            </a:endParaRPr>
          </a:p>
        </xdr:txBody>
      </xdr:sp>
      <xdr:sp macro="DayBtn8" textlink="CalPopUp!$B$2">
        <xdr:nvSpPr>
          <xdr:cNvPr id="90" name="8Day">
            <a:extLst>
              <a:ext uri="{FF2B5EF4-FFF2-40B4-BE49-F238E27FC236}">
                <a16:creationId xmlns:a16="http://schemas.microsoft.com/office/drawing/2014/main" id="{00000000-0008-0000-0300-00005A000000}"/>
              </a:ext>
            </a:extLst>
          </xdr:cNvPr>
          <xdr:cNvSpPr/>
        </xdr:nvSpPr>
        <xdr:spPr>
          <a:xfrm>
            <a:off x="8501348" y="1953973"/>
            <a:ext cx="254171"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37D40543-6DBF-4917-9073-83A1565D935A}" type="TxLink">
              <a:rPr lang="en-US" sz="1100" b="0" i="0" u="none" strike="noStrike">
                <a:solidFill>
                  <a:srgbClr val="000000"/>
                </a:solidFill>
                <a:latin typeface="Calibri"/>
                <a:cs typeface="Calibri"/>
              </a:rPr>
              <a:pPr algn="r"/>
              <a:t>3</a:t>
            </a:fld>
            <a:endParaRPr lang="en-US" sz="900" b="0">
              <a:solidFill>
                <a:schemeClr val="tx1">
                  <a:lumMod val="85000"/>
                  <a:lumOff val="15000"/>
                </a:schemeClr>
              </a:solidFill>
              <a:latin typeface="Tahoma" pitchFamily="34" charset="0"/>
              <a:cs typeface="Tahoma" pitchFamily="34" charset="0"/>
            </a:endParaRPr>
          </a:p>
        </xdr:txBody>
      </xdr:sp>
      <xdr:sp macro="DayBtn10" textlink="CalPopUp!$D$2">
        <xdr:nvSpPr>
          <xdr:cNvPr id="91" name="10Day">
            <a:extLst>
              <a:ext uri="{FF2B5EF4-FFF2-40B4-BE49-F238E27FC236}">
                <a16:creationId xmlns:a16="http://schemas.microsoft.com/office/drawing/2014/main" id="{00000000-0008-0000-0300-00005B000000}"/>
              </a:ext>
            </a:extLst>
          </xdr:cNvPr>
          <xdr:cNvSpPr/>
        </xdr:nvSpPr>
        <xdr:spPr>
          <a:xfrm>
            <a:off x="9023133" y="1953973"/>
            <a:ext cx="255240"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07BB9338-6E7A-4A94-AF06-0EF844454A7F}" type="TxLink">
              <a:rPr lang="en-US" sz="1100" b="0" i="0" u="none" strike="noStrike">
                <a:solidFill>
                  <a:srgbClr val="000000"/>
                </a:solidFill>
                <a:latin typeface="Calibri"/>
                <a:cs typeface="Calibri"/>
              </a:rPr>
              <a:pPr algn="r"/>
              <a:t>5</a:t>
            </a:fld>
            <a:endParaRPr lang="en-US" sz="900" b="0" i="0" u="none" strike="noStrike">
              <a:solidFill>
                <a:schemeClr val="tx1">
                  <a:lumMod val="85000"/>
                  <a:lumOff val="15000"/>
                </a:schemeClr>
              </a:solidFill>
              <a:latin typeface="Tahoma" pitchFamily="34" charset="0"/>
              <a:cs typeface="Tahoma" pitchFamily="34" charset="0"/>
            </a:endParaRPr>
          </a:p>
        </xdr:txBody>
      </xdr:sp>
      <xdr:sp macro="DayBtn6" textlink="CalPopUp!$G$1">
        <xdr:nvSpPr>
          <xdr:cNvPr id="92" name="6Day">
            <a:extLst>
              <a:ext uri="{FF2B5EF4-FFF2-40B4-BE49-F238E27FC236}">
                <a16:creationId xmlns:a16="http://schemas.microsoft.com/office/drawing/2014/main" id="{00000000-0008-0000-0300-00005C000000}"/>
              </a:ext>
            </a:extLst>
          </xdr:cNvPr>
          <xdr:cNvSpPr/>
        </xdr:nvSpPr>
        <xdr:spPr>
          <a:xfrm>
            <a:off x="9805300" y="1758503"/>
            <a:ext cx="253321"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FC663B72-83F5-48EA-83E4-22FB1341E15B}" type="TxLink">
              <a:rPr lang="en-US" sz="1100" b="0" i="0" u="none" strike="noStrike">
                <a:solidFill>
                  <a:srgbClr val="000000"/>
                </a:solidFill>
                <a:latin typeface="Calibri"/>
                <a:cs typeface="Calibri"/>
              </a:rPr>
              <a:pPr algn="r"/>
              <a:t>1</a:t>
            </a:fld>
            <a:endParaRPr lang="en-US" sz="900" b="0">
              <a:solidFill>
                <a:schemeClr val="tx1">
                  <a:lumMod val="85000"/>
                  <a:lumOff val="15000"/>
                </a:schemeClr>
              </a:solidFill>
              <a:latin typeface="Tahoma" pitchFamily="34" charset="0"/>
              <a:cs typeface="Tahoma" pitchFamily="34" charset="0"/>
            </a:endParaRPr>
          </a:p>
        </xdr:txBody>
      </xdr:sp>
      <xdr:sp macro="DayBtn13" textlink="CalPopUp!$G$2">
        <xdr:nvSpPr>
          <xdr:cNvPr id="93" name="13Day">
            <a:extLst>
              <a:ext uri="{FF2B5EF4-FFF2-40B4-BE49-F238E27FC236}">
                <a16:creationId xmlns:a16="http://schemas.microsoft.com/office/drawing/2014/main" id="{00000000-0008-0000-0300-00005D000000}"/>
              </a:ext>
            </a:extLst>
          </xdr:cNvPr>
          <xdr:cNvSpPr/>
        </xdr:nvSpPr>
        <xdr:spPr>
          <a:xfrm>
            <a:off x="9805300" y="1953973"/>
            <a:ext cx="253321"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D73AFB5E-5A36-4B31-B8D6-0C1542F41547}" type="TxLink">
              <a:rPr lang="en-US" sz="1100" b="0" i="0" u="none" strike="noStrike">
                <a:solidFill>
                  <a:srgbClr val="000000"/>
                </a:solidFill>
                <a:latin typeface="Calibri"/>
                <a:cs typeface="Calibri"/>
              </a:rPr>
              <a:pPr algn="r"/>
              <a:t>8</a:t>
            </a:fld>
            <a:endParaRPr lang="en-US" sz="900" b="0">
              <a:solidFill>
                <a:schemeClr val="tx1">
                  <a:lumMod val="85000"/>
                  <a:lumOff val="15000"/>
                </a:schemeClr>
              </a:solidFill>
              <a:latin typeface="Tahoma" pitchFamily="34" charset="0"/>
              <a:cs typeface="Tahoma" pitchFamily="34" charset="0"/>
            </a:endParaRPr>
          </a:p>
        </xdr:txBody>
      </xdr:sp>
      <xdr:sp macro="DayBtn11" textlink="CalPopUp!$E$2">
        <xdr:nvSpPr>
          <xdr:cNvPr id="94" name="11Day">
            <a:extLst>
              <a:ext uri="{FF2B5EF4-FFF2-40B4-BE49-F238E27FC236}">
                <a16:creationId xmlns:a16="http://schemas.microsoft.com/office/drawing/2014/main" id="{00000000-0008-0000-0300-00005E000000}"/>
              </a:ext>
            </a:extLst>
          </xdr:cNvPr>
          <xdr:cNvSpPr/>
        </xdr:nvSpPr>
        <xdr:spPr>
          <a:xfrm>
            <a:off x="9284602" y="1953973"/>
            <a:ext cx="253321"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7B9BC5A1-3D0D-4FF0-B3E5-D569F94E258F}" type="TxLink">
              <a:rPr lang="en-US" sz="1100" b="0" i="0" u="none" strike="noStrike">
                <a:solidFill>
                  <a:srgbClr val="000000"/>
                </a:solidFill>
                <a:latin typeface="Calibri"/>
                <a:cs typeface="Calibri"/>
              </a:rPr>
              <a:pPr algn="r"/>
              <a:t>6</a:t>
            </a:fld>
            <a:endParaRPr lang="en-US" sz="900" b="0">
              <a:solidFill>
                <a:schemeClr val="tx1">
                  <a:lumMod val="85000"/>
                  <a:lumOff val="15000"/>
                </a:schemeClr>
              </a:solidFill>
              <a:latin typeface="Tahoma" pitchFamily="34" charset="0"/>
              <a:cs typeface="Tahoma" pitchFamily="34" charset="0"/>
            </a:endParaRPr>
          </a:p>
        </xdr:txBody>
      </xdr:sp>
      <xdr:sp macro="DayBtn9" textlink="CalPopUp!$C$2">
        <xdr:nvSpPr>
          <xdr:cNvPr id="95" name="9Day">
            <a:extLst>
              <a:ext uri="{FF2B5EF4-FFF2-40B4-BE49-F238E27FC236}">
                <a16:creationId xmlns:a16="http://schemas.microsoft.com/office/drawing/2014/main" id="{00000000-0008-0000-0300-00005F000000}"/>
              </a:ext>
            </a:extLst>
          </xdr:cNvPr>
          <xdr:cNvSpPr/>
        </xdr:nvSpPr>
        <xdr:spPr>
          <a:xfrm>
            <a:off x="8761395" y="1953973"/>
            <a:ext cx="253322"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9F825E40-626E-46F1-AD7D-C4B93F1DD588}" type="TxLink">
              <a:rPr lang="en-US" sz="1100" b="0" i="0" u="none" strike="noStrike">
                <a:solidFill>
                  <a:srgbClr val="000000"/>
                </a:solidFill>
                <a:latin typeface="Calibri"/>
                <a:cs typeface="Calibri"/>
              </a:rPr>
              <a:pPr algn="r"/>
              <a:t>4</a:t>
            </a:fld>
            <a:endParaRPr lang="en-US" sz="900" b="0">
              <a:solidFill>
                <a:schemeClr val="tx1">
                  <a:lumMod val="85000"/>
                  <a:lumOff val="15000"/>
                </a:schemeClr>
              </a:solidFill>
              <a:latin typeface="Tahoma" pitchFamily="34" charset="0"/>
              <a:cs typeface="Tahoma" pitchFamily="34" charset="0"/>
            </a:endParaRPr>
          </a:p>
        </xdr:txBody>
      </xdr:sp>
      <xdr:sp macro="DayBtn12" textlink="CalPopUp!$F$2">
        <xdr:nvSpPr>
          <xdr:cNvPr id="96" name="12Day">
            <a:extLst>
              <a:ext uri="{FF2B5EF4-FFF2-40B4-BE49-F238E27FC236}">
                <a16:creationId xmlns:a16="http://schemas.microsoft.com/office/drawing/2014/main" id="{00000000-0008-0000-0300-000060000000}"/>
              </a:ext>
            </a:extLst>
          </xdr:cNvPr>
          <xdr:cNvSpPr/>
        </xdr:nvSpPr>
        <xdr:spPr>
          <a:xfrm>
            <a:off x="9542108" y="1953973"/>
            <a:ext cx="258234"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A8B9A895-6D67-4445-ACDA-B01D37F34331}" type="TxLink">
              <a:rPr lang="en-US" sz="1100" b="0" i="0" u="none" strike="noStrike">
                <a:solidFill>
                  <a:srgbClr val="000000"/>
                </a:solidFill>
                <a:latin typeface="Calibri"/>
                <a:cs typeface="Calibri"/>
              </a:rPr>
              <a:pPr algn="r"/>
              <a:t>7</a:t>
            </a:fld>
            <a:endParaRPr lang="en-US" sz="900" b="0">
              <a:solidFill>
                <a:schemeClr val="tx1">
                  <a:lumMod val="85000"/>
                  <a:lumOff val="15000"/>
                </a:schemeClr>
              </a:solidFill>
              <a:latin typeface="Tahoma" pitchFamily="34" charset="0"/>
              <a:cs typeface="Tahoma" pitchFamily="34" charset="0"/>
            </a:endParaRPr>
          </a:p>
        </xdr:txBody>
      </xdr:sp>
      <xdr:sp macro="DayBtn15" textlink="CalPopUp!$B$3">
        <xdr:nvSpPr>
          <xdr:cNvPr id="97" name="15Day">
            <a:extLst>
              <a:ext uri="{FF2B5EF4-FFF2-40B4-BE49-F238E27FC236}">
                <a16:creationId xmlns:a16="http://schemas.microsoft.com/office/drawing/2014/main" id="{00000000-0008-0000-0300-000061000000}"/>
              </a:ext>
            </a:extLst>
          </xdr:cNvPr>
          <xdr:cNvSpPr/>
        </xdr:nvSpPr>
        <xdr:spPr>
          <a:xfrm>
            <a:off x="8501348" y="2149536"/>
            <a:ext cx="254171"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F98A8C9B-010C-4DB0-A7CC-B6340E649FA6}" type="TxLink">
              <a:rPr lang="en-US" sz="1100" b="0" i="0" u="none" strike="noStrike">
                <a:solidFill>
                  <a:srgbClr val="000000"/>
                </a:solidFill>
                <a:latin typeface="Calibri"/>
                <a:cs typeface="Calibri"/>
              </a:rPr>
              <a:pPr algn="r"/>
              <a:t>10</a:t>
            </a:fld>
            <a:endParaRPr lang="en-US" sz="900" b="0">
              <a:solidFill>
                <a:schemeClr val="tx1">
                  <a:lumMod val="85000"/>
                  <a:lumOff val="15000"/>
                </a:schemeClr>
              </a:solidFill>
              <a:latin typeface="Tahoma" pitchFamily="34" charset="0"/>
              <a:cs typeface="Tahoma" pitchFamily="34" charset="0"/>
            </a:endParaRPr>
          </a:p>
        </xdr:txBody>
      </xdr:sp>
      <xdr:sp macro="DayBtn17" textlink="CalPopUp!$D$3">
        <xdr:nvSpPr>
          <xdr:cNvPr id="98" name="17Day">
            <a:extLst>
              <a:ext uri="{FF2B5EF4-FFF2-40B4-BE49-F238E27FC236}">
                <a16:creationId xmlns:a16="http://schemas.microsoft.com/office/drawing/2014/main" id="{00000000-0008-0000-0300-000062000000}"/>
              </a:ext>
            </a:extLst>
          </xdr:cNvPr>
          <xdr:cNvSpPr/>
        </xdr:nvSpPr>
        <xdr:spPr>
          <a:xfrm>
            <a:off x="9023133" y="2149536"/>
            <a:ext cx="255240"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2E19B096-BAD9-402A-9642-2E52C58B91FC}" type="TxLink">
              <a:rPr lang="en-US" sz="1100" b="0" i="0" u="none" strike="noStrike">
                <a:solidFill>
                  <a:srgbClr val="000000"/>
                </a:solidFill>
                <a:latin typeface="Calibri"/>
                <a:cs typeface="Calibri"/>
              </a:rPr>
              <a:pPr algn="r"/>
              <a:t>12</a:t>
            </a:fld>
            <a:endParaRPr lang="en-US" sz="900" b="0" i="0" u="none" strike="noStrike">
              <a:solidFill>
                <a:schemeClr val="tx1">
                  <a:lumMod val="85000"/>
                  <a:lumOff val="15000"/>
                </a:schemeClr>
              </a:solidFill>
              <a:latin typeface="Tahoma" pitchFamily="34" charset="0"/>
              <a:cs typeface="Tahoma" pitchFamily="34" charset="0"/>
            </a:endParaRPr>
          </a:p>
        </xdr:txBody>
      </xdr:sp>
      <xdr:sp macro="DayBtn20" textlink="CalPopUp!$G$3">
        <xdr:nvSpPr>
          <xdr:cNvPr id="99" name="20Day">
            <a:extLst>
              <a:ext uri="{FF2B5EF4-FFF2-40B4-BE49-F238E27FC236}">
                <a16:creationId xmlns:a16="http://schemas.microsoft.com/office/drawing/2014/main" id="{00000000-0008-0000-0300-000063000000}"/>
              </a:ext>
            </a:extLst>
          </xdr:cNvPr>
          <xdr:cNvSpPr/>
        </xdr:nvSpPr>
        <xdr:spPr>
          <a:xfrm>
            <a:off x="9805300" y="2149536"/>
            <a:ext cx="253321"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9B7A671D-0185-44E8-960B-BBB089EC7E4A}" type="TxLink">
              <a:rPr lang="en-US" sz="1100" b="0" i="0" u="none" strike="noStrike">
                <a:solidFill>
                  <a:srgbClr val="000000"/>
                </a:solidFill>
                <a:latin typeface="Calibri"/>
                <a:cs typeface="Calibri"/>
              </a:rPr>
              <a:pPr algn="r"/>
              <a:t>15</a:t>
            </a:fld>
            <a:endParaRPr lang="en-US" sz="900" b="0">
              <a:solidFill>
                <a:schemeClr val="tx1">
                  <a:lumMod val="85000"/>
                  <a:lumOff val="15000"/>
                </a:schemeClr>
              </a:solidFill>
              <a:latin typeface="Tahoma" pitchFamily="34" charset="0"/>
              <a:cs typeface="Tahoma" pitchFamily="34" charset="0"/>
            </a:endParaRPr>
          </a:p>
        </xdr:txBody>
      </xdr:sp>
      <xdr:sp macro="DayBtn21" textlink="CalPopUp!$H$3">
        <xdr:nvSpPr>
          <xdr:cNvPr id="100" name="21Day">
            <a:extLst>
              <a:ext uri="{FF2B5EF4-FFF2-40B4-BE49-F238E27FC236}">
                <a16:creationId xmlns:a16="http://schemas.microsoft.com/office/drawing/2014/main" id="{00000000-0008-0000-0300-000064000000}"/>
              </a:ext>
            </a:extLst>
          </xdr:cNvPr>
          <xdr:cNvSpPr/>
        </xdr:nvSpPr>
        <xdr:spPr>
          <a:xfrm>
            <a:off x="10065568" y="2149536"/>
            <a:ext cx="258729"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0B92ADA5-6901-42A0-BAB1-932578646108}" type="TxLink">
              <a:rPr lang="en-US" sz="1100" b="0" i="0" u="none" strike="noStrike">
                <a:solidFill>
                  <a:srgbClr val="000000"/>
                </a:solidFill>
                <a:latin typeface="Calibri"/>
                <a:cs typeface="Calibri"/>
              </a:rPr>
              <a:pPr algn="r"/>
              <a:t>16</a:t>
            </a:fld>
            <a:endParaRPr lang="en-US" sz="900" b="0">
              <a:solidFill>
                <a:schemeClr val="tx1">
                  <a:lumMod val="85000"/>
                  <a:lumOff val="15000"/>
                </a:schemeClr>
              </a:solidFill>
              <a:latin typeface="Tahoma" pitchFamily="34" charset="0"/>
              <a:cs typeface="Tahoma" pitchFamily="34" charset="0"/>
            </a:endParaRPr>
          </a:p>
        </xdr:txBody>
      </xdr:sp>
      <xdr:sp macro="DayBtn18" textlink="CalPopUp!$E$3">
        <xdr:nvSpPr>
          <xdr:cNvPr id="101" name="18Day">
            <a:extLst>
              <a:ext uri="{FF2B5EF4-FFF2-40B4-BE49-F238E27FC236}">
                <a16:creationId xmlns:a16="http://schemas.microsoft.com/office/drawing/2014/main" id="{00000000-0008-0000-0300-000065000000}"/>
              </a:ext>
            </a:extLst>
          </xdr:cNvPr>
          <xdr:cNvSpPr/>
        </xdr:nvSpPr>
        <xdr:spPr>
          <a:xfrm>
            <a:off x="9284602" y="2149536"/>
            <a:ext cx="253321"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8D1C8CA5-A552-48D2-9F49-DC377D8E3A2D}" type="TxLink">
              <a:rPr lang="en-US" sz="1100" b="0" i="0" u="none" strike="noStrike">
                <a:solidFill>
                  <a:srgbClr val="000000"/>
                </a:solidFill>
                <a:latin typeface="Calibri"/>
                <a:cs typeface="Calibri"/>
              </a:rPr>
              <a:pPr algn="r"/>
              <a:t>13</a:t>
            </a:fld>
            <a:endParaRPr lang="en-US" sz="900" b="0">
              <a:solidFill>
                <a:schemeClr val="tx1">
                  <a:lumMod val="85000"/>
                  <a:lumOff val="15000"/>
                </a:schemeClr>
              </a:solidFill>
              <a:latin typeface="Tahoma" pitchFamily="34" charset="0"/>
              <a:cs typeface="Tahoma" pitchFamily="34" charset="0"/>
            </a:endParaRPr>
          </a:p>
        </xdr:txBody>
      </xdr:sp>
      <xdr:sp macro="DayBtn16" textlink="CalPopUp!$C$3">
        <xdr:nvSpPr>
          <xdr:cNvPr id="102" name="16Day">
            <a:extLst>
              <a:ext uri="{FF2B5EF4-FFF2-40B4-BE49-F238E27FC236}">
                <a16:creationId xmlns:a16="http://schemas.microsoft.com/office/drawing/2014/main" id="{00000000-0008-0000-0300-000066000000}"/>
              </a:ext>
            </a:extLst>
          </xdr:cNvPr>
          <xdr:cNvSpPr/>
        </xdr:nvSpPr>
        <xdr:spPr>
          <a:xfrm>
            <a:off x="8761395" y="2149536"/>
            <a:ext cx="253322"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3126667B-A599-4FFF-9EEF-7F96A8D7C699}" type="TxLink">
              <a:rPr lang="en-US" sz="1100" b="0" i="0" u="none" strike="noStrike">
                <a:solidFill>
                  <a:srgbClr val="000000"/>
                </a:solidFill>
                <a:latin typeface="Calibri"/>
                <a:cs typeface="Calibri"/>
              </a:rPr>
              <a:pPr algn="r"/>
              <a:t>11</a:t>
            </a:fld>
            <a:endParaRPr lang="en-US" sz="900" b="0">
              <a:solidFill>
                <a:schemeClr val="tx1">
                  <a:lumMod val="85000"/>
                  <a:lumOff val="15000"/>
                </a:schemeClr>
              </a:solidFill>
              <a:latin typeface="Tahoma" pitchFamily="34" charset="0"/>
              <a:cs typeface="Tahoma" pitchFamily="34" charset="0"/>
            </a:endParaRPr>
          </a:p>
        </xdr:txBody>
      </xdr:sp>
      <xdr:sp macro="DayBtn19" textlink="CalPopUp!$F$3">
        <xdr:nvSpPr>
          <xdr:cNvPr id="103" name="19Day">
            <a:extLst>
              <a:ext uri="{FF2B5EF4-FFF2-40B4-BE49-F238E27FC236}">
                <a16:creationId xmlns:a16="http://schemas.microsoft.com/office/drawing/2014/main" id="{00000000-0008-0000-0300-000067000000}"/>
              </a:ext>
            </a:extLst>
          </xdr:cNvPr>
          <xdr:cNvSpPr/>
        </xdr:nvSpPr>
        <xdr:spPr>
          <a:xfrm>
            <a:off x="9542108" y="2149536"/>
            <a:ext cx="258234"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2BB83799-036A-4977-97CD-4F90DC6552DC}" type="TxLink">
              <a:rPr lang="en-US" sz="1100" b="0" i="0" u="none" strike="noStrike">
                <a:solidFill>
                  <a:srgbClr val="000000"/>
                </a:solidFill>
                <a:latin typeface="Calibri"/>
                <a:cs typeface="Calibri"/>
              </a:rPr>
              <a:pPr algn="r"/>
              <a:t>14</a:t>
            </a:fld>
            <a:endParaRPr lang="en-US" sz="900" b="0">
              <a:solidFill>
                <a:schemeClr val="tx1">
                  <a:lumMod val="85000"/>
                  <a:lumOff val="15000"/>
                </a:schemeClr>
              </a:solidFill>
              <a:latin typeface="Tahoma" pitchFamily="34" charset="0"/>
              <a:cs typeface="Tahoma" pitchFamily="34" charset="0"/>
            </a:endParaRPr>
          </a:p>
        </xdr:txBody>
      </xdr:sp>
      <xdr:sp macro="DayBtn22" textlink="CalPopUp!$B$4">
        <xdr:nvSpPr>
          <xdr:cNvPr id="104" name="22Day">
            <a:extLst>
              <a:ext uri="{FF2B5EF4-FFF2-40B4-BE49-F238E27FC236}">
                <a16:creationId xmlns:a16="http://schemas.microsoft.com/office/drawing/2014/main" id="{00000000-0008-0000-0300-000068000000}"/>
              </a:ext>
            </a:extLst>
          </xdr:cNvPr>
          <xdr:cNvSpPr/>
        </xdr:nvSpPr>
        <xdr:spPr>
          <a:xfrm>
            <a:off x="8501348" y="2345335"/>
            <a:ext cx="254171"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41254D44-8AE8-4D23-8FF8-230C4EE2E453}" type="TxLink">
              <a:rPr lang="en-US" sz="1100" b="0" i="0" u="none" strike="noStrike">
                <a:solidFill>
                  <a:srgbClr val="000000"/>
                </a:solidFill>
                <a:latin typeface="Calibri"/>
                <a:cs typeface="Calibri"/>
              </a:rPr>
              <a:pPr algn="r"/>
              <a:t>17</a:t>
            </a:fld>
            <a:endParaRPr lang="en-US" sz="900" b="0">
              <a:solidFill>
                <a:schemeClr val="tx1">
                  <a:lumMod val="85000"/>
                  <a:lumOff val="15000"/>
                </a:schemeClr>
              </a:solidFill>
              <a:latin typeface="Tahoma" pitchFamily="34" charset="0"/>
              <a:cs typeface="Tahoma" pitchFamily="34" charset="0"/>
            </a:endParaRPr>
          </a:p>
        </xdr:txBody>
      </xdr:sp>
      <xdr:sp macro="DayBtn24" textlink="CalPopUp!$D$4">
        <xdr:nvSpPr>
          <xdr:cNvPr id="105" name="24Day">
            <a:extLst>
              <a:ext uri="{FF2B5EF4-FFF2-40B4-BE49-F238E27FC236}">
                <a16:creationId xmlns:a16="http://schemas.microsoft.com/office/drawing/2014/main" id="{00000000-0008-0000-0300-000069000000}"/>
              </a:ext>
            </a:extLst>
          </xdr:cNvPr>
          <xdr:cNvSpPr/>
        </xdr:nvSpPr>
        <xdr:spPr>
          <a:xfrm>
            <a:off x="9023133" y="2345335"/>
            <a:ext cx="255240"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FECC6210-925A-4E29-A01A-AD6D5B717E36}" type="TxLink">
              <a:rPr lang="en-US" sz="1100" b="0" i="0" u="none" strike="noStrike">
                <a:solidFill>
                  <a:srgbClr val="000000"/>
                </a:solidFill>
                <a:latin typeface="Calibri"/>
                <a:cs typeface="Calibri"/>
              </a:rPr>
              <a:pPr algn="r"/>
              <a:t>19</a:t>
            </a:fld>
            <a:endParaRPr lang="en-US" sz="900" b="0" i="0" u="none" strike="noStrike">
              <a:solidFill>
                <a:schemeClr val="tx1">
                  <a:lumMod val="85000"/>
                  <a:lumOff val="15000"/>
                </a:schemeClr>
              </a:solidFill>
              <a:latin typeface="Tahoma" pitchFamily="34" charset="0"/>
              <a:cs typeface="Tahoma" pitchFamily="34" charset="0"/>
            </a:endParaRPr>
          </a:p>
        </xdr:txBody>
      </xdr:sp>
      <xdr:sp macro="DayBtn26" textlink="CalPopUp!$F$4">
        <xdr:nvSpPr>
          <xdr:cNvPr id="106" name="26Day">
            <a:extLst>
              <a:ext uri="{FF2B5EF4-FFF2-40B4-BE49-F238E27FC236}">
                <a16:creationId xmlns:a16="http://schemas.microsoft.com/office/drawing/2014/main" id="{00000000-0008-0000-0300-00006A000000}"/>
              </a:ext>
            </a:extLst>
          </xdr:cNvPr>
          <xdr:cNvSpPr/>
        </xdr:nvSpPr>
        <xdr:spPr>
          <a:xfrm>
            <a:off x="9542108" y="2345335"/>
            <a:ext cx="258729"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4A80FC14-9295-45A0-A0D6-0B6CC4AC9678}" type="TxLink">
              <a:rPr lang="en-US" sz="1100" b="0" i="0" u="none" strike="noStrike">
                <a:solidFill>
                  <a:srgbClr val="000000"/>
                </a:solidFill>
                <a:latin typeface="Calibri"/>
                <a:cs typeface="Calibri"/>
              </a:rPr>
              <a:pPr algn="r"/>
              <a:t>21</a:t>
            </a:fld>
            <a:endParaRPr lang="en-US" sz="900" b="0">
              <a:solidFill>
                <a:schemeClr val="tx1">
                  <a:lumMod val="85000"/>
                  <a:lumOff val="15000"/>
                </a:schemeClr>
              </a:solidFill>
              <a:latin typeface="Tahoma" pitchFamily="34" charset="0"/>
              <a:cs typeface="Tahoma" pitchFamily="34" charset="0"/>
            </a:endParaRPr>
          </a:p>
        </xdr:txBody>
      </xdr:sp>
      <xdr:sp macro="DayBtn27" textlink="CalPopUp!$G$4">
        <xdr:nvSpPr>
          <xdr:cNvPr id="107" name="27Day">
            <a:extLst>
              <a:ext uri="{FF2B5EF4-FFF2-40B4-BE49-F238E27FC236}">
                <a16:creationId xmlns:a16="http://schemas.microsoft.com/office/drawing/2014/main" id="{00000000-0008-0000-0300-00006B000000}"/>
              </a:ext>
            </a:extLst>
          </xdr:cNvPr>
          <xdr:cNvSpPr/>
        </xdr:nvSpPr>
        <xdr:spPr>
          <a:xfrm>
            <a:off x="9805300" y="2345335"/>
            <a:ext cx="253321"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8E1A0D64-DD9A-4066-85CC-BF34155D92DB}" type="TxLink">
              <a:rPr lang="en-US" sz="1100" b="0" i="0" u="none" strike="noStrike">
                <a:solidFill>
                  <a:srgbClr val="000000"/>
                </a:solidFill>
                <a:latin typeface="Calibri"/>
                <a:cs typeface="Calibri"/>
              </a:rPr>
              <a:pPr algn="r"/>
              <a:t>22</a:t>
            </a:fld>
            <a:endParaRPr lang="en-US" sz="900" b="0">
              <a:solidFill>
                <a:schemeClr val="tx1">
                  <a:lumMod val="85000"/>
                  <a:lumOff val="15000"/>
                </a:schemeClr>
              </a:solidFill>
              <a:latin typeface="Tahoma" pitchFamily="34" charset="0"/>
              <a:cs typeface="Tahoma" pitchFamily="34" charset="0"/>
            </a:endParaRPr>
          </a:p>
        </xdr:txBody>
      </xdr:sp>
      <xdr:sp macro="DayBtn25" textlink="CalPopUp!$E$4">
        <xdr:nvSpPr>
          <xdr:cNvPr id="108" name="25Day">
            <a:extLst>
              <a:ext uri="{FF2B5EF4-FFF2-40B4-BE49-F238E27FC236}">
                <a16:creationId xmlns:a16="http://schemas.microsoft.com/office/drawing/2014/main" id="{00000000-0008-0000-0300-00006C000000}"/>
              </a:ext>
            </a:extLst>
          </xdr:cNvPr>
          <xdr:cNvSpPr/>
        </xdr:nvSpPr>
        <xdr:spPr>
          <a:xfrm>
            <a:off x="9284602" y="2345335"/>
            <a:ext cx="253321"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8C69E9D1-C137-4271-B0E4-C43AE907A04F}" type="TxLink">
              <a:rPr lang="en-US" sz="1100" b="0" i="0" u="none" strike="noStrike">
                <a:solidFill>
                  <a:srgbClr val="000000"/>
                </a:solidFill>
                <a:latin typeface="Calibri"/>
                <a:cs typeface="Calibri"/>
              </a:rPr>
              <a:pPr algn="r"/>
              <a:t>20</a:t>
            </a:fld>
            <a:endParaRPr lang="en-US" sz="900" b="0">
              <a:solidFill>
                <a:schemeClr val="tx1">
                  <a:lumMod val="85000"/>
                  <a:lumOff val="15000"/>
                </a:schemeClr>
              </a:solidFill>
              <a:latin typeface="Tahoma" pitchFamily="34" charset="0"/>
              <a:cs typeface="Tahoma" pitchFamily="34" charset="0"/>
            </a:endParaRPr>
          </a:p>
        </xdr:txBody>
      </xdr:sp>
      <xdr:sp macro="DayBtn23" textlink="CalPopUp!$C$4">
        <xdr:nvSpPr>
          <xdr:cNvPr id="109" name="23Day">
            <a:extLst>
              <a:ext uri="{FF2B5EF4-FFF2-40B4-BE49-F238E27FC236}">
                <a16:creationId xmlns:a16="http://schemas.microsoft.com/office/drawing/2014/main" id="{00000000-0008-0000-0300-00006D000000}"/>
              </a:ext>
            </a:extLst>
          </xdr:cNvPr>
          <xdr:cNvSpPr/>
        </xdr:nvSpPr>
        <xdr:spPr>
          <a:xfrm>
            <a:off x="8761395" y="2345335"/>
            <a:ext cx="253322"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1610A9FE-D38F-4741-9324-CE1F90642EA0}" type="TxLink">
              <a:rPr lang="en-US" sz="1100" b="0" i="0" u="none" strike="noStrike">
                <a:solidFill>
                  <a:srgbClr val="000000"/>
                </a:solidFill>
                <a:latin typeface="Calibri"/>
                <a:cs typeface="Calibri"/>
              </a:rPr>
              <a:pPr algn="r"/>
              <a:t>18</a:t>
            </a:fld>
            <a:endParaRPr lang="en-US" sz="900" b="0">
              <a:solidFill>
                <a:schemeClr val="tx1">
                  <a:lumMod val="85000"/>
                  <a:lumOff val="15000"/>
                </a:schemeClr>
              </a:solidFill>
              <a:latin typeface="Tahoma" pitchFamily="34" charset="0"/>
              <a:cs typeface="Tahoma" pitchFamily="34" charset="0"/>
            </a:endParaRPr>
          </a:p>
        </xdr:txBody>
      </xdr:sp>
      <xdr:sp macro="DayBtn28" textlink="CalPopUp!$H$4">
        <xdr:nvSpPr>
          <xdr:cNvPr id="110" name="28Day">
            <a:extLst>
              <a:ext uri="{FF2B5EF4-FFF2-40B4-BE49-F238E27FC236}">
                <a16:creationId xmlns:a16="http://schemas.microsoft.com/office/drawing/2014/main" id="{00000000-0008-0000-0300-00006E000000}"/>
              </a:ext>
            </a:extLst>
          </xdr:cNvPr>
          <xdr:cNvSpPr/>
        </xdr:nvSpPr>
        <xdr:spPr>
          <a:xfrm>
            <a:off x="10065568" y="2345335"/>
            <a:ext cx="258234"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3CB3D604-D5AB-461B-BF4B-C092149FB63C}" type="TxLink">
              <a:rPr lang="en-US" sz="1100" b="0" i="0" u="none" strike="noStrike">
                <a:solidFill>
                  <a:srgbClr val="000000"/>
                </a:solidFill>
                <a:latin typeface="Calibri"/>
                <a:cs typeface="Calibri"/>
              </a:rPr>
              <a:pPr algn="r"/>
              <a:t>23</a:t>
            </a:fld>
            <a:endParaRPr lang="en-US" sz="900" b="0">
              <a:solidFill>
                <a:schemeClr val="tx1">
                  <a:lumMod val="85000"/>
                  <a:lumOff val="15000"/>
                </a:schemeClr>
              </a:solidFill>
              <a:latin typeface="Tahoma" pitchFamily="34" charset="0"/>
              <a:cs typeface="Tahoma" pitchFamily="34" charset="0"/>
            </a:endParaRPr>
          </a:p>
        </xdr:txBody>
      </xdr:sp>
      <xdr:sp macro="DayBtn29" textlink="CalPopUp!$B$5">
        <xdr:nvSpPr>
          <xdr:cNvPr id="111" name="29Day">
            <a:extLst>
              <a:ext uri="{FF2B5EF4-FFF2-40B4-BE49-F238E27FC236}">
                <a16:creationId xmlns:a16="http://schemas.microsoft.com/office/drawing/2014/main" id="{00000000-0008-0000-0300-00006F000000}"/>
              </a:ext>
            </a:extLst>
          </xdr:cNvPr>
          <xdr:cNvSpPr/>
        </xdr:nvSpPr>
        <xdr:spPr>
          <a:xfrm>
            <a:off x="8501348" y="2542104"/>
            <a:ext cx="254171"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74AF68D5-CEBC-4706-B737-1E3010DC6A92}" type="TxLink">
              <a:rPr lang="en-US" sz="1100" b="0" i="0" u="none" strike="noStrike">
                <a:solidFill>
                  <a:srgbClr val="000000"/>
                </a:solidFill>
                <a:latin typeface="Calibri"/>
                <a:cs typeface="Calibri"/>
              </a:rPr>
              <a:pPr algn="r"/>
              <a:t>24</a:t>
            </a:fld>
            <a:endParaRPr lang="en-US" sz="900" b="0">
              <a:solidFill>
                <a:schemeClr val="tx1">
                  <a:lumMod val="85000"/>
                  <a:lumOff val="15000"/>
                </a:schemeClr>
              </a:solidFill>
              <a:latin typeface="Tahoma" pitchFamily="34" charset="0"/>
              <a:cs typeface="Tahoma" pitchFamily="34" charset="0"/>
            </a:endParaRPr>
          </a:p>
        </xdr:txBody>
      </xdr:sp>
      <xdr:sp macro="DayBtn31" textlink="CalPopUp!$D$5">
        <xdr:nvSpPr>
          <xdr:cNvPr id="112" name="31Day">
            <a:extLst>
              <a:ext uri="{FF2B5EF4-FFF2-40B4-BE49-F238E27FC236}">
                <a16:creationId xmlns:a16="http://schemas.microsoft.com/office/drawing/2014/main" id="{00000000-0008-0000-0300-000070000000}"/>
              </a:ext>
            </a:extLst>
          </xdr:cNvPr>
          <xdr:cNvSpPr/>
        </xdr:nvSpPr>
        <xdr:spPr>
          <a:xfrm>
            <a:off x="9023133" y="2542104"/>
            <a:ext cx="255240"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AF2B8614-6F9A-4414-BD6C-787C12EC6552}" type="TxLink">
              <a:rPr lang="en-US" sz="1100" b="0" i="0" u="none" strike="noStrike">
                <a:solidFill>
                  <a:srgbClr val="000000"/>
                </a:solidFill>
                <a:latin typeface="Calibri"/>
                <a:cs typeface="Calibri"/>
              </a:rPr>
              <a:pPr algn="r"/>
              <a:t>26</a:t>
            </a:fld>
            <a:endParaRPr lang="en-US" sz="900" b="0" i="0" u="none" strike="noStrike">
              <a:solidFill>
                <a:schemeClr val="tx1">
                  <a:lumMod val="85000"/>
                  <a:lumOff val="15000"/>
                </a:schemeClr>
              </a:solidFill>
              <a:latin typeface="Tahoma" pitchFamily="34" charset="0"/>
              <a:cs typeface="Tahoma" pitchFamily="34" charset="0"/>
            </a:endParaRPr>
          </a:p>
        </xdr:txBody>
      </xdr:sp>
      <xdr:sp macro="DayBtn34" textlink="CalPopUp!$G$5">
        <xdr:nvSpPr>
          <xdr:cNvPr id="113" name="34Day">
            <a:extLst>
              <a:ext uri="{FF2B5EF4-FFF2-40B4-BE49-F238E27FC236}">
                <a16:creationId xmlns:a16="http://schemas.microsoft.com/office/drawing/2014/main" id="{00000000-0008-0000-0300-000071000000}"/>
              </a:ext>
            </a:extLst>
          </xdr:cNvPr>
          <xdr:cNvSpPr/>
        </xdr:nvSpPr>
        <xdr:spPr>
          <a:xfrm>
            <a:off x="9806796" y="2542104"/>
            <a:ext cx="253321"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A2BB2783-0792-49BE-8C39-2D93C7252844}" type="TxLink">
              <a:rPr lang="en-US" sz="1100" b="0" i="0" u="none" strike="noStrike">
                <a:solidFill>
                  <a:srgbClr val="000000"/>
                </a:solidFill>
                <a:latin typeface="Calibri"/>
                <a:cs typeface="Calibri"/>
              </a:rPr>
              <a:pPr algn="r"/>
              <a:t>29</a:t>
            </a:fld>
            <a:endParaRPr lang="en-US" sz="900" b="0">
              <a:solidFill>
                <a:schemeClr val="tx1">
                  <a:lumMod val="85000"/>
                  <a:lumOff val="15000"/>
                </a:schemeClr>
              </a:solidFill>
              <a:latin typeface="Tahoma" pitchFamily="34" charset="0"/>
              <a:cs typeface="Tahoma" pitchFamily="34" charset="0"/>
            </a:endParaRPr>
          </a:p>
        </xdr:txBody>
      </xdr:sp>
      <xdr:sp macro="DayBtn35" textlink="CalPopUp!$H$5">
        <xdr:nvSpPr>
          <xdr:cNvPr id="114" name="35Day">
            <a:extLst>
              <a:ext uri="{FF2B5EF4-FFF2-40B4-BE49-F238E27FC236}">
                <a16:creationId xmlns:a16="http://schemas.microsoft.com/office/drawing/2014/main" id="{00000000-0008-0000-0300-000072000000}"/>
              </a:ext>
            </a:extLst>
          </xdr:cNvPr>
          <xdr:cNvSpPr/>
        </xdr:nvSpPr>
        <xdr:spPr>
          <a:xfrm>
            <a:off x="10067065" y="2542104"/>
            <a:ext cx="258729"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A57D8579-D49C-4D3A-93A8-958673A197F2}" type="TxLink">
              <a:rPr lang="en-US" sz="1100" b="0" i="0" u="none" strike="noStrike">
                <a:solidFill>
                  <a:srgbClr val="000000"/>
                </a:solidFill>
                <a:latin typeface="Calibri"/>
                <a:cs typeface="Calibri"/>
              </a:rPr>
              <a:pPr algn="r"/>
              <a:t>30</a:t>
            </a:fld>
            <a:endParaRPr lang="en-US" sz="900" b="0">
              <a:solidFill>
                <a:schemeClr val="tx1">
                  <a:lumMod val="85000"/>
                  <a:lumOff val="15000"/>
                </a:schemeClr>
              </a:solidFill>
              <a:latin typeface="Tahoma" pitchFamily="34" charset="0"/>
              <a:cs typeface="Tahoma" pitchFamily="34" charset="0"/>
            </a:endParaRPr>
          </a:p>
        </xdr:txBody>
      </xdr:sp>
      <xdr:sp macro="DayBtn32" textlink="CalPopUp!$E$5">
        <xdr:nvSpPr>
          <xdr:cNvPr id="115" name="32Day">
            <a:extLst>
              <a:ext uri="{FF2B5EF4-FFF2-40B4-BE49-F238E27FC236}">
                <a16:creationId xmlns:a16="http://schemas.microsoft.com/office/drawing/2014/main" id="{00000000-0008-0000-0300-000073000000}"/>
              </a:ext>
            </a:extLst>
          </xdr:cNvPr>
          <xdr:cNvSpPr/>
        </xdr:nvSpPr>
        <xdr:spPr>
          <a:xfrm>
            <a:off x="9284602" y="2542104"/>
            <a:ext cx="253321"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650DD7B4-5701-4CAF-8927-53991941EE6F}" type="TxLink">
              <a:rPr lang="en-US" sz="1100" b="0" i="0" u="none" strike="noStrike">
                <a:solidFill>
                  <a:srgbClr val="000000"/>
                </a:solidFill>
                <a:latin typeface="Calibri"/>
                <a:cs typeface="Calibri"/>
              </a:rPr>
              <a:pPr algn="r"/>
              <a:t>27</a:t>
            </a:fld>
            <a:endParaRPr lang="en-US" sz="900" b="0">
              <a:solidFill>
                <a:schemeClr val="tx1">
                  <a:lumMod val="85000"/>
                  <a:lumOff val="15000"/>
                </a:schemeClr>
              </a:solidFill>
              <a:latin typeface="Tahoma" pitchFamily="34" charset="0"/>
              <a:cs typeface="Tahoma" pitchFamily="34" charset="0"/>
            </a:endParaRPr>
          </a:p>
        </xdr:txBody>
      </xdr:sp>
      <xdr:sp macro="DayBtn30" textlink="CalPopUp!$C$5">
        <xdr:nvSpPr>
          <xdr:cNvPr id="116" name="30Day">
            <a:extLst>
              <a:ext uri="{FF2B5EF4-FFF2-40B4-BE49-F238E27FC236}">
                <a16:creationId xmlns:a16="http://schemas.microsoft.com/office/drawing/2014/main" id="{00000000-0008-0000-0300-000074000000}"/>
              </a:ext>
            </a:extLst>
          </xdr:cNvPr>
          <xdr:cNvSpPr/>
        </xdr:nvSpPr>
        <xdr:spPr>
          <a:xfrm>
            <a:off x="8761395" y="2542104"/>
            <a:ext cx="253322"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C8BF1479-9637-40D9-AA69-F37EB53CC750}" type="TxLink">
              <a:rPr lang="en-US" sz="1100" b="0" i="0" u="none" strike="noStrike">
                <a:solidFill>
                  <a:srgbClr val="000000"/>
                </a:solidFill>
                <a:latin typeface="Calibri"/>
                <a:cs typeface="Calibri"/>
              </a:rPr>
              <a:pPr algn="r"/>
              <a:t>25</a:t>
            </a:fld>
            <a:endParaRPr lang="en-US" sz="900" b="0">
              <a:solidFill>
                <a:schemeClr val="tx1">
                  <a:lumMod val="85000"/>
                  <a:lumOff val="15000"/>
                </a:schemeClr>
              </a:solidFill>
              <a:latin typeface="Tahoma" pitchFamily="34" charset="0"/>
              <a:cs typeface="Tahoma" pitchFamily="34" charset="0"/>
            </a:endParaRPr>
          </a:p>
        </xdr:txBody>
      </xdr:sp>
      <xdr:sp macro="DayBtn33" textlink="CalPopUp!$F$5">
        <xdr:nvSpPr>
          <xdr:cNvPr id="117" name="33Day">
            <a:extLst>
              <a:ext uri="{FF2B5EF4-FFF2-40B4-BE49-F238E27FC236}">
                <a16:creationId xmlns:a16="http://schemas.microsoft.com/office/drawing/2014/main" id="{00000000-0008-0000-0300-000075000000}"/>
              </a:ext>
            </a:extLst>
          </xdr:cNvPr>
          <xdr:cNvSpPr/>
        </xdr:nvSpPr>
        <xdr:spPr>
          <a:xfrm>
            <a:off x="9543604" y="2542104"/>
            <a:ext cx="258234"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4C5CA5C3-9576-40B4-B08E-24304DFA8B95}" type="TxLink">
              <a:rPr lang="en-US" sz="1100" b="0" i="0" u="none" strike="noStrike">
                <a:solidFill>
                  <a:srgbClr val="000000"/>
                </a:solidFill>
                <a:latin typeface="Calibri"/>
                <a:cs typeface="Calibri"/>
              </a:rPr>
              <a:pPr algn="r"/>
              <a:t>28</a:t>
            </a:fld>
            <a:endParaRPr lang="en-US" sz="900" b="0">
              <a:solidFill>
                <a:schemeClr val="tx1">
                  <a:lumMod val="85000"/>
                  <a:lumOff val="15000"/>
                </a:schemeClr>
              </a:solidFill>
              <a:latin typeface="Tahoma" pitchFamily="34" charset="0"/>
              <a:cs typeface="Tahoma" pitchFamily="34" charset="0"/>
            </a:endParaRPr>
          </a:p>
        </xdr:txBody>
      </xdr:sp>
      <xdr:sp macro="" textlink="">
        <xdr:nvSpPr>
          <xdr:cNvPr id="118" name="Sa">
            <a:extLst>
              <a:ext uri="{FF2B5EF4-FFF2-40B4-BE49-F238E27FC236}">
                <a16:creationId xmlns:a16="http://schemas.microsoft.com/office/drawing/2014/main" id="{00000000-0008-0000-0300-000076000000}"/>
              </a:ext>
            </a:extLst>
          </xdr:cNvPr>
          <xdr:cNvSpPr/>
        </xdr:nvSpPr>
        <xdr:spPr>
          <a:xfrm>
            <a:off x="10066958" y="1559085"/>
            <a:ext cx="258234" cy="190562"/>
          </a:xfrm>
          <a:prstGeom prst="rect">
            <a:avLst/>
          </a:prstGeom>
          <a:solidFill>
            <a:schemeClr val="bg1"/>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lIns="0" tIns="0" rIns="0" bIns="0" rtlCol="0" anchor="ctr"/>
          <a:lstStyle/>
          <a:p>
            <a:pPr algn="ctr"/>
            <a:r>
              <a:rPr lang="en-US" sz="900" b="1">
                <a:solidFill>
                  <a:schemeClr val="tx1">
                    <a:lumMod val="85000"/>
                    <a:lumOff val="15000"/>
                  </a:schemeClr>
                </a:solidFill>
                <a:latin typeface="Tahoma" pitchFamily="34" charset="0"/>
                <a:cs typeface="Tahoma" pitchFamily="34" charset="0"/>
              </a:rPr>
              <a:t>Sa</a:t>
            </a:r>
          </a:p>
        </xdr:txBody>
      </xdr:sp>
      <xdr:sp macro="" textlink="">
        <xdr:nvSpPr>
          <xdr:cNvPr id="119" name="Fr">
            <a:extLst>
              <a:ext uri="{FF2B5EF4-FFF2-40B4-BE49-F238E27FC236}">
                <a16:creationId xmlns:a16="http://schemas.microsoft.com/office/drawing/2014/main" id="{00000000-0008-0000-0300-000077000000}"/>
              </a:ext>
            </a:extLst>
          </xdr:cNvPr>
          <xdr:cNvSpPr/>
        </xdr:nvSpPr>
        <xdr:spPr>
          <a:xfrm>
            <a:off x="9806690" y="1559085"/>
            <a:ext cx="253321" cy="190562"/>
          </a:xfrm>
          <a:prstGeom prst="rect">
            <a:avLst/>
          </a:prstGeom>
          <a:solidFill>
            <a:schemeClr val="bg1"/>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lIns="0" tIns="0" rIns="0" bIns="0" rtlCol="0" anchor="ctr"/>
          <a:lstStyle/>
          <a:p>
            <a:pPr algn="ctr"/>
            <a:r>
              <a:rPr lang="en-US" sz="900" b="1">
                <a:solidFill>
                  <a:schemeClr val="tx1">
                    <a:lumMod val="85000"/>
                    <a:lumOff val="15000"/>
                  </a:schemeClr>
                </a:solidFill>
                <a:latin typeface="Tahoma" pitchFamily="34" charset="0"/>
                <a:cs typeface="Tahoma" pitchFamily="34" charset="0"/>
              </a:rPr>
              <a:t>Fr</a:t>
            </a:r>
          </a:p>
        </xdr:txBody>
      </xdr:sp>
      <xdr:sp macro="" textlink="">
        <xdr:nvSpPr>
          <xdr:cNvPr id="120" name="Th">
            <a:extLst>
              <a:ext uri="{FF2B5EF4-FFF2-40B4-BE49-F238E27FC236}">
                <a16:creationId xmlns:a16="http://schemas.microsoft.com/office/drawing/2014/main" id="{00000000-0008-0000-0300-000078000000}"/>
              </a:ext>
            </a:extLst>
          </xdr:cNvPr>
          <xdr:cNvSpPr/>
        </xdr:nvSpPr>
        <xdr:spPr>
          <a:xfrm>
            <a:off x="9542636" y="1559085"/>
            <a:ext cx="259094" cy="190562"/>
          </a:xfrm>
          <a:prstGeom prst="rect">
            <a:avLst/>
          </a:prstGeom>
          <a:solidFill>
            <a:schemeClr val="bg1"/>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lIns="0" tIns="0" rIns="0" bIns="0" rtlCol="0" anchor="ctr"/>
          <a:lstStyle/>
          <a:p>
            <a:pPr algn="ctr"/>
            <a:r>
              <a:rPr lang="en-US" sz="900" b="1">
                <a:solidFill>
                  <a:schemeClr val="tx1">
                    <a:lumMod val="85000"/>
                    <a:lumOff val="15000"/>
                  </a:schemeClr>
                </a:solidFill>
                <a:latin typeface="Tahoma" pitchFamily="34" charset="0"/>
                <a:cs typeface="Tahoma" pitchFamily="34" charset="0"/>
              </a:rPr>
              <a:t>Th</a:t>
            </a:r>
          </a:p>
        </xdr:txBody>
      </xdr:sp>
      <xdr:sp macro="" textlink="">
        <xdr:nvSpPr>
          <xdr:cNvPr id="121" name="We">
            <a:extLst>
              <a:ext uri="{FF2B5EF4-FFF2-40B4-BE49-F238E27FC236}">
                <a16:creationId xmlns:a16="http://schemas.microsoft.com/office/drawing/2014/main" id="{00000000-0008-0000-0300-000079000000}"/>
              </a:ext>
            </a:extLst>
          </xdr:cNvPr>
          <xdr:cNvSpPr/>
        </xdr:nvSpPr>
        <xdr:spPr>
          <a:xfrm>
            <a:off x="9285990" y="1559085"/>
            <a:ext cx="252461" cy="190562"/>
          </a:xfrm>
          <a:prstGeom prst="rect">
            <a:avLst/>
          </a:prstGeom>
          <a:solidFill>
            <a:schemeClr val="bg1"/>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lIns="0" tIns="0" rIns="0" bIns="0" rtlCol="0" anchor="ctr"/>
          <a:lstStyle/>
          <a:p>
            <a:pPr algn="ctr"/>
            <a:r>
              <a:rPr lang="en-US" sz="900" b="1">
                <a:solidFill>
                  <a:schemeClr val="tx1">
                    <a:lumMod val="85000"/>
                    <a:lumOff val="15000"/>
                  </a:schemeClr>
                </a:solidFill>
                <a:latin typeface="Tahoma" pitchFamily="34" charset="0"/>
                <a:cs typeface="Tahoma" pitchFamily="34" charset="0"/>
              </a:rPr>
              <a:t>WeW</a:t>
            </a:r>
          </a:p>
        </xdr:txBody>
      </xdr:sp>
      <xdr:sp macro="" textlink="">
        <xdr:nvSpPr>
          <xdr:cNvPr id="122" name="Tu">
            <a:extLst>
              <a:ext uri="{FF2B5EF4-FFF2-40B4-BE49-F238E27FC236}">
                <a16:creationId xmlns:a16="http://schemas.microsoft.com/office/drawing/2014/main" id="{00000000-0008-0000-0300-00007A000000}"/>
              </a:ext>
            </a:extLst>
          </xdr:cNvPr>
          <xdr:cNvSpPr/>
        </xdr:nvSpPr>
        <xdr:spPr>
          <a:xfrm>
            <a:off x="9023662" y="1559085"/>
            <a:ext cx="256098" cy="190562"/>
          </a:xfrm>
          <a:prstGeom prst="rect">
            <a:avLst/>
          </a:prstGeom>
          <a:solidFill>
            <a:schemeClr val="bg1"/>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lIns="0" tIns="0" rIns="0" bIns="0" rtlCol="0" anchor="ctr"/>
          <a:lstStyle/>
          <a:p>
            <a:pPr algn="ctr"/>
            <a:r>
              <a:rPr lang="en-US" sz="900" b="1" i="0" u="none" strike="noStrike">
                <a:solidFill>
                  <a:schemeClr val="tx1">
                    <a:lumMod val="85000"/>
                    <a:lumOff val="15000"/>
                  </a:schemeClr>
                </a:solidFill>
                <a:latin typeface="Tahoma" pitchFamily="34" charset="0"/>
                <a:cs typeface="Tahoma" pitchFamily="34" charset="0"/>
              </a:rPr>
              <a:t>Tu</a:t>
            </a:r>
          </a:p>
        </xdr:txBody>
      </xdr:sp>
      <xdr:sp macro="" textlink="">
        <xdr:nvSpPr>
          <xdr:cNvPr id="123" name="Mo">
            <a:extLst>
              <a:ext uri="{FF2B5EF4-FFF2-40B4-BE49-F238E27FC236}">
                <a16:creationId xmlns:a16="http://schemas.microsoft.com/office/drawing/2014/main" id="{00000000-0008-0000-0300-00007B000000}"/>
              </a:ext>
            </a:extLst>
          </xdr:cNvPr>
          <xdr:cNvSpPr/>
        </xdr:nvSpPr>
        <xdr:spPr>
          <a:xfrm>
            <a:off x="8762783" y="1559085"/>
            <a:ext cx="252462" cy="190562"/>
          </a:xfrm>
          <a:prstGeom prst="rect">
            <a:avLst/>
          </a:prstGeom>
          <a:solidFill>
            <a:schemeClr val="bg1"/>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lIns="0" tIns="0" rIns="0" bIns="0" rtlCol="0" anchor="ctr"/>
          <a:lstStyle/>
          <a:p>
            <a:pPr algn="l"/>
            <a:r>
              <a:rPr lang="en-US" sz="900" b="1" i="0" u="none" strike="noStrike">
                <a:solidFill>
                  <a:schemeClr val="tx1">
                    <a:lumMod val="85000"/>
                    <a:lumOff val="15000"/>
                  </a:schemeClr>
                </a:solidFill>
                <a:latin typeface="Tahoma" pitchFamily="34" charset="0"/>
                <a:cs typeface="Tahoma" pitchFamily="34" charset="0"/>
              </a:rPr>
              <a:t>Mo</a:t>
            </a:r>
          </a:p>
        </xdr:txBody>
      </xdr:sp>
      <xdr:sp macro="" textlink="">
        <xdr:nvSpPr>
          <xdr:cNvPr id="124" name="Su">
            <a:extLst>
              <a:ext uri="{FF2B5EF4-FFF2-40B4-BE49-F238E27FC236}">
                <a16:creationId xmlns:a16="http://schemas.microsoft.com/office/drawing/2014/main" id="{00000000-0008-0000-0300-00007C000000}"/>
              </a:ext>
            </a:extLst>
          </xdr:cNvPr>
          <xdr:cNvSpPr/>
        </xdr:nvSpPr>
        <xdr:spPr>
          <a:xfrm>
            <a:off x="8502736" y="1559085"/>
            <a:ext cx="254171" cy="190562"/>
          </a:xfrm>
          <a:prstGeom prst="rect">
            <a:avLst/>
          </a:prstGeom>
          <a:solidFill>
            <a:schemeClr val="bg1"/>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lIns="0" tIns="0" rIns="0" bIns="0" rtlCol="0" anchor="ctr"/>
          <a:lstStyle/>
          <a:p>
            <a:pPr algn="ctr"/>
            <a:r>
              <a:rPr lang="en-US" sz="900" b="1" i="0" u="none" strike="noStrike">
                <a:solidFill>
                  <a:schemeClr val="tx1">
                    <a:lumMod val="85000"/>
                    <a:lumOff val="15000"/>
                  </a:schemeClr>
                </a:solidFill>
                <a:latin typeface="Tahoma" pitchFamily="34" charset="0"/>
                <a:cs typeface="Tahoma" pitchFamily="34" charset="0"/>
              </a:rPr>
              <a:t>Su</a:t>
            </a:r>
          </a:p>
        </xdr:txBody>
      </xdr:sp>
      <xdr:pic macro="ShowSettings">
        <xdr:nvPicPr>
          <xdr:cNvPr id="125" name="SetBtn">
            <a:extLst>
              <a:ext uri="{FF2B5EF4-FFF2-40B4-BE49-F238E27FC236}">
                <a16:creationId xmlns:a16="http://schemas.microsoft.com/office/drawing/2014/main" id="{00000000-0008-0000-0300-00007D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0250259" y="2975469"/>
            <a:ext cx="133738" cy="143241"/>
          </a:xfrm>
          <a:prstGeom prst="rect">
            <a:avLst/>
          </a:prstGeom>
        </xdr:spPr>
      </xdr:pic>
      <xdr:sp macro="CalCol1" textlink="">
        <xdr:nvSpPr>
          <xdr:cNvPr id="126" name="CalCol1">
            <a:extLst>
              <a:ext uri="{FF2B5EF4-FFF2-40B4-BE49-F238E27FC236}">
                <a16:creationId xmlns:a16="http://schemas.microsoft.com/office/drawing/2014/main" id="{00000000-0008-0000-0300-00007E000000}"/>
              </a:ext>
            </a:extLst>
          </xdr:cNvPr>
          <xdr:cNvSpPr/>
        </xdr:nvSpPr>
        <xdr:spPr>
          <a:xfrm>
            <a:off x="8481731" y="3198497"/>
            <a:ext cx="126743" cy="132335"/>
          </a:xfrm>
          <a:prstGeom prst="ellipse">
            <a:avLst/>
          </a:prstGeom>
          <a:solidFill>
            <a:srgbClr val="EAEAEA"/>
          </a:solidFill>
          <a:ln w="635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CalCol2" textlink="">
        <xdr:nvSpPr>
          <xdr:cNvPr id="127" name="CalCol2">
            <a:extLst>
              <a:ext uri="{FF2B5EF4-FFF2-40B4-BE49-F238E27FC236}">
                <a16:creationId xmlns:a16="http://schemas.microsoft.com/office/drawing/2014/main" id="{00000000-0008-0000-0300-00007F000000}"/>
              </a:ext>
            </a:extLst>
          </xdr:cNvPr>
          <xdr:cNvSpPr/>
        </xdr:nvSpPr>
        <xdr:spPr>
          <a:xfrm>
            <a:off x="8701188" y="3198497"/>
            <a:ext cx="126743" cy="132335"/>
          </a:xfrm>
          <a:prstGeom prst="ellipse">
            <a:avLst/>
          </a:prstGeom>
          <a:solidFill>
            <a:schemeClr val="bg2">
              <a:lumMod val="75000"/>
            </a:schemeClr>
          </a:solidFill>
          <a:ln w="635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CalCol3" textlink="">
        <xdr:nvSpPr>
          <xdr:cNvPr id="128" name="CalCol3">
            <a:extLst>
              <a:ext uri="{FF2B5EF4-FFF2-40B4-BE49-F238E27FC236}">
                <a16:creationId xmlns:a16="http://schemas.microsoft.com/office/drawing/2014/main" id="{00000000-0008-0000-0300-000080000000}"/>
              </a:ext>
            </a:extLst>
          </xdr:cNvPr>
          <xdr:cNvSpPr/>
        </xdr:nvSpPr>
        <xdr:spPr>
          <a:xfrm>
            <a:off x="8920644" y="3198497"/>
            <a:ext cx="127561" cy="132335"/>
          </a:xfrm>
          <a:prstGeom prst="ellipse">
            <a:avLst/>
          </a:prstGeom>
          <a:solidFill>
            <a:schemeClr val="tx2">
              <a:lumMod val="40000"/>
              <a:lumOff val="60000"/>
            </a:schemeClr>
          </a:solidFill>
          <a:ln w="635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CalCol4" textlink="">
        <xdr:nvSpPr>
          <xdr:cNvPr id="129" name="CalCol4">
            <a:extLst>
              <a:ext uri="{FF2B5EF4-FFF2-40B4-BE49-F238E27FC236}">
                <a16:creationId xmlns:a16="http://schemas.microsoft.com/office/drawing/2014/main" id="{00000000-0008-0000-0300-000081000000}"/>
              </a:ext>
            </a:extLst>
          </xdr:cNvPr>
          <xdr:cNvSpPr/>
        </xdr:nvSpPr>
        <xdr:spPr>
          <a:xfrm>
            <a:off x="9140918" y="3198497"/>
            <a:ext cx="126743" cy="132335"/>
          </a:xfrm>
          <a:prstGeom prst="ellipse">
            <a:avLst/>
          </a:prstGeom>
          <a:solidFill>
            <a:schemeClr val="accent1">
              <a:lumMod val="40000"/>
              <a:lumOff val="60000"/>
            </a:schemeClr>
          </a:solidFill>
          <a:ln w="635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CalCol5" textlink="">
        <xdr:nvSpPr>
          <xdr:cNvPr id="130" name="CalCol5">
            <a:extLst>
              <a:ext uri="{FF2B5EF4-FFF2-40B4-BE49-F238E27FC236}">
                <a16:creationId xmlns:a16="http://schemas.microsoft.com/office/drawing/2014/main" id="{00000000-0008-0000-0300-000082000000}"/>
              </a:ext>
            </a:extLst>
          </xdr:cNvPr>
          <xdr:cNvSpPr/>
        </xdr:nvSpPr>
        <xdr:spPr>
          <a:xfrm>
            <a:off x="9360375" y="3198497"/>
            <a:ext cx="126743" cy="132335"/>
          </a:xfrm>
          <a:prstGeom prst="ellipse">
            <a:avLst/>
          </a:prstGeom>
          <a:solidFill>
            <a:schemeClr val="accent2">
              <a:lumMod val="40000"/>
              <a:lumOff val="60000"/>
            </a:schemeClr>
          </a:solidFill>
          <a:ln w="635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CalCol6" textlink="">
        <xdr:nvSpPr>
          <xdr:cNvPr id="131" name="CalCol6">
            <a:extLst>
              <a:ext uri="{FF2B5EF4-FFF2-40B4-BE49-F238E27FC236}">
                <a16:creationId xmlns:a16="http://schemas.microsoft.com/office/drawing/2014/main" id="{00000000-0008-0000-0300-000083000000}"/>
              </a:ext>
            </a:extLst>
          </xdr:cNvPr>
          <xdr:cNvSpPr/>
        </xdr:nvSpPr>
        <xdr:spPr>
          <a:xfrm>
            <a:off x="9580649" y="3198497"/>
            <a:ext cx="126743" cy="132335"/>
          </a:xfrm>
          <a:prstGeom prst="ellipse">
            <a:avLst/>
          </a:prstGeom>
          <a:solidFill>
            <a:schemeClr val="accent3">
              <a:lumMod val="40000"/>
              <a:lumOff val="60000"/>
            </a:schemeClr>
          </a:solidFill>
          <a:ln w="635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CalCol7" textlink="">
        <xdr:nvSpPr>
          <xdr:cNvPr id="132" name="CalCol7">
            <a:extLst>
              <a:ext uri="{FF2B5EF4-FFF2-40B4-BE49-F238E27FC236}">
                <a16:creationId xmlns:a16="http://schemas.microsoft.com/office/drawing/2014/main" id="{00000000-0008-0000-0300-000084000000}"/>
              </a:ext>
            </a:extLst>
          </xdr:cNvPr>
          <xdr:cNvSpPr/>
        </xdr:nvSpPr>
        <xdr:spPr>
          <a:xfrm>
            <a:off x="9800106" y="3198497"/>
            <a:ext cx="126743" cy="132335"/>
          </a:xfrm>
          <a:prstGeom prst="ellipse">
            <a:avLst/>
          </a:prstGeom>
          <a:solidFill>
            <a:schemeClr val="accent4">
              <a:lumMod val="40000"/>
              <a:lumOff val="60000"/>
            </a:schemeClr>
          </a:solidFill>
          <a:ln w="635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CalCol8" textlink="">
        <xdr:nvSpPr>
          <xdr:cNvPr id="133" name="CalCol8">
            <a:extLst>
              <a:ext uri="{FF2B5EF4-FFF2-40B4-BE49-F238E27FC236}">
                <a16:creationId xmlns:a16="http://schemas.microsoft.com/office/drawing/2014/main" id="{00000000-0008-0000-0300-000085000000}"/>
              </a:ext>
            </a:extLst>
          </xdr:cNvPr>
          <xdr:cNvSpPr/>
        </xdr:nvSpPr>
        <xdr:spPr>
          <a:xfrm>
            <a:off x="10019563" y="3198497"/>
            <a:ext cx="127559" cy="132335"/>
          </a:xfrm>
          <a:prstGeom prst="ellipse">
            <a:avLst/>
          </a:prstGeom>
          <a:solidFill>
            <a:schemeClr val="accent5">
              <a:lumMod val="40000"/>
              <a:lumOff val="60000"/>
            </a:schemeClr>
          </a:solidFill>
          <a:ln w="635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CalCol9" textlink="">
        <xdr:nvSpPr>
          <xdr:cNvPr id="134" name="CalCol9">
            <a:extLst>
              <a:ext uri="{FF2B5EF4-FFF2-40B4-BE49-F238E27FC236}">
                <a16:creationId xmlns:a16="http://schemas.microsoft.com/office/drawing/2014/main" id="{00000000-0008-0000-0300-000086000000}"/>
              </a:ext>
            </a:extLst>
          </xdr:cNvPr>
          <xdr:cNvSpPr/>
        </xdr:nvSpPr>
        <xdr:spPr>
          <a:xfrm>
            <a:off x="10239837" y="3198497"/>
            <a:ext cx="126743" cy="132335"/>
          </a:xfrm>
          <a:prstGeom prst="ellipse">
            <a:avLst/>
          </a:prstGeom>
          <a:solidFill>
            <a:schemeClr val="accent6">
              <a:lumMod val="40000"/>
              <a:lumOff val="60000"/>
            </a:schemeClr>
          </a:solidFill>
          <a:ln w="635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nvGrpSpPr>
          <xdr:cNvPr id="135" name="PrevMonth">
            <a:extLst>
              <a:ext uri="{FF2B5EF4-FFF2-40B4-BE49-F238E27FC236}">
                <a16:creationId xmlns:a16="http://schemas.microsoft.com/office/drawing/2014/main" id="{00000000-0008-0000-0300-000087000000}"/>
              </a:ext>
            </a:extLst>
          </xdr:cNvPr>
          <xdr:cNvGrpSpPr/>
        </xdr:nvGrpSpPr>
        <xdr:grpSpPr>
          <a:xfrm>
            <a:off x="8551303" y="1398362"/>
            <a:ext cx="101668" cy="108892"/>
            <a:chOff x="8551303" y="1398362"/>
            <a:chExt cx="101668" cy="108892"/>
          </a:xfrm>
        </xdr:grpSpPr>
        <xdr:sp macro="PrevMonth" textlink="">
          <xdr:nvSpPr>
            <xdr:cNvPr id="146" name="PrevRec">
              <a:extLst>
                <a:ext uri="{FF2B5EF4-FFF2-40B4-BE49-F238E27FC236}">
                  <a16:creationId xmlns:a16="http://schemas.microsoft.com/office/drawing/2014/main" id="{00000000-0008-0000-0300-000092000000}"/>
                </a:ext>
              </a:extLst>
            </xdr:cNvPr>
            <xdr:cNvSpPr/>
          </xdr:nvSpPr>
          <xdr:spPr>
            <a:xfrm>
              <a:off x="8551303" y="1398362"/>
              <a:ext cx="101668" cy="108892"/>
            </a:xfrm>
            <a:prstGeom prst="roundRect">
              <a:avLst/>
            </a:prstGeom>
            <a:solidFill>
              <a:srgbClr val="000000"/>
            </a:solidFill>
          </xdr:spPr>
          <xdr:style>
            <a:lnRef idx="2">
              <a:schemeClr val="dk1">
                <a:shade val="50000"/>
              </a:schemeClr>
            </a:lnRef>
            <a:fillRef idx="1">
              <a:schemeClr val="dk1"/>
            </a:fillRef>
            <a:effectRef idx="0">
              <a:schemeClr val="dk1"/>
            </a:effectRef>
            <a:fontRef idx="minor">
              <a:schemeClr val="lt1"/>
            </a:fontRef>
          </xdr:style>
          <xdr:txBody>
            <a:bodyPr vertOverflow="clip" rtlCol="0" anchor="ctr"/>
            <a:lstStyle/>
            <a:p>
              <a:pPr algn="ctr"/>
              <a:endParaRPr lang="en-US" sz="1100">
                <a:solidFill>
                  <a:schemeClr val="tx1">
                    <a:lumMod val="75000"/>
                    <a:lumOff val="25000"/>
                  </a:schemeClr>
                </a:solidFill>
              </a:endParaRPr>
            </a:p>
          </xdr:txBody>
        </xdr:sp>
        <xdr:sp macro="PrevMonth" textlink="">
          <xdr:nvSpPr>
            <xdr:cNvPr id="147" name="PrevTri">
              <a:extLst>
                <a:ext uri="{FF2B5EF4-FFF2-40B4-BE49-F238E27FC236}">
                  <a16:creationId xmlns:a16="http://schemas.microsoft.com/office/drawing/2014/main" id="{00000000-0008-0000-0300-000093000000}"/>
                </a:ext>
              </a:extLst>
            </xdr:cNvPr>
            <xdr:cNvSpPr/>
          </xdr:nvSpPr>
          <xdr:spPr>
            <a:xfrm rot="16200000">
              <a:off x="8560592" y="1425670"/>
              <a:ext cx="72307" cy="54278"/>
            </a:xfrm>
            <a:prstGeom prst="triangle">
              <a:avLst/>
            </a:prstGeom>
            <a:solidFill>
              <a:sysClr val="window" lastClr="FFFFFF"/>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en-US" sz="1100">
                <a:solidFill>
                  <a:schemeClr val="tx1">
                    <a:lumMod val="75000"/>
                    <a:lumOff val="25000"/>
                  </a:schemeClr>
                </a:solidFill>
              </a:endParaRPr>
            </a:p>
          </xdr:txBody>
        </xdr:sp>
      </xdr:grpSp>
      <xdr:grpSp>
        <xdr:nvGrpSpPr>
          <xdr:cNvPr id="136" name="NextMonth">
            <a:extLst>
              <a:ext uri="{FF2B5EF4-FFF2-40B4-BE49-F238E27FC236}">
                <a16:creationId xmlns:a16="http://schemas.microsoft.com/office/drawing/2014/main" id="{00000000-0008-0000-0300-000088000000}"/>
              </a:ext>
            </a:extLst>
          </xdr:cNvPr>
          <xdr:cNvGrpSpPr/>
        </xdr:nvGrpSpPr>
        <xdr:grpSpPr>
          <a:xfrm>
            <a:off x="10192468" y="1398362"/>
            <a:ext cx="101668" cy="108892"/>
            <a:chOff x="10192468" y="1398362"/>
            <a:chExt cx="101668" cy="108892"/>
          </a:xfrm>
        </xdr:grpSpPr>
        <xdr:sp macro="NextMonth" textlink="">
          <xdr:nvSpPr>
            <xdr:cNvPr id="144" name="NextRec">
              <a:extLst>
                <a:ext uri="{FF2B5EF4-FFF2-40B4-BE49-F238E27FC236}">
                  <a16:creationId xmlns:a16="http://schemas.microsoft.com/office/drawing/2014/main" id="{00000000-0008-0000-0300-000090000000}"/>
                </a:ext>
              </a:extLst>
            </xdr:cNvPr>
            <xdr:cNvSpPr/>
          </xdr:nvSpPr>
          <xdr:spPr>
            <a:xfrm>
              <a:off x="10192468" y="1398362"/>
              <a:ext cx="101668" cy="108892"/>
            </a:xfrm>
            <a:prstGeom prst="roundRect">
              <a:avLst/>
            </a:prstGeom>
            <a:solidFill>
              <a:srgbClr val="000000"/>
            </a:solidFill>
          </xdr:spPr>
          <xdr:style>
            <a:lnRef idx="2">
              <a:schemeClr val="dk1">
                <a:shade val="50000"/>
              </a:schemeClr>
            </a:lnRef>
            <a:fillRef idx="1">
              <a:schemeClr val="dk1"/>
            </a:fillRef>
            <a:effectRef idx="0">
              <a:schemeClr val="dk1"/>
            </a:effectRef>
            <a:fontRef idx="minor">
              <a:schemeClr val="lt1"/>
            </a:fontRef>
          </xdr:style>
          <xdr:txBody>
            <a:bodyPr vertOverflow="clip" rtlCol="0" anchor="ctr"/>
            <a:lstStyle/>
            <a:p>
              <a:pPr algn="ctr"/>
              <a:endParaRPr lang="en-US" sz="1100">
                <a:solidFill>
                  <a:schemeClr val="tx1">
                    <a:lumMod val="75000"/>
                    <a:lumOff val="25000"/>
                  </a:schemeClr>
                </a:solidFill>
              </a:endParaRPr>
            </a:p>
          </xdr:txBody>
        </xdr:sp>
        <xdr:sp macro="NextMonth" textlink="">
          <xdr:nvSpPr>
            <xdr:cNvPr id="145" name="NextTri">
              <a:extLst>
                <a:ext uri="{FF2B5EF4-FFF2-40B4-BE49-F238E27FC236}">
                  <a16:creationId xmlns:a16="http://schemas.microsoft.com/office/drawing/2014/main" id="{00000000-0008-0000-0300-000091000000}"/>
                </a:ext>
              </a:extLst>
            </xdr:cNvPr>
            <xdr:cNvSpPr/>
          </xdr:nvSpPr>
          <xdr:spPr>
            <a:xfrm rot="5400000">
              <a:off x="10210581" y="1425670"/>
              <a:ext cx="72307" cy="54278"/>
            </a:xfrm>
            <a:prstGeom prst="triangle">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en-US" sz="1100">
                <a:solidFill>
                  <a:schemeClr val="tx1">
                    <a:lumMod val="75000"/>
                    <a:lumOff val="25000"/>
                  </a:schemeClr>
                </a:solidFill>
              </a:endParaRPr>
            </a:p>
          </xdr:txBody>
        </xdr:sp>
      </xdr:grpSp>
      <xdr:sp macro="DayBtn40" textlink="CalPopUp!$F$6">
        <xdr:nvSpPr>
          <xdr:cNvPr id="137" name="40Day" hidden="1">
            <a:extLst>
              <a:ext uri="{FF2B5EF4-FFF2-40B4-BE49-F238E27FC236}">
                <a16:creationId xmlns:a16="http://schemas.microsoft.com/office/drawing/2014/main" id="{00000000-0008-0000-0300-000089000000}"/>
              </a:ext>
            </a:extLst>
          </xdr:cNvPr>
          <xdr:cNvSpPr/>
        </xdr:nvSpPr>
        <xdr:spPr>
          <a:xfrm>
            <a:off x="9544653" y="2737903"/>
            <a:ext cx="258964"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CF8A7712-0674-4BC0-B888-834D3A71F9B4}" type="TxLink">
              <a:rPr lang="en-US" sz="1100" b="0" i="0" u="none" strike="noStrike">
                <a:solidFill>
                  <a:srgbClr val="000000"/>
                </a:solidFill>
                <a:latin typeface="Calibri"/>
                <a:cs typeface="Calibri"/>
              </a:rPr>
              <a:pPr algn="r"/>
              <a:t> </a:t>
            </a:fld>
            <a:endParaRPr lang="en-US" sz="900" b="0">
              <a:solidFill>
                <a:schemeClr val="tx1">
                  <a:lumMod val="85000"/>
                  <a:lumOff val="15000"/>
                </a:schemeClr>
              </a:solidFill>
              <a:latin typeface="Tahoma" pitchFamily="34" charset="0"/>
              <a:cs typeface="Tahoma" pitchFamily="34" charset="0"/>
            </a:endParaRPr>
          </a:p>
        </xdr:txBody>
      </xdr:sp>
      <xdr:sp macro="DayBtn41" textlink="CalPopUp!$G$6">
        <xdr:nvSpPr>
          <xdr:cNvPr id="138" name="41Day" hidden="1">
            <a:extLst>
              <a:ext uri="{FF2B5EF4-FFF2-40B4-BE49-F238E27FC236}">
                <a16:creationId xmlns:a16="http://schemas.microsoft.com/office/drawing/2014/main" id="{00000000-0008-0000-0300-00008A000000}"/>
              </a:ext>
            </a:extLst>
          </xdr:cNvPr>
          <xdr:cNvSpPr/>
        </xdr:nvSpPr>
        <xdr:spPr>
          <a:xfrm>
            <a:off x="9808082" y="2737903"/>
            <a:ext cx="253550"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969F8183-2DEE-4821-B997-2851F4DB9719}" type="TxLink">
              <a:rPr lang="en-US" sz="1100" b="0" i="0" u="none" strike="noStrike">
                <a:solidFill>
                  <a:srgbClr val="000000"/>
                </a:solidFill>
                <a:latin typeface="Calibri"/>
                <a:cs typeface="Calibri"/>
              </a:rPr>
              <a:pPr algn="r"/>
              <a:t> </a:t>
            </a:fld>
            <a:endParaRPr lang="en-US" sz="900" b="0">
              <a:solidFill>
                <a:schemeClr val="tx1">
                  <a:lumMod val="85000"/>
                  <a:lumOff val="15000"/>
                </a:schemeClr>
              </a:solidFill>
              <a:latin typeface="Tahoma" pitchFamily="34" charset="0"/>
              <a:cs typeface="Tahoma" pitchFamily="34" charset="0"/>
            </a:endParaRPr>
          </a:p>
        </xdr:txBody>
      </xdr:sp>
      <xdr:sp macro="DayBtn39" textlink="CalPopUp!$E$6">
        <xdr:nvSpPr>
          <xdr:cNvPr id="139" name="39Day" hidden="1">
            <a:extLst>
              <a:ext uri="{FF2B5EF4-FFF2-40B4-BE49-F238E27FC236}">
                <a16:creationId xmlns:a16="http://schemas.microsoft.com/office/drawing/2014/main" id="{00000000-0008-0000-0300-00008B000000}"/>
              </a:ext>
            </a:extLst>
          </xdr:cNvPr>
          <xdr:cNvSpPr/>
        </xdr:nvSpPr>
        <xdr:spPr>
          <a:xfrm>
            <a:off x="9285416" y="2737903"/>
            <a:ext cx="253550"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62735EAC-C14F-47FF-A35A-0E941C503B1A}" type="TxLink">
              <a:rPr lang="en-US" sz="1100" b="0" i="0" u="none" strike="noStrike">
                <a:solidFill>
                  <a:srgbClr val="000000"/>
                </a:solidFill>
                <a:latin typeface="Calibri"/>
                <a:cs typeface="Calibri"/>
              </a:rPr>
              <a:pPr algn="r"/>
              <a:t> </a:t>
            </a:fld>
            <a:endParaRPr lang="en-US" sz="900" b="0">
              <a:solidFill>
                <a:schemeClr val="tx1">
                  <a:lumMod val="85000"/>
                  <a:lumOff val="15000"/>
                </a:schemeClr>
              </a:solidFill>
              <a:latin typeface="Tahoma" pitchFamily="34" charset="0"/>
              <a:cs typeface="Tahoma" pitchFamily="34" charset="0"/>
            </a:endParaRPr>
          </a:p>
        </xdr:txBody>
      </xdr:sp>
      <xdr:sp macro="DayBtn38" textlink="CalPopUp!$D$6">
        <xdr:nvSpPr>
          <xdr:cNvPr id="140" name="38Day" hidden="1">
            <a:extLst>
              <a:ext uri="{FF2B5EF4-FFF2-40B4-BE49-F238E27FC236}">
                <a16:creationId xmlns:a16="http://schemas.microsoft.com/office/drawing/2014/main" id="{00000000-0008-0000-0300-00008C000000}"/>
              </a:ext>
            </a:extLst>
          </xdr:cNvPr>
          <xdr:cNvSpPr/>
        </xdr:nvSpPr>
        <xdr:spPr>
          <a:xfrm>
            <a:off x="9023711" y="2737903"/>
            <a:ext cx="255468"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7F6B3443-6565-4514-82F3-C19D10C4292D}" type="TxLink">
              <a:rPr lang="en-US" sz="1100" b="0" i="0" u="none" strike="noStrike">
                <a:solidFill>
                  <a:srgbClr val="000000"/>
                </a:solidFill>
                <a:latin typeface="Calibri"/>
                <a:cs typeface="Calibri"/>
              </a:rPr>
              <a:pPr algn="r"/>
              <a:t> </a:t>
            </a:fld>
            <a:endParaRPr lang="en-US" sz="900" b="0" i="0" u="none" strike="noStrike">
              <a:solidFill>
                <a:schemeClr val="tx1">
                  <a:lumMod val="85000"/>
                  <a:lumOff val="15000"/>
                </a:schemeClr>
              </a:solidFill>
              <a:latin typeface="Tahoma" pitchFamily="34" charset="0"/>
              <a:cs typeface="Tahoma" pitchFamily="34" charset="0"/>
            </a:endParaRPr>
          </a:p>
        </xdr:txBody>
      </xdr:sp>
      <xdr:sp macro="DayBtn42" textlink="CalPopUp!$H$6">
        <xdr:nvSpPr>
          <xdr:cNvPr id="141" name="42Day" hidden="1">
            <a:extLst>
              <a:ext uri="{FF2B5EF4-FFF2-40B4-BE49-F238E27FC236}">
                <a16:creationId xmlns:a16="http://schemas.microsoft.com/office/drawing/2014/main" id="{00000000-0008-0000-0300-00008D000000}"/>
              </a:ext>
            </a:extLst>
          </xdr:cNvPr>
          <xdr:cNvSpPr/>
        </xdr:nvSpPr>
        <xdr:spPr>
          <a:xfrm>
            <a:off x="10068585" y="2737903"/>
            <a:ext cx="258467"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280E3499-D3C2-43B2-8A5F-4AAAF0D36307}" type="TxLink">
              <a:rPr lang="en-US" sz="1100" b="0" i="0" u="none" strike="noStrike">
                <a:solidFill>
                  <a:srgbClr val="000000"/>
                </a:solidFill>
                <a:latin typeface="Calibri"/>
                <a:cs typeface="Calibri"/>
              </a:rPr>
              <a:pPr algn="r"/>
              <a:t> </a:t>
            </a:fld>
            <a:endParaRPr lang="en-US" sz="900" b="0">
              <a:solidFill>
                <a:schemeClr val="tx1">
                  <a:lumMod val="85000"/>
                  <a:lumOff val="15000"/>
                </a:schemeClr>
              </a:solidFill>
              <a:latin typeface="Tahoma" pitchFamily="34" charset="0"/>
              <a:cs typeface="Tahoma" pitchFamily="34" charset="0"/>
            </a:endParaRPr>
          </a:p>
        </xdr:txBody>
      </xdr:sp>
      <xdr:sp macro="DayBtn37" textlink="CalPopUp!$C$6">
        <xdr:nvSpPr>
          <xdr:cNvPr id="142" name="37Day" hidden="1">
            <a:extLst>
              <a:ext uri="{FF2B5EF4-FFF2-40B4-BE49-F238E27FC236}">
                <a16:creationId xmlns:a16="http://schemas.microsoft.com/office/drawing/2014/main" id="{00000000-0008-0000-0300-00008E000000}"/>
              </a:ext>
            </a:extLst>
          </xdr:cNvPr>
          <xdr:cNvSpPr/>
        </xdr:nvSpPr>
        <xdr:spPr>
          <a:xfrm>
            <a:off x="8761738" y="2737903"/>
            <a:ext cx="253550"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105FEF00-E4EF-4D8F-83F1-B6788CCB0F97}" type="TxLink">
              <a:rPr lang="en-US" sz="1100" b="0" i="0" u="none" strike="noStrike">
                <a:solidFill>
                  <a:srgbClr val="000000"/>
                </a:solidFill>
                <a:latin typeface="Calibri"/>
                <a:cs typeface="Calibri"/>
              </a:rPr>
              <a:pPr algn="r"/>
              <a:t> </a:t>
            </a:fld>
            <a:endParaRPr lang="en-US" sz="900" b="0">
              <a:solidFill>
                <a:schemeClr val="tx1">
                  <a:lumMod val="85000"/>
                  <a:lumOff val="15000"/>
                </a:schemeClr>
              </a:solidFill>
              <a:latin typeface="Tahoma" pitchFamily="34" charset="0"/>
              <a:cs typeface="Tahoma" pitchFamily="34" charset="0"/>
            </a:endParaRPr>
          </a:p>
        </xdr:txBody>
      </xdr:sp>
      <xdr:sp macro="DayBtn36" textlink="CalPopUp!$B$6">
        <xdr:nvSpPr>
          <xdr:cNvPr id="143" name="36Day" hidden="1">
            <a:extLst>
              <a:ext uri="{FF2B5EF4-FFF2-40B4-BE49-F238E27FC236}">
                <a16:creationId xmlns:a16="http://schemas.microsoft.com/office/drawing/2014/main" id="{00000000-0008-0000-0300-00008F000000}"/>
              </a:ext>
            </a:extLst>
          </xdr:cNvPr>
          <xdr:cNvSpPr/>
        </xdr:nvSpPr>
        <xdr:spPr>
          <a:xfrm>
            <a:off x="8501455" y="2737903"/>
            <a:ext cx="254399"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B5AF724F-B99B-4AEA-A9CE-BD38E4138B07}" type="TxLink">
              <a:rPr lang="en-US" sz="1100" b="0" i="0" u="none" strike="noStrike">
                <a:solidFill>
                  <a:srgbClr val="000000"/>
                </a:solidFill>
                <a:latin typeface="Calibri"/>
                <a:cs typeface="Calibri"/>
              </a:rPr>
              <a:pPr algn="r"/>
              <a:t> </a:t>
            </a:fld>
            <a:endParaRPr lang="en-US" sz="900" b="0">
              <a:solidFill>
                <a:schemeClr val="tx1">
                  <a:lumMod val="85000"/>
                  <a:lumOff val="15000"/>
                </a:schemeClr>
              </a:solidFill>
              <a:latin typeface="Tahoma" pitchFamily="34" charset="0"/>
              <a:cs typeface="Tahoma" pitchFamily="34" charset="0"/>
            </a:endParaRPr>
          </a:p>
        </xdr:txBody>
      </xdr:sp>
    </xdr:grp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neilr/Dropbox/Multi-Staff%20Scheduler/Downloads/Multi-Staff_Scheduler_New.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Setup"/>
      <sheetName val="Contacts"/>
      <sheetName val="Staff"/>
      <sheetName val="Staff Schedule"/>
      <sheetName val="Apt Type &amp; Serv. Items"/>
      <sheetName val="Main"/>
      <sheetName val="Week View"/>
      <sheetName val="Appts. &amp; Notes"/>
      <sheetName val="Email Automation"/>
      <sheetName val="Email Log"/>
      <sheetName val="Recurring"/>
      <sheetName val="RecCalc"/>
      <sheetName val="Enter Trans."/>
      <sheetName val="Trans. Register"/>
      <sheetName val="Invoice"/>
      <sheetName val="Invoice List"/>
      <sheetName val="InvItemTable"/>
      <sheetName val="Payments"/>
      <sheetName val="Attachments"/>
      <sheetName val="Reports"/>
      <sheetName val="2018"/>
      <sheetName val="2019"/>
      <sheetName val="2020"/>
      <sheetName val="2021"/>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row r="3">
          <cell r="B3"/>
          <cell r="F3" t="str">
            <v>Name / Vendor</v>
          </cell>
        </row>
        <row r="4">
          <cell r="B4">
            <v>100</v>
          </cell>
          <cell r="F4" t="str">
            <v>[All Vendors]</v>
          </cell>
        </row>
        <row r="5">
          <cell r="B5"/>
          <cell r="F5" t="str">
            <v>Name / Vendor</v>
          </cell>
        </row>
        <row r="6">
          <cell r="B6" t="str">
            <v>Bank/Asset</v>
          </cell>
          <cell r="F6"/>
        </row>
        <row r="7">
          <cell r="B7"/>
          <cell r="F7" t="str">
            <v>D</v>
          </cell>
        </row>
        <row r="8">
          <cell r="B8"/>
          <cell r="F8" t="str">
            <v>Acme Building Materials</v>
          </cell>
        </row>
        <row r="9">
          <cell r="B9"/>
          <cell r="F9" t="str">
            <v>Johns Plumbing</v>
          </cell>
        </row>
        <row r="10">
          <cell r="B10"/>
          <cell r="F10" t="str">
            <v>David Johnson</v>
          </cell>
        </row>
        <row r="11">
          <cell r="B11"/>
          <cell r="F11" t="str">
            <v>Fred Fredders</v>
          </cell>
        </row>
        <row r="12">
          <cell r="B12"/>
          <cell r="F12" t="str">
            <v>Lisa Morrison</v>
          </cell>
        </row>
        <row r="13">
          <cell r="B13"/>
          <cell r="F13" t="str">
            <v>Ted Bear</v>
          </cell>
        </row>
        <row r="14">
          <cell r="B14"/>
          <cell r="F14" t="str">
            <v>Home Depot</v>
          </cell>
        </row>
        <row r="15">
          <cell r="B15"/>
          <cell r="F15" t="str">
            <v>Acme Building Materials</v>
          </cell>
        </row>
        <row r="16">
          <cell r="B16"/>
          <cell r="F16" t="str">
            <v>Johns Plumbing</v>
          </cell>
        </row>
        <row r="17">
          <cell r="B17"/>
          <cell r="F17" t="str">
            <v>David Johnson</v>
          </cell>
        </row>
        <row r="18">
          <cell r="B18"/>
          <cell r="F18" t="str">
            <v>Fred Fredders</v>
          </cell>
        </row>
        <row r="19">
          <cell r="B19"/>
          <cell r="F19" t="str">
            <v>Lisa Morrison</v>
          </cell>
        </row>
        <row r="20">
          <cell r="B20" t="str">
            <v>Increase</v>
          </cell>
          <cell r="F20" t="str">
            <v>Ted Bear</v>
          </cell>
        </row>
        <row r="21">
          <cell r="B21" t="str">
            <v>Increase</v>
          </cell>
          <cell r="F21" t="str">
            <v>Home Depot</v>
          </cell>
        </row>
        <row r="22">
          <cell r="B22" t="str">
            <v>Increase</v>
          </cell>
          <cell r="F22" t="str">
            <v>Acme Building Materials</v>
          </cell>
        </row>
        <row r="23">
          <cell r="B23" t="str">
            <v>Deposit</v>
          </cell>
          <cell r="F23" t="str">
            <v>Johns Plumbing</v>
          </cell>
        </row>
        <row r="24">
          <cell r="B24" t="str">
            <v>Charge</v>
          </cell>
          <cell r="F24" t="str">
            <v>David Johnson</v>
          </cell>
        </row>
        <row r="25">
          <cell r="B25" t="str">
            <v>Increase</v>
          </cell>
          <cell r="F25" t="str">
            <v>Fred Fredders</v>
          </cell>
        </row>
        <row r="26">
          <cell r="B26"/>
          <cell r="F26" t="str">
            <v>Lisa Morrison</v>
          </cell>
        </row>
        <row r="27">
          <cell r="B27"/>
          <cell r="F27" t="str">
            <v>Ted Bear</v>
          </cell>
        </row>
        <row r="28">
          <cell r="B28"/>
          <cell r="F28" t="str">
            <v>Home Depot</v>
          </cell>
        </row>
        <row r="29">
          <cell r="F29" t="str">
            <v>Acme Building Materials</v>
          </cell>
        </row>
        <row r="30">
          <cell r="F30" t="str">
            <v>Johns Plumbing</v>
          </cell>
        </row>
        <row r="31">
          <cell r="F31" t="str">
            <v>David Johnson</v>
          </cell>
        </row>
        <row r="32">
          <cell r="F32" t="str">
            <v>Fred Fredders</v>
          </cell>
        </row>
        <row r="33">
          <cell r="F33" t="str">
            <v>Lisa Morrison</v>
          </cell>
        </row>
        <row r="34">
          <cell r="F34" t="str">
            <v>Ted Bear</v>
          </cell>
        </row>
        <row r="35">
          <cell r="F35" t="str">
            <v>Home Depot</v>
          </cell>
        </row>
        <row r="36">
          <cell r="F36" t="str">
            <v>Acme Building Materials</v>
          </cell>
        </row>
        <row r="37">
          <cell r="F37" t="str">
            <v>Johns Plumbing</v>
          </cell>
        </row>
        <row r="38">
          <cell r="F38" t="str">
            <v>David Johnson</v>
          </cell>
        </row>
        <row r="39">
          <cell r="F39" t="str">
            <v>Fred Fredders</v>
          </cell>
        </row>
        <row r="40">
          <cell r="F40" t="str">
            <v>Lisa Morrison</v>
          </cell>
        </row>
        <row r="41">
          <cell r="F41" t="str">
            <v>Ted Bear</v>
          </cell>
        </row>
        <row r="42">
          <cell r="F42" t="str">
            <v>Home Depot</v>
          </cell>
        </row>
        <row r="43">
          <cell r="F43" t="str">
            <v>Acme Building Materials</v>
          </cell>
        </row>
        <row r="44">
          <cell r="F44" t="str">
            <v>Johns Plumbing</v>
          </cell>
        </row>
        <row r="45">
          <cell r="F45" t="str">
            <v>David Johnson</v>
          </cell>
        </row>
        <row r="46">
          <cell r="F46" t="str">
            <v>Fred Fredders</v>
          </cell>
        </row>
        <row r="47">
          <cell r="F47" t="str">
            <v>Lisa Morrison</v>
          </cell>
        </row>
        <row r="48">
          <cell r="F48" t="str">
            <v>Ted Bear</v>
          </cell>
        </row>
        <row r="49">
          <cell r="F49" t="str">
            <v>Home Depot</v>
          </cell>
        </row>
        <row r="50">
          <cell r="F50"/>
        </row>
        <row r="51">
          <cell r="F51"/>
        </row>
        <row r="52">
          <cell r="F52"/>
        </row>
        <row r="53">
          <cell r="F53"/>
        </row>
        <row r="54">
          <cell r="F54"/>
        </row>
        <row r="55">
          <cell r="F55"/>
        </row>
        <row r="56">
          <cell r="F56"/>
        </row>
        <row r="57">
          <cell r="F57"/>
        </row>
        <row r="58">
          <cell r="F58"/>
        </row>
        <row r="59">
          <cell r="F59"/>
        </row>
        <row r="60">
          <cell r="F60"/>
        </row>
        <row r="61">
          <cell r="F61"/>
        </row>
        <row r="62">
          <cell r="F62"/>
        </row>
        <row r="63">
          <cell r="F63"/>
        </row>
        <row r="64">
          <cell r="F64"/>
        </row>
        <row r="65">
          <cell r="F65"/>
        </row>
        <row r="66">
          <cell r="F66"/>
        </row>
        <row r="67">
          <cell r="F67"/>
        </row>
        <row r="68">
          <cell r="F68"/>
        </row>
        <row r="69">
          <cell r="F69"/>
        </row>
        <row r="70">
          <cell r="F70"/>
        </row>
        <row r="71">
          <cell r="F71"/>
        </row>
        <row r="72">
          <cell r="F72"/>
        </row>
        <row r="73">
          <cell r="F73"/>
        </row>
        <row r="74">
          <cell r="F74"/>
        </row>
        <row r="75">
          <cell r="F75"/>
        </row>
        <row r="76">
          <cell r="F76"/>
        </row>
        <row r="77">
          <cell r="F77"/>
        </row>
        <row r="78">
          <cell r="F78"/>
        </row>
        <row r="79">
          <cell r="F79"/>
        </row>
        <row r="80">
          <cell r="F80"/>
        </row>
        <row r="81">
          <cell r="F81"/>
        </row>
        <row r="82">
          <cell r="F82"/>
        </row>
        <row r="83">
          <cell r="F83"/>
        </row>
        <row r="84">
          <cell r="F84"/>
        </row>
        <row r="85">
          <cell r="F85"/>
        </row>
        <row r="86">
          <cell r="F86"/>
        </row>
        <row r="87">
          <cell r="F87"/>
        </row>
        <row r="88">
          <cell r="F88"/>
        </row>
        <row r="89">
          <cell r="F89"/>
        </row>
        <row r="90">
          <cell r="F90"/>
        </row>
        <row r="91">
          <cell r="F91"/>
        </row>
        <row r="92">
          <cell r="F92"/>
        </row>
        <row r="93">
          <cell r="F93"/>
        </row>
        <row r="94">
          <cell r="F94"/>
        </row>
        <row r="95">
          <cell r="F95"/>
        </row>
        <row r="96">
          <cell r="F96"/>
        </row>
        <row r="97">
          <cell r="F97"/>
        </row>
        <row r="98">
          <cell r="F98"/>
        </row>
        <row r="99">
          <cell r="F99"/>
        </row>
        <row r="100">
          <cell r="F100"/>
        </row>
        <row r="101">
          <cell r="F101"/>
        </row>
        <row r="102">
          <cell r="F102"/>
        </row>
        <row r="103">
          <cell r="F103"/>
        </row>
        <row r="104">
          <cell r="F104"/>
        </row>
        <row r="105">
          <cell r="F105"/>
        </row>
        <row r="106">
          <cell r="F106"/>
        </row>
        <row r="107">
          <cell r="F107"/>
        </row>
        <row r="108">
          <cell r="F108"/>
        </row>
        <row r="109">
          <cell r="F109"/>
        </row>
        <row r="110">
          <cell r="F110"/>
        </row>
        <row r="111">
          <cell r="F111"/>
        </row>
        <row r="112">
          <cell r="F112"/>
        </row>
        <row r="113">
          <cell r="F113"/>
        </row>
        <row r="114">
          <cell r="F114"/>
        </row>
        <row r="115">
          <cell r="F115"/>
        </row>
        <row r="116">
          <cell r="F116"/>
        </row>
        <row r="117">
          <cell r="F117"/>
        </row>
        <row r="118">
          <cell r="F118"/>
        </row>
        <row r="119">
          <cell r="F119"/>
        </row>
        <row r="120">
          <cell r="F120"/>
        </row>
        <row r="121">
          <cell r="F121"/>
        </row>
        <row r="122">
          <cell r="F122"/>
        </row>
        <row r="123">
          <cell r="F123"/>
        </row>
        <row r="124">
          <cell r="F124"/>
        </row>
        <row r="125">
          <cell r="F125"/>
        </row>
        <row r="126">
          <cell r="F126"/>
        </row>
        <row r="127">
          <cell r="F127"/>
        </row>
        <row r="128">
          <cell r="F128"/>
        </row>
        <row r="129">
          <cell r="F129"/>
        </row>
        <row r="130">
          <cell r="F130"/>
        </row>
        <row r="131">
          <cell r="F131"/>
        </row>
        <row r="132">
          <cell r="F132"/>
        </row>
        <row r="133">
          <cell r="F133"/>
        </row>
        <row r="134">
          <cell r="F134"/>
        </row>
        <row r="135">
          <cell r="F135"/>
        </row>
        <row r="136">
          <cell r="F136"/>
        </row>
        <row r="137">
          <cell r="F137"/>
        </row>
        <row r="138">
          <cell r="F138"/>
        </row>
        <row r="139">
          <cell r="F139"/>
        </row>
        <row r="140">
          <cell r="F140"/>
        </row>
        <row r="141">
          <cell r="F141"/>
        </row>
        <row r="142">
          <cell r="F142"/>
        </row>
        <row r="143">
          <cell r="F143"/>
        </row>
        <row r="144">
          <cell r="F144"/>
        </row>
        <row r="145">
          <cell r="F145"/>
        </row>
        <row r="146">
          <cell r="F146"/>
        </row>
        <row r="147">
          <cell r="F147"/>
        </row>
        <row r="148">
          <cell r="F148"/>
        </row>
        <row r="149">
          <cell r="F149"/>
        </row>
        <row r="150">
          <cell r="F150"/>
        </row>
        <row r="151">
          <cell r="F151"/>
        </row>
        <row r="152">
          <cell r="F152"/>
        </row>
        <row r="153">
          <cell r="F153"/>
        </row>
        <row r="154">
          <cell r="F154"/>
        </row>
        <row r="155">
          <cell r="F155"/>
        </row>
        <row r="156">
          <cell r="F156"/>
        </row>
        <row r="157">
          <cell r="F157"/>
        </row>
        <row r="158">
          <cell r="F158"/>
        </row>
        <row r="159">
          <cell r="F159"/>
        </row>
        <row r="160">
          <cell r="F160"/>
        </row>
        <row r="161">
          <cell r="F161"/>
        </row>
        <row r="162">
          <cell r="F162"/>
        </row>
        <row r="163">
          <cell r="F163"/>
        </row>
        <row r="164">
          <cell r="F164"/>
        </row>
        <row r="165">
          <cell r="F165"/>
        </row>
        <row r="166">
          <cell r="F166"/>
        </row>
        <row r="167">
          <cell r="F167"/>
        </row>
        <row r="168">
          <cell r="F168"/>
        </row>
        <row r="169">
          <cell r="F169"/>
        </row>
        <row r="170">
          <cell r="F170"/>
        </row>
        <row r="171">
          <cell r="F171"/>
        </row>
        <row r="172">
          <cell r="F172"/>
        </row>
        <row r="173">
          <cell r="F173"/>
        </row>
        <row r="174">
          <cell r="F174"/>
        </row>
        <row r="175">
          <cell r="F175"/>
        </row>
        <row r="176">
          <cell r="F176"/>
        </row>
        <row r="177">
          <cell r="F177"/>
        </row>
        <row r="178">
          <cell r="F178"/>
        </row>
        <row r="179">
          <cell r="F179"/>
        </row>
        <row r="180">
          <cell r="F180"/>
        </row>
        <row r="181">
          <cell r="F181"/>
        </row>
        <row r="182">
          <cell r="F182"/>
        </row>
        <row r="183">
          <cell r="F183"/>
        </row>
        <row r="184">
          <cell r="F184"/>
        </row>
        <row r="185">
          <cell r="F185"/>
        </row>
        <row r="186">
          <cell r="F186"/>
        </row>
        <row r="187">
          <cell r="F187"/>
        </row>
        <row r="188">
          <cell r="F188"/>
        </row>
        <row r="189">
          <cell r="F189"/>
        </row>
        <row r="190">
          <cell r="F190"/>
        </row>
        <row r="191">
          <cell r="F191"/>
        </row>
        <row r="192">
          <cell r="F192"/>
        </row>
        <row r="193">
          <cell r="F193"/>
        </row>
        <row r="194">
          <cell r="F194"/>
        </row>
        <row r="195">
          <cell r="F195"/>
        </row>
        <row r="196">
          <cell r="F196"/>
        </row>
        <row r="197">
          <cell r="F197"/>
        </row>
        <row r="198">
          <cell r="F198"/>
        </row>
        <row r="199">
          <cell r="F199"/>
        </row>
        <row r="200">
          <cell r="F200"/>
        </row>
        <row r="201">
          <cell r="F201"/>
        </row>
        <row r="202">
          <cell r="F202"/>
        </row>
        <row r="203">
          <cell r="F203"/>
        </row>
        <row r="204">
          <cell r="F204"/>
        </row>
        <row r="205">
          <cell r="F205"/>
        </row>
        <row r="206">
          <cell r="F206"/>
        </row>
        <row r="207">
          <cell r="F207"/>
        </row>
        <row r="208">
          <cell r="F208"/>
        </row>
        <row r="209">
          <cell r="F209"/>
        </row>
        <row r="210">
          <cell r="F210"/>
        </row>
        <row r="211">
          <cell r="F211"/>
        </row>
        <row r="212">
          <cell r="F212"/>
        </row>
        <row r="213">
          <cell r="F213"/>
        </row>
        <row r="214">
          <cell r="F214"/>
        </row>
        <row r="215">
          <cell r="F215"/>
        </row>
        <row r="216">
          <cell r="F216"/>
        </row>
        <row r="217">
          <cell r="F217"/>
        </row>
        <row r="218">
          <cell r="F218"/>
        </row>
        <row r="219">
          <cell r="F219"/>
        </row>
        <row r="220">
          <cell r="F220"/>
        </row>
        <row r="221">
          <cell r="F221"/>
        </row>
        <row r="222">
          <cell r="F222"/>
        </row>
        <row r="223">
          <cell r="F223"/>
        </row>
        <row r="224">
          <cell r="F224"/>
        </row>
        <row r="225">
          <cell r="F225"/>
        </row>
        <row r="226">
          <cell r="F226"/>
        </row>
        <row r="227">
          <cell r="F227"/>
        </row>
        <row r="228">
          <cell r="F228"/>
        </row>
        <row r="229">
          <cell r="F229"/>
        </row>
        <row r="230">
          <cell r="F230"/>
        </row>
        <row r="231">
          <cell r="F231"/>
        </row>
        <row r="232">
          <cell r="F232"/>
        </row>
        <row r="233">
          <cell r="F233"/>
        </row>
        <row r="234">
          <cell r="F234"/>
        </row>
        <row r="235">
          <cell r="F235"/>
        </row>
        <row r="236">
          <cell r="F236"/>
        </row>
        <row r="237">
          <cell r="F237"/>
        </row>
        <row r="238">
          <cell r="F238"/>
        </row>
        <row r="239">
          <cell r="F239"/>
        </row>
        <row r="240">
          <cell r="F240"/>
        </row>
        <row r="241">
          <cell r="F241"/>
        </row>
        <row r="242">
          <cell r="F242"/>
        </row>
        <row r="243">
          <cell r="F243"/>
        </row>
        <row r="244">
          <cell r="F244"/>
        </row>
        <row r="245">
          <cell r="F245"/>
        </row>
        <row r="246">
          <cell r="F246"/>
        </row>
        <row r="247">
          <cell r="F247"/>
        </row>
        <row r="248">
          <cell r="F248"/>
        </row>
        <row r="249">
          <cell r="F249"/>
        </row>
        <row r="250">
          <cell r="F250"/>
        </row>
        <row r="251">
          <cell r="F251"/>
        </row>
        <row r="252">
          <cell r="F252"/>
        </row>
        <row r="253">
          <cell r="F253"/>
        </row>
        <row r="254">
          <cell r="F254"/>
        </row>
        <row r="255">
          <cell r="F255"/>
        </row>
        <row r="256">
          <cell r="F256"/>
        </row>
        <row r="257">
          <cell r="F257"/>
        </row>
        <row r="258">
          <cell r="F258"/>
        </row>
        <row r="259">
          <cell r="F259"/>
        </row>
        <row r="260">
          <cell r="F260"/>
        </row>
        <row r="261">
          <cell r="F261"/>
        </row>
        <row r="262">
          <cell r="F262"/>
        </row>
        <row r="263">
          <cell r="F263"/>
        </row>
        <row r="264">
          <cell r="F264"/>
        </row>
        <row r="265">
          <cell r="F265"/>
        </row>
        <row r="266">
          <cell r="F266"/>
        </row>
        <row r="267">
          <cell r="F267"/>
        </row>
        <row r="268">
          <cell r="F268"/>
        </row>
        <row r="269">
          <cell r="F269"/>
        </row>
        <row r="270">
          <cell r="F270"/>
        </row>
        <row r="271">
          <cell r="F271"/>
        </row>
        <row r="272">
          <cell r="F272"/>
        </row>
        <row r="273">
          <cell r="F273"/>
        </row>
        <row r="274">
          <cell r="F274"/>
        </row>
        <row r="275">
          <cell r="F275"/>
        </row>
        <row r="276">
          <cell r="F276"/>
        </row>
        <row r="277">
          <cell r="F277"/>
        </row>
        <row r="278">
          <cell r="F278"/>
        </row>
        <row r="279">
          <cell r="F279"/>
        </row>
        <row r="280">
          <cell r="F280"/>
        </row>
        <row r="281">
          <cell r="F281"/>
        </row>
        <row r="282">
          <cell r="F282"/>
        </row>
        <row r="283">
          <cell r="F283"/>
        </row>
        <row r="284">
          <cell r="F284"/>
        </row>
        <row r="285">
          <cell r="F285"/>
        </row>
        <row r="286">
          <cell r="F286"/>
        </row>
        <row r="287">
          <cell r="F287"/>
        </row>
        <row r="288">
          <cell r="F288"/>
        </row>
        <row r="289">
          <cell r="F289"/>
        </row>
        <row r="290">
          <cell r="F290"/>
        </row>
        <row r="291">
          <cell r="F291"/>
        </row>
        <row r="292">
          <cell r="F292"/>
        </row>
        <row r="293">
          <cell r="F293"/>
        </row>
        <row r="294">
          <cell r="F294"/>
        </row>
        <row r="295">
          <cell r="F295"/>
        </row>
        <row r="296">
          <cell r="F296"/>
        </row>
        <row r="297">
          <cell r="F297"/>
        </row>
        <row r="298">
          <cell r="F298"/>
        </row>
        <row r="299">
          <cell r="F299"/>
        </row>
        <row r="300">
          <cell r="F300"/>
        </row>
        <row r="301">
          <cell r="F301"/>
        </row>
        <row r="302">
          <cell r="F302"/>
        </row>
        <row r="303">
          <cell r="F303"/>
        </row>
        <row r="304">
          <cell r="F304"/>
        </row>
        <row r="305">
          <cell r="F305"/>
        </row>
        <row r="306">
          <cell r="F306"/>
        </row>
        <row r="307">
          <cell r="F307"/>
        </row>
        <row r="308">
          <cell r="F308"/>
        </row>
        <row r="309">
          <cell r="F309"/>
        </row>
        <row r="310">
          <cell r="F310"/>
        </row>
        <row r="311">
          <cell r="F311"/>
        </row>
        <row r="312">
          <cell r="F312"/>
        </row>
        <row r="313">
          <cell r="F313"/>
        </row>
        <row r="314">
          <cell r="F314"/>
        </row>
        <row r="315">
          <cell r="F315"/>
        </row>
        <row r="316">
          <cell r="F316"/>
        </row>
        <row r="317">
          <cell r="F317"/>
        </row>
        <row r="318">
          <cell r="F318"/>
        </row>
        <row r="319">
          <cell r="F319"/>
        </row>
        <row r="320">
          <cell r="F320"/>
        </row>
        <row r="321">
          <cell r="F321"/>
        </row>
        <row r="322">
          <cell r="F322"/>
        </row>
        <row r="323">
          <cell r="F323"/>
        </row>
        <row r="324">
          <cell r="F324"/>
        </row>
        <row r="325">
          <cell r="F325"/>
        </row>
        <row r="326">
          <cell r="F326"/>
        </row>
        <row r="327">
          <cell r="F327"/>
        </row>
        <row r="328">
          <cell r="F328"/>
        </row>
        <row r="329">
          <cell r="F329"/>
        </row>
        <row r="330">
          <cell r="F330"/>
        </row>
        <row r="331">
          <cell r="F331"/>
        </row>
        <row r="332">
          <cell r="F332"/>
        </row>
        <row r="333">
          <cell r="F333"/>
        </row>
        <row r="334">
          <cell r="F334"/>
        </row>
        <row r="335">
          <cell r="F335"/>
        </row>
        <row r="336">
          <cell r="F336"/>
        </row>
        <row r="337">
          <cell r="F337"/>
        </row>
        <row r="338">
          <cell r="F338"/>
        </row>
        <row r="339">
          <cell r="F339"/>
        </row>
        <row r="340">
          <cell r="F340"/>
        </row>
        <row r="341">
          <cell r="F341"/>
        </row>
        <row r="342">
          <cell r="F342"/>
        </row>
        <row r="343">
          <cell r="F343"/>
        </row>
        <row r="344">
          <cell r="F344"/>
        </row>
        <row r="345">
          <cell r="F345"/>
        </row>
        <row r="346">
          <cell r="F346"/>
        </row>
        <row r="347">
          <cell r="F347"/>
        </row>
        <row r="348">
          <cell r="F348"/>
        </row>
        <row r="349">
          <cell r="F349"/>
        </row>
        <row r="350">
          <cell r="F350"/>
        </row>
        <row r="351">
          <cell r="F351"/>
        </row>
        <row r="352">
          <cell r="F352"/>
        </row>
        <row r="353">
          <cell r="F353"/>
        </row>
        <row r="354">
          <cell r="F354"/>
        </row>
        <row r="355">
          <cell r="F355"/>
        </row>
        <row r="356">
          <cell r="F356"/>
        </row>
        <row r="357">
          <cell r="F357"/>
        </row>
        <row r="358">
          <cell r="F358"/>
        </row>
        <row r="359">
          <cell r="F359"/>
        </row>
        <row r="360">
          <cell r="F360"/>
        </row>
        <row r="361">
          <cell r="F361"/>
        </row>
        <row r="362">
          <cell r="F362"/>
        </row>
        <row r="363">
          <cell r="F363"/>
        </row>
        <row r="364">
          <cell r="F364"/>
        </row>
        <row r="365">
          <cell r="F365"/>
        </row>
        <row r="366">
          <cell r="F366"/>
        </row>
        <row r="367">
          <cell r="F367"/>
        </row>
        <row r="368">
          <cell r="F368"/>
        </row>
        <row r="369">
          <cell r="F369"/>
        </row>
        <row r="370">
          <cell r="F370"/>
        </row>
        <row r="371">
          <cell r="F371"/>
        </row>
        <row r="372">
          <cell r="F372"/>
        </row>
        <row r="373">
          <cell r="F373"/>
        </row>
        <row r="374">
          <cell r="F374"/>
        </row>
        <row r="375">
          <cell r="F375"/>
        </row>
        <row r="376">
          <cell r="F376"/>
        </row>
        <row r="377">
          <cell r="F377"/>
        </row>
        <row r="378">
          <cell r="F378"/>
        </row>
        <row r="379">
          <cell r="F379"/>
        </row>
        <row r="380">
          <cell r="F380"/>
        </row>
        <row r="381">
          <cell r="F381"/>
        </row>
        <row r="382">
          <cell r="F382"/>
        </row>
        <row r="383">
          <cell r="F383"/>
        </row>
        <row r="384">
          <cell r="F384"/>
        </row>
        <row r="385">
          <cell r="F385"/>
        </row>
        <row r="386">
          <cell r="F386"/>
        </row>
        <row r="387">
          <cell r="F387"/>
        </row>
        <row r="388">
          <cell r="F388"/>
        </row>
        <row r="389">
          <cell r="F389"/>
        </row>
        <row r="390">
          <cell r="F390"/>
        </row>
        <row r="391">
          <cell r="F391"/>
        </row>
        <row r="392">
          <cell r="F392"/>
        </row>
        <row r="393">
          <cell r="F393"/>
        </row>
        <row r="394">
          <cell r="F394"/>
        </row>
        <row r="395">
          <cell r="F395"/>
        </row>
        <row r="396">
          <cell r="F396"/>
        </row>
        <row r="397">
          <cell r="F397"/>
        </row>
        <row r="398">
          <cell r="F398"/>
        </row>
        <row r="399">
          <cell r="F399"/>
        </row>
        <row r="400">
          <cell r="F400"/>
        </row>
        <row r="401">
          <cell r="F401"/>
        </row>
        <row r="402">
          <cell r="F402"/>
        </row>
        <row r="403">
          <cell r="F403"/>
        </row>
        <row r="404">
          <cell r="F404"/>
        </row>
        <row r="405">
          <cell r="F405"/>
        </row>
        <row r="406">
          <cell r="F406"/>
        </row>
        <row r="407">
          <cell r="F407"/>
        </row>
        <row r="408">
          <cell r="F408"/>
        </row>
        <row r="409">
          <cell r="F409"/>
        </row>
        <row r="410">
          <cell r="F410"/>
        </row>
        <row r="411">
          <cell r="F411"/>
        </row>
        <row r="412">
          <cell r="F412"/>
        </row>
        <row r="413">
          <cell r="F413"/>
        </row>
        <row r="414">
          <cell r="F414"/>
        </row>
        <row r="415">
          <cell r="F415"/>
        </row>
        <row r="416">
          <cell r="F416"/>
        </row>
        <row r="417">
          <cell r="F417"/>
        </row>
        <row r="418">
          <cell r="F418"/>
        </row>
        <row r="419">
          <cell r="F419"/>
        </row>
        <row r="420">
          <cell r="F420"/>
        </row>
        <row r="421">
          <cell r="F421"/>
        </row>
        <row r="422">
          <cell r="F422"/>
        </row>
        <row r="423">
          <cell r="F423"/>
        </row>
        <row r="424">
          <cell r="F424"/>
        </row>
        <row r="425">
          <cell r="F425"/>
        </row>
        <row r="426">
          <cell r="F426"/>
        </row>
        <row r="427">
          <cell r="F427"/>
        </row>
        <row r="428">
          <cell r="F428"/>
        </row>
        <row r="429">
          <cell r="F429"/>
        </row>
        <row r="430">
          <cell r="F430"/>
        </row>
        <row r="431">
          <cell r="F431"/>
        </row>
        <row r="432">
          <cell r="F432"/>
        </row>
        <row r="433">
          <cell r="F433"/>
        </row>
        <row r="434">
          <cell r="F434"/>
        </row>
        <row r="435">
          <cell r="F435"/>
        </row>
        <row r="436">
          <cell r="F436"/>
        </row>
        <row r="437">
          <cell r="F437"/>
        </row>
        <row r="438">
          <cell r="F438"/>
        </row>
        <row r="439">
          <cell r="F439"/>
        </row>
        <row r="440">
          <cell r="F440"/>
        </row>
        <row r="441">
          <cell r="F441"/>
        </row>
        <row r="442">
          <cell r="F442"/>
        </row>
        <row r="443">
          <cell r="F443"/>
        </row>
        <row r="444">
          <cell r="F444"/>
        </row>
        <row r="445">
          <cell r="F445"/>
        </row>
        <row r="446">
          <cell r="F446"/>
        </row>
        <row r="447">
          <cell r="F447"/>
        </row>
        <row r="448">
          <cell r="F448"/>
        </row>
        <row r="449">
          <cell r="F449"/>
        </row>
        <row r="450">
          <cell r="F450"/>
        </row>
        <row r="451">
          <cell r="F451"/>
        </row>
        <row r="452">
          <cell r="F452"/>
        </row>
        <row r="453">
          <cell r="F453"/>
        </row>
        <row r="454">
          <cell r="F454"/>
        </row>
        <row r="455">
          <cell r="F455"/>
        </row>
        <row r="456">
          <cell r="F456"/>
        </row>
        <row r="457">
          <cell r="F457"/>
        </row>
        <row r="458">
          <cell r="F458"/>
        </row>
        <row r="459">
          <cell r="F459"/>
        </row>
        <row r="460">
          <cell r="F460"/>
        </row>
        <row r="461">
          <cell r="F461"/>
        </row>
        <row r="462">
          <cell r="F462"/>
        </row>
        <row r="463">
          <cell r="F463"/>
        </row>
        <row r="464">
          <cell r="F464"/>
        </row>
        <row r="465">
          <cell r="F465"/>
        </row>
        <row r="466">
          <cell r="F466"/>
        </row>
        <row r="467">
          <cell r="F467"/>
        </row>
        <row r="468">
          <cell r="F468"/>
        </row>
        <row r="469">
          <cell r="F469"/>
        </row>
        <row r="470">
          <cell r="F470"/>
        </row>
        <row r="471">
          <cell r="F471"/>
        </row>
        <row r="472">
          <cell r="F472"/>
        </row>
        <row r="473">
          <cell r="F473"/>
        </row>
        <row r="474">
          <cell r="F474"/>
        </row>
        <row r="475">
          <cell r="F475"/>
        </row>
        <row r="476">
          <cell r="F476"/>
        </row>
        <row r="477">
          <cell r="F477"/>
        </row>
        <row r="478">
          <cell r="F478"/>
        </row>
        <row r="479">
          <cell r="F479"/>
        </row>
        <row r="480">
          <cell r="F480"/>
        </row>
        <row r="481">
          <cell r="F481"/>
        </row>
        <row r="482">
          <cell r="F482"/>
        </row>
        <row r="483">
          <cell r="F483"/>
        </row>
        <row r="484">
          <cell r="F484"/>
        </row>
        <row r="485">
          <cell r="F485"/>
        </row>
        <row r="486">
          <cell r="F486"/>
        </row>
        <row r="487">
          <cell r="F487"/>
        </row>
        <row r="488">
          <cell r="F488"/>
        </row>
        <row r="489">
          <cell r="F489"/>
        </row>
        <row r="490">
          <cell r="F490"/>
        </row>
        <row r="491">
          <cell r="F491"/>
        </row>
        <row r="492">
          <cell r="F492"/>
        </row>
        <row r="493">
          <cell r="F493"/>
        </row>
        <row r="494">
          <cell r="F494"/>
        </row>
        <row r="495">
          <cell r="F495"/>
        </row>
        <row r="496">
          <cell r="F496"/>
        </row>
        <row r="497">
          <cell r="F497"/>
        </row>
        <row r="498">
          <cell r="F498"/>
        </row>
        <row r="499">
          <cell r="F499"/>
        </row>
        <row r="500">
          <cell r="F500"/>
        </row>
        <row r="501">
          <cell r="F501"/>
        </row>
        <row r="502">
          <cell r="F502"/>
        </row>
        <row r="503">
          <cell r="F503"/>
        </row>
        <row r="504">
          <cell r="F504"/>
        </row>
        <row r="505">
          <cell r="F505"/>
        </row>
        <row r="506">
          <cell r="F506"/>
        </row>
        <row r="507">
          <cell r="F507"/>
        </row>
        <row r="508">
          <cell r="F508"/>
        </row>
        <row r="509">
          <cell r="F509"/>
        </row>
        <row r="510">
          <cell r="F510"/>
        </row>
        <row r="511">
          <cell r="F511"/>
        </row>
        <row r="512">
          <cell r="F512"/>
        </row>
        <row r="513">
          <cell r="F513"/>
        </row>
        <row r="514">
          <cell r="F514"/>
        </row>
        <row r="515">
          <cell r="F515"/>
        </row>
        <row r="516">
          <cell r="F516"/>
        </row>
        <row r="517">
          <cell r="F517"/>
        </row>
        <row r="518">
          <cell r="F518"/>
        </row>
        <row r="519">
          <cell r="F519"/>
        </row>
        <row r="520">
          <cell r="F520"/>
        </row>
        <row r="521">
          <cell r="F521"/>
        </row>
        <row r="522">
          <cell r="F522"/>
        </row>
        <row r="523">
          <cell r="F523"/>
        </row>
        <row r="524">
          <cell r="F524"/>
        </row>
        <row r="525">
          <cell r="F525"/>
        </row>
        <row r="526">
          <cell r="F526"/>
        </row>
        <row r="527">
          <cell r="F527"/>
        </row>
        <row r="528">
          <cell r="F528"/>
        </row>
        <row r="529">
          <cell r="F529"/>
        </row>
        <row r="530">
          <cell r="F530"/>
        </row>
        <row r="531">
          <cell r="F531"/>
        </row>
        <row r="532">
          <cell r="F532"/>
        </row>
        <row r="533">
          <cell r="F533"/>
        </row>
        <row r="534">
          <cell r="F534"/>
        </row>
        <row r="535">
          <cell r="F535"/>
        </row>
        <row r="536">
          <cell r="F536"/>
        </row>
        <row r="537">
          <cell r="F537"/>
        </row>
        <row r="538">
          <cell r="F538"/>
        </row>
        <row r="539">
          <cell r="F539"/>
        </row>
        <row r="540">
          <cell r="F540"/>
        </row>
        <row r="541">
          <cell r="F541"/>
        </row>
        <row r="542">
          <cell r="F542"/>
        </row>
        <row r="543">
          <cell r="F543"/>
        </row>
        <row r="544">
          <cell r="F544"/>
        </row>
        <row r="545">
          <cell r="F545"/>
        </row>
        <row r="546">
          <cell r="F546"/>
        </row>
        <row r="547">
          <cell r="F547"/>
        </row>
        <row r="548">
          <cell r="F548"/>
        </row>
        <row r="549">
          <cell r="F549"/>
        </row>
        <row r="550">
          <cell r="F550"/>
        </row>
        <row r="551">
          <cell r="F551"/>
        </row>
        <row r="552">
          <cell r="F552"/>
        </row>
        <row r="553">
          <cell r="F553"/>
        </row>
        <row r="554">
          <cell r="F554"/>
        </row>
        <row r="555">
          <cell r="F555"/>
        </row>
        <row r="556">
          <cell r="F556"/>
        </row>
        <row r="557">
          <cell r="F557"/>
        </row>
        <row r="558">
          <cell r="F558"/>
        </row>
        <row r="559">
          <cell r="F559"/>
        </row>
        <row r="560">
          <cell r="F560"/>
        </row>
        <row r="561">
          <cell r="F561"/>
        </row>
        <row r="562">
          <cell r="F562"/>
        </row>
        <row r="563">
          <cell r="F563"/>
        </row>
        <row r="564">
          <cell r="F564"/>
        </row>
        <row r="565">
          <cell r="F565"/>
        </row>
        <row r="566">
          <cell r="F566"/>
        </row>
        <row r="567">
          <cell r="F567"/>
        </row>
        <row r="568">
          <cell r="F568"/>
        </row>
        <row r="569">
          <cell r="F569"/>
        </row>
        <row r="570">
          <cell r="F570"/>
        </row>
        <row r="571">
          <cell r="F571"/>
        </row>
        <row r="572">
          <cell r="F572"/>
        </row>
        <row r="573">
          <cell r="F573"/>
        </row>
        <row r="574">
          <cell r="F574"/>
        </row>
        <row r="575">
          <cell r="F575"/>
        </row>
        <row r="576">
          <cell r="F576"/>
        </row>
        <row r="577">
          <cell r="F577"/>
        </row>
        <row r="578">
          <cell r="F578"/>
        </row>
        <row r="579">
          <cell r="F579"/>
        </row>
        <row r="580">
          <cell r="F580"/>
        </row>
        <row r="581">
          <cell r="F581"/>
        </row>
        <row r="582">
          <cell r="F582"/>
        </row>
        <row r="583">
          <cell r="F583"/>
        </row>
        <row r="584">
          <cell r="F584"/>
        </row>
        <row r="585">
          <cell r="F585"/>
        </row>
        <row r="586">
          <cell r="F586"/>
        </row>
        <row r="587">
          <cell r="F587"/>
        </row>
        <row r="588">
          <cell r="F588"/>
        </row>
        <row r="589">
          <cell r="F589"/>
        </row>
        <row r="590">
          <cell r="F590"/>
        </row>
        <row r="591">
          <cell r="F591"/>
        </row>
        <row r="592">
          <cell r="F592"/>
        </row>
        <row r="593">
          <cell r="F593"/>
        </row>
        <row r="594">
          <cell r="F594"/>
        </row>
        <row r="595">
          <cell r="F595"/>
        </row>
        <row r="596">
          <cell r="F596"/>
        </row>
        <row r="597">
          <cell r="F597"/>
        </row>
        <row r="598">
          <cell r="F598"/>
        </row>
        <row r="599">
          <cell r="F599"/>
        </row>
        <row r="600">
          <cell r="F600"/>
        </row>
        <row r="601">
          <cell r="F601"/>
        </row>
        <row r="602">
          <cell r="F602"/>
        </row>
        <row r="603">
          <cell r="F603"/>
        </row>
        <row r="604">
          <cell r="F604"/>
        </row>
        <row r="605">
          <cell r="F605"/>
        </row>
        <row r="606">
          <cell r="F606"/>
        </row>
        <row r="607">
          <cell r="F607"/>
        </row>
        <row r="608">
          <cell r="F608"/>
        </row>
        <row r="609">
          <cell r="F609"/>
        </row>
        <row r="610">
          <cell r="F610"/>
        </row>
        <row r="611">
          <cell r="F611"/>
        </row>
        <row r="612">
          <cell r="F612"/>
        </row>
        <row r="613">
          <cell r="F613"/>
        </row>
        <row r="614">
          <cell r="F614"/>
        </row>
        <row r="615">
          <cell r="F615"/>
        </row>
        <row r="616">
          <cell r="F616"/>
        </row>
        <row r="617">
          <cell r="F617"/>
        </row>
        <row r="618">
          <cell r="F618"/>
        </row>
        <row r="619">
          <cell r="F619"/>
        </row>
        <row r="620">
          <cell r="F620"/>
        </row>
        <row r="621">
          <cell r="F621"/>
        </row>
        <row r="622">
          <cell r="F622"/>
        </row>
        <row r="623">
          <cell r="F623"/>
        </row>
        <row r="624">
          <cell r="F624"/>
        </row>
        <row r="625">
          <cell r="F625"/>
        </row>
        <row r="626">
          <cell r="F626"/>
        </row>
        <row r="627">
          <cell r="F627"/>
        </row>
        <row r="628">
          <cell r="F628"/>
        </row>
        <row r="629">
          <cell r="F629"/>
        </row>
        <row r="630">
          <cell r="F630"/>
        </row>
        <row r="631">
          <cell r="F631"/>
        </row>
        <row r="632">
          <cell r="F632"/>
        </row>
        <row r="633">
          <cell r="F633"/>
        </row>
        <row r="634">
          <cell r="F634"/>
        </row>
        <row r="635">
          <cell r="F635"/>
        </row>
        <row r="636">
          <cell r="F636"/>
        </row>
        <row r="637">
          <cell r="F637"/>
        </row>
        <row r="638">
          <cell r="F638"/>
        </row>
        <row r="639">
          <cell r="F639"/>
        </row>
        <row r="640">
          <cell r="F640"/>
        </row>
        <row r="641">
          <cell r="F641"/>
        </row>
        <row r="642">
          <cell r="F642"/>
        </row>
        <row r="643">
          <cell r="F643"/>
        </row>
        <row r="644">
          <cell r="F644"/>
        </row>
        <row r="645">
          <cell r="F645"/>
        </row>
        <row r="646">
          <cell r="F646"/>
        </row>
        <row r="647">
          <cell r="F647"/>
        </row>
        <row r="648">
          <cell r="F648"/>
        </row>
        <row r="649">
          <cell r="F649"/>
        </row>
        <row r="650">
          <cell r="F650"/>
        </row>
        <row r="651">
          <cell r="F651"/>
        </row>
        <row r="652">
          <cell r="F652"/>
        </row>
        <row r="653">
          <cell r="F653"/>
        </row>
        <row r="654">
          <cell r="F654"/>
        </row>
        <row r="655">
          <cell r="F655"/>
        </row>
        <row r="656">
          <cell r="F656"/>
        </row>
        <row r="657">
          <cell r="F657"/>
        </row>
        <row r="658">
          <cell r="F658"/>
        </row>
        <row r="659">
          <cell r="F659"/>
        </row>
        <row r="660">
          <cell r="F660"/>
        </row>
        <row r="661">
          <cell r="F661"/>
        </row>
        <row r="662">
          <cell r="F662"/>
        </row>
        <row r="663">
          <cell r="F663"/>
        </row>
        <row r="664">
          <cell r="F664"/>
        </row>
        <row r="665">
          <cell r="F665"/>
        </row>
        <row r="666">
          <cell r="F666"/>
        </row>
        <row r="667">
          <cell r="F667"/>
        </row>
        <row r="668">
          <cell r="F668"/>
        </row>
        <row r="669">
          <cell r="F669"/>
        </row>
        <row r="670">
          <cell r="F670"/>
        </row>
        <row r="671">
          <cell r="F671"/>
        </row>
        <row r="672">
          <cell r="F672"/>
        </row>
        <row r="673">
          <cell r="F673"/>
        </row>
        <row r="674">
          <cell r="F674"/>
        </row>
        <row r="675">
          <cell r="F675"/>
        </row>
        <row r="676">
          <cell r="F676"/>
        </row>
        <row r="677">
          <cell r="F677"/>
        </row>
        <row r="678">
          <cell r="F678"/>
        </row>
        <row r="679">
          <cell r="F679"/>
        </row>
        <row r="680">
          <cell r="F680"/>
        </row>
        <row r="681">
          <cell r="F681"/>
        </row>
        <row r="682">
          <cell r="F682"/>
        </row>
        <row r="683">
          <cell r="F683"/>
        </row>
        <row r="684">
          <cell r="F684"/>
        </row>
        <row r="685">
          <cell r="F685"/>
        </row>
        <row r="686">
          <cell r="F686"/>
        </row>
        <row r="687">
          <cell r="F687"/>
        </row>
        <row r="688">
          <cell r="F688"/>
        </row>
        <row r="689">
          <cell r="F689"/>
        </row>
        <row r="690">
          <cell r="F690"/>
        </row>
        <row r="691">
          <cell r="F691"/>
        </row>
        <row r="692">
          <cell r="F692"/>
        </row>
        <row r="693">
          <cell r="F693"/>
        </row>
        <row r="694">
          <cell r="F694"/>
        </row>
        <row r="695">
          <cell r="F695"/>
        </row>
        <row r="696">
          <cell r="F696"/>
        </row>
        <row r="697">
          <cell r="F697"/>
        </row>
        <row r="698">
          <cell r="F698"/>
        </row>
        <row r="699">
          <cell r="F699"/>
        </row>
        <row r="700">
          <cell r="F700"/>
        </row>
        <row r="701">
          <cell r="F701"/>
        </row>
        <row r="702">
          <cell r="F702"/>
        </row>
        <row r="703">
          <cell r="F703"/>
        </row>
        <row r="704">
          <cell r="F704"/>
        </row>
        <row r="705">
          <cell r="F705"/>
        </row>
        <row r="706">
          <cell r="F706"/>
        </row>
        <row r="707">
          <cell r="F707"/>
        </row>
        <row r="708">
          <cell r="F708"/>
        </row>
        <row r="709">
          <cell r="F709"/>
        </row>
        <row r="710">
          <cell r="F710"/>
        </row>
        <row r="711">
          <cell r="F711"/>
        </row>
        <row r="712">
          <cell r="F712"/>
        </row>
        <row r="713">
          <cell r="F713"/>
        </row>
        <row r="714">
          <cell r="F714"/>
        </row>
        <row r="715">
          <cell r="F715"/>
        </row>
        <row r="716">
          <cell r="F716"/>
        </row>
        <row r="717">
          <cell r="F717"/>
        </row>
        <row r="718">
          <cell r="F718"/>
        </row>
        <row r="719">
          <cell r="F719"/>
        </row>
        <row r="720">
          <cell r="F720"/>
        </row>
        <row r="721">
          <cell r="F721"/>
        </row>
        <row r="722">
          <cell r="F722"/>
        </row>
        <row r="723">
          <cell r="F723"/>
        </row>
        <row r="724">
          <cell r="F724"/>
        </row>
        <row r="725">
          <cell r="F725"/>
        </row>
        <row r="726">
          <cell r="F726"/>
        </row>
        <row r="727">
          <cell r="F727"/>
        </row>
        <row r="728">
          <cell r="F728"/>
        </row>
        <row r="729">
          <cell r="F729"/>
        </row>
        <row r="730">
          <cell r="F730"/>
        </row>
        <row r="731">
          <cell r="F731"/>
        </row>
        <row r="732">
          <cell r="F732"/>
        </row>
        <row r="733">
          <cell r="F733"/>
        </row>
        <row r="734">
          <cell r="F734"/>
        </row>
        <row r="735">
          <cell r="F735"/>
        </row>
        <row r="736">
          <cell r="F736"/>
        </row>
        <row r="737">
          <cell r="F737"/>
        </row>
        <row r="738">
          <cell r="F738"/>
        </row>
        <row r="739">
          <cell r="F739"/>
        </row>
        <row r="740">
          <cell r="F740"/>
        </row>
        <row r="741">
          <cell r="F741"/>
        </row>
        <row r="742">
          <cell r="F742"/>
        </row>
        <row r="743">
          <cell r="F743"/>
        </row>
        <row r="744">
          <cell r="F744"/>
        </row>
        <row r="745">
          <cell r="F745"/>
        </row>
        <row r="746">
          <cell r="F746"/>
        </row>
        <row r="747">
          <cell r="F747"/>
        </row>
        <row r="748">
          <cell r="F748"/>
        </row>
        <row r="749">
          <cell r="F749"/>
        </row>
        <row r="750">
          <cell r="F750"/>
        </row>
        <row r="751">
          <cell r="F751"/>
        </row>
        <row r="752">
          <cell r="F752"/>
        </row>
        <row r="753">
          <cell r="F753"/>
        </row>
        <row r="754">
          <cell r="F754"/>
        </row>
        <row r="755">
          <cell r="F755"/>
        </row>
        <row r="756">
          <cell r="F756"/>
        </row>
        <row r="757">
          <cell r="F757"/>
        </row>
        <row r="758">
          <cell r="F758"/>
        </row>
        <row r="759">
          <cell r="F759"/>
        </row>
        <row r="760">
          <cell r="F760"/>
        </row>
        <row r="761">
          <cell r="F761"/>
        </row>
        <row r="762">
          <cell r="F762"/>
        </row>
        <row r="763">
          <cell r="F763"/>
        </row>
        <row r="764">
          <cell r="F764"/>
        </row>
        <row r="765">
          <cell r="F765"/>
        </row>
        <row r="766">
          <cell r="F766"/>
        </row>
        <row r="767">
          <cell r="F767"/>
        </row>
        <row r="768">
          <cell r="F768"/>
        </row>
        <row r="769">
          <cell r="F769"/>
        </row>
        <row r="770">
          <cell r="F770"/>
        </row>
        <row r="771">
          <cell r="F771"/>
        </row>
        <row r="772">
          <cell r="F772"/>
        </row>
        <row r="773">
          <cell r="F773"/>
        </row>
        <row r="774">
          <cell r="F774"/>
        </row>
        <row r="775">
          <cell r="F775"/>
        </row>
        <row r="776">
          <cell r="F776"/>
        </row>
        <row r="777">
          <cell r="F777"/>
        </row>
        <row r="778">
          <cell r="F778"/>
        </row>
        <row r="779">
          <cell r="F779"/>
        </row>
        <row r="780">
          <cell r="F780"/>
        </row>
        <row r="781">
          <cell r="F781"/>
        </row>
        <row r="782">
          <cell r="F782"/>
        </row>
        <row r="783">
          <cell r="F783"/>
        </row>
        <row r="784">
          <cell r="F784"/>
        </row>
        <row r="785">
          <cell r="F785"/>
        </row>
        <row r="786">
          <cell r="F786"/>
        </row>
        <row r="787">
          <cell r="F787"/>
        </row>
        <row r="788">
          <cell r="F788"/>
        </row>
        <row r="789">
          <cell r="F789"/>
        </row>
        <row r="790">
          <cell r="F790"/>
        </row>
        <row r="791">
          <cell r="F791"/>
        </row>
        <row r="792">
          <cell r="F792"/>
        </row>
        <row r="793">
          <cell r="F793"/>
        </row>
        <row r="794">
          <cell r="F794"/>
        </row>
        <row r="795">
          <cell r="F795"/>
        </row>
        <row r="796">
          <cell r="F796"/>
        </row>
        <row r="797">
          <cell r="F797"/>
        </row>
        <row r="798">
          <cell r="F798"/>
        </row>
        <row r="799">
          <cell r="F799"/>
        </row>
        <row r="800">
          <cell r="F800"/>
        </row>
        <row r="801">
          <cell r="F801"/>
        </row>
        <row r="802">
          <cell r="F802"/>
        </row>
        <row r="803">
          <cell r="F803"/>
        </row>
        <row r="804">
          <cell r="F804"/>
        </row>
        <row r="805">
          <cell r="F805"/>
        </row>
        <row r="806">
          <cell r="F806"/>
        </row>
        <row r="807">
          <cell r="F807"/>
        </row>
        <row r="808">
          <cell r="F808"/>
        </row>
        <row r="809">
          <cell r="F809"/>
        </row>
        <row r="810">
          <cell r="F810"/>
        </row>
        <row r="811">
          <cell r="F811"/>
        </row>
        <row r="812">
          <cell r="F812"/>
        </row>
        <row r="813">
          <cell r="F813"/>
        </row>
        <row r="814">
          <cell r="F814"/>
        </row>
        <row r="815">
          <cell r="F815"/>
        </row>
        <row r="816">
          <cell r="F816"/>
        </row>
        <row r="817">
          <cell r="F817"/>
        </row>
        <row r="818">
          <cell r="F818"/>
        </row>
        <row r="819">
          <cell r="F819"/>
        </row>
        <row r="820">
          <cell r="F820"/>
        </row>
        <row r="821">
          <cell r="F821"/>
        </row>
        <row r="822">
          <cell r="F822"/>
        </row>
        <row r="823">
          <cell r="F823"/>
        </row>
        <row r="824">
          <cell r="F824"/>
        </row>
        <row r="825">
          <cell r="F825"/>
        </row>
        <row r="826">
          <cell r="F826"/>
        </row>
        <row r="827">
          <cell r="F827"/>
        </row>
        <row r="828">
          <cell r="F828"/>
        </row>
        <row r="829">
          <cell r="F829"/>
        </row>
        <row r="830">
          <cell r="F830"/>
        </row>
        <row r="831">
          <cell r="F831"/>
        </row>
        <row r="832">
          <cell r="F832"/>
        </row>
        <row r="833">
          <cell r="F833"/>
        </row>
        <row r="834">
          <cell r="F834"/>
        </row>
        <row r="835">
          <cell r="F835"/>
        </row>
        <row r="836">
          <cell r="F836"/>
        </row>
        <row r="837">
          <cell r="F837"/>
        </row>
        <row r="838">
          <cell r="F838"/>
        </row>
        <row r="839">
          <cell r="F839"/>
        </row>
        <row r="840">
          <cell r="F840"/>
        </row>
        <row r="841">
          <cell r="F841"/>
        </row>
        <row r="842">
          <cell r="F842"/>
        </row>
        <row r="843">
          <cell r="F843"/>
        </row>
        <row r="844">
          <cell r="F844"/>
        </row>
        <row r="845">
          <cell r="F845"/>
        </row>
        <row r="846">
          <cell r="F846"/>
        </row>
        <row r="847">
          <cell r="F847"/>
        </row>
        <row r="848">
          <cell r="F848"/>
        </row>
        <row r="849">
          <cell r="F849"/>
        </row>
        <row r="850">
          <cell r="F850"/>
        </row>
        <row r="851">
          <cell r="F851"/>
        </row>
        <row r="852">
          <cell r="F852"/>
        </row>
        <row r="853">
          <cell r="F853"/>
        </row>
        <row r="854">
          <cell r="F854"/>
        </row>
        <row r="855">
          <cell r="F855"/>
        </row>
        <row r="856">
          <cell r="F856"/>
        </row>
        <row r="857">
          <cell r="F857"/>
        </row>
        <row r="858">
          <cell r="F858"/>
        </row>
        <row r="859">
          <cell r="F859"/>
        </row>
        <row r="860">
          <cell r="F860"/>
        </row>
        <row r="861">
          <cell r="F861"/>
        </row>
        <row r="862">
          <cell r="F862"/>
        </row>
        <row r="863">
          <cell r="F863"/>
        </row>
        <row r="864">
          <cell r="F864"/>
        </row>
        <row r="865">
          <cell r="F865"/>
        </row>
        <row r="866">
          <cell r="F866"/>
        </row>
        <row r="867">
          <cell r="F867"/>
        </row>
        <row r="868">
          <cell r="F868"/>
        </row>
        <row r="869">
          <cell r="F869"/>
        </row>
        <row r="870">
          <cell r="F870"/>
        </row>
        <row r="871">
          <cell r="F871"/>
        </row>
        <row r="872">
          <cell r="F872"/>
        </row>
        <row r="873">
          <cell r="F873"/>
        </row>
        <row r="874">
          <cell r="F874"/>
        </row>
        <row r="875">
          <cell r="F875"/>
        </row>
        <row r="876">
          <cell r="F876"/>
        </row>
        <row r="877">
          <cell r="F877"/>
        </row>
        <row r="878">
          <cell r="F878"/>
        </row>
        <row r="879">
          <cell r="F879"/>
        </row>
        <row r="880">
          <cell r="F880"/>
        </row>
        <row r="881">
          <cell r="F881"/>
        </row>
        <row r="882">
          <cell r="F882"/>
        </row>
        <row r="883">
          <cell r="F883"/>
        </row>
        <row r="884">
          <cell r="F884"/>
        </row>
        <row r="885">
          <cell r="F885"/>
        </row>
        <row r="886">
          <cell r="F886"/>
        </row>
        <row r="887">
          <cell r="F887"/>
        </row>
        <row r="888">
          <cell r="F888"/>
        </row>
        <row r="889">
          <cell r="F889"/>
        </row>
        <row r="890">
          <cell r="F890"/>
        </row>
        <row r="891">
          <cell r="F891"/>
        </row>
        <row r="892">
          <cell r="F892"/>
        </row>
        <row r="893">
          <cell r="F893"/>
        </row>
        <row r="894">
          <cell r="F894"/>
        </row>
        <row r="895">
          <cell r="F895"/>
        </row>
        <row r="896">
          <cell r="F896"/>
        </row>
        <row r="897">
          <cell r="F897"/>
        </row>
        <row r="898">
          <cell r="F898"/>
        </row>
        <row r="899">
          <cell r="F899"/>
        </row>
        <row r="900">
          <cell r="F900"/>
        </row>
        <row r="901">
          <cell r="F901"/>
        </row>
        <row r="902">
          <cell r="F902"/>
        </row>
        <row r="903">
          <cell r="F903"/>
        </row>
        <row r="904">
          <cell r="F904"/>
        </row>
        <row r="905">
          <cell r="F905"/>
        </row>
        <row r="906">
          <cell r="F906"/>
        </row>
        <row r="907">
          <cell r="F907"/>
        </row>
        <row r="908">
          <cell r="F908"/>
        </row>
        <row r="909">
          <cell r="F909"/>
        </row>
        <row r="910">
          <cell r="F910"/>
        </row>
        <row r="911">
          <cell r="F911"/>
        </row>
        <row r="912">
          <cell r="F912"/>
        </row>
        <row r="913">
          <cell r="F913"/>
        </row>
        <row r="914">
          <cell r="F914"/>
        </row>
        <row r="915">
          <cell r="F915"/>
        </row>
        <row r="916">
          <cell r="F916"/>
        </row>
        <row r="917">
          <cell r="F917"/>
        </row>
        <row r="918">
          <cell r="F918"/>
        </row>
        <row r="919">
          <cell r="F919"/>
        </row>
        <row r="920">
          <cell r="F920"/>
        </row>
        <row r="921">
          <cell r="F921"/>
        </row>
        <row r="922">
          <cell r="F922"/>
        </row>
        <row r="923">
          <cell r="F923"/>
        </row>
        <row r="924">
          <cell r="F924"/>
        </row>
        <row r="925">
          <cell r="F925"/>
        </row>
        <row r="926">
          <cell r="F926"/>
        </row>
        <row r="927">
          <cell r="F927"/>
        </row>
        <row r="928">
          <cell r="F928"/>
        </row>
        <row r="929">
          <cell r="F929"/>
        </row>
        <row r="930">
          <cell r="F930"/>
        </row>
        <row r="931">
          <cell r="F931"/>
        </row>
        <row r="932">
          <cell r="F932"/>
        </row>
        <row r="933">
          <cell r="F933"/>
        </row>
        <row r="934">
          <cell r="F934"/>
        </row>
        <row r="935">
          <cell r="F935"/>
        </row>
        <row r="936">
          <cell r="F936"/>
        </row>
        <row r="937">
          <cell r="F937"/>
        </row>
        <row r="938">
          <cell r="F938"/>
        </row>
        <row r="939">
          <cell r="F939"/>
        </row>
        <row r="940">
          <cell r="F940"/>
        </row>
        <row r="941">
          <cell r="F941"/>
        </row>
        <row r="942">
          <cell r="F942"/>
        </row>
        <row r="943">
          <cell r="F943"/>
        </row>
        <row r="944">
          <cell r="F944"/>
        </row>
        <row r="945">
          <cell r="F945"/>
        </row>
        <row r="946">
          <cell r="F946"/>
        </row>
        <row r="947">
          <cell r="F947"/>
        </row>
        <row r="948">
          <cell r="F948"/>
        </row>
        <row r="949">
          <cell r="F949"/>
        </row>
        <row r="950">
          <cell r="F950"/>
        </row>
        <row r="951">
          <cell r="F951"/>
        </row>
        <row r="952">
          <cell r="F952"/>
        </row>
        <row r="953">
          <cell r="F953"/>
        </row>
        <row r="954">
          <cell r="F954"/>
        </row>
        <row r="955">
          <cell r="F955"/>
        </row>
        <row r="956">
          <cell r="F956"/>
        </row>
        <row r="957">
          <cell r="F957"/>
        </row>
        <row r="958">
          <cell r="F958"/>
        </row>
        <row r="959">
          <cell r="F959"/>
        </row>
        <row r="960">
          <cell r="F960"/>
        </row>
        <row r="961">
          <cell r="F961"/>
        </row>
        <row r="962">
          <cell r="F962"/>
        </row>
        <row r="963">
          <cell r="F963"/>
        </row>
        <row r="964">
          <cell r="F964"/>
        </row>
        <row r="965">
          <cell r="F965"/>
        </row>
        <row r="966">
          <cell r="F966"/>
        </row>
        <row r="967">
          <cell r="F967"/>
        </row>
        <row r="968">
          <cell r="F968"/>
        </row>
        <row r="969">
          <cell r="F969"/>
        </row>
        <row r="970">
          <cell r="F970"/>
        </row>
        <row r="971">
          <cell r="F971"/>
        </row>
        <row r="972">
          <cell r="F972"/>
        </row>
        <row r="973">
          <cell r="F973"/>
        </row>
        <row r="974">
          <cell r="F974"/>
        </row>
        <row r="975">
          <cell r="F975"/>
        </row>
        <row r="976">
          <cell r="F976"/>
        </row>
        <row r="977">
          <cell r="F977"/>
        </row>
        <row r="978">
          <cell r="F978"/>
        </row>
        <row r="979">
          <cell r="F979"/>
        </row>
        <row r="980">
          <cell r="F980"/>
        </row>
        <row r="981">
          <cell r="F981"/>
        </row>
        <row r="982">
          <cell r="F982"/>
        </row>
        <row r="983">
          <cell r="F983"/>
        </row>
        <row r="984">
          <cell r="F984"/>
        </row>
        <row r="985">
          <cell r="F985"/>
        </row>
        <row r="986">
          <cell r="F986"/>
        </row>
        <row r="987">
          <cell r="F987"/>
        </row>
        <row r="988">
          <cell r="F988"/>
        </row>
        <row r="989">
          <cell r="F989"/>
        </row>
        <row r="990">
          <cell r="F990"/>
        </row>
        <row r="991">
          <cell r="F991"/>
        </row>
        <row r="992">
          <cell r="F992"/>
        </row>
        <row r="993">
          <cell r="F993"/>
        </row>
        <row r="994">
          <cell r="F994"/>
        </row>
        <row r="995">
          <cell r="F995"/>
        </row>
        <row r="996">
          <cell r="F996"/>
        </row>
        <row r="997">
          <cell r="F997"/>
        </row>
        <row r="998">
          <cell r="F998"/>
        </row>
        <row r="999">
          <cell r="F999"/>
        </row>
        <row r="1000">
          <cell r="F1000"/>
        </row>
        <row r="1001">
          <cell r="F1001"/>
        </row>
        <row r="1002">
          <cell r="F1002"/>
        </row>
        <row r="1003">
          <cell r="F1003"/>
        </row>
        <row r="1004">
          <cell r="F1004"/>
        </row>
        <row r="1005">
          <cell r="F1005"/>
        </row>
        <row r="1006">
          <cell r="F1006"/>
        </row>
        <row r="1007">
          <cell r="F1007"/>
        </row>
        <row r="1008">
          <cell r="F1008"/>
        </row>
        <row r="1009">
          <cell r="F1009"/>
        </row>
        <row r="1010">
          <cell r="F1010"/>
        </row>
        <row r="1011">
          <cell r="F1011"/>
        </row>
        <row r="1012">
          <cell r="F1012"/>
        </row>
        <row r="1013">
          <cell r="F1013"/>
        </row>
        <row r="1014">
          <cell r="F1014"/>
        </row>
        <row r="1015">
          <cell r="F1015"/>
        </row>
        <row r="1016">
          <cell r="F1016"/>
        </row>
        <row r="1017">
          <cell r="F1017"/>
        </row>
        <row r="1018">
          <cell r="F1018"/>
        </row>
        <row r="1019">
          <cell r="F1019"/>
        </row>
        <row r="1020">
          <cell r="F1020"/>
        </row>
        <row r="1021">
          <cell r="F1021"/>
        </row>
        <row r="1022">
          <cell r="F1022"/>
        </row>
        <row r="1023">
          <cell r="F1023"/>
        </row>
        <row r="1024">
          <cell r="F1024"/>
        </row>
        <row r="1025">
          <cell r="F1025"/>
        </row>
        <row r="1026">
          <cell r="F1026"/>
        </row>
        <row r="1027">
          <cell r="F1027"/>
        </row>
        <row r="1028">
          <cell r="F1028"/>
        </row>
        <row r="1029">
          <cell r="F1029"/>
        </row>
        <row r="1030">
          <cell r="F1030"/>
        </row>
        <row r="1031">
          <cell r="F1031"/>
        </row>
        <row r="1032">
          <cell r="F1032"/>
        </row>
        <row r="1033">
          <cell r="F1033"/>
        </row>
        <row r="1034">
          <cell r="F1034"/>
        </row>
        <row r="1035">
          <cell r="F1035"/>
        </row>
        <row r="1036">
          <cell r="F1036"/>
        </row>
        <row r="1037">
          <cell r="F1037"/>
        </row>
        <row r="1038">
          <cell r="F1038"/>
        </row>
        <row r="1039">
          <cell r="F1039"/>
        </row>
        <row r="1040">
          <cell r="F1040"/>
        </row>
        <row r="1041">
          <cell r="F1041"/>
        </row>
        <row r="1042">
          <cell r="F1042"/>
        </row>
      </sheetData>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Set>
  </externalBook>
</externalLink>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dimension ref="A1:Q66"/>
  <sheetViews>
    <sheetView workbookViewId="0">
      <selection activeCell="L4" sqref="L4:L18"/>
    </sheetView>
  </sheetViews>
  <sheetFormatPr baseColWidth="10" defaultColWidth="9.140625" defaultRowHeight="15" x14ac:dyDescent="0.25"/>
  <cols>
    <col min="1" max="1" width="37.42578125" bestFit="1" customWidth="1"/>
    <col min="3" max="3" width="5.7109375" customWidth="1"/>
    <col min="4" max="4" width="20.140625" bestFit="1" customWidth="1"/>
    <col min="5" max="5" width="5.7109375" customWidth="1"/>
    <col min="6" max="6" width="9.7109375" bestFit="1" customWidth="1"/>
    <col min="7" max="7" width="10.7109375" customWidth="1"/>
    <col min="8" max="8" width="37.42578125" bestFit="1" customWidth="1"/>
    <col min="9" max="9" width="15" customWidth="1"/>
    <col min="10" max="10" width="14.85546875" customWidth="1"/>
    <col min="11" max="11" width="5.7109375" customWidth="1"/>
    <col min="12" max="12" width="26.5703125" bestFit="1" customWidth="1"/>
    <col min="13" max="13" width="5.7109375" customWidth="1"/>
    <col min="14" max="14" width="15.7109375" customWidth="1"/>
    <col min="15" max="16" width="13.7109375" customWidth="1"/>
    <col min="17" max="17" width="35.140625" customWidth="1"/>
  </cols>
  <sheetData>
    <row r="1" spans="1:17" ht="42.75" customHeight="1" thickBot="1" x14ac:dyDescent="0.55000000000000004">
      <c r="A1" s="51"/>
      <c r="B1" s="51"/>
      <c r="C1" s="16"/>
      <c r="D1" s="129" t="s">
        <v>303</v>
      </c>
      <c r="E1" s="129"/>
      <c r="F1" s="129"/>
      <c r="G1" s="129"/>
      <c r="H1" s="129"/>
      <c r="I1" s="129"/>
      <c r="J1" s="129"/>
      <c r="K1" s="129"/>
      <c r="L1" s="129"/>
      <c r="M1" s="16"/>
      <c r="N1" s="133" t="s">
        <v>41</v>
      </c>
      <c r="O1" s="134"/>
      <c r="P1" s="135"/>
      <c r="Q1" s="16"/>
    </row>
    <row r="2" spans="1:17" ht="15.75" thickBot="1" x14ac:dyDescent="0.3">
      <c r="A2" s="51"/>
      <c r="B2" s="51"/>
      <c r="C2" s="14"/>
      <c r="D2" s="14"/>
      <c r="E2" s="14"/>
      <c r="F2" s="130" t="s">
        <v>10</v>
      </c>
      <c r="G2" s="131"/>
      <c r="H2" s="131"/>
      <c r="I2" s="131"/>
      <c r="J2" s="132"/>
      <c r="K2" s="14"/>
      <c r="L2" s="14"/>
      <c r="M2" s="14"/>
      <c r="N2" s="68" t="s">
        <v>2</v>
      </c>
      <c r="O2" s="69" t="s">
        <v>4</v>
      </c>
      <c r="P2" s="70" t="s">
        <v>5</v>
      </c>
      <c r="Q2" s="14"/>
    </row>
    <row r="3" spans="1:17" ht="15.75" thickBot="1" x14ac:dyDescent="0.3">
      <c r="A3" s="51" t="s">
        <v>204</v>
      </c>
      <c r="B3" s="51"/>
      <c r="C3" s="17"/>
      <c r="D3" s="23" t="s">
        <v>300</v>
      </c>
      <c r="E3" s="17"/>
      <c r="F3" s="11" t="s">
        <v>2</v>
      </c>
      <c r="G3" s="21" t="s">
        <v>20</v>
      </c>
      <c r="H3" s="12" t="s">
        <v>8</v>
      </c>
      <c r="I3" s="12" t="s">
        <v>9</v>
      </c>
      <c r="J3" s="13" t="s">
        <v>1</v>
      </c>
      <c r="K3" s="17"/>
      <c r="L3" s="22" t="s">
        <v>299</v>
      </c>
      <c r="M3" s="17"/>
      <c r="N3" s="62" t="s">
        <v>43</v>
      </c>
      <c r="O3" s="63" t="s">
        <v>14</v>
      </c>
      <c r="P3" s="64" t="s">
        <v>15</v>
      </c>
      <c r="Q3" s="17"/>
    </row>
    <row r="4" spans="1:17" x14ac:dyDescent="0.25">
      <c r="A4" s="51" t="str">
        <f t="shared" ref="A4:A63" si="0">H4</f>
        <v>Encaisse</v>
      </c>
      <c r="B4" s="51"/>
      <c r="C4" s="17"/>
      <c r="D4" s="24" t="s">
        <v>43</v>
      </c>
      <c r="E4" s="17"/>
      <c r="F4" s="95" t="s">
        <v>43</v>
      </c>
      <c r="G4" s="96" t="s">
        <v>44</v>
      </c>
      <c r="H4" s="97" t="s">
        <v>45</v>
      </c>
      <c r="I4" s="27"/>
      <c r="J4" s="28" t="str">
        <f>IF(OR(F4="",F4="Income",F4="COGS",F4="Expense"),"",IFERROR(LOOKUP(2,1/('[1]Trans. Register'!B19:B100012=H4),'[1]Trans. Register'!F19:F100012),""))</f>
        <v/>
      </c>
      <c r="K4" s="17"/>
      <c r="L4" s="35" t="s">
        <v>183</v>
      </c>
      <c r="M4" s="17"/>
      <c r="N4" s="62" t="s">
        <v>131</v>
      </c>
      <c r="O4" s="63" t="s">
        <v>14</v>
      </c>
      <c r="P4" s="64" t="s">
        <v>15</v>
      </c>
      <c r="Q4" s="17"/>
    </row>
    <row r="5" spans="1:17" x14ac:dyDescent="0.25">
      <c r="A5" s="51" t="str">
        <f t="shared" si="0"/>
        <v>Comptes Clients</v>
      </c>
      <c r="B5" s="51"/>
      <c r="C5" s="17"/>
      <c r="D5" s="24" t="s">
        <v>131</v>
      </c>
      <c r="E5" s="17"/>
      <c r="F5" s="95" t="s">
        <v>43</v>
      </c>
      <c r="G5" s="96" t="s">
        <v>46</v>
      </c>
      <c r="H5" s="97" t="s">
        <v>47</v>
      </c>
      <c r="I5" s="29"/>
      <c r="J5" s="30" t="str">
        <f>IF(OR(F5="",F5="Income",F5="COGS",F5="Expense"),"",IFERROR(LOOKUP(2,1/('[1]Trans. Register'!B22:B100015=H5),'[1]Trans. Register'!F22:F100015),""))</f>
        <v/>
      </c>
      <c r="K5" s="17"/>
      <c r="L5" s="25" t="s">
        <v>181</v>
      </c>
      <c r="M5" s="17"/>
      <c r="N5" s="62" t="s">
        <v>109</v>
      </c>
      <c r="O5" s="63" t="s">
        <v>15</v>
      </c>
      <c r="P5" s="64" t="s">
        <v>14</v>
      </c>
      <c r="Q5" s="17"/>
    </row>
    <row r="6" spans="1:17" x14ac:dyDescent="0.25">
      <c r="A6" s="51" t="str">
        <f t="shared" si="0"/>
        <v>Provision pour mauvaises créances</v>
      </c>
      <c r="B6" s="51"/>
      <c r="C6" s="17"/>
      <c r="D6" s="24" t="s">
        <v>109</v>
      </c>
      <c r="E6" s="17"/>
      <c r="F6" s="95" t="s">
        <v>43</v>
      </c>
      <c r="G6" s="96" t="s">
        <v>48</v>
      </c>
      <c r="H6" s="97" t="s">
        <v>49</v>
      </c>
      <c r="I6" s="29"/>
      <c r="J6" s="30" t="str">
        <f>IF(OR(F6="",F6="Income",F6="COGS",F6="Expense"),"",IFERROR(LOOKUP(2,1/('[1]Trans. Register'!B9:B100002=H6),'[1]Trans. Register'!F9:F100002),""))</f>
        <v/>
      </c>
      <c r="K6" s="17"/>
      <c r="L6" s="25" t="s">
        <v>304</v>
      </c>
      <c r="M6" s="17"/>
      <c r="N6" s="62" t="s">
        <v>84</v>
      </c>
      <c r="O6" s="63" t="s">
        <v>15</v>
      </c>
      <c r="P6" s="64" t="s">
        <v>14</v>
      </c>
      <c r="Q6" s="17"/>
    </row>
    <row r="7" spans="1:17" ht="15.75" thickBot="1" x14ac:dyDescent="0.3">
      <c r="A7" s="51" t="str">
        <f t="shared" si="0"/>
        <v>TPS payée</v>
      </c>
      <c r="B7" s="51"/>
      <c r="C7" s="17"/>
      <c r="D7" s="24" t="s">
        <v>84</v>
      </c>
      <c r="E7" s="17"/>
      <c r="F7" s="95" t="s">
        <v>43</v>
      </c>
      <c r="G7" s="96" t="s">
        <v>50</v>
      </c>
      <c r="H7" s="97" t="s">
        <v>51</v>
      </c>
      <c r="I7" s="29"/>
      <c r="J7" s="30" t="str">
        <f>IF(OR(F7="",F7="Income",F7="COGS",F7="Expense"),"",IFERROR(LOOKUP(2,1/('[1]Trans. Register'!B20:B100013=H7),'[1]Trans. Register'!F20:F100013),""))</f>
        <v/>
      </c>
      <c r="K7" s="17"/>
      <c r="L7" s="25" t="s">
        <v>208</v>
      </c>
      <c r="M7" s="17"/>
      <c r="N7" s="65" t="s">
        <v>118</v>
      </c>
      <c r="O7" s="66" t="s">
        <v>15</v>
      </c>
      <c r="P7" s="67" t="s">
        <v>14</v>
      </c>
      <c r="Q7" s="17"/>
    </row>
    <row r="8" spans="1:17" ht="15.75" thickBot="1" x14ac:dyDescent="0.3">
      <c r="A8" s="51" t="str">
        <f t="shared" si="0"/>
        <v>TVQ payée</v>
      </c>
      <c r="B8" s="51"/>
      <c r="C8" s="17"/>
      <c r="D8" s="26" t="s">
        <v>118</v>
      </c>
      <c r="E8" s="17"/>
      <c r="F8" s="95" t="s">
        <v>43</v>
      </c>
      <c r="G8" s="96" t="s">
        <v>52</v>
      </c>
      <c r="H8" s="97" t="s">
        <v>53</v>
      </c>
      <c r="I8" s="29"/>
      <c r="J8" s="30" t="str">
        <f>IF(OR(F8="",F8="Income",F8="COGS",F8="Expense"),"",IFERROR(LOOKUP(2,1/('[1]Trans. Register'!B6:B99999=H8),'[1]Trans. Register'!F6:F99999),""))</f>
        <v/>
      </c>
      <c r="K8" s="17"/>
      <c r="L8" s="25" t="s">
        <v>187</v>
      </c>
      <c r="M8" s="17"/>
      <c r="N8" s="17"/>
      <c r="O8" s="17"/>
      <c r="P8" s="17"/>
      <c r="Q8" s="17"/>
    </row>
    <row r="9" spans="1:17" ht="15.75" thickBot="1" x14ac:dyDescent="0.3">
      <c r="A9" s="51" t="str">
        <f t="shared" si="0"/>
        <v>TPS facturée</v>
      </c>
      <c r="B9" s="51"/>
      <c r="C9" s="17"/>
      <c r="D9" s="17"/>
      <c r="E9" s="17"/>
      <c r="F9" s="95" t="s">
        <v>43</v>
      </c>
      <c r="G9" s="96" t="s">
        <v>54</v>
      </c>
      <c r="H9" s="97" t="s">
        <v>55</v>
      </c>
      <c r="I9" s="29"/>
      <c r="J9" s="30" t="str">
        <f>IF(OR(F9="",F9="Income",F9="COGS",F9="Expense"),"",IFERROR(LOOKUP(2,1/('[1]Trans. Register'!B16:B100009=H9),'[1]Trans. Register'!F16:F100009),""))</f>
        <v/>
      </c>
      <c r="K9" s="17"/>
      <c r="L9" s="25" t="s">
        <v>168</v>
      </c>
      <c r="M9" s="17"/>
      <c r="N9" s="17"/>
      <c r="O9" s="17"/>
      <c r="P9" s="17"/>
      <c r="Q9" s="17"/>
    </row>
    <row r="10" spans="1:17" x14ac:dyDescent="0.25">
      <c r="A10" s="51" t="str">
        <f t="shared" si="0"/>
        <v>TVQ facturée</v>
      </c>
      <c r="B10" s="51"/>
      <c r="C10" s="17"/>
      <c r="D10" s="36" t="s">
        <v>301</v>
      </c>
      <c r="E10" s="17"/>
      <c r="F10" s="95" t="s">
        <v>43</v>
      </c>
      <c r="G10" s="96" t="s">
        <v>56</v>
      </c>
      <c r="H10" s="97" t="s">
        <v>57</v>
      </c>
      <c r="I10" s="29"/>
      <c r="J10" s="30" t="str">
        <f>IF(OR(F10="",F10="Income",F10="COGS",F10="Expense"),"",IFERROR(LOOKUP(2,1/('[1]Trans. Register'!B10:B100003=H10),'[1]Trans. Register'!F10:F100003),""))</f>
        <v/>
      </c>
      <c r="K10" s="17"/>
      <c r="L10" s="25" t="s">
        <v>190</v>
      </c>
      <c r="M10" s="17"/>
      <c r="N10" s="17"/>
      <c r="O10" s="17"/>
      <c r="P10" s="17"/>
      <c r="Q10" s="17"/>
    </row>
    <row r="11" spans="1:17" x14ac:dyDescent="0.25">
      <c r="A11" s="51" t="str">
        <f t="shared" si="0"/>
        <v>Acomptes provisionnels - TPS</v>
      </c>
      <c r="B11" s="51"/>
      <c r="C11" s="17"/>
      <c r="D11" s="103" t="s">
        <v>178</v>
      </c>
      <c r="E11" s="17"/>
      <c r="F11" s="95" t="s">
        <v>43</v>
      </c>
      <c r="G11" s="96" t="s">
        <v>58</v>
      </c>
      <c r="H11" s="97" t="s">
        <v>59</v>
      </c>
      <c r="I11" s="29"/>
      <c r="J11" s="30" t="str">
        <f>IF(OR(F11="",F11="Income",F11="COGS",F11="Expense"),"",IFERROR(LOOKUP(2,1/('[1]Trans. Register'!B11:B100004=H11),'[1]Trans. Register'!F11:F100004),""))</f>
        <v/>
      </c>
      <c r="K11" s="17"/>
      <c r="L11" s="25" t="s">
        <v>307</v>
      </c>
      <c r="M11" s="17"/>
      <c r="N11" s="17"/>
      <c r="O11" s="17"/>
      <c r="P11" s="17"/>
      <c r="Q11" s="17"/>
    </row>
    <row r="12" spans="1:17" x14ac:dyDescent="0.25">
      <c r="A12" s="51" t="str">
        <f t="shared" si="0"/>
        <v>Acomptes provisionnels - TVQ</v>
      </c>
      <c r="B12" s="51"/>
      <c r="C12" s="17"/>
      <c r="D12" s="25" t="s">
        <v>173</v>
      </c>
      <c r="E12" s="17"/>
      <c r="F12" s="95" t="s">
        <v>43</v>
      </c>
      <c r="G12" s="96" t="s">
        <v>60</v>
      </c>
      <c r="H12" s="97" t="s">
        <v>61</v>
      </c>
      <c r="I12" s="31"/>
      <c r="J12" s="32" t="str">
        <f>IF(OR(F12="",F12="Income",F12="COGS",F12="Expense"),"",IFERROR(LOOKUP(2,1/('[1]Trans. Register'!B7:B100000=H12),'[1]Trans. Register'!F7:F100000),""))</f>
        <v/>
      </c>
      <c r="K12" s="17"/>
      <c r="L12" s="25" t="s">
        <v>184</v>
      </c>
      <c r="M12" s="17"/>
      <c r="N12" s="17"/>
      <c r="O12" s="17"/>
      <c r="P12" s="17"/>
      <c r="Q12" s="17"/>
    </row>
    <row r="13" spans="1:17" x14ac:dyDescent="0.25">
      <c r="A13" s="51" t="str">
        <f t="shared" si="0"/>
        <v>Travaux en cours</v>
      </c>
      <c r="B13" s="51"/>
      <c r="C13" s="17"/>
      <c r="D13" s="24" t="s">
        <v>86</v>
      </c>
      <c r="E13" s="17"/>
      <c r="F13" s="95" t="s">
        <v>43</v>
      </c>
      <c r="G13" s="96" t="s">
        <v>62</v>
      </c>
      <c r="H13" s="97" t="s">
        <v>63</v>
      </c>
      <c r="I13" s="29"/>
      <c r="J13" s="30" t="str">
        <f>IF(OR(F13="",F13="Income",F13="COGS",F13="Expense"),"",IFERROR(LOOKUP(2,1/('[1]Trans. Register'!B12:B100005=H13),'[1]Trans. Register'!F12:F100005),""))</f>
        <v/>
      </c>
      <c r="K13" s="17"/>
      <c r="L13" s="25" t="s">
        <v>203</v>
      </c>
      <c r="M13" s="17"/>
      <c r="N13" s="17"/>
      <c r="O13" s="17"/>
      <c r="P13" s="17"/>
      <c r="Q13" s="17"/>
    </row>
    <row r="14" spans="1:17" x14ac:dyDescent="0.25">
      <c r="A14" s="51" t="str">
        <f t="shared" si="0"/>
        <v>Frais payés d'avance</v>
      </c>
      <c r="B14" s="51"/>
      <c r="C14" s="17"/>
      <c r="D14" s="24" t="s">
        <v>175</v>
      </c>
      <c r="E14" s="17"/>
      <c r="F14" s="95" t="s">
        <v>43</v>
      </c>
      <c r="G14" s="96" t="s">
        <v>64</v>
      </c>
      <c r="H14" s="97" t="s">
        <v>65</v>
      </c>
      <c r="I14" s="29"/>
      <c r="J14" s="30" t="str">
        <f>IF(OR(F14="",F14="Income",F14="COGS",F14="Expense"),"",IFERROR(LOOKUP(2,1/('[1]Trans. Register'!B21:B100014=H14),'[1]Trans. Register'!F21:F100014),""))</f>
        <v/>
      </c>
      <c r="K14" s="17"/>
      <c r="L14" s="25" t="s">
        <v>309</v>
      </c>
      <c r="M14" s="17"/>
      <c r="N14" s="17"/>
      <c r="O14" s="17"/>
      <c r="P14" s="17"/>
      <c r="Q14" s="17"/>
    </row>
    <row r="15" spans="1:17" x14ac:dyDescent="0.25">
      <c r="A15" s="51" t="str">
        <f t="shared" si="0"/>
        <v>Mobilier de bureau</v>
      </c>
      <c r="B15" s="51"/>
      <c r="C15" s="17"/>
      <c r="D15" s="24" t="s">
        <v>179</v>
      </c>
      <c r="E15" s="17"/>
      <c r="F15" s="95" t="s">
        <v>43</v>
      </c>
      <c r="G15" s="96" t="s">
        <v>66</v>
      </c>
      <c r="H15" s="97" t="s">
        <v>67</v>
      </c>
      <c r="I15" s="29"/>
      <c r="J15" s="30" t="str">
        <f>IF(OR(F15="",F15="Income",F15="COGS",F15="Expense"),"",IFERROR(LOOKUP(2,1/('[1]Trans. Register'!B8:B100001=H15),'[1]Trans. Register'!F8:F100001),""))</f>
        <v/>
      </c>
      <c r="K15" s="17"/>
      <c r="L15" s="25" t="s">
        <v>185</v>
      </c>
      <c r="M15" s="17"/>
      <c r="N15" s="17"/>
      <c r="O15" s="17"/>
      <c r="P15" s="17"/>
      <c r="Q15" s="17"/>
    </row>
    <row r="16" spans="1:17" x14ac:dyDescent="0.25">
      <c r="A16" s="51" t="str">
        <f t="shared" si="0"/>
        <v>Amort. Cum - mobil. de bureau</v>
      </c>
      <c r="B16" s="51"/>
      <c r="C16" s="17"/>
      <c r="D16" s="25" t="s">
        <v>169</v>
      </c>
      <c r="E16" s="17"/>
      <c r="F16" s="95" t="s">
        <v>43</v>
      </c>
      <c r="G16" s="96" t="s">
        <v>68</v>
      </c>
      <c r="H16" s="97" t="s">
        <v>69</v>
      </c>
      <c r="I16" s="29"/>
      <c r="J16" s="30" t="str">
        <f>IF(OR(F16="",F16="Income",F16="COGS",F16="Expense"),"",IFERROR(LOOKUP(2,1/('[1]Trans. Register'!B17:B100010=H16),'[1]Trans. Register'!F17:F100010),""))</f>
        <v/>
      </c>
      <c r="K16" s="17"/>
      <c r="L16" s="25" t="s">
        <v>191</v>
      </c>
      <c r="M16" s="17"/>
      <c r="N16" s="17"/>
      <c r="O16" s="17"/>
      <c r="P16" s="17"/>
      <c r="Q16" s="17"/>
    </row>
    <row r="17" spans="1:17" x14ac:dyDescent="0.25">
      <c r="A17" s="51" t="str">
        <f t="shared" si="0"/>
        <v>Matériel informatique</v>
      </c>
      <c r="B17" s="51"/>
      <c r="C17" s="17"/>
      <c r="D17" s="24" t="s">
        <v>177</v>
      </c>
      <c r="E17" s="17"/>
      <c r="F17" s="95" t="s">
        <v>43</v>
      </c>
      <c r="G17" s="96" t="s">
        <v>70</v>
      </c>
      <c r="H17" s="97" t="s">
        <v>71</v>
      </c>
      <c r="I17" s="29"/>
      <c r="J17" s="30" t="str">
        <f>IF(OR(F17="",F17="Income",F17="COGS",F17="Expense"),"",IFERROR(LOOKUP(2,1/('[1]Trans. Register'!B15:B100008=H17),'[1]Trans. Register'!F15:F100008),""))</f>
        <v/>
      </c>
      <c r="K17" s="17"/>
      <c r="L17" s="145" t="s">
        <v>318</v>
      </c>
      <c r="M17" s="17"/>
      <c r="N17" s="17"/>
      <c r="O17" s="17"/>
      <c r="P17" s="17"/>
      <c r="Q17" s="17"/>
    </row>
    <row r="18" spans="1:17" ht="15.75" thickBot="1" x14ac:dyDescent="0.3">
      <c r="A18" s="51" t="str">
        <f t="shared" si="0"/>
        <v>Amort. Cum - mat. Inform.</v>
      </c>
      <c r="B18" s="51"/>
      <c r="C18" s="17"/>
      <c r="D18" s="24" t="s">
        <v>176</v>
      </c>
      <c r="E18" s="17"/>
      <c r="F18" s="95" t="s">
        <v>43</v>
      </c>
      <c r="G18" s="96" t="s">
        <v>72</v>
      </c>
      <c r="H18" s="97" t="s">
        <v>73</v>
      </c>
      <c r="I18" s="29"/>
      <c r="J18" s="30" t="str">
        <f>IF(OR(F18="",F18="Income",F18="COGS",F18="Expense"),"",IFERROR(LOOKUP(2,1/('[1]Trans. Register'!B14:B100007=H18),'[1]Trans. Register'!F14:F100007),""))</f>
        <v/>
      </c>
      <c r="K18" s="17"/>
      <c r="L18" s="26" t="s">
        <v>189</v>
      </c>
      <c r="M18" s="17"/>
      <c r="N18" s="17"/>
      <c r="O18" s="17"/>
      <c r="P18" s="17"/>
      <c r="Q18" s="17"/>
    </row>
    <row r="19" spans="1:17" x14ac:dyDescent="0.25">
      <c r="A19" s="51" t="str">
        <f t="shared" si="0"/>
        <v>Logiciel informatique</v>
      </c>
      <c r="B19" s="51"/>
      <c r="C19" s="17"/>
      <c r="D19" s="25" t="s">
        <v>172</v>
      </c>
      <c r="E19" s="17"/>
      <c r="F19" s="95" t="s">
        <v>43</v>
      </c>
      <c r="G19" s="96" t="s">
        <v>74</v>
      </c>
      <c r="H19" s="97" t="s">
        <v>75</v>
      </c>
      <c r="I19" s="29"/>
      <c r="J19" s="30" t="str">
        <f>IF(OR(F19="",F19="Income",F19="COGS",F19="Expense"),"",IFERROR(LOOKUP(2,1/('[1]Trans. Register'!B13:B100006=H19),'[1]Trans. Register'!F13:F100006),""))</f>
        <v/>
      </c>
      <c r="K19" s="17"/>
      <c r="L19" s="17"/>
      <c r="M19" s="17"/>
      <c r="N19" s="17"/>
      <c r="O19" s="17"/>
      <c r="P19" s="17"/>
      <c r="Q19" s="17"/>
    </row>
    <row r="20" spans="1:17" x14ac:dyDescent="0.25">
      <c r="A20" s="51" t="str">
        <f t="shared" si="0"/>
        <v>Amort. Cum - logiciels</v>
      </c>
      <c r="B20" s="51"/>
      <c r="C20" s="17"/>
      <c r="D20" s="24" t="s">
        <v>174</v>
      </c>
      <c r="E20" s="17"/>
      <c r="F20" s="95" t="s">
        <v>43</v>
      </c>
      <c r="G20" s="96" t="s">
        <v>76</v>
      </c>
      <c r="H20" s="97" t="s">
        <v>77</v>
      </c>
      <c r="I20" s="29"/>
      <c r="J20" s="30" t="str">
        <f>IF(OR(F20="",F20="Income",F20="COGS",F20="Expense"),"",IFERROR(LOOKUP(2,1/('[1]Trans. Register'!B18:B100011=H20),'[1]Trans. Register'!F18:F100011),""))</f>
        <v/>
      </c>
      <c r="K20" s="17"/>
      <c r="L20" s="17"/>
      <c r="M20" s="17"/>
      <c r="N20" s="17"/>
      <c r="O20" s="17"/>
      <c r="P20" s="17"/>
      <c r="Q20" s="17"/>
    </row>
    <row r="21" spans="1:17" ht="15.75" thickBot="1" x14ac:dyDescent="0.3">
      <c r="A21" s="51" t="str">
        <f t="shared" si="0"/>
        <v>Achalandage</v>
      </c>
      <c r="B21" s="51"/>
      <c r="C21" s="17"/>
      <c r="D21" s="26"/>
      <c r="E21" s="17"/>
      <c r="F21" s="95" t="s">
        <v>43</v>
      </c>
      <c r="G21" s="96" t="s">
        <v>78</v>
      </c>
      <c r="H21" s="97" t="s">
        <v>79</v>
      </c>
      <c r="I21" s="29"/>
      <c r="J21" s="30" t="str">
        <f>IF(OR(F21="",F21="Income",F21="COGS",F21="Expense"),"",IFERROR(LOOKUP(2,1/('[1]Trans. Register'!B4:B99997=H21),'[1]Trans. Register'!F4:F99997),""))</f>
        <v/>
      </c>
      <c r="K21" s="17"/>
      <c r="L21" s="17"/>
      <c r="M21" s="17"/>
      <c r="N21" s="17"/>
      <c r="O21" s="17"/>
      <c r="P21" s="17"/>
      <c r="Q21" s="17"/>
    </row>
    <row r="22" spans="1:17" x14ac:dyDescent="0.25">
      <c r="A22" s="51" t="str">
        <f t="shared" si="0"/>
        <v>Amort. Cum - Achalandage</v>
      </c>
      <c r="B22" s="51"/>
      <c r="C22" s="17"/>
      <c r="D22" s="17"/>
      <c r="E22" s="17"/>
      <c r="F22" s="95" t="s">
        <v>43</v>
      </c>
      <c r="G22" s="96" t="s">
        <v>80</v>
      </c>
      <c r="H22" s="97" t="s">
        <v>81</v>
      </c>
      <c r="I22" s="29"/>
      <c r="J22" s="30" t="str">
        <f>IF(OR(F22="",F22="Income",F22="COGS",F22="Expense"),"",IFERROR(LOOKUP(2,1/('[1]Trans. Register'!B3:B99996=H22),'[1]Trans. Register'!F3:F99996),""))</f>
        <v/>
      </c>
      <c r="K22" s="17"/>
      <c r="L22" s="17"/>
      <c r="M22" s="17"/>
      <c r="N22" s="17"/>
      <c r="O22" s="17"/>
      <c r="P22" s="17"/>
      <c r="Q22" s="17"/>
    </row>
    <row r="23" spans="1:17" x14ac:dyDescent="0.25">
      <c r="A23" s="51" t="str">
        <f t="shared" si="0"/>
        <v>Avance - Prêt GCP</v>
      </c>
      <c r="B23" s="51"/>
      <c r="C23" s="17"/>
      <c r="D23" s="17"/>
      <c r="E23" s="17"/>
      <c r="F23" s="95" t="s">
        <v>43</v>
      </c>
      <c r="G23" s="96" t="s">
        <v>82</v>
      </c>
      <c r="H23" s="97" t="s">
        <v>83</v>
      </c>
      <c r="I23" s="29"/>
      <c r="J23" s="30" t="str">
        <f>IF(OR(F23="",F23="Income",F23="COGS",F23="Expense"),"",IFERROR(LOOKUP(2,1/('[1]Trans. Register'!B5:B99998=H23),'[1]Trans. Register'!F5:F99998),""))</f>
        <v/>
      </c>
      <c r="K23" s="17"/>
      <c r="L23" s="17"/>
      <c r="M23" s="17"/>
      <c r="N23" s="17"/>
      <c r="O23" s="17"/>
      <c r="P23" s="17"/>
      <c r="Q23" s="17"/>
    </row>
    <row r="24" spans="1:17" x14ac:dyDescent="0.25">
      <c r="A24" s="51" t="str">
        <f t="shared" si="0"/>
        <v>VISA Odyssey Desjardins</v>
      </c>
      <c r="B24" s="51"/>
      <c r="C24" s="17"/>
      <c r="D24" s="17"/>
      <c r="E24" s="17"/>
      <c r="F24" s="95" t="s">
        <v>84</v>
      </c>
      <c r="G24" s="96" t="s">
        <v>85</v>
      </c>
      <c r="H24" s="97" t="s">
        <v>180</v>
      </c>
      <c r="I24" s="29"/>
      <c r="J24" s="30" t="str">
        <f>IF(OR(F24="",F24="Income",F24="COGS",F24="Expense"),"",IFERROR(LOOKUP(2,1/('[1]Trans. Register'!B23:B100016=H24),'[1]Trans. Register'!F23:F100016),""))</f>
        <v/>
      </c>
      <c r="K24" s="17"/>
      <c r="L24" s="17"/>
      <c r="M24" s="17"/>
      <c r="N24" s="17"/>
      <c r="O24" s="17"/>
      <c r="P24" s="17"/>
      <c r="Q24" s="17"/>
    </row>
    <row r="25" spans="1:17" x14ac:dyDescent="0.25">
      <c r="A25" s="51" t="str">
        <f t="shared" si="0"/>
        <v>Avances de Guillaume Charron</v>
      </c>
      <c r="B25" s="51"/>
      <c r="C25" s="17"/>
      <c r="D25" s="17"/>
      <c r="E25" s="17"/>
      <c r="F25" s="95" t="s">
        <v>84</v>
      </c>
      <c r="G25" s="96" t="s">
        <v>87</v>
      </c>
      <c r="H25" s="97" t="s">
        <v>88</v>
      </c>
      <c r="I25" s="29"/>
      <c r="J25" s="30"/>
      <c r="K25" s="17"/>
      <c r="L25" s="17"/>
      <c r="M25" s="17"/>
      <c r="N25" s="17"/>
      <c r="O25" s="17"/>
      <c r="P25" s="17"/>
      <c r="Q25" s="17"/>
    </row>
    <row r="26" spans="1:17" x14ac:dyDescent="0.25">
      <c r="A26" s="51" t="str">
        <f t="shared" si="0"/>
        <v>Avances à Fiducie Famille Charron</v>
      </c>
      <c r="B26" s="51"/>
      <c r="C26" s="17"/>
      <c r="D26" s="17"/>
      <c r="E26" s="17"/>
      <c r="F26" s="95" t="s">
        <v>84</v>
      </c>
      <c r="G26" s="96" t="s">
        <v>89</v>
      </c>
      <c r="H26" s="97" t="s">
        <v>90</v>
      </c>
      <c r="I26" s="29"/>
      <c r="J26" s="30"/>
      <c r="K26" s="17"/>
      <c r="L26" s="17"/>
      <c r="M26" s="17"/>
      <c r="N26" s="17"/>
      <c r="O26" s="17"/>
      <c r="P26" s="17"/>
      <c r="Q26" s="17"/>
    </row>
    <row r="27" spans="1:17" x14ac:dyDescent="0.25">
      <c r="A27" s="51" t="str">
        <f t="shared" si="0"/>
        <v>Compte fournisseur</v>
      </c>
      <c r="B27" s="51"/>
      <c r="C27" s="17"/>
      <c r="D27" s="17"/>
      <c r="E27" s="17"/>
      <c r="F27" s="95" t="s">
        <v>84</v>
      </c>
      <c r="G27" s="96" t="s">
        <v>91</v>
      </c>
      <c r="H27" s="97" t="s">
        <v>92</v>
      </c>
      <c r="I27" s="29"/>
      <c r="J27" s="30"/>
      <c r="K27" s="17"/>
      <c r="L27" s="17"/>
      <c r="M27" s="17"/>
      <c r="N27" s="17"/>
      <c r="O27" s="17"/>
      <c r="P27" s="17"/>
      <c r="Q27" s="17"/>
    </row>
    <row r="28" spans="1:17" x14ac:dyDescent="0.25">
      <c r="A28" s="51" t="str">
        <f t="shared" si="0"/>
        <v>Avances avec 9249-3626 Québec inc.</v>
      </c>
      <c r="B28" s="51"/>
      <c r="C28" s="17"/>
      <c r="D28" s="17"/>
      <c r="E28" s="17"/>
      <c r="F28" s="95" t="s">
        <v>84</v>
      </c>
      <c r="G28" s="96" t="s">
        <v>93</v>
      </c>
      <c r="H28" s="97" t="s">
        <v>94</v>
      </c>
      <c r="I28" s="29"/>
      <c r="J28" s="30"/>
      <c r="K28" s="17"/>
      <c r="L28" s="17"/>
      <c r="M28" s="17"/>
      <c r="N28" s="17"/>
      <c r="O28" s="17"/>
      <c r="P28" s="17"/>
      <c r="Q28" s="17"/>
    </row>
    <row r="29" spans="1:17" x14ac:dyDescent="0.25">
      <c r="A29" s="51" t="str">
        <f t="shared" si="0"/>
        <v>Avances avec 9333-4829 Québec inc</v>
      </c>
      <c r="B29" s="51"/>
      <c r="C29" s="17"/>
      <c r="D29" s="17"/>
      <c r="E29" s="17"/>
      <c r="F29" s="95" t="s">
        <v>84</v>
      </c>
      <c r="G29" s="96" t="s">
        <v>95</v>
      </c>
      <c r="H29" s="97" t="s">
        <v>96</v>
      </c>
      <c r="I29" s="29"/>
      <c r="J29" s="30"/>
      <c r="K29" s="17"/>
      <c r="L29" s="17"/>
      <c r="M29" s="17"/>
      <c r="N29" s="17"/>
      <c r="O29" s="17"/>
      <c r="P29" s="17"/>
      <c r="Q29" s="17"/>
    </row>
    <row r="30" spans="1:17" x14ac:dyDescent="0.25">
      <c r="A30" s="51" t="str">
        <f t="shared" si="0"/>
        <v>Prêt - Compte d'urgence</v>
      </c>
      <c r="B30" s="51"/>
      <c r="C30" s="17"/>
      <c r="D30" s="17"/>
      <c r="E30" s="17"/>
      <c r="F30" s="95" t="s">
        <v>84</v>
      </c>
      <c r="G30" s="96" t="s">
        <v>97</v>
      </c>
      <c r="H30" s="97" t="s">
        <v>98</v>
      </c>
      <c r="I30" s="29"/>
      <c r="J30" s="30"/>
      <c r="K30" s="17"/>
      <c r="L30" s="17"/>
      <c r="M30" s="17"/>
      <c r="N30" s="17"/>
      <c r="O30" s="17"/>
      <c r="P30" s="17"/>
      <c r="Q30" s="17"/>
    </row>
    <row r="31" spans="1:17" x14ac:dyDescent="0.25">
      <c r="A31" s="51" t="str">
        <f t="shared" si="0"/>
        <v>Impôt Fédéral à payer</v>
      </c>
      <c r="B31" s="51"/>
      <c r="C31" s="17"/>
      <c r="D31" s="17"/>
      <c r="E31" s="17"/>
      <c r="F31" s="95" t="s">
        <v>84</v>
      </c>
      <c r="G31" s="96" t="s">
        <v>99</v>
      </c>
      <c r="H31" s="97" t="s">
        <v>100</v>
      </c>
      <c r="I31" s="29"/>
      <c r="J31" s="30"/>
      <c r="K31" s="17"/>
      <c r="L31" s="17"/>
      <c r="M31" s="17"/>
      <c r="N31" s="17"/>
      <c r="O31" s="17"/>
      <c r="P31" s="17"/>
      <c r="Q31" s="17"/>
    </row>
    <row r="32" spans="1:17" x14ac:dyDescent="0.25">
      <c r="A32" s="51" t="str">
        <f t="shared" si="0"/>
        <v>Impôt Québec à payer</v>
      </c>
      <c r="B32" s="51"/>
      <c r="C32" s="17"/>
      <c r="D32" s="17"/>
      <c r="E32" s="17"/>
      <c r="F32" s="95" t="s">
        <v>84</v>
      </c>
      <c r="G32" s="96" t="s">
        <v>101</v>
      </c>
      <c r="H32" s="97" t="s">
        <v>102</v>
      </c>
      <c r="I32" s="29"/>
      <c r="J32" s="30"/>
      <c r="K32" s="17"/>
      <c r="L32" s="17"/>
      <c r="M32" s="17"/>
      <c r="N32" s="17"/>
      <c r="O32" s="17"/>
      <c r="P32" s="17"/>
      <c r="Q32" s="17"/>
    </row>
    <row r="33" spans="1:17" x14ac:dyDescent="0.25">
      <c r="A33" s="51" t="str">
        <f t="shared" si="0"/>
        <v>Acomptes - Impôt Fédéral</v>
      </c>
      <c r="B33" s="51"/>
      <c r="C33" s="17"/>
      <c r="D33" s="17"/>
      <c r="E33" s="17"/>
      <c r="F33" s="95" t="s">
        <v>84</v>
      </c>
      <c r="G33" s="96" t="s">
        <v>103</v>
      </c>
      <c r="H33" s="97" t="s">
        <v>104</v>
      </c>
      <c r="I33" s="29"/>
      <c r="J33" s="30"/>
      <c r="K33" s="17"/>
      <c r="L33" s="17"/>
      <c r="M33" s="17"/>
      <c r="N33" s="17"/>
      <c r="O33" s="17"/>
      <c r="P33" s="17"/>
      <c r="Q33" s="17"/>
    </row>
    <row r="34" spans="1:17" x14ac:dyDescent="0.25">
      <c r="A34" s="51" t="str">
        <f t="shared" si="0"/>
        <v>Acomptes - Impôt Québec</v>
      </c>
      <c r="B34" s="51"/>
      <c r="C34" s="17"/>
      <c r="D34" s="17"/>
      <c r="E34" s="17"/>
      <c r="F34" s="95" t="s">
        <v>84</v>
      </c>
      <c r="G34" s="96" t="s">
        <v>105</v>
      </c>
      <c r="H34" s="97" t="s">
        <v>106</v>
      </c>
      <c r="I34" s="29"/>
      <c r="J34" s="30"/>
      <c r="K34" s="17"/>
      <c r="L34" s="17"/>
      <c r="M34" s="17"/>
      <c r="N34" s="17"/>
      <c r="O34" s="17"/>
      <c r="P34" s="17"/>
      <c r="Q34" s="17"/>
    </row>
    <row r="35" spans="1:17" x14ac:dyDescent="0.25">
      <c r="A35" s="51" t="str">
        <f t="shared" si="0"/>
        <v>Produit perçu d'avance</v>
      </c>
      <c r="B35" s="51"/>
      <c r="C35" s="17"/>
      <c r="D35" s="17"/>
      <c r="E35" s="17"/>
      <c r="F35" s="95" t="s">
        <v>84</v>
      </c>
      <c r="G35" s="96" t="s">
        <v>107</v>
      </c>
      <c r="H35" s="97" t="s">
        <v>108</v>
      </c>
      <c r="I35" s="29"/>
      <c r="J35" s="30"/>
      <c r="K35" s="17"/>
      <c r="L35" s="17"/>
      <c r="M35" s="17"/>
      <c r="N35" s="17"/>
      <c r="O35" s="17"/>
      <c r="P35" s="17"/>
      <c r="Q35" s="17"/>
    </row>
    <row r="36" spans="1:17" x14ac:dyDescent="0.25">
      <c r="A36" s="51" t="str">
        <f t="shared" si="0"/>
        <v>Actions ordinaires</v>
      </c>
      <c r="B36" s="51"/>
      <c r="C36" s="17"/>
      <c r="D36" s="17"/>
      <c r="E36" s="17"/>
      <c r="F36" s="95" t="s">
        <v>109</v>
      </c>
      <c r="G36" s="96" t="s">
        <v>110</v>
      </c>
      <c r="H36" s="97" t="s">
        <v>111</v>
      </c>
      <c r="I36" s="29"/>
      <c r="J36" s="30"/>
      <c r="K36" s="17"/>
      <c r="L36" s="17"/>
      <c r="M36" s="17"/>
      <c r="N36" s="17"/>
      <c r="O36" s="17"/>
      <c r="P36" s="17"/>
      <c r="Q36" s="17"/>
    </row>
    <row r="37" spans="1:17" x14ac:dyDescent="0.25">
      <c r="A37" s="51" t="str">
        <f t="shared" si="0"/>
        <v>Actions privilégiées</v>
      </c>
      <c r="B37" s="51"/>
      <c r="C37" s="17"/>
      <c r="D37" s="17"/>
      <c r="E37" s="17"/>
      <c r="F37" s="95" t="s">
        <v>109</v>
      </c>
      <c r="G37" s="96" t="s">
        <v>112</v>
      </c>
      <c r="H37" s="97" t="s">
        <v>113</v>
      </c>
      <c r="I37" s="29"/>
      <c r="J37" s="30"/>
      <c r="K37" s="17"/>
      <c r="L37" s="17"/>
      <c r="M37" s="17"/>
      <c r="N37" s="17"/>
      <c r="O37" s="17"/>
      <c r="P37" s="17"/>
      <c r="Q37" s="17"/>
    </row>
    <row r="38" spans="1:17" x14ac:dyDescent="0.25">
      <c r="A38" s="51" t="str">
        <f t="shared" si="0"/>
        <v>BNR</v>
      </c>
      <c r="B38" s="51"/>
      <c r="C38" s="17"/>
      <c r="D38" s="17"/>
      <c r="E38" s="17"/>
      <c r="F38" s="95" t="s">
        <v>109</v>
      </c>
      <c r="G38" s="96" t="s">
        <v>114</v>
      </c>
      <c r="H38" s="97" t="s">
        <v>115</v>
      </c>
      <c r="I38" s="29"/>
      <c r="J38" s="30"/>
      <c r="K38" s="17"/>
      <c r="L38" s="17"/>
      <c r="M38" s="17"/>
      <c r="N38" s="17"/>
      <c r="O38" s="17"/>
      <c r="P38" s="17"/>
      <c r="Q38" s="17"/>
    </row>
    <row r="39" spans="1:17" x14ac:dyDescent="0.25">
      <c r="A39" s="51" t="str">
        <f t="shared" si="0"/>
        <v>Dividendes</v>
      </c>
      <c r="B39" s="51"/>
      <c r="C39" s="17"/>
      <c r="D39" s="17"/>
      <c r="E39" s="17"/>
      <c r="F39" s="95" t="s">
        <v>109</v>
      </c>
      <c r="G39" s="96" t="s">
        <v>116</v>
      </c>
      <c r="H39" s="97" t="s">
        <v>117</v>
      </c>
      <c r="I39" s="29"/>
      <c r="J39" s="30"/>
      <c r="K39" s="17"/>
      <c r="L39" s="17"/>
      <c r="M39" s="17"/>
      <c r="N39" s="17"/>
      <c r="O39" s="17"/>
      <c r="P39" s="17"/>
      <c r="Q39" s="17"/>
    </row>
    <row r="40" spans="1:17" x14ac:dyDescent="0.25">
      <c r="A40" s="51" t="str">
        <f t="shared" si="0"/>
        <v>Revenus de consultation</v>
      </c>
      <c r="B40" s="51"/>
      <c r="C40" s="17"/>
      <c r="D40" s="17"/>
      <c r="E40" s="17"/>
      <c r="F40" s="95" t="s">
        <v>118</v>
      </c>
      <c r="G40" s="96" t="s">
        <v>119</v>
      </c>
      <c r="H40" s="97" t="s">
        <v>120</v>
      </c>
      <c r="I40" s="29"/>
      <c r="J40" s="30"/>
      <c r="K40" s="17"/>
      <c r="L40" s="17"/>
      <c r="M40" s="17"/>
      <c r="N40" s="17"/>
      <c r="O40" s="17"/>
      <c r="P40" s="17"/>
      <c r="Q40" s="17"/>
    </row>
    <row r="41" spans="1:17" x14ac:dyDescent="0.25">
      <c r="A41" s="51" t="str">
        <f t="shared" si="0"/>
        <v>Revenus - Sociétés apparentées</v>
      </c>
      <c r="B41" s="51"/>
      <c r="C41" s="17"/>
      <c r="D41" s="17"/>
      <c r="E41" s="17"/>
      <c r="F41" s="95" t="s">
        <v>118</v>
      </c>
      <c r="G41" s="96" t="s">
        <v>121</v>
      </c>
      <c r="H41" s="97" t="s">
        <v>122</v>
      </c>
      <c r="I41" s="29"/>
      <c r="J41" s="30"/>
      <c r="K41" s="17"/>
      <c r="L41" s="17"/>
      <c r="M41" s="17"/>
      <c r="N41" s="17"/>
      <c r="O41" s="17"/>
      <c r="P41" s="17"/>
      <c r="Q41" s="17"/>
    </row>
    <row r="42" spans="1:17" x14ac:dyDescent="0.25">
      <c r="A42" s="51" t="str">
        <f t="shared" si="0"/>
        <v>Revenus - travaux en cours</v>
      </c>
      <c r="B42" s="51"/>
      <c r="C42" s="17"/>
      <c r="D42" s="17"/>
      <c r="E42" s="17"/>
      <c r="F42" s="95" t="s">
        <v>118</v>
      </c>
      <c r="G42" s="96" t="s">
        <v>123</v>
      </c>
      <c r="H42" s="97" t="s">
        <v>124</v>
      </c>
      <c r="I42" s="29"/>
      <c r="J42" s="30"/>
      <c r="K42" s="17"/>
      <c r="L42" s="17"/>
      <c r="M42" s="17"/>
      <c r="N42" s="17"/>
      <c r="O42" s="17"/>
      <c r="P42" s="17"/>
      <c r="Q42" s="17"/>
    </row>
    <row r="43" spans="1:17" x14ac:dyDescent="0.25">
      <c r="A43" s="51" t="str">
        <f t="shared" si="0"/>
        <v>Revenus d'intérêts</v>
      </c>
      <c r="B43" s="51"/>
      <c r="C43" s="17"/>
      <c r="D43" s="17"/>
      <c r="E43" s="17"/>
      <c r="F43" s="95" t="s">
        <v>118</v>
      </c>
      <c r="G43" s="96" t="s">
        <v>125</v>
      </c>
      <c r="H43" s="97" t="s">
        <v>126</v>
      </c>
      <c r="I43" s="29"/>
      <c r="J43" s="30"/>
      <c r="K43" s="17"/>
      <c r="L43" s="17"/>
      <c r="M43" s="17"/>
      <c r="N43" s="17"/>
      <c r="O43" s="17"/>
      <c r="P43" s="17"/>
      <c r="Q43" s="17"/>
    </row>
    <row r="44" spans="1:17" x14ac:dyDescent="0.25">
      <c r="A44" s="51" t="str">
        <f t="shared" si="0"/>
        <v>Revenus de dividendes</v>
      </c>
      <c r="B44" s="51"/>
      <c r="C44" s="17"/>
      <c r="D44" s="17"/>
      <c r="E44" s="17"/>
      <c r="F44" s="95" t="s">
        <v>118</v>
      </c>
      <c r="G44" s="96" t="s">
        <v>127</v>
      </c>
      <c r="H44" s="97" t="s">
        <v>128</v>
      </c>
      <c r="I44" s="29"/>
      <c r="J44" s="30"/>
      <c r="K44" s="17"/>
      <c r="L44" s="17"/>
      <c r="M44" s="17"/>
      <c r="N44" s="17"/>
      <c r="O44" s="17"/>
      <c r="P44" s="17"/>
      <c r="Q44" s="17"/>
    </row>
    <row r="45" spans="1:17" x14ac:dyDescent="0.25">
      <c r="A45" s="51" t="str">
        <f t="shared" si="0"/>
        <v>Prise de valeur - Valeur de consolidation</v>
      </c>
      <c r="B45" s="51"/>
      <c r="C45" s="17"/>
      <c r="D45" s="17"/>
      <c r="E45" s="17"/>
      <c r="F45" s="95" t="s">
        <v>118</v>
      </c>
      <c r="G45" s="96" t="s">
        <v>129</v>
      </c>
      <c r="H45" s="96" t="s">
        <v>130</v>
      </c>
      <c r="I45" s="29"/>
      <c r="J45" s="30"/>
      <c r="K45" s="17"/>
      <c r="L45" s="17"/>
      <c r="M45" s="17"/>
      <c r="N45" s="17"/>
      <c r="O45" s="17"/>
      <c r="P45" s="17"/>
      <c r="Q45" s="17"/>
    </row>
    <row r="46" spans="1:17" x14ac:dyDescent="0.25">
      <c r="A46" s="51" t="str">
        <f t="shared" si="0"/>
        <v>Doc. et outils de recherche</v>
      </c>
      <c r="B46" s="51"/>
      <c r="C46" s="17"/>
      <c r="D46" s="17"/>
      <c r="E46" s="17"/>
      <c r="F46" s="95" t="s">
        <v>131</v>
      </c>
      <c r="G46" s="96" t="s">
        <v>132</v>
      </c>
      <c r="H46" s="97" t="s">
        <v>133</v>
      </c>
      <c r="I46" s="29"/>
      <c r="J46" s="30"/>
      <c r="K46" s="17"/>
      <c r="L46" s="17"/>
      <c r="M46" s="17"/>
      <c r="N46" s="17"/>
      <c r="O46" s="17"/>
      <c r="P46" s="17"/>
      <c r="Q46" s="17"/>
    </row>
    <row r="47" spans="1:17" x14ac:dyDescent="0.25">
      <c r="A47" s="51" t="str">
        <f t="shared" si="0"/>
        <v>Formations</v>
      </c>
      <c r="B47" s="51"/>
      <c r="C47" s="17"/>
      <c r="D47" s="17"/>
      <c r="E47" s="17"/>
      <c r="F47" s="95" t="s">
        <v>131</v>
      </c>
      <c r="G47" s="96" t="s">
        <v>134</v>
      </c>
      <c r="H47" s="97" t="s">
        <v>135</v>
      </c>
      <c r="I47" s="29"/>
      <c r="J47" s="30"/>
      <c r="K47" s="17"/>
      <c r="L47" s="17"/>
      <c r="M47" s="17"/>
      <c r="N47" s="17"/>
      <c r="O47" s="17"/>
      <c r="P47" s="17"/>
      <c r="Q47" s="17"/>
    </row>
    <row r="48" spans="1:17" x14ac:dyDescent="0.25">
      <c r="A48" s="51" t="str">
        <f t="shared" si="0"/>
        <v>Fournitures de bureau</v>
      </c>
      <c r="B48" s="51"/>
      <c r="C48" s="17"/>
      <c r="D48" s="17"/>
      <c r="E48" s="17"/>
      <c r="F48" s="95" t="s">
        <v>131</v>
      </c>
      <c r="G48" s="96" t="s">
        <v>136</v>
      </c>
      <c r="H48" s="97" t="s">
        <v>137</v>
      </c>
      <c r="I48" s="29"/>
      <c r="J48" s="30"/>
      <c r="K48" s="17"/>
      <c r="L48" s="17"/>
      <c r="M48" s="17"/>
      <c r="N48" s="17"/>
      <c r="O48" s="17"/>
      <c r="P48" s="17"/>
      <c r="Q48" s="17"/>
    </row>
    <row r="49" spans="1:17" x14ac:dyDescent="0.25">
      <c r="A49" s="51" t="str">
        <f t="shared" si="0"/>
        <v>Frais de représentation</v>
      </c>
      <c r="B49" s="51"/>
      <c r="C49" s="17"/>
      <c r="D49" s="17"/>
      <c r="E49" s="17"/>
      <c r="F49" s="95" t="s">
        <v>131</v>
      </c>
      <c r="G49" s="96" t="s">
        <v>138</v>
      </c>
      <c r="H49" s="97" t="s">
        <v>139</v>
      </c>
      <c r="I49" s="29"/>
      <c r="J49" s="30"/>
      <c r="K49" s="17"/>
      <c r="L49" s="17"/>
      <c r="M49" s="17"/>
      <c r="N49" s="17"/>
      <c r="O49" s="17"/>
      <c r="P49" s="17"/>
      <c r="Q49" s="17"/>
    </row>
    <row r="50" spans="1:17" x14ac:dyDescent="0.25">
      <c r="A50" s="51" t="str">
        <f t="shared" si="0"/>
        <v>Golf / Pourvoirie</v>
      </c>
      <c r="B50" s="51"/>
      <c r="C50" s="17"/>
      <c r="D50" s="17"/>
      <c r="E50" s="17"/>
      <c r="F50" s="95" t="s">
        <v>131</v>
      </c>
      <c r="G50" s="96" t="s">
        <v>140</v>
      </c>
      <c r="H50" s="97" t="s">
        <v>141</v>
      </c>
      <c r="I50" s="29"/>
      <c r="J50" s="30"/>
      <c r="K50" s="17"/>
      <c r="L50" s="17"/>
      <c r="M50" s="17"/>
      <c r="N50" s="17"/>
      <c r="O50" s="17"/>
      <c r="P50" s="17"/>
      <c r="Q50" s="17"/>
    </row>
    <row r="51" spans="1:17" x14ac:dyDescent="0.25">
      <c r="A51" s="51" t="str">
        <f t="shared" si="0"/>
        <v>Frais de déplacement</v>
      </c>
      <c r="B51" s="51"/>
      <c r="C51" s="17"/>
      <c r="D51" s="17"/>
      <c r="E51" s="17"/>
      <c r="F51" s="95" t="s">
        <v>131</v>
      </c>
      <c r="G51" s="96" t="s">
        <v>142</v>
      </c>
      <c r="H51" s="97" t="s">
        <v>143</v>
      </c>
      <c r="I51" s="29"/>
      <c r="J51" s="30"/>
      <c r="K51" s="17"/>
      <c r="L51" s="17"/>
      <c r="M51" s="17"/>
      <c r="N51" s="17"/>
      <c r="O51" s="17"/>
      <c r="P51" s="17"/>
      <c r="Q51" s="17"/>
    </row>
    <row r="52" spans="1:17" x14ac:dyDescent="0.25">
      <c r="A52" s="51" t="str">
        <f t="shared" si="0"/>
        <v>Frais de publicité</v>
      </c>
      <c r="B52" s="51"/>
      <c r="C52" s="17"/>
      <c r="D52" s="17"/>
      <c r="E52" s="17"/>
      <c r="F52" s="95" t="s">
        <v>131</v>
      </c>
      <c r="G52" s="96" t="s">
        <v>144</v>
      </c>
      <c r="H52" s="97" t="s">
        <v>145</v>
      </c>
      <c r="I52" s="29"/>
      <c r="J52" s="30"/>
      <c r="L52" s="17"/>
      <c r="M52" s="17"/>
      <c r="N52" s="17"/>
      <c r="O52" s="17"/>
      <c r="P52" s="17"/>
      <c r="Q52" s="17"/>
    </row>
    <row r="53" spans="1:17" x14ac:dyDescent="0.25">
      <c r="A53" s="51" t="str">
        <f t="shared" si="0"/>
        <v>Fournitures informatiques &amp; Site web</v>
      </c>
      <c r="B53" s="51"/>
      <c r="C53" s="17"/>
      <c r="D53" s="17"/>
      <c r="E53" s="17"/>
      <c r="F53" s="95" t="s">
        <v>131</v>
      </c>
      <c r="G53" s="96" t="s">
        <v>146</v>
      </c>
      <c r="H53" s="97" t="s">
        <v>147</v>
      </c>
      <c r="I53" s="29"/>
      <c r="J53" s="30"/>
      <c r="L53" s="17"/>
      <c r="M53" s="17"/>
      <c r="N53" s="17"/>
      <c r="O53" s="17"/>
      <c r="P53" s="17"/>
      <c r="Q53" s="17"/>
    </row>
    <row r="54" spans="1:17" x14ac:dyDescent="0.25">
      <c r="A54" s="51" t="str">
        <f t="shared" si="0"/>
        <v>Loyer</v>
      </c>
      <c r="B54" s="51"/>
      <c r="C54" s="17"/>
      <c r="D54" s="17"/>
      <c r="E54" s="17"/>
      <c r="F54" s="95" t="s">
        <v>131</v>
      </c>
      <c r="G54" s="96" t="s">
        <v>148</v>
      </c>
      <c r="H54" s="97" t="s">
        <v>149</v>
      </c>
      <c r="I54" s="29"/>
      <c r="J54" s="30"/>
      <c r="L54" s="17"/>
      <c r="M54" s="17"/>
      <c r="N54" s="17"/>
      <c r="O54" s="17"/>
      <c r="P54" s="17"/>
      <c r="Q54" s="17"/>
    </row>
    <row r="55" spans="1:17" x14ac:dyDescent="0.25">
      <c r="A55" s="51" t="str">
        <f t="shared" si="0"/>
        <v>Frais de communications</v>
      </c>
      <c r="B55" s="51"/>
      <c r="C55" s="17"/>
      <c r="D55" s="17"/>
      <c r="E55" s="17"/>
      <c r="F55" s="95" t="s">
        <v>131</v>
      </c>
      <c r="G55" s="96" t="s">
        <v>150</v>
      </c>
      <c r="H55" s="97" t="s">
        <v>151</v>
      </c>
      <c r="I55" s="29"/>
      <c r="J55" s="30"/>
      <c r="L55" s="17"/>
      <c r="M55" s="17"/>
      <c r="N55" s="17"/>
      <c r="O55" s="17"/>
      <c r="P55" s="17"/>
      <c r="Q55" s="17"/>
    </row>
    <row r="56" spans="1:17" x14ac:dyDescent="0.25">
      <c r="A56" s="51" t="str">
        <f t="shared" si="0"/>
        <v>Frais de poste</v>
      </c>
      <c r="B56" s="51"/>
      <c r="C56" s="17"/>
      <c r="D56" s="17"/>
      <c r="E56" s="17"/>
      <c r="F56" s="95" t="s">
        <v>131</v>
      </c>
      <c r="G56" s="96" t="s">
        <v>152</v>
      </c>
      <c r="H56" s="97" t="s">
        <v>153</v>
      </c>
      <c r="I56" s="29"/>
      <c r="J56" s="30"/>
      <c r="L56" s="17"/>
      <c r="M56" s="17"/>
      <c r="N56" s="17"/>
      <c r="O56" s="17"/>
      <c r="P56" s="17"/>
      <c r="Q56" s="17"/>
    </row>
    <row r="57" spans="1:17" x14ac:dyDescent="0.25">
      <c r="A57" s="51" t="str">
        <f t="shared" si="0"/>
        <v>Salaires et Sous-traitance</v>
      </c>
      <c r="B57" s="51"/>
      <c r="C57" s="17"/>
      <c r="D57" s="17"/>
      <c r="E57" s="17"/>
      <c r="F57" s="95" t="s">
        <v>131</v>
      </c>
      <c r="G57" s="96" t="s">
        <v>154</v>
      </c>
      <c r="H57" s="97" t="s">
        <v>155</v>
      </c>
      <c r="I57" s="29"/>
      <c r="J57" s="30"/>
      <c r="L57" s="17"/>
      <c r="M57" s="17"/>
      <c r="N57" s="17"/>
      <c r="O57" s="17"/>
      <c r="P57" s="17"/>
      <c r="Q57" s="17"/>
    </row>
    <row r="58" spans="1:17" x14ac:dyDescent="0.25">
      <c r="A58" s="51" t="str">
        <f t="shared" si="0"/>
        <v>Assurance &amp; Cotisation professionnelle</v>
      </c>
      <c r="B58" s="51"/>
      <c r="C58" s="17"/>
      <c r="D58" s="17"/>
      <c r="E58" s="17"/>
      <c r="F58" s="95" t="s">
        <v>131</v>
      </c>
      <c r="G58" s="96" t="s">
        <v>156</v>
      </c>
      <c r="H58" s="97" t="s">
        <v>157</v>
      </c>
      <c r="I58" s="29"/>
      <c r="J58" s="30"/>
      <c r="L58" s="17"/>
      <c r="M58" s="17"/>
      <c r="N58" s="17"/>
      <c r="O58" s="17"/>
      <c r="P58" s="17"/>
      <c r="Q58" s="17"/>
    </row>
    <row r="59" spans="1:17" x14ac:dyDescent="0.25">
      <c r="A59" s="51" t="str">
        <f t="shared" si="0"/>
        <v>Frais financiers</v>
      </c>
      <c r="B59" s="51"/>
      <c r="C59" s="17"/>
      <c r="D59" s="17"/>
      <c r="E59" s="17"/>
      <c r="F59" s="95" t="s">
        <v>131</v>
      </c>
      <c r="G59" s="96" t="s">
        <v>158</v>
      </c>
      <c r="H59" s="97" t="s">
        <v>159</v>
      </c>
      <c r="I59" s="29"/>
      <c r="J59" s="30"/>
      <c r="L59" s="17"/>
      <c r="M59" s="17"/>
      <c r="N59" s="17"/>
      <c r="O59" s="17"/>
      <c r="P59" s="17"/>
      <c r="Q59" s="17"/>
    </row>
    <row r="60" spans="1:17" x14ac:dyDescent="0.25">
      <c r="A60" s="51" t="str">
        <f t="shared" si="0"/>
        <v>Amortissement</v>
      </c>
      <c r="B60" s="51"/>
      <c r="C60" s="17"/>
      <c r="D60" s="17"/>
      <c r="E60" s="17"/>
      <c r="F60" s="95" t="s">
        <v>131</v>
      </c>
      <c r="G60" s="96" t="s">
        <v>160</v>
      </c>
      <c r="H60" s="97" t="s">
        <v>161</v>
      </c>
      <c r="I60" s="29"/>
      <c r="J60" s="30"/>
      <c r="L60" s="17"/>
      <c r="M60" s="17"/>
      <c r="N60" s="17"/>
      <c r="O60" s="17"/>
      <c r="P60" s="17"/>
      <c r="Q60" s="17"/>
    </row>
    <row r="61" spans="1:17" x14ac:dyDescent="0.25">
      <c r="A61" s="51" t="str">
        <f t="shared" si="0"/>
        <v>Mauvaises créances</v>
      </c>
      <c r="B61" s="51"/>
      <c r="C61" s="17"/>
      <c r="D61" s="17"/>
      <c r="E61" s="17"/>
      <c r="F61" s="95" t="s">
        <v>131</v>
      </c>
      <c r="G61" s="96" t="s">
        <v>162</v>
      </c>
      <c r="H61" s="97" t="s">
        <v>163</v>
      </c>
      <c r="I61" s="29"/>
      <c r="J61" s="30"/>
      <c r="L61" s="17"/>
      <c r="M61" s="17"/>
      <c r="N61" s="17"/>
      <c r="O61" s="17"/>
      <c r="P61" s="17"/>
      <c r="Q61" s="17"/>
    </row>
    <row r="62" spans="1:17" x14ac:dyDescent="0.25">
      <c r="A62" s="51" t="str">
        <f t="shared" si="0"/>
        <v>Assurance - loyer</v>
      </c>
      <c r="B62" s="51"/>
      <c r="C62" s="17"/>
      <c r="D62" s="17"/>
      <c r="E62" s="17"/>
      <c r="F62" s="95" t="s">
        <v>131</v>
      </c>
      <c r="G62" s="96" t="s">
        <v>164</v>
      </c>
      <c r="H62" s="97" t="s">
        <v>165</v>
      </c>
      <c r="I62" s="29"/>
      <c r="J62" s="30"/>
      <c r="L62" s="17"/>
      <c r="M62" s="17"/>
      <c r="N62" s="17"/>
      <c r="O62" s="17"/>
      <c r="P62" s="17"/>
      <c r="Q62" s="17"/>
    </row>
    <row r="63" spans="1:17" ht="15.75" thickBot="1" x14ac:dyDescent="0.3">
      <c r="A63" s="51" t="str">
        <f t="shared" si="0"/>
        <v>Impôts exigibles</v>
      </c>
      <c r="B63" s="51"/>
      <c r="C63" s="17"/>
      <c r="D63" s="17"/>
      <c r="E63" s="17"/>
      <c r="F63" s="100" t="s">
        <v>131</v>
      </c>
      <c r="G63" s="101" t="s">
        <v>166</v>
      </c>
      <c r="H63" s="102" t="s">
        <v>167</v>
      </c>
      <c r="I63" s="33"/>
      <c r="J63" s="34"/>
      <c r="L63" s="17"/>
      <c r="M63" s="17"/>
      <c r="N63" s="17"/>
      <c r="O63" s="17"/>
      <c r="P63" s="17"/>
      <c r="Q63" s="17"/>
    </row>
    <row r="64" spans="1:17" x14ac:dyDescent="0.25">
      <c r="L64" s="17"/>
    </row>
    <row r="65" spans="12:12" x14ac:dyDescent="0.25">
      <c r="L65" s="17"/>
    </row>
    <row r="66" spans="12:12" x14ac:dyDescent="0.25">
      <c r="L66" s="17"/>
    </row>
  </sheetData>
  <sortState xmlns:xlrd2="http://schemas.microsoft.com/office/spreadsheetml/2017/richdata2" ref="L5:L18">
    <sortCondition ref="L4:L18"/>
  </sortState>
  <mergeCells count="3">
    <mergeCell ref="D1:L1"/>
    <mergeCell ref="F2:J2"/>
    <mergeCell ref="N1:P1"/>
  </mergeCells>
  <conditionalFormatting sqref="I4:J20">
    <cfRule type="expression" dxfId="58" priority="18">
      <formula>$D$16=ROW()</formula>
    </cfRule>
  </conditionalFormatting>
  <conditionalFormatting sqref="I4:I13">
    <cfRule type="expression" dxfId="57" priority="22">
      <formula>AND($L4&lt;&gt;"",MOD(ROW(),2)=0)</formula>
    </cfRule>
  </conditionalFormatting>
  <conditionalFormatting sqref="J4:J13">
    <cfRule type="expression" dxfId="56" priority="19">
      <formula>AND($L4&lt;&gt;"",MOD(ROW(),2)=1)</formula>
    </cfRule>
    <cfRule type="expression" dxfId="55" priority="21">
      <formula>AND($L4&lt;&gt;"",MOD(ROW(),2)=0)</formula>
    </cfRule>
  </conditionalFormatting>
  <conditionalFormatting sqref="I4:J63 D11:D21 L4:L18">
    <cfRule type="expression" dxfId="54" priority="17">
      <formula>MOD(ROW(),2)=0</formula>
    </cfRule>
  </conditionalFormatting>
  <conditionalFormatting sqref="F4:H23">
    <cfRule type="expression" dxfId="53" priority="5">
      <formula>#REF!=ROW()</formula>
    </cfRule>
  </conditionalFormatting>
  <conditionalFormatting sqref="F4:H10">
    <cfRule type="expression" dxfId="52" priority="6">
      <formula>AND($J2&lt;&gt;"",MOD(ROW(),2)=0)</formula>
    </cfRule>
  </conditionalFormatting>
  <conditionalFormatting sqref="F4:H63">
    <cfRule type="expression" dxfId="51" priority="4">
      <formula>MOD(ROW(),2)=0</formula>
    </cfRule>
  </conditionalFormatting>
  <conditionalFormatting sqref="F6:H43 F57:H58">
    <cfRule type="expression" dxfId="50" priority="7">
      <formula>AND($J2&lt;&gt;"",MOD(ROW(),2)=0)</formula>
    </cfRule>
  </conditionalFormatting>
  <conditionalFormatting sqref="F9:H10 F4:H4">
    <cfRule type="expression" dxfId="49" priority="3">
      <formula>AND($J1&lt;&gt;"",MOD(ROW(),2)=0)</formula>
    </cfRule>
  </conditionalFormatting>
  <conditionalFormatting sqref="F4:F63">
    <cfRule type="expression" dxfId="48" priority="8">
      <formula>AND($L1048565&lt;&gt;"",MOD(ROW(),2)=0)</formula>
    </cfRule>
  </conditionalFormatting>
  <conditionalFormatting sqref="F47:H47">
    <cfRule type="expression" dxfId="47" priority="9">
      <formula>AND(#REF!&lt;&gt;"",MOD(ROW(),2)=0)</formula>
    </cfRule>
  </conditionalFormatting>
  <conditionalFormatting sqref="F51:H63">
    <cfRule type="expression" dxfId="46" priority="10">
      <formula>AND($J85&lt;&gt;"",MOD(ROW(),2)=0)</formula>
    </cfRule>
  </conditionalFormatting>
  <conditionalFormatting sqref="F59:H59">
    <cfRule type="expression" dxfId="45" priority="11">
      <formula>AND(#REF!&lt;&gt;"",MOD(ROW(),2)=0)</formula>
    </cfRule>
  </conditionalFormatting>
  <conditionalFormatting sqref="F63:H63">
    <cfRule type="expression" dxfId="44" priority="12">
      <formula>AND($J85&lt;&gt;"",MOD(ROW(),2)=0)</formula>
    </cfRule>
  </conditionalFormatting>
  <conditionalFormatting sqref="F48:H50">
    <cfRule type="expression" dxfId="43" priority="13">
      <formula>AND($J80&lt;&gt;"",MOD(ROW(),2)=0)</formula>
    </cfRule>
  </conditionalFormatting>
  <conditionalFormatting sqref="F60:H62">
    <cfRule type="expression" dxfId="42" priority="14">
      <formula>AND($J80&lt;&gt;"",MOD(ROW(),2)=0)</formula>
    </cfRule>
  </conditionalFormatting>
  <conditionalFormatting sqref="F5:H5">
    <cfRule type="expression" dxfId="41" priority="15">
      <formula>AND(#REF!&lt;&gt;"",MOD(ROW(),2)=0)</formula>
    </cfRule>
  </conditionalFormatting>
  <conditionalFormatting sqref="F53:H55">
    <cfRule type="expression" dxfId="40" priority="16">
      <formula>AND($J37&lt;&gt;"",MOD(ROW(),2)=0)</formula>
    </cfRule>
  </conditionalFormatting>
  <conditionalFormatting sqref="F44:H44">
    <cfRule type="expression" dxfId="39" priority="42">
      <formula>AND($J51&lt;&gt;"",MOD(ROW(),2)=0)</formula>
    </cfRule>
  </conditionalFormatting>
  <conditionalFormatting sqref="F56:H56">
    <cfRule type="expression" dxfId="38" priority="44">
      <formula>AND($J51&lt;&gt;"",MOD(ROW(),2)=0)</formula>
    </cfRule>
  </conditionalFormatting>
  <conditionalFormatting sqref="F45:H46">
    <cfRule type="expression" dxfId="37" priority="54">
      <formula>AND($J53&lt;&gt;"",MOD(ROW(),2)=0)</formula>
    </cfRule>
  </conditionalFormatting>
  <conditionalFormatting sqref="I15:I31">
    <cfRule type="expression" dxfId="36" priority="57">
      <formula>AND(#REF!&lt;&gt;"",MOD(ROW(),2)=0)</formula>
    </cfRule>
  </conditionalFormatting>
  <conditionalFormatting sqref="J15:J31">
    <cfRule type="expression" dxfId="35" priority="63">
      <formula>AND(#REF!&lt;&gt;"",MOD(ROW(),2)=1)</formula>
    </cfRule>
    <cfRule type="expression" dxfId="34" priority="64">
      <formula>AND(#REF!&lt;&gt;"",MOD(ROW(),2)=0)</formula>
    </cfRule>
  </conditionalFormatting>
  <conditionalFormatting sqref="I51:I52">
    <cfRule type="expression" dxfId="33" priority="73">
      <formula>AND(#REF!&lt;&gt;"",MOD(ROW(),2)=0)</formula>
    </cfRule>
  </conditionalFormatting>
  <conditionalFormatting sqref="J51:J52">
    <cfRule type="expression" dxfId="32" priority="74">
      <formula>AND(#REF!&lt;&gt;"",MOD(ROW(),2)=1)</formula>
    </cfRule>
    <cfRule type="expression" dxfId="31" priority="75">
      <formula>AND(#REF!&lt;&gt;"",MOD(ROW(),2)=0)</formula>
    </cfRule>
  </conditionalFormatting>
  <conditionalFormatting sqref="I53:I60">
    <cfRule type="expression" dxfId="30" priority="76">
      <formula>AND(#REF!&lt;&gt;"",MOD(ROW(),2)=0)</formula>
    </cfRule>
  </conditionalFormatting>
  <conditionalFormatting sqref="J53:J60">
    <cfRule type="expression" dxfId="29" priority="78">
      <formula>AND(#REF!&lt;&gt;"",MOD(ROW(),2)=1)</formula>
    </cfRule>
    <cfRule type="expression" dxfId="28" priority="79">
      <formula>AND(#REF!&lt;&gt;"",MOD(ROW(),2)=0)</formula>
    </cfRule>
  </conditionalFormatting>
  <conditionalFormatting sqref="I32:I48">
    <cfRule type="expression" dxfId="27" priority="82">
      <formula>AND(#REF!&lt;&gt;"",MOD(ROW(),2)=0)</formula>
    </cfRule>
  </conditionalFormatting>
  <conditionalFormatting sqref="J32:J48">
    <cfRule type="expression" dxfId="26" priority="84">
      <formula>AND(#REF!&lt;&gt;"",MOD(ROW(),2)=1)</formula>
    </cfRule>
    <cfRule type="expression" dxfId="25" priority="85">
      <formula>AND(#REF!&lt;&gt;"",MOD(ROW(),2)=0)</formula>
    </cfRule>
  </conditionalFormatting>
  <conditionalFormatting sqref="I61:I62">
    <cfRule type="expression" dxfId="24" priority="90">
      <formula>AND(#REF!&lt;&gt;"",MOD(ROW(),2)=0)</formula>
    </cfRule>
  </conditionalFormatting>
  <conditionalFormatting sqref="I63">
    <cfRule type="expression" dxfId="23" priority="91">
      <formula>AND($L18&lt;&gt;"",MOD(ROW(),2)=0)</formula>
    </cfRule>
  </conditionalFormatting>
  <conditionalFormatting sqref="J61:J62">
    <cfRule type="expression" dxfId="22" priority="92">
      <formula>AND(#REF!&lt;&gt;"",MOD(ROW(),2)=1)</formula>
    </cfRule>
    <cfRule type="expression" dxfId="21" priority="93">
      <formula>AND(#REF!&lt;&gt;"",MOD(ROW(),2)=0)</formula>
    </cfRule>
  </conditionalFormatting>
  <conditionalFormatting sqref="J63">
    <cfRule type="expression" dxfId="20" priority="94">
      <formula>AND($L18&lt;&gt;"",MOD(ROW(),2)=1)</formula>
    </cfRule>
    <cfRule type="expression" dxfId="19" priority="95">
      <formula>AND($L18&lt;&gt;"",MOD(ROW(),2)=0)</formula>
    </cfRule>
  </conditionalFormatting>
  <conditionalFormatting sqref="I49:I50">
    <cfRule type="expression" dxfId="18" priority="96">
      <formula>AND(#REF!&lt;&gt;"",MOD(ROW(),2)=0)</formula>
    </cfRule>
  </conditionalFormatting>
  <conditionalFormatting sqref="J49:J50">
    <cfRule type="expression" dxfId="17" priority="97">
      <formula>AND(#REF!&lt;&gt;"",MOD(ROW(),2)=1)</formula>
    </cfRule>
    <cfRule type="expression" dxfId="16" priority="98">
      <formula>AND(#REF!&lt;&gt;"",MOD(ROW(),2)=0)</formula>
    </cfRule>
  </conditionalFormatting>
  <conditionalFormatting sqref="D4:D7">
    <cfRule type="expression" dxfId="15" priority="2">
      <formula>MOD(ROW(),2)=0</formula>
    </cfRule>
  </conditionalFormatting>
  <conditionalFormatting sqref="D8">
    <cfRule type="expression" dxfId="14" priority="1">
      <formula>MOD(ROW(),2)=0</formula>
    </cfRule>
  </conditionalFormatting>
  <conditionalFormatting sqref="I14">
    <cfRule type="expression" dxfId="13" priority="100">
      <formula>AND($L16&lt;&gt;"",MOD(ROW(),2)=0)</formula>
    </cfRule>
  </conditionalFormatting>
  <conditionalFormatting sqref="J14">
    <cfRule type="expression" dxfId="12" priority="103">
      <formula>AND($L16&lt;&gt;"",MOD(ROW(),2)=1)</formula>
    </cfRule>
    <cfRule type="expression" dxfId="11" priority="104">
      <formula>AND($L16&lt;&gt;"",MOD(ROW(),2)=0)</formula>
    </cfRule>
  </conditionalFormatting>
  <dataValidations disablePrompts="1" count="2">
    <dataValidation type="list" allowBlank="1" showInputMessage="1" showErrorMessage="1" errorTitle="Incorrect Account" error="Please select a correct Account Type from the drop down list" sqref="F5:F63" xr:uid="{ACFB1E62-421E-4477-919F-5EC3AFF6839B}">
      <formula1>AcctType</formula1>
    </dataValidation>
    <dataValidation type="list" allowBlank="1" showInputMessage="1" showErrorMessage="1" sqref="F4" xr:uid="{5EB0CC4B-CA9D-4B9A-B751-F83909B3F1F3}">
      <formula1>AcctType</formula1>
    </dataValidation>
  </dataValidation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A1:W338"/>
  <sheetViews>
    <sheetView tabSelected="1" zoomScale="110" zoomScaleNormal="110" workbookViewId="0">
      <pane ySplit="7" topLeftCell="A37" activePane="bottomLeft" state="frozen"/>
      <selection pane="bottomLeft" activeCell="E4" sqref="E4"/>
    </sheetView>
  </sheetViews>
  <sheetFormatPr baseColWidth="10" defaultColWidth="9.140625" defaultRowHeight="15" x14ac:dyDescent="0.25"/>
  <cols>
    <col min="1" max="1" width="15.28515625" bestFit="1" customWidth="1"/>
    <col min="2" max="2" width="14.85546875" customWidth="1"/>
    <col min="3" max="3" width="10.7109375" style="94" customWidth="1"/>
    <col min="4" max="4" width="14" style="15" bestFit="1" customWidth="1"/>
    <col min="5" max="5" width="34.85546875" bestFit="1" customWidth="1"/>
    <col min="6" max="6" width="45.42578125" customWidth="1"/>
    <col min="7" max="8" width="13.85546875" customWidth="1"/>
    <col min="9" max="9" width="23.28515625" bestFit="1" customWidth="1"/>
    <col min="10" max="10" width="6.7109375" customWidth="1"/>
    <col min="11" max="11" width="10.7109375" customWidth="1"/>
    <col min="12" max="12" width="14.140625" bestFit="1" customWidth="1"/>
    <col min="13" max="13" width="12.7109375" style="107" customWidth="1"/>
    <col min="14" max="14" width="16.42578125" style="107" bestFit="1" customWidth="1"/>
    <col min="15" max="15" width="24.7109375" customWidth="1"/>
    <col min="16" max="16" width="23.42578125" customWidth="1"/>
    <col min="17" max="17" width="11.7109375" customWidth="1"/>
    <col min="18" max="18" width="6.7109375" style="15" customWidth="1"/>
    <col min="19" max="20" width="6.7109375" style="120" customWidth="1"/>
    <col min="21" max="21" width="12.7109375" style="107" bestFit="1" customWidth="1"/>
    <col min="22" max="22" width="12.7109375" style="107" customWidth="1"/>
    <col min="23" max="23" width="12.7109375" customWidth="1"/>
  </cols>
  <sheetData>
    <row r="1" spans="1:23" ht="46.5" x14ac:dyDescent="0.25">
      <c r="A1" s="53" t="s">
        <v>19</v>
      </c>
      <c r="B1" s="57" t="b">
        <v>0</v>
      </c>
      <c r="C1" s="91"/>
      <c r="D1" s="137" t="s">
        <v>298</v>
      </c>
      <c r="E1" s="137"/>
      <c r="F1" s="137"/>
      <c r="G1" s="137"/>
      <c r="H1" s="137"/>
      <c r="I1" s="137"/>
      <c r="J1" s="137"/>
      <c r="K1" s="3"/>
      <c r="L1" s="119"/>
    </row>
    <row r="2" spans="1:23" x14ac:dyDescent="0.25">
      <c r="A2" s="53" t="s">
        <v>17</v>
      </c>
      <c r="B2" s="57">
        <v>8</v>
      </c>
      <c r="C2" s="92"/>
      <c r="D2" s="47"/>
      <c r="E2" s="1"/>
      <c r="F2" s="1"/>
      <c r="G2" s="1"/>
      <c r="H2" s="1"/>
      <c r="I2" s="1"/>
      <c r="J2" s="1"/>
      <c r="K2" s="1"/>
    </row>
    <row r="3" spans="1:23" x14ac:dyDescent="0.25">
      <c r="A3" s="53" t="s">
        <v>206</v>
      </c>
      <c r="B3" s="57">
        <f>INDEX(C1:C99999,B2,1)</f>
        <v>1</v>
      </c>
      <c r="C3" s="93"/>
      <c r="D3" s="9"/>
      <c r="E3" s="10" t="s">
        <v>195</v>
      </c>
      <c r="F3" s="140" t="str">
        <f>UPPER(E4)</f>
        <v>[ALL ACCOUNTS]</v>
      </c>
      <c r="G3" s="10" t="s">
        <v>193</v>
      </c>
      <c r="H3" s="10" t="s">
        <v>194</v>
      </c>
      <c r="I3" s="10" t="s">
        <v>320</v>
      </c>
      <c r="J3" s="2"/>
      <c r="K3" s="2"/>
    </row>
    <row r="4" spans="1:23" x14ac:dyDescent="0.25">
      <c r="A4" s="53" t="s">
        <v>21</v>
      </c>
      <c r="B4" s="57">
        <f ca="1">IFERROR(MATCH(B3,Trans_Numb,0)+4,"")</f>
        <v>5</v>
      </c>
      <c r="C4" s="93"/>
      <c r="D4" s="9"/>
      <c r="E4" s="46" t="s">
        <v>204</v>
      </c>
      <c r="F4" s="140"/>
      <c r="G4" s="37">
        <v>44927</v>
      </c>
      <c r="H4" s="37">
        <v>45291</v>
      </c>
      <c r="I4" s="61" t="str">
        <f>IF(OR(E4="[All Accounts]",E4=""),"",IF($B$8="Increase",SUMIFS(Trans_Debit,Trans_DebitAcct,$E$4)-SUMIFS(Trans_Credit,Trans_CreditAcct,$E$4),SUMIFS(Trans_Credit,Trans_CreditAcct,$E$4)-SUMIFS(Trans_Debit,Trans_DebitAcct,E4)))</f>
        <v/>
      </c>
      <c r="J4" s="2"/>
      <c r="K4" s="2"/>
    </row>
    <row r="5" spans="1:23" ht="15" customHeight="1" thickBot="1" x14ac:dyDescent="0.35">
      <c r="A5" s="53" t="s">
        <v>37</v>
      </c>
      <c r="B5" s="57"/>
      <c r="C5" s="93"/>
      <c r="D5" s="9"/>
      <c r="E5" s="2"/>
      <c r="F5" s="2"/>
      <c r="G5" s="2"/>
      <c r="H5" s="2"/>
      <c r="I5" s="2"/>
      <c r="J5" s="2"/>
      <c r="K5" s="2"/>
      <c r="U5" s="136"/>
      <c r="V5" s="136"/>
    </row>
    <row r="6" spans="1:23" x14ac:dyDescent="0.25">
      <c r="A6" s="53" t="s">
        <v>18</v>
      </c>
      <c r="B6" s="57" t="b">
        <v>0</v>
      </c>
      <c r="C6" s="93"/>
      <c r="D6" s="4" t="s">
        <v>0</v>
      </c>
      <c r="E6" s="98" t="s">
        <v>322</v>
      </c>
      <c r="F6" s="5" t="s">
        <v>7</v>
      </c>
      <c r="G6" s="141" t="s">
        <v>201</v>
      </c>
      <c r="H6" s="141" t="s">
        <v>179</v>
      </c>
      <c r="I6" s="141" t="s">
        <v>202</v>
      </c>
      <c r="J6" s="138" t="s">
        <v>16</v>
      </c>
      <c r="K6" s="2"/>
    </row>
    <row r="7" spans="1:23" x14ac:dyDescent="0.25">
      <c r="A7" s="53" t="s">
        <v>22</v>
      </c>
      <c r="B7" s="57">
        <f ca="1">IFERROR(MAX(Trans_Numb)+1,1)</f>
        <v>31</v>
      </c>
      <c r="C7" s="93"/>
      <c r="D7" s="6" t="s">
        <v>2</v>
      </c>
      <c r="E7" s="99" t="s">
        <v>323</v>
      </c>
      <c r="F7" s="7" t="s">
        <v>321</v>
      </c>
      <c r="G7" s="142"/>
      <c r="H7" s="142"/>
      <c r="I7" s="142"/>
      <c r="J7" s="139"/>
      <c r="K7" s="2"/>
      <c r="L7" s="121"/>
      <c r="M7" s="122"/>
      <c r="N7" s="122"/>
      <c r="O7" s="123"/>
      <c r="P7" s="123"/>
      <c r="Q7" s="123"/>
      <c r="R7" s="123"/>
      <c r="S7" s="124"/>
      <c r="T7" s="124"/>
      <c r="U7" s="125"/>
      <c r="V7" s="125"/>
      <c r="W7" s="126"/>
    </row>
    <row r="8" spans="1:23" x14ac:dyDescent="0.25">
      <c r="A8" s="56" t="s">
        <v>36</v>
      </c>
      <c r="B8" s="57" t="e">
        <f ca="1">INDEX(DebitType,MATCH(INDEX(AccountsList_Type,MATCH(E4,AccountsList_Names,0),1),AcctType,0),2)</f>
        <v>#N/A</v>
      </c>
      <c r="C8" s="93">
        <v>1</v>
      </c>
      <c r="D8" s="48">
        <v>44927</v>
      </c>
      <c r="E8" s="8" t="s">
        <v>45</v>
      </c>
      <c r="F8" s="8" t="s">
        <v>168</v>
      </c>
      <c r="G8" s="115">
        <v>100000</v>
      </c>
      <c r="H8" s="109"/>
      <c r="I8" s="108" t="str" cm="1">
        <f t="array" ref="I8">_xlfn.SINGLE(IF(OR(E8="",$E$4="[All Accounts]"),"",IF($B$8="Increase",SUMIFS(Trans_Debit,Trans_DebitAcct,$E$4,Trans_Date,"&lt;="&amp;D8)-SUMIFS(Trans_Credit,Trans_CreditAcct,$E$4,Trans_Date,"&lt;="&amp;D8),SUMIFS(Trans_Credit,Trans_CreditAcct,$E$4,Trans_Date,"&lt;="&amp;D8)-SUMIFS(Trans_Debit,Trans_DebitAcct,$E$4,Trans_Date,"&lt;="&amp;D8))))</f>
        <v/>
      </c>
      <c r="J8" s="20"/>
      <c r="K8" s="2"/>
      <c r="L8" s="127"/>
      <c r="O8" s="106"/>
      <c r="Q8" s="44"/>
      <c r="R8" s="45"/>
      <c r="W8" s="107"/>
    </row>
    <row r="9" spans="1:23" ht="15.75" thickBot="1" x14ac:dyDescent="0.3">
      <c r="A9" s="53" t="s">
        <v>38</v>
      </c>
      <c r="B9" s="53" t="e">
        <f ca="1">INDEX(AccountsList_Type,MATCH(E4,AccountsList_Names,0),1)</f>
        <v>#N/A</v>
      </c>
      <c r="C9" s="93"/>
      <c r="D9" s="49" t="s">
        <v>169</v>
      </c>
      <c r="E9" s="38" t="s">
        <v>111</v>
      </c>
      <c r="F9" s="118" t="s">
        <v>170</v>
      </c>
      <c r="G9" s="110"/>
      <c r="H9" s="116">
        <v>100000</v>
      </c>
      <c r="I9" s="112"/>
      <c r="J9" s="19"/>
      <c r="K9" s="2"/>
      <c r="Q9" s="44"/>
      <c r="R9" s="45"/>
      <c r="W9" s="107"/>
    </row>
    <row r="10" spans="1:23" x14ac:dyDescent="0.25">
      <c r="C10" s="93">
        <v>2</v>
      </c>
      <c r="D10" s="50">
        <v>44930</v>
      </c>
      <c r="E10" s="41" t="s">
        <v>139</v>
      </c>
      <c r="F10" s="41" t="s">
        <v>39</v>
      </c>
      <c r="G10" s="117">
        <v>195</v>
      </c>
      <c r="H10" s="111"/>
      <c r="I10" s="108" t="str" cm="1">
        <f t="array" ref="I10">_xlfn.SINGLE(IF(OR(E10="",$E$4="[All Accounts]"),"",IF($B$8="Increase",SUMIFS(Trans_Debit,Trans_DebitAcct,$E$4,Trans_Date,"&lt;="&amp;D10)-SUMIFS(Trans_Credit,Trans_CreditAcct,$E$4,Trans_Date,"&lt;="&amp;D10),SUMIFS(Trans_Credit,Trans_CreditAcct,$E$4,Trans_Date,"&lt;="&amp;D10)-SUMIFS(Trans_Debit,Trans_DebitAcct,$E$4,Trans_Date,"&lt;="&amp;D10))))</f>
        <v/>
      </c>
      <c r="J10" s="18"/>
      <c r="K10" s="2"/>
      <c r="L10" s="127"/>
      <c r="Q10" s="44"/>
      <c r="R10" s="45"/>
      <c r="W10" s="107"/>
    </row>
    <row r="11" spans="1:23" ht="15.75" thickBot="1" x14ac:dyDescent="0.3">
      <c r="B11">
        <v>0</v>
      </c>
      <c r="C11" s="93"/>
      <c r="D11" s="49" t="s">
        <v>86</v>
      </c>
      <c r="E11" s="38" t="s">
        <v>86</v>
      </c>
      <c r="F11" s="118" t="s">
        <v>171</v>
      </c>
      <c r="G11" s="110"/>
      <c r="H11" s="116">
        <v>195</v>
      </c>
      <c r="I11" s="112"/>
      <c r="J11" s="19"/>
      <c r="K11" s="2"/>
      <c r="Q11" s="44"/>
      <c r="R11" s="45"/>
      <c r="W11" s="107"/>
    </row>
    <row r="12" spans="1:23" x14ac:dyDescent="0.25">
      <c r="A12" s="107">
        <v>100000</v>
      </c>
      <c r="B12" s="107">
        <f>B11+A12</f>
        <v>100000</v>
      </c>
      <c r="C12" s="93">
        <v>3</v>
      </c>
      <c r="D12" s="50">
        <v>44933</v>
      </c>
      <c r="E12" s="41" t="s">
        <v>67</v>
      </c>
      <c r="F12" s="41" t="s">
        <v>181</v>
      </c>
      <c r="G12" s="117">
        <v>2405</v>
      </c>
      <c r="H12" s="111"/>
      <c r="I12" s="108" t="str" cm="1">
        <f t="array" ref="I12">_xlfn.SINGLE(IF(OR(E12="",$E$4="[All Accounts]"),"",IF($B$8="Increase",SUMIFS(Trans_Debit,Trans_DebitAcct,$E$4,Trans_Date,"&lt;="&amp;D12)-SUMIFS(Trans_Credit,Trans_CreditAcct,$E$4,Trans_Date,"&lt;="&amp;D12),SUMIFS(Trans_Credit,Trans_CreditAcct,$E$4,Trans_Date,"&lt;="&amp;D12)-SUMIFS(Trans_Debit,Trans_DebitAcct,$E$4,Trans_Date,"&lt;="&amp;D12))))</f>
        <v/>
      </c>
      <c r="J12" s="18"/>
      <c r="K12" s="2"/>
      <c r="L12" s="127"/>
      <c r="Q12" s="44"/>
      <c r="R12" s="45"/>
      <c r="W12" s="107"/>
    </row>
    <row r="13" spans="1:23" ht="15.75" thickBot="1" x14ac:dyDescent="0.3">
      <c r="A13" s="107">
        <v>-2850</v>
      </c>
      <c r="B13" s="107">
        <f t="shared" ref="B13:B19" si="0">B12+A13</f>
        <v>97150</v>
      </c>
      <c r="C13" s="93"/>
      <c r="D13" s="49" t="s">
        <v>86</v>
      </c>
      <c r="E13" s="38" t="s">
        <v>180</v>
      </c>
      <c r="F13" s="118" t="s">
        <v>182</v>
      </c>
      <c r="G13" s="110"/>
      <c r="H13" s="116">
        <v>2405</v>
      </c>
      <c r="I13" s="112"/>
      <c r="J13" s="19"/>
      <c r="K13" s="2"/>
      <c r="Q13" s="44"/>
      <c r="R13" s="45"/>
      <c r="W13" s="107"/>
    </row>
    <row r="14" spans="1:23" x14ac:dyDescent="0.25">
      <c r="A14" s="107">
        <v>-2000</v>
      </c>
      <c r="B14" s="107">
        <f t="shared" si="0"/>
        <v>95150</v>
      </c>
      <c r="C14" s="93">
        <v>14</v>
      </c>
      <c r="D14" s="50">
        <v>44941</v>
      </c>
      <c r="E14" s="41" t="s">
        <v>65</v>
      </c>
      <c r="F14" s="41" t="s">
        <v>203</v>
      </c>
      <c r="G14" s="117">
        <v>2850</v>
      </c>
      <c r="H14" s="111"/>
      <c r="I14" s="108" t="str" cm="1">
        <f t="array" ref="I14">_xlfn.SINGLE(IF(OR(E14="",$E$4="[All Accounts]"),"",IF($B$8="Increase",SUMIFS(Trans_Debit,Trans_DebitAcct,$E$4,Trans_Date,"&lt;="&amp;D14)-SUMIFS(Trans_Credit,Trans_CreditAcct,$E$4,Trans_Date,"&lt;="&amp;D14),SUMIFS(Trans_Credit,Trans_CreditAcct,$E$4,Trans_Date,"&lt;="&amp;D14)-SUMIFS(Trans_Debit,Trans_DebitAcct,$E$4,Trans_Date,"&lt;="&amp;D14))))</f>
        <v/>
      </c>
      <c r="J14" s="18"/>
      <c r="K14" s="2"/>
      <c r="L14" s="127"/>
      <c r="Q14" s="44"/>
      <c r="R14" s="45"/>
      <c r="W14" s="107"/>
    </row>
    <row r="15" spans="1:23" ht="15.75" thickBot="1" x14ac:dyDescent="0.3">
      <c r="A15" s="107">
        <v>-5000</v>
      </c>
      <c r="B15" s="107">
        <f t="shared" si="0"/>
        <v>90150</v>
      </c>
      <c r="C15" s="93"/>
      <c r="D15" s="49" t="s">
        <v>176</v>
      </c>
      <c r="E15" s="38" t="s">
        <v>45</v>
      </c>
      <c r="F15" s="118" t="s">
        <v>205</v>
      </c>
      <c r="G15" s="110"/>
      <c r="H15" s="116">
        <v>2850</v>
      </c>
      <c r="I15" s="112"/>
      <c r="J15" s="19"/>
      <c r="K15" s="2"/>
      <c r="P15" s="106"/>
      <c r="Q15" s="44"/>
      <c r="R15" s="45"/>
      <c r="W15" s="107"/>
    </row>
    <row r="16" spans="1:23" x14ac:dyDescent="0.25">
      <c r="A16" s="107">
        <v>-1465</v>
      </c>
      <c r="B16" s="107">
        <f t="shared" si="0"/>
        <v>88685</v>
      </c>
      <c r="C16" s="93">
        <v>4</v>
      </c>
      <c r="D16" s="50">
        <v>44944</v>
      </c>
      <c r="E16" s="41" t="s">
        <v>47</v>
      </c>
      <c r="F16" s="41" t="s">
        <v>184</v>
      </c>
      <c r="G16" s="117">
        <v>3445</v>
      </c>
      <c r="H16" s="111"/>
      <c r="I16" s="108" t="str" cm="1">
        <f t="array" ref="I16">_xlfn.SINGLE(IF(OR(E16="",$E$4="[All Accounts]"),"",IF($B$8="Increase",SUMIFS(Trans_Debit,Trans_DebitAcct,$E$4,Trans_Date,"&lt;="&amp;D16)-SUMIFS(Trans_Credit,Trans_CreditAcct,$E$4,Trans_Date,"&lt;="&amp;D16),SUMIFS(Trans_Credit,Trans_CreditAcct,$E$4,Trans_Date,"&lt;="&amp;D16)-SUMIFS(Trans_Debit,Trans_DebitAcct,$E$4,Trans_Date,"&lt;="&amp;D16))))</f>
        <v/>
      </c>
      <c r="J16" s="18"/>
      <c r="K16" s="2"/>
      <c r="L16" s="127"/>
      <c r="Q16" s="44"/>
      <c r="R16" s="45"/>
      <c r="W16" s="107"/>
    </row>
    <row r="17" spans="1:23" ht="15.75" thickBot="1" x14ac:dyDescent="0.3">
      <c r="A17" s="107">
        <v>-5000</v>
      </c>
      <c r="B17" s="107">
        <f t="shared" si="0"/>
        <v>83685</v>
      </c>
      <c r="C17" s="93"/>
      <c r="D17" s="49" t="s">
        <v>177</v>
      </c>
      <c r="E17" s="38" t="s">
        <v>120</v>
      </c>
      <c r="F17" s="118" t="s">
        <v>186</v>
      </c>
      <c r="G17" s="110"/>
      <c r="H17" s="116">
        <v>3445</v>
      </c>
      <c r="I17" s="112"/>
      <c r="J17" s="19"/>
      <c r="K17" s="2"/>
      <c r="Q17" s="44"/>
      <c r="R17" s="45"/>
      <c r="W17" s="107"/>
    </row>
    <row r="18" spans="1:23" x14ac:dyDescent="0.25">
      <c r="A18" s="107">
        <v>-891</v>
      </c>
      <c r="B18" s="107">
        <f t="shared" si="0"/>
        <v>82794</v>
      </c>
      <c r="C18" s="93">
        <v>5</v>
      </c>
      <c r="D18" s="50">
        <v>44957</v>
      </c>
      <c r="E18" s="41" t="s">
        <v>180</v>
      </c>
      <c r="F18" s="41" t="s">
        <v>187</v>
      </c>
      <c r="G18" s="117">
        <v>2000</v>
      </c>
      <c r="H18" s="111"/>
      <c r="I18" s="108" t="str" cm="1">
        <f t="array" ref="I18">_xlfn.SINGLE(IF(OR(E18="",$E$4="[All Accounts]"),"",IF($B$8="Increase",SUMIFS(Trans_Debit,Trans_DebitAcct,$E$4,Trans_Date,"&lt;="&amp;D18)-SUMIFS(Trans_Credit,Trans_CreditAcct,$E$4,Trans_Date,"&lt;="&amp;D18),SUMIFS(Trans_Credit,Trans_CreditAcct,$E$4,Trans_Date,"&lt;="&amp;D18)-SUMIFS(Trans_Debit,Trans_DebitAcct,$E$4,Trans_Date,"&lt;="&amp;D18))))</f>
        <v/>
      </c>
      <c r="J18" s="18"/>
      <c r="K18" s="2"/>
      <c r="L18" s="127"/>
      <c r="Q18" s="44"/>
      <c r="R18" s="45"/>
      <c r="W18" s="107"/>
    </row>
    <row r="19" spans="1:23" ht="15.75" thickBot="1" x14ac:dyDescent="0.3">
      <c r="A19" s="107">
        <v>6890</v>
      </c>
      <c r="B19" s="107">
        <f t="shared" si="0"/>
        <v>89684</v>
      </c>
      <c r="C19" s="93"/>
      <c r="D19" s="49" t="s">
        <v>175</v>
      </c>
      <c r="E19" s="38" t="s">
        <v>45</v>
      </c>
      <c r="F19" s="118" t="s">
        <v>188</v>
      </c>
      <c r="G19" s="110"/>
      <c r="H19" s="116">
        <v>2000</v>
      </c>
      <c r="I19" s="112"/>
      <c r="J19" s="19"/>
      <c r="K19" s="2"/>
      <c r="Q19" s="44"/>
      <c r="R19" s="45"/>
      <c r="W19" s="107"/>
    </row>
    <row r="20" spans="1:23" x14ac:dyDescent="0.25">
      <c r="A20" s="107">
        <v>-5000</v>
      </c>
      <c r="B20" s="107">
        <f t="shared" ref="B20:B25" si="1">B19+A20</f>
        <v>84684</v>
      </c>
      <c r="C20" s="93">
        <v>10</v>
      </c>
      <c r="D20" s="50">
        <v>44958</v>
      </c>
      <c r="E20" s="41" t="s">
        <v>75</v>
      </c>
      <c r="F20" s="41" t="s">
        <v>208</v>
      </c>
      <c r="G20" s="117">
        <v>995</v>
      </c>
      <c r="H20" s="111"/>
      <c r="I20" s="108" t="str" cm="1">
        <f t="array" ref="I20">_xlfn.SINGLE(IF(OR(E20="",$E$4="[All Accounts]"),"",IF($B$8="Increase",SUMIFS(Trans_Debit,Trans_DebitAcct,$E$4,Trans_Date,"&lt;="&amp;D20)-SUMIFS(Trans_Credit,Trans_CreditAcct,$E$4,Trans_Date,"&lt;="&amp;D20),SUMIFS(Trans_Credit,Trans_CreditAcct,$E$4,Trans_Date,"&lt;="&amp;D20)-SUMIFS(Trans_Debit,Trans_DebitAcct,$E$4,Trans_Date,"&lt;="&amp;D20))))</f>
        <v/>
      </c>
      <c r="J20" s="18"/>
      <c r="K20" s="2"/>
      <c r="L20" s="127"/>
      <c r="Q20" s="44"/>
      <c r="R20" s="45"/>
      <c r="W20" s="107"/>
    </row>
    <row r="21" spans="1:23" ht="15.75" thickBot="1" x14ac:dyDescent="0.3">
      <c r="A21" s="107">
        <v>3445</v>
      </c>
      <c r="B21" s="107">
        <f t="shared" si="1"/>
        <v>88129</v>
      </c>
      <c r="C21" s="93"/>
      <c r="D21" s="49" t="s">
        <v>178</v>
      </c>
      <c r="E21" s="38" t="s">
        <v>180</v>
      </c>
      <c r="F21" s="118" t="s">
        <v>209</v>
      </c>
      <c r="G21" s="110"/>
      <c r="H21" s="116">
        <v>995</v>
      </c>
      <c r="I21" s="112"/>
      <c r="J21" s="19"/>
      <c r="K21" s="2"/>
      <c r="P21" s="106"/>
      <c r="Q21" s="44"/>
      <c r="R21" s="45"/>
      <c r="W21" s="107"/>
    </row>
    <row r="22" spans="1:23" x14ac:dyDescent="0.25">
      <c r="A22" s="107">
        <v>-5000</v>
      </c>
      <c r="B22" s="107">
        <f t="shared" si="1"/>
        <v>83129</v>
      </c>
      <c r="C22" s="93">
        <v>6</v>
      </c>
      <c r="D22" s="50">
        <v>44965</v>
      </c>
      <c r="E22" s="41" t="s">
        <v>139</v>
      </c>
      <c r="F22" s="41" t="s">
        <v>189</v>
      </c>
      <c r="G22" s="117">
        <v>65</v>
      </c>
      <c r="H22" s="111"/>
      <c r="I22" s="108" t="str" cm="1">
        <f t="array" ref="I22">_xlfn.SINGLE(IF(OR(E22="",$E$4="[All Accounts]"),"",IF($B$8="Increase",SUMIFS(Trans_Debit,Trans_DebitAcct,$E$4,Trans_Date,"&lt;="&amp;D22)-SUMIFS(Trans_Credit,Trans_CreditAcct,$E$4,Trans_Date,"&lt;="&amp;D22),SUMIFS(Trans_Credit,Trans_CreditAcct,$E$4,Trans_Date,"&lt;="&amp;D22)-SUMIFS(Trans_Debit,Trans_DebitAcct,$E$4,Trans_Date,"&lt;="&amp;D22))))</f>
        <v/>
      </c>
      <c r="J22" s="18"/>
      <c r="K22" s="2"/>
      <c r="L22" s="127"/>
      <c r="Q22" s="44"/>
      <c r="R22" s="45"/>
      <c r="W22" s="107"/>
    </row>
    <row r="23" spans="1:23" ht="15.75" thickBot="1" x14ac:dyDescent="0.3">
      <c r="A23" s="107">
        <v>-198</v>
      </c>
      <c r="B23" s="107">
        <f t="shared" si="1"/>
        <v>82931</v>
      </c>
      <c r="C23" s="93"/>
      <c r="D23" s="49" t="s">
        <v>86</v>
      </c>
      <c r="E23" s="38" t="s">
        <v>180</v>
      </c>
      <c r="F23" s="118" t="s">
        <v>192</v>
      </c>
      <c r="G23" s="110"/>
      <c r="H23" s="116">
        <v>65</v>
      </c>
      <c r="I23" s="112"/>
      <c r="J23" s="19"/>
      <c r="K23" s="2"/>
      <c r="Q23" s="44"/>
      <c r="R23" s="45"/>
      <c r="W23" s="107"/>
    </row>
    <row r="24" spans="1:23" x14ac:dyDescent="0.25">
      <c r="A24" s="107">
        <v>-345</v>
      </c>
      <c r="B24" s="107">
        <f t="shared" si="1"/>
        <v>82586</v>
      </c>
      <c r="C24" s="93">
        <v>7</v>
      </c>
      <c r="D24" s="50">
        <v>44985</v>
      </c>
      <c r="E24" s="41" t="s">
        <v>117</v>
      </c>
      <c r="F24" s="41" t="s">
        <v>168</v>
      </c>
      <c r="G24" s="117">
        <v>5000</v>
      </c>
      <c r="H24" s="111"/>
      <c r="I24" s="108" t="str" cm="1">
        <f t="array" ref="I24">_xlfn.SINGLE(IF(OR(E24="",$E$4="[All Accounts]"),"",IF($B$8="Increase",SUMIFS(Trans_Debit,Trans_DebitAcct,$E$4,Trans_Date,"&lt;="&amp;D24)-SUMIFS(Trans_Credit,Trans_CreditAcct,$E$4,Trans_Date,"&lt;="&amp;D24),SUMIFS(Trans_Credit,Trans_CreditAcct,$E$4,Trans_Date,"&lt;="&amp;D24)-SUMIFS(Trans_Debit,Trans_DebitAcct,$E$4,Trans_Date,"&lt;="&amp;D24))))</f>
        <v/>
      </c>
      <c r="J24" s="18"/>
      <c r="K24" s="2"/>
      <c r="L24" s="127"/>
      <c r="Q24" s="44"/>
      <c r="R24" s="45"/>
      <c r="W24" s="107"/>
    </row>
    <row r="25" spans="1:23" ht="15.75" thickBot="1" x14ac:dyDescent="0.3">
      <c r="A25" s="107">
        <v>-5000</v>
      </c>
      <c r="B25" s="107">
        <f t="shared" si="1"/>
        <v>77586</v>
      </c>
      <c r="C25" s="93"/>
      <c r="D25" s="49" t="s">
        <v>172</v>
      </c>
      <c r="E25" s="38" t="s">
        <v>45</v>
      </c>
      <c r="F25" s="118" t="s">
        <v>198</v>
      </c>
      <c r="G25" s="110"/>
      <c r="H25" s="116">
        <v>5000</v>
      </c>
      <c r="I25" s="112"/>
      <c r="J25" s="19"/>
      <c r="K25" s="2"/>
      <c r="Q25" s="44"/>
      <c r="R25" s="45"/>
      <c r="W25" s="107"/>
    </row>
    <row r="26" spans="1:23" x14ac:dyDescent="0.25">
      <c r="A26" s="107">
        <v>-5000</v>
      </c>
      <c r="B26" s="107">
        <f>B25+A26</f>
        <v>72586</v>
      </c>
      <c r="C26" s="93">
        <v>13</v>
      </c>
      <c r="D26" s="50">
        <v>44985</v>
      </c>
      <c r="E26" s="41" t="s">
        <v>47</v>
      </c>
      <c r="F26" s="41" t="s">
        <v>185</v>
      </c>
      <c r="G26" s="60">
        <v>6890</v>
      </c>
      <c r="H26" s="42"/>
      <c r="I26" s="108" t="str" cm="1">
        <f t="array" ref="I26">_xlfn.SINGLE(IF(OR(E26="",$E$4="[All Accounts]"),"",IF($B$8="Increase",SUMIFS(Trans_Debit,Trans_DebitAcct,$E$4,Trans_Date,"&lt;="&amp;D26)-SUMIFS(Trans_Credit,Trans_CreditAcct,$E$4,Trans_Date,"&lt;="&amp;D26),SUMIFS(Trans_Credit,Trans_CreditAcct,$E$4,Trans_Date,"&lt;="&amp;D26)-SUMIFS(Trans_Debit,Trans_DebitAcct,$E$4,Trans_Date,"&lt;="&amp;D26))))</f>
        <v/>
      </c>
      <c r="J26" s="18"/>
      <c r="K26" s="2"/>
      <c r="Q26" s="44"/>
      <c r="R26" s="45"/>
      <c r="W26" s="107"/>
    </row>
    <row r="27" spans="1:23" ht="15.75" thickBot="1" x14ac:dyDescent="0.3">
      <c r="A27" s="107">
        <v>-5000</v>
      </c>
      <c r="B27" s="107">
        <f>B26+A27</f>
        <v>67586</v>
      </c>
      <c r="C27" s="93"/>
      <c r="D27" s="49" t="s">
        <v>177</v>
      </c>
      <c r="E27" s="38" t="s">
        <v>120</v>
      </c>
      <c r="F27" s="38" t="s">
        <v>197</v>
      </c>
      <c r="G27" s="39"/>
      <c r="H27" s="58">
        <v>6890</v>
      </c>
      <c r="I27" s="112"/>
      <c r="J27" s="19"/>
      <c r="K27" s="2"/>
      <c r="Q27" s="44"/>
      <c r="R27" s="45"/>
      <c r="W27" s="107"/>
    </row>
    <row r="28" spans="1:23" x14ac:dyDescent="0.25">
      <c r="A28" s="107">
        <v>-5000</v>
      </c>
      <c r="B28" s="107">
        <f>B27+A28</f>
        <v>62586</v>
      </c>
      <c r="C28" s="93">
        <v>23</v>
      </c>
      <c r="D28" s="50">
        <v>44985</v>
      </c>
      <c r="E28" s="41" t="s">
        <v>180</v>
      </c>
      <c r="F28" s="41" t="s">
        <v>187</v>
      </c>
      <c r="G28" s="60">
        <v>1465</v>
      </c>
      <c r="H28" s="60"/>
      <c r="I28" s="108" t="str" cm="1">
        <f t="array" ref="I28">_xlfn.SINGLE(IF(OR(E28="",$E$4="[All Accounts]"),"",IF($B$8="Increase",SUMIFS(Trans_Debit,Trans_DebitAcct,$E$4,Trans_Date,"&lt;="&amp;D28)-SUMIFS(Trans_Credit,Trans_CreditAcct,$E$4,Trans_Date,"&lt;="&amp;D28),SUMIFS(Trans_Credit,Trans_CreditAcct,$E$4,Trans_Date,"&lt;="&amp;D28)-SUMIFS(Trans_Debit,Trans_DebitAcct,$E$4,Trans_Date,"&lt;="&amp;D28))))</f>
        <v/>
      </c>
      <c r="J28" s="18"/>
      <c r="K28" s="2"/>
      <c r="Q28" s="44"/>
      <c r="R28" s="45"/>
      <c r="W28" s="107"/>
    </row>
    <row r="29" spans="1:23" ht="15.75" thickBot="1" x14ac:dyDescent="0.3">
      <c r="A29" s="107">
        <v>-125</v>
      </c>
      <c r="B29" s="107">
        <f>B28+A29</f>
        <v>62461</v>
      </c>
      <c r="C29" s="93"/>
      <c r="D29" s="49" t="s">
        <v>176</v>
      </c>
      <c r="E29" s="38" t="s">
        <v>45</v>
      </c>
      <c r="F29" s="38" t="s">
        <v>211</v>
      </c>
      <c r="G29" s="58"/>
      <c r="H29" s="58">
        <v>1465</v>
      </c>
      <c r="I29" s="112"/>
      <c r="J29" s="19"/>
      <c r="K29" s="2"/>
      <c r="Q29" s="44"/>
      <c r="R29" s="45"/>
      <c r="W29" s="107"/>
    </row>
    <row r="30" spans="1:23" x14ac:dyDescent="0.25">
      <c r="A30" s="107"/>
      <c r="B30" s="107"/>
      <c r="C30" s="93">
        <v>9</v>
      </c>
      <c r="D30" s="50">
        <v>44986</v>
      </c>
      <c r="E30" s="41" t="s">
        <v>147</v>
      </c>
      <c r="F30" s="41" t="s">
        <v>181</v>
      </c>
      <c r="G30" s="60">
        <v>192</v>
      </c>
      <c r="H30" s="42"/>
      <c r="I30" s="108" t="str" cm="1">
        <f t="array" ref="I30">_xlfn.SINGLE(IF(OR(E30="",$E$4="[All Accounts]"),"",IF($B$8="Increase",SUMIFS(Trans_Debit,Trans_DebitAcct,$E$4,Trans_Date,"&lt;="&amp;D30)-SUMIFS(Trans_Credit,Trans_CreditAcct,$E$4,Trans_Date,"&lt;="&amp;D30),SUMIFS(Trans_Credit,Trans_CreditAcct,$E$4,Trans_Date,"&lt;="&amp;D30)-SUMIFS(Trans_Debit,Trans_DebitAcct,$E$4,Trans_Date,"&lt;="&amp;D30))))</f>
        <v/>
      </c>
      <c r="J30" s="18"/>
      <c r="K30" s="2"/>
      <c r="Q30" s="44"/>
      <c r="R30" s="45"/>
      <c r="W30" s="107"/>
    </row>
    <row r="31" spans="1:23" ht="15.75" thickBot="1" x14ac:dyDescent="0.3">
      <c r="A31" s="107"/>
      <c r="B31" s="107"/>
      <c r="C31" s="93"/>
      <c r="D31" s="49" t="s">
        <v>86</v>
      </c>
      <c r="E31" s="38" t="s">
        <v>180</v>
      </c>
      <c r="F31" s="38" t="s">
        <v>200</v>
      </c>
      <c r="G31" s="39"/>
      <c r="H31" s="58">
        <v>192</v>
      </c>
      <c r="I31" s="112"/>
      <c r="J31" s="19"/>
      <c r="K31" s="2"/>
      <c r="Q31" s="44"/>
      <c r="R31" s="45"/>
      <c r="W31" s="107"/>
    </row>
    <row r="32" spans="1:23" x14ac:dyDescent="0.25">
      <c r="A32" s="107"/>
      <c r="B32" s="107"/>
      <c r="C32" s="93">
        <v>8</v>
      </c>
      <c r="D32" s="50">
        <v>44987</v>
      </c>
      <c r="E32" s="41" t="s">
        <v>71</v>
      </c>
      <c r="F32" s="41" t="s">
        <v>181</v>
      </c>
      <c r="G32" s="60">
        <v>699</v>
      </c>
      <c r="H32" s="42"/>
      <c r="I32" s="108" t="str" cm="1">
        <f t="array" ref="I32">_xlfn.SINGLE(IF(OR(E32="",$E$4="[All Accounts]"),"",IF($B$8="Increase",SUMIFS(Trans_Debit,Trans_DebitAcct,$E$4,Trans_Date,"&lt;="&amp;D32)-SUMIFS(Trans_Credit,Trans_CreditAcct,$E$4,Trans_Date,"&lt;="&amp;D32),SUMIFS(Trans_Credit,Trans_CreditAcct,$E$4,Trans_Date,"&lt;="&amp;D32)-SUMIFS(Trans_Debit,Trans_DebitAcct,$E$4,Trans_Date,"&lt;="&amp;D32))))</f>
        <v/>
      </c>
      <c r="J32" s="18"/>
      <c r="K32" s="2"/>
      <c r="Q32" s="44"/>
      <c r="R32" s="45"/>
      <c r="W32" s="107"/>
    </row>
    <row r="33" spans="1:23" ht="15.75" thickBot="1" x14ac:dyDescent="0.3">
      <c r="A33" s="107"/>
      <c r="B33" s="107"/>
      <c r="C33" s="93"/>
      <c r="D33" s="49" t="s">
        <v>86</v>
      </c>
      <c r="E33" s="38" t="s">
        <v>180</v>
      </c>
      <c r="F33" s="38" t="s">
        <v>199</v>
      </c>
      <c r="G33" s="39"/>
      <c r="H33" s="58">
        <v>699</v>
      </c>
      <c r="I33" s="112"/>
      <c r="J33" s="19"/>
      <c r="K33" s="2"/>
      <c r="Q33" s="44"/>
      <c r="R33" s="45"/>
      <c r="W33" s="107"/>
    </row>
    <row r="34" spans="1:23" x14ac:dyDescent="0.25">
      <c r="A34" s="107"/>
      <c r="B34" s="107"/>
      <c r="C34" s="93">
        <v>12</v>
      </c>
      <c r="D34" s="50">
        <v>45016</v>
      </c>
      <c r="E34" s="41" t="s">
        <v>117</v>
      </c>
      <c r="F34" s="41" t="s">
        <v>168</v>
      </c>
      <c r="G34" s="60">
        <v>5000</v>
      </c>
      <c r="H34" s="42"/>
      <c r="I34" s="108" t="str" cm="1">
        <f t="array" ref="I34">_xlfn.SINGLE(IF(OR(E34="",$E$4="[All Accounts]"),"",IF($B$8="Increase",SUMIFS(Trans_Debit,Trans_DebitAcct,$E$4,Trans_Date,"&lt;="&amp;D34)-SUMIFS(Trans_Credit,Trans_CreditAcct,$E$4,Trans_Date,"&lt;="&amp;D34),SUMIFS(Trans_Credit,Trans_CreditAcct,$E$4,Trans_Date,"&lt;="&amp;D34)-SUMIFS(Trans_Debit,Trans_DebitAcct,$E$4,Trans_Date,"&lt;="&amp;D34))))</f>
        <v/>
      </c>
      <c r="J34" s="18"/>
      <c r="K34" s="2"/>
      <c r="Q34" s="44"/>
      <c r="R34" s="45"/>
      <c r="W34" s="107"/>
    </row>
    <row r="35" spans="1:23" ht="15.75" thickBot="1" x14ac:dyDescent="0.3">
      <c r="A35" s="107"/>
      <c r="B35" s="107"/>
      <c r="C35" s="93"/>
      <c r="D35" s="49" t="s">
        <v>172</v>
      </c>
      <c r="E35" s="38" t="s">
        <v>45</v>
      </c>
      <c r="F35" s="38" t="s">
        <v>210</v>
      </c>
      <c r="G35" s="39"/>
      <c r="H35" s="58">
        <v>5000</v>
      </c>
      <c r="I35" s="112"/>
      <c r="J35" s="19"/>
      <c r="K35" s="2"/>
      <c r="Q35" s="44"/>
      <c r="R35" s="45"/>
      <c r="W35" s="107"/>
    </row>
    <row r="36" spans="1:23" x14ac:dyDescent="0.25">
      <c r="A36" s="107"/>
      <c r="B36" s="107"/>
      <c r="C36" s="93">
        <v>15</v>
      </c>
      <c r="D36" s="50">
        <v>45016</v>
      </c>
      <c r="E36" s="41" t="s">
        <v>47</v>
      </c>
      <c r="F36" s="41" t="s">
        <v>183</v>
      </c>
      <c r="G36" s="42">
        <v>2298.4899999999998</v>
      </c>
      <c r="H36" s="42"/>
      <c r="I36" s="108" t="str" cm="1">
        <f t="array" ref="I36">_xlfn.SINGLE(IF(OR(E36="",$E$4="[All Accounts]"),"",IF($B$8="Increase",SUMIFS(Trans_Debit,Trans_DebitAcct,$E$4,Trans_Date,"&lt;="&amp;D36)-SUMIFS(Trans_Credit,Trans_CreditAcct,$E$4,Trans_Date,"&lt;="&amp;D36),SUMIFS(Trans_Credit,Trans_CreditAcct,$E$4,Trans_Date,"&lt;="&amp;D36)-SUMIFS(Trans_Debit,Trans_DebitAcct,$E$4,Trans_Date,"&lt;="&amp;D36))))</f>
        <v/>
      </c>
      <c r="J36" s="18"/>
      <c r="K36" s="2"/>
      <c r="Q36" s="44"/>
      <c r="R36" s="45"/>
      <c r="W36" s="107"/>
    </row>
    <row r="37" spans="1:23" ht="15.75" thickBot="1" x14ac:dyDescent="0.3">
      <c r="A37" s="107"/>
      <c r="B37" s="107"/>
      <c r="C37" s="93"/>
      <c r="D37" s="49" t="s">
        <v>177</v>
      </c>
      <c r="E37" s="38" t="s">
        <v>120</v>
      </c>
      <c r="F37" s="38" t="s">
        <v>207</v>
      </c>
      <c r="G37" s="39"/>
      <c r="H37" s="39">
        <v>2298.4899999999998</v>
      </c>
      <c r="I37" s="112"/>
      <c r="J37" s="19"/>
      <c r="K37" s="2"/>
      <c r="Q37" s="44"/>
      <c r="R37" s="45"/>
      <c r="W37" s="107"/>
    </row>
    <row r="38" spans="1:23" x14ac:dyDescent="0.25">
      <c r="A38" s="107"/>
      <c r="B38" s="107"/>
      <c r="C38" s="93">
        <v>24</v>
      </c>
      <c r="D38" s="50">
        <v>45016</v>
      </c>
      <c r="E38" s="41" t="s">
        <v>180</v>
      </c>
      <c r="F38" s="41" t="s">
        <v>187</v>
      </c>
      <c r="G38" s="42">
        <v>891</v>
      </c>
      <c r="H38" s="42"/>
      <c r="I38" s="108" t="str" cm="1">
        <f t="array" ref="I38">_xlfn.SINGLE(IF(OR(E38="",$E$4="[All Accounts]"),"",IF($B$8="Increase",SUMIFS(Trans_Debit,Trans_DebitAcct,$E$4,Trans_Date,"&lt;="&amp;D38)-SUMIFS(Trans_Credit,Trans_CreditAcct,$E$4,Trans_Date,"&lt;="&amp;D38),SUMIFS(Trans_Credit,Trans_CreditAcct,$E$4,Trans_Date,"&lt;="&amp;D38)-SUMIFS(Trans_Debit,Trans_DebitAcct,$E$4,Trans_Date,"&lt;="&amp;D38))))</f>
        <v/>
      </c>
      <c r="J38" s="18"/>
      <c r="K38" s="2"/>
      <c r="Q38" s="44"/>
      <c r="R38" s="45"/>
      <c r="W38" s="107"/>
    </row>
    <row r="39" spans="1:23" ht="15.75" thickBot="1" x14ac:dyDescent="0.3">
      <c r="A39" s="107"/>
      <c r="B39" s="107"/>
      <c r="C39" s="93"/>
      <c r="D39" s="49" t="s">
        <v>176</v>
      </c>
      <c r="E39" s="38" t="s">
        <v>45</v>
      </c>
      <c r="F39" s="38" t="s">
        <v>311</v>
      </c>
      <c r="G39" s="39"/>
      <c r="H39" s="39">
        <v>891</v>
      </c>
      <c r="I39" s="112"/>
      <c r="J39" s="19"/>
      <c r="K39" s="2"/>
      <c r="Q39" s="44"/>
      <c r="R39" s="45"/>
      <c r="W39" s="107"/>
    </row>
    <row r="40" spans="1:23" x14ac:dyDescent="0.25">
      <c r="C40" s="93">
        <v>21</v>
      </c>
      <c r="D40" s="50">
        <v>45036</v>
      </c>
      <c r="E40" s="41" t="s">
        <v>45</v>
      </c>
      <c r="F40" s="41" t="s">
        <v>185</v>
      </c>
      <c r="G40" s="42">
        <v>6890</v>
      </c>
      <c r="H40" s="42"/>
      <c r="I40" s="108" t="str" cm="1">
        <f t="array" ref="I40">_xlfn.SINGLE(IF(OR(E40="",$E$4="[All Accounts]"),"",IF($B$8="Increase",SUMIFS(Trans_Debit,Trans_DebitAcct,$E$4,Trans_Date,"&lt;="&amp;D40)-SUMIFS(Trans_Credit,Trans_CreditAcct,$E$4,Trans_Date,"&lt;="&amp;D40),SUMIFS(Trans_Credit,Trans_CreditAcct,$E$4,Trans_Date,"&lt;="&amp;D40)-SUMIFS(Trans_Debit,Trans_DebitAcct,$E$4,Trans_Date,"&lt;="&amp;D40))))</f>
        <v/>
      </c>
      <c r="J40" s="18"/>
      <c r="K40" s="2"/>
      <c r="Q40" s="44"/>
      <c r="R40" s="45"/>
      <c r="W40" s="107"/>
    </row>
    <row r="41" spans="1:23" ht="15.75" thickBot="1" x14ac:dyDescent="0.3">
      <c r="C41" s="93"/>
      <c r="D41" s="49" t="s">
        <v>176</v>
      </c>
      <c r="E41" s="38" t="s">
        <v>47</v>
      </c>
      <c r="F41" s="38" t="s">
        <v>197</v>
      </c>
      <c r="G41" s="39"/>
      <c r="H41" s="39">
        <v>6890</v>
      </c>
      <c r="I41" s="112"/>
      <c r="J41" s="19"/>
      <c r="K41" s="2"/>
      <c r="Q41" s="44"/>
      <c r="R41" s="45"/>
      <c r="W41" s="107"/>
    </row>
    <row r="42" spans="1:23" x14ac:dyDescent="0.25">
      <c r="C42" s="93">
        <v>16</v>
      </c>
      <c r="D42" s="50">
        <v>45046</v>
      </c>
      <c r="E42" s="41" t="s">
        <v>117</v>
      </c>
      <c r="F42" s="41" t="s">
        <v>168</v>
      </c>
      <c r="G42" s="42">
        <v>5000</v>
      </c>
      <c r="H42" s="42"/>
      <c r="I42" s="108" t="str" cm="1">
        <f t="array" ref="I42">_xlfn.SINGLE(IF(OR(E42="",$E$4="[All Accounts]"),"",IF($B$8="Increase",SUMIFS(Trans_Debit,Trans_DebitAcct,$E$4,Trans_Date,"&lt;="&amp;D42)-SUMIFS(Trans_Credit,Trans_CreditAcct,$E$4,Trans_Date,"&lt;="&amp;D42),SUMIFS(Trans_Credit,Trans_CreditAcct,$E$4,Trans_Date,"&lt;="&amp;D42)-SUMIFS(Trans_Debit,Trans_DebitAcct,$E$4,Trans_Date,"&lt;="&amp;D42))))</f>
        <v/>
      </c>
      <c r="J42" s="18"/>
      <c r="K42" s="2"/>
      <c r="Q42" s="44"/>
      <c r="R42" s="45"/>
      <c r="W42" s="107"/>
    </row>
    <row r="43" spans="1:23" ht="15.75" thickBot="1" x14ac:dyDescent="0.3">
      <c r="C43" s="93"/>
      <c r="D43" s="49" t="s">
        <v>172</v>
      </c>
      <c r="E43" s="38" t="s">
        <v>45</v>
      </c>
      <c r="F43" s="38" t="s">
        <v>305</v>
      </c>
      <c r="G43" s="39"/>
      <c r="H43" s="39">
        <v>5000</v>
      </c>
      <c r="I43" s="112"/>
      <c r="J43" s="19"/>
      <c r="K43" s="2"/>
      <c r="Q43" s="44"/>
      <c r="R43" s="45"/>
      <c r="W43" s="107"/>
    </row>
    <row r="44" spans="1:23" x14ac:dyDescent="0.25">
      <c r="C44" s="93">
        <v>11</v>
      </c>
      <c r="D44" s="50">
        <v>45057</v>
      </c>
      <c r="E44" s="41" t="s">
        <v>45</v>
      </c>
      <c r="F44" s="41" t="s">
        <v>184</v>
      </c>
      <c r="G44" s="42">
        <v>3445</v>
      </c>
      <c r="H44" s="42"/>
      <c r="I44" s="108" t="str" cm="1">
        <f t="array" ref="I44">_xlfn.SINGLE(IF(OR(E44="",$E$4="[All Accounts]"),"",IF($B$8="Increase",SUMIFS(Trans_Debit,Trans_DebitAcct,$E$4,Trans_Date,"&lt;="&amp;D44)-SUMIFS(Trans_Credit,Trans_CreditAcct,$E$4,Trans_Date,"&lt;="&amp;D44),SUMIFS(Trans_Credit,Trans_CreditAcct,$E$4,Trans_Date,"&lt;="&amp;D44)-SUMIFS(Trans_Debit,Trans_DebitAcct,$E$4,Trans_Date,"&lt;="&amp;D44))))</f>
        <v/>
      </c>
      <c r="J44" s="18"/>
      <c r="K44" s="2"/>
      <c r="Q44" s="44"/>
      <c r="R44" s="45"/>
      <c r="W44" s="107"/>
    </row>
    <row r="45" spans="1:23" ht="15.75" thickBot="1" x14ac:dyDescent="0.3">
      <c r="C45" s="93"/>
      <c r="D45" s="49" t="s">
        <v>176</v>
      </c>
      <c r="E45" s="38" t="s">
        <v>47</v>
      </c>
      <c r="F45" s="38" t="s">
        <v>186</v>
      </c>
      <c r="G45" s="39"/>
      <c r="H45" s="39">
        <v>3445</v>
      </c>
      <c r="I45" s="112"/>
      <c r="J45" s="19"/>
      <c r="K45" s="2"/>
      <c r="Q45" s="44"/>
      <c r="R45" s="45"/>
      <c r="W45" s="107"/>
    </row>
    <row r="46" spans="1:23" x14ac:dyDescent="0.25">
      <c r="C46" s="93">
        <v>17</v>
      </c>
      <c r="D46" s="50">
        <v>45066</v>
      </c>
      <c r="E46" s="41" t="s">
        <v>139</v>
      </c>
      <c r="F46" s="41" t="s">
        <v>189</v>
      </c>
      <c r="G46" s="42">
        <v>198</v>
      </c>
      <c r="H46" s="42"/>
      <c r="I46" s="108" t="str" cm="1">
        <f t="array" ref="I46">_xlfn.SINGLE(IF(OR(E46="",$E$4="[All Accounts]"),"",IF($B$8="Increase",SUMIFS(Trans_Debit,Trans_DebitAcct,$E$4,Trans_Date,"&lt;="&amp;D46)-SUMIFS(Trans_Credit,Trans_CreditAcct,$E$4,Trans_Date,"&lt;="&amp;D46),SUMIFS(Trans_Credit,Trans_CreditAcct,$E$4,Trans_Date,"&lt;="&amp;D46)-SUMIFS(Trans_Debit,Trans_DebitAcct,$E$4,Trans_Date,"&lt;="&amp;D46))))</f>
        <v/>
      </c>
      <c r="J46" s="18"/>
      <c r="K46" s="2"/>
      <c r="W46" s="107"/>
    </row>
    <row r="47" spans="1:23" ht="15.75" thickBot="1" x14ac:dyDescent="0.3">
      <c r="C47" s="93"/>
      <c r="D47" s="49" t="s">
        <v>86</v>
      </c>
      <c r="E47" s="38" t="s">
        <v>180</v>
      </c>
      <c r="F47" s="38" t="s">
        <v>212</v>
      </c>
      <c r="G47" s="39"/>
      <c r="H47" s="39">
        <v>198</v>
      </c>
      <c r="I47" s="112"/>
      <c r="J47" s="19"/>
      <c r="K47" s="2"/>
      <c r="M47" s="128"/>
      <c r="N47" s="128"/>
      <c r="W47" s="107"/>
    </row>
    <row r="48" spans="1:23" x14ac:dyDescent="0.25">
      <c r="C48" s="93">
        <v>18</v>
      </c>
      <c r="D48" s="50">
        <v>45077</v>
      </c>
      <c r="E48" s="41" t="s">
        <v>117</v>
      </c>
      <c r="F48" s="41" t="s">
        <v>168</v>
      </c>
      <c r="G48" s="42">
        <v>5000</v>
      </c>
      <c r="H48" s="42"/>
      <c r="I48" s="108" t="str" cm="1">
        <f t="array" ref="I48">_xlfn.SINGLE(IF(OR(E48="",$E$4="[All Accounts]"),"",IF($B$8="Increase",SUMIFS(Trans_Debit,Trans_DebitAcct,$E$4,Trans_Date,"&lt;="&amp;D48)-SUMIFS(Trans_Credit,Trans_CreditAcct,$E$4,Trans_Date,"&lt;="&amp;D48),SUMIFS(Trans_Credit,Trans_CreditAcct,$E$4,Trans_Date,"&lt;="&amp;D48)-SUMIFS(Trans_Debit,Trans_DebitAcct,$E$4,Trans_Date,"&lt;="&amp;D48))))</f>
        <v/>
      </c>
      <c r="J48" s="18"/>
      <c r="K48" s="2"/>
      <c r="W48" s="107"/>
    </row>
    <row r="49" spans="3:23" ht="15.75" thickBot="1" x14ac:dyDescent="0.3">
      <c r="C49" s="93"/>
      <c r="D49" s="49" t="s">
        <v>172</v>
      </c>
      <c r="E49" s="38" t="s">
        <v>45</v>
      </c>
      <c r="F49" s="38" t="s">
        <v>306</v>
      </c>
      <c r="G49" s="39"/>
      <c r="H49" s="39">
        <v>5000</v>
      </c>
      <c r="I49" s="112"/>
      <c r="J49" s="19"/>
      <c r="K49" s="2"/>
      <c r="W49" s="107"/>
    </row>
    <row r="50" spans="3:23" x14ac:dyDescent="0.25">
      <c r="C50" s="93">
        <v>20</v>
      </c>
      <c r="D50" s="50">
        <v>45077</v>
      </c>
      <c r="E50" s="41" t="s">
        <v>47</v>
      </c>
      <c r="F50" s="41" t="s">
        <v>304</v>
      </c>
      <c r="G50" s="42">
        <v>12000</v>
      </c>
      <c r="H50" s="42"/>
      <c r="I50" s="108" t="str" cm="1">
        <f t="array" ref="I50">_xlfn.SINGLE(IF(OR(E50="",$E$4="[All Accounts]"),"",IF($B$8="Increase",SUMIFS(Trans_Debit,Trans_DebitAcct,$E$4,Trans_Date,"&lt;="&amp;D50)-SUMIFS(Trans_Credit,Trans_CreditAcct,$E$4,Trans_Date,"&lt;="&amp;D50),SUMIFS(Trans_Credit,Trans_CreditAcct,$E$4,Trans_Date,"&lt;="&amp;D50)-SUMIFS(Trans_Debit,Trans_DebitAcct,$E$4,Trans_Date,"&lt;="&amp;D50))))</f>
        <v/>
      </c>
      <c r="J50" s="18"/>
      <c r="K50" s="2"/>
      <c r="W50" s="107"/>
    </row>
    <row r="51" spans="3:23" ht="15.75" thickBot="1" x14ac:dyDescent="0.3">
      <c r="C51" s="93"/>
      <c r="D51" s="49" t="s">
        <v>177</v>
      </c>
      <c r="E51" s="38" t="s">
        <v>120</v>
      </c>
      <c r="F51" s="38" t="s">
        <v>308</v>
      </c>
      <c r="G51" s="39"/>
      <c r="H51" s="39">
        <v>12000</v>
      </c>
      <c r="I51" s="112"/>
      <c r="J51" s="19"/>
      <c r="K51" s="2"/>
      <c r="W51" s="107"/>
    </row>
    <row r="52" spans="3:23" x14ac:dyDescent="0.25">
      <c r="C52" s="93">
        <v>25</v>
      </c>
      <c r="D52" s="50">
        <v>45077</v>
      </c>
      <c r="E52" s="41" t="s">
        <v>180</v>
      </c>
      <c r="F52" s="41" t="s">
        <v>187</v>
      </c>
      <c r="G52" s="42">
        <v>198</v>
      </c>
      <c r="H52" s="42"/>
      <c r="I52" s="43" t="str">
        <f>IF(OR(E52="",$E$4="[All Accounts]"),"",IF($B$8="Increase",SUMIFS(Trans_Debit,Trans_DebitAcct,$E$4,Trans_Date,"&lt;="&amp;D52,Trans_Numb,"&lt;="&amp;C52)-SUMIFS(Trans_Credit,Trans_CreditAcct,$E$4,Trans_Date,"&lt;="&amp;D52,Trans_Numb,"&lt;="&amp;C52),SUMIFS(Trans_Credit,Trans_CreditAcct,$E$4,Trans_Date,"&lt;="&amp;D52,Trans_Numb,"&lt;="&amp;C52)-SUMIFS(Trans_Debit,Trans_DebitAcct,$E$4,Trans_Date,"&lt;="&amp;D52,Trans_Numb,"&lt;="&amp;C52)))</f>
        <v/>
      </c>
      <c r="J52" s="18"/>
      <c r="K52" s="2"/>
      <c r="W52" s="107"/>
    </row>
    <row r="53" spans="3:23" ht="15.75" thickBot="1" x14ac:dyDescent="0.3">
      <c r="C53" s="93"/>
      <c r="D53" s="49" t="s">
        <v>176</v>
      </c>
      <c r="E53" s="38" t="s">
        <v>45</v>
      </c>
      <c r="F53" s="38" t="s">
        <v>312</v>
      </c>
      <c r="G53" s="39"/>
      <c r="H53" s="39">
        <v>198</v>
      </c>
      <c r="I53" s="40"/>
      <c r="J53" s="19"/>
      <c r="K53" s="2"/>
      <c r="W53" s="107"/>
    </row>
    <row r="54" spans="3:23" x14ac:dyDescent="0.25">
      <c r="C54" s="93">
        <v>26</v>
      </c>
      <c r="D54" s="50">
        <v>45106</v>
      </c>
      <c r="E54" s="41" t="s">
        <v>143</v>
      </c>
      <c r="F54" s="41" t="s">
        <v>168</v>
      </c>
      <c r="G54" s="42">
        <v>345</v>
      </c>
      <c r="H54" s="42"/>
      <c r="I54" s="43" t="str">
        <f>IF(OR(E54="",$E$4="[All Accounts]"),"",IF($B$8="Increase",SUMIFS(Trans_Debit,Trans_DebitAcct,$E$4,Trans_Date,"&lt;="&amp;D54,Trans_Numb,"&lt;="&amp;C54)-SUMIFS(Trans_Credit,Trans_CreditAcct,$E$4,Trans_Date,"&lt;="&amp;D54,Trans_Numb,"&lt;="&amp;C54),SUMIFS(Trans_Credit,Trans_CreditAcct,$E$4,Trans_Date,"&lt;="&amp;D54,Trans_Numb,"&lt;="&amp;C54)-SUMIFS(Trans_Debit,Trans_DebitAcct,$E$4,Trans_Date,"&lt;="&amp;D54,Trans_Numb,"&lt;="&amp;C54)))</f>
        <v/>
      </c>
      <c r="J54" s="18"/>
      <c r="K54" s="2"/>
      <c r="W54" s="107"/>
    </row>
    <row r="55" spans="3:23" ht="15.75" thickBot="1" x14ac:dyDescent="0.3">
      <c r="C55" s="93"/>
      <c r="D55" s="49" t="s">
        <v>176</v>
      </c>
      <c r="E55" s="38" t="s">
        <v>45</v>
      </c>
      <c r="F55" s="38" t="s">
        <v>313</v>
      </c>
      <c r="G55" s="39"/>
      <c r="H55" s="39">
        <v>345</v>
      </c>
      <c r="I55" s="40"/>
      <c r="J55" s="19"/>
      <c r="K55" s="2"/>
    </row>
    <row r="56" spans="3:23" x14ac:dyDescent="0.25">
      <c r="C56" s="93">
        <v>19</v>
      </c>
      <c r="D56" s="50">
        <v>45107</v>
      </c>
      <c r="E56" s="41" t="s">
        <v>117</v>
      </c>
      <c r="F56" s="41" t="s">
        <v>168</v>
      </c>
      <c r="G56" s="42">
        <v>5000</v>
      </c>
      <c r="H56" s="42"/>
      <c r="I56" s="43" t="str">
        <f>IF(OR(E56="",$E$4="[All Accounts]"),"",IF($B$8="Increase",SUMIFS(Trans_Debit,Trans_DebitAcct,$E$4,Trans_Date,"&lt;="&amp;D56,Trans_Numb,"&lt;="&amp;C56)-SUMIFS(Trans_Credit,Trans_CreditAcct,$E$4,Trans_Date,"&lt;="&amp;D56,Trans_Numb,"&lt;="&amp;C56),SUMIFS(Trans_Credit,Trans_CreditAcct,$E$4,Trans_Date,"&lt;="&amp;D56,Trans_Numb,"&lt;="&amp;C56)-SUMIFS(Trans_Debit,Trans_DebitAcct,$E$4,Trans_Date,"&lt;="&amp;D56,Trans_Numb,"&lt;="&amp;C56)))</f>
        <v/>
      </c>
      <c r="J56" s="18"/>
      <c r="K56" s="2"/>
    </row>
    <row r="57" spans="3:23" ht="15.75" thickBot="1" x14ac:dyDescent="0.3">
      <c r="C57" s="93"/>
      <c r="D57" s="49" t="s">
        <v>172</v>
      </c>
      <c r="E57" s="38" t="s">
        <v>45</v>
      </c>
      <c r="F57" s="38" t="s">
        <v>314</v>
      </c>
      <c r="G57" s="39"/>
      <c r="H57" s="39">
        <v>5000</v>
      </c>
      <c r="I57" s="40"/>
      <c r="J57" s="19"/>
      <c r="K57" s="2"/>
    </row>
    <row r="58" spans="3:23" x14ac:dyDescent="0.25">
      <c r="C58" s="93">
        <v>22</v>
      </c>
      <c r="D58" s="50">
        <v>45114</v>
      </c>
      <c r="E58" s="41" t="s">
        <v>139</v>
      </c>
      <c r="F58" s="41" t="s">
        <v>309</v>
      </c>
      <c r="G58" s="42">
        <v>458.89</v>
      </c>
      <c r="H58" s="42"/>
      <c r="I58" s="43" t="str">
        <f>IF(OR(E58="",$E$4="[All Accounts]"),"",IF($B$8="Increase",SUMIFS(Trans_Debit,Trans_DebitAcct,$E$4,Trans_Date,"&lt;="&amp;D58,Trans_Numb,"&lt;="&amp;C58)-SUMIFS(Trans_Credit,Trans_CreditAcct,$E$4,Trans_Date,"&lt;="&amp;D58,Trans_Numb,"&lt;="&amp;C58),SUMIFS(Trans_Credit,Trans_CreditAcct,$E$4,Trans_Date,"&lt;="&amp;D58,Trans_Numb,"&lt;="&amp;C58)-SUMIFS(Trans_Debit,Trans_DebitAcct,$E$4,Trans_Date,"&lt;="&amp;D58,Trans_Numb,"&lt;="&amp;C58)))</f>
        <v/>
      </c>
      <c r="J58" s="18"/>
      <c r="K58" s="2"/>
    </row>
    <row r="59" spans="3:23" ht="15.75" thickBot="1" x14ac:dyDescent="0.3">
      <c r="C59" s="93"/>
      <c r="D59" s="49" t="s">
        <v>86</v>
      </c>
      <c r="E59" s="38" t="s">
        <v>180</v>
      </c>
      <c r="F59" s="38" t="s">
        <v>310</v>
      </c>
      <c r="G59" s="39"/>
      <c r="H59" s="39">
        <v>458.89</v>
      </c>
      <c r="I59" s="40"/>
      <c r="J59" s="19"/>
      <c r="K59" s="2"/>
    </row>
    <row r="60" spans="3:23" x14ac:dyDescent="0.25">
      <c r="C60" s="93">
        <v>27</v>
      </c>
      <c r="D60" s="50">
        <v>45138</v>
      </c>
      <c r="E60" s="41" t="s">
        <v>117</v>
      </c>
      <c r="F60" s="41" t="s">
        <v>168</v>
      </c>
      <c r="G60" s="42">
        <v>5000</v>
      </c>
      <c r="H60" s="42"/>
      <c r="I60" s="43" t="str">
        <f>IF(OR(E60="",$E$4="[All Accounts]"),"",IF($B$8="Increase",SUMIFS(Trans_Debit,Trans_DebitAcct,$E$4,Trans_Date,"&lt;="&amp;D60,Trans_Numb,"&lt;="&amp;C60)-SUMIFS(Trans_Credit,Trans_CreditAcct,$E$4,Trans_Date,"&lt;="&amp;D60,Trans_Numb,"&lt;="&amp;C60),SUMIFS(Trans_Credit,Trans_CreditAcct,$E$4,Trans_Date,"&lt;="&amp;D60,Trans_Numb,"&lt;="&amp;C60)-SUMIFS(Trans_Debit,Trans_DebitAcct,$E$4,Trans_Date,"&lt;="&amp;D60,Trans_Numb,"&lt;="&amp;C60)))</f>
        <v/>
      </c>
      <c r="J60" s="18"/>
      <c r="K60" s="2"/>
    </row>
    <row r="61" spans="3:23" ht="15.75" thickBot="1" x14ac:dyDescent="0.3">
      <c r="C61" s="93"/>
      <c r="D61" s="49" t="s">
        <v>172</v>
      </c>
      <c r="E61" s="38" t="s">
        <v>45</v>
      </c>
      <c r="F61" s="38" t="s">
        <v>315</v>
      </c>
      <c r="G61" s="39"/>
      <c r="H61" s="39">
        <v>5000</v>
      </c>
      <c r="I61" s="40"/>
      <c r="J61" s="19"/>
      <c r="K61" s="2"/>
    </row>
    <row r="62" spans="3:23" x14ac:dyDescent="0.25">
      <c r="C62" s="93">
        <v>28</v>
      </c>
      <c r="D62" s="50">
        <v>45169</v>
      </c>
      <c r="E62" s="41" t="s">
        <v>117</v>
      </c>
      <c r="F62" s="41" t="s">
        <v>168</v>
      </c>
      <c r="G62" s="42">
        <v>5000</v>
      </c>
      <c r="H62" s="42"/>
      <c r="I62" s="43" t="str">
        <f>IF(OR(E62="",$E$4="[All Accounts]"),"",IF($B$8="Increase",SUMIFS(Trans_Debit,Trans_DebitAcct,$E$4,Trans_Date,"&lt;="&amp;D62,Trans_Numb,"&lt;="&amp;C62)-SUMIFS(Trans_Credit,Trans_CreditAcct,$E$4,Trans_Date,"&lt;="&amp;D62,Trans_Numb,"&lt;="&amp;C62),SUMIFS(Trans_Credit,Trans_CreditAcct,$E$4,Trans_Date,"&lt;="&amp;D62,Trans_Numb,"&lt;="&amp;C62)-SUMIFS(Trans_Debit,Trans_DebitAcct,$E$4,Trans_Date,"&lt;="&amp;D62,Trans_Numb,"&lt;="&amp;C62)))</f>
        <v/>
      </c>
      <c r="J62" s="18"/>
      <c r="K62" s="2"/>
    </row>
    <row r="63" spans="3:23" ht="15.75" thickBot="1" x14ac:dyDescent="0.3">
      <c r="C63" s="93"/>
      <c r="D63" s="49" t="s">
        <v>172</v>
      </c>
      <c r="E63" s="38" t="s">
        <v>45</v>
      </c>
      <c r="F63" s="38" t="s">
        <v>316</v>
      </c>
      <c r="G63" s="39"/>
      <c r="H63" s="39">
        <v>5000</v>
      </c>
      <c r="I63" s="40"/>
      <c r="J63" s="19"/>
      <c r="K63" s="2"/>
    </row>
    <row r="64" spans="3:23" x14ac:dyDescent="0.25">
      <c r="C64" s="93">
        <v>29</v>
      </c>
      <c r="D64" s="50">
        <v>45199</v>
      </c>
      <c r="E64" s="41" t="s">
        <v>117</v>
      </c>
      <c r="F64" s="41" t="s">
        <v>168</v>
      </c>
      <c r="G64" s="42">
        <v>5000</v>
      </c>
      <c r="H64" s="42"/>
      <c r="I64" s="43" t="str">
        <f>IF(OR(E64="",$E$4="[All Accounts]"),"",IF($B$8="Increase",SUMIFS(Trans_Debit,Trans_DebitAcct,$E$4,Trans_Date,"&lt;="&amp;D64,Trans_Numb,"&lt;="&amp;C64)-SUMIFS(Trans_Credit,Trans_CreditAcct,$E$4,Trans_Date,"&lt;="&amp;D64,Trans_Numb,"&lt;="&amp;C64),SUMIFS(Trans_Credit,Trans_CreditAcct,$E$4,Trans_Date,"&lt;="&amp;D64,Trans_Numb,"&lt;="&amp;C64)-SUMIFS(Trans_Debit,Trans_DebitAcct,$E$4,Trans_Date,"&lt;="&amp;D64,Trans_Numb,"&lt;="&amp;C64)))</f>
        <v/>
      </c>
      <c r="J64" s="18"/>
      <c r="K64" s="2"/>
    </row>
    <row r="65" spans="3:11" ht="15.75" thickBot="1" x14ac:dyDescent="0.3">
      <c r="C65" s="93"/>
      <c r="D65" s="49" t="s">
        <v>172</v>
      </c>
      <c r="E65" s="38" t="s">
        <v>45</v>
      </c>
      <c r="F65" s="38" t="s">
        <v>317</v>
      </c>
      <c r="G65" s="39"/>
      <c r="H65" s="39">
        <v>5000</v>
      </c>
      <c r="I65" s="40"/>
      <c r="J65" s="19"/>
      <c r="K65" s="2"/>
    </row>
    <row r="66" spans="3:11" x14ac:dyDescent="0.25">
      <c r="C66" s="93">
        <v>30</v>
      </c>
      <c r="D66" s="50">
        <v>45214</v>
      </c>
      <c r="E66" s="41" t="s">
        <v>59</v>
      </c>
      <c r="F66" s="41" t="s">
        <v>318</v>
      </c>
      <c r="G66" s="42">
        <v>125</v>
      </c>
      <c r="H66" s="42"/>
      <c r="I66" s="43" t="str">
        <f>IF(OR(E66="",$E$4="[All Accounts]"),"",IF($B$8="Increase",SUMIFS(Trans_Debit,Trans_DebitAcct,$E$4,Trans_Date,"&lt;="&amp;D66,Trans_Numb,"&lt;="&amp;C66)-SUMIFS(Trans_Credit,Trans_CreditAcct,$E$4,Trans_Date,"&lt;="&amp;D66,Trans_Numb,"&lt;="&amp;C66),SUMIFS(Trans_Credit,Trans_CreditAcct,$E$4,Trans_Date,"&lt;="&amp;D66,Trans_Numb,"&lt;="&amp;C66)-SUMIFS(Trans_Debit,Trans_DebitAcct,$E$4,Trans_Date,"&lt;="&amp;D66,Trans_Numb,"&lt;="&amp;C66)))</f>
        <v/>
      </c>
      <c r="J66" s="18"/>
      <c r="K66" s="2"/>
    </row>
    <row r="67" spans="3:11" ht="15.75" thickBot="1" x14ac:dyDescent="0.3">
      <c r="C67" s="93"/>
      <c r="D67" s="49" t="s">
        <v>176</v>
      </c>
      <c r="E67" s="38" t="s">
        <v>45</v>
      </c>
      <c r="F67" s="38" t="s">
        <v>319</v>
      </c>
      <c r="G67" s="39"/>
      <c r="H67" s="39">
        <v>125</v>
      </c>
      <c r="I67" s="40"/>
      <c r="J67" s="19"/>
      <c r="K67" s="2"/>
    </row>
    <row r="68" spans="3:11" x14ac:dyDescent="0.25">
      <c r="C68" s="93"/>
      <c r="D68" s="50"/>
      <c r="E68" s="41"/>
      <c r="F68" s="41"/>
      <c r="G68" s="42"/>
      <c r="H68" s="42"/>
      <c r="I68" s="43" t="str">
        <f>IF(OR(E68="",$E$4="[All Accounts]"),"",IF($B$8="Increase",SUMIFS(Trans_Debit,Trans_DebitAcct,$E$4,Trans_Date,"&lt;="&amp;D68,Trans_Numb,"&lt;="&amp;C68)-SUMIFS(Trans_Credit,Trans_CreditAcct,$E$4,Trans_Date,"&lt;="&amp;D68,Trans_Numb,"&lt;="&amp;C68),SUMIFS(Trans_Credit,Trans_CreditAcct,$E$4,Trans_Date,"&lt;="&amp;D68,Trans_Numb,"&lt;="&amp;C68)-SUMIFS(Trans_Debit,Trans_DebitAcct,$E$4,Trans_Date,"&lt;="&amp;D68,Trans_Numb,"&lt;="&amp;C68)))</f>
        <v/>
      </c>
      <c r="J68" s="18"/>
      <c r="K68" s="2"/>
    </row>
    <row r="69" spans="3:11" ht="15.75" thickBot="1" x14ac:dyDescent="0.3">
      <c r="C69" s="93"/>
      <c r="D69" s="49"/>
      <c r="E69" s="38"/>
      <c r="F69" s="38"/>
      <c r="G69" s="39"/>
      <c r="H69" s="39"/>
      <c r="I69" s="40"/>
      <c r="J69" s="19"/>
      <c r="K69" s="2"/>
    </row>
    <row r="70" spans="3:11" x14ac:dyDescent="0.25">
      <c r="C70" s="93"/>
      <c r="D70" s="50"/>
      <c r="E70" s="41"/>
      <c r="F70" s="41"/>
      <c r="G70" s="42"/>
      <c r="H70" s="42"/>
      <c r="I70" s="43" t="str">
        <f>IF(OR(E70="",$E$4="[All Accounts]"),"",IF($B$8="Increase",SUMIFS(Trans_Debit,Trans_DebitAcct,$E$4,Trans_Date,"&lt;="&amp;D70,Trans_Numb,"&lt;="&amp;C70)-SUMIFS(Trans_Credit,Trans_CreditAcct,$E$4,Trans_Date,"&lt;="&amp;D70,Trans_Numb,"&lt;="&amp;C70),SUMIFS(Trans_Credit,Trans_CreditAcct,$E$4,Trans_Date,"&lt;="&amp;D70,Trans_Numb,"&lt;="&amp;C70)-SUMIFS(Trans_Debit,Trans_DebitAcct,$E$4,Trans_Date,"&lt;="&amp;D70,Trans_Numb,"&lt;="&amp;C70)))</f>
        <v/>
      </c>
      <c r="J70" s="18"/>
      <c r="K70" s="2"/>
    </row>
    <row r="71" spans="3:11" ht="15.75" thickBot="1" x14ac:dyDescent="0.3">
      <c r="C71" s="93"/>
      <c r="D71" s="49"/>
      <c r="E71" s="38"/>
      <c r="F71" s="38"/>
      <c r="G71" s="39"/>
      <c r="H71" s="39"/>
      <c r="I71" s="40"/>
      <c r="J71" s="19"/>
      <c r="K71" s="2"/>
    </row>
    <row r="72" spans="3:11" x14ac:dyDescent="0.25">
      <c r="C72" s="93"/>
      <c r="D72" s="50"/>
      <c r="E72" s="41"/>
      <c r="F72" s="41"/>
      <c r="G72" s="42"/>
      <c r="H72" s="42"/>
      <c r="I72" s="43" t="str">
        <f>IF(OR(E72="",$E$4="[All Accounts]"),"",IF($B$8="Increase",SUMIFS(Trans_Debit,Trans_DebitAcct,$E$4,Trans_Date,"&lt;="&amp;D72,Trans_Numb,"&lt;="&amp;C72)-SUMIFS(Trans_Credit,Trans_CreditAcct,$E$4,Trans_Date,"&lt;="&amp;D72,Trans_Numb,"&lt;="&amp;C72),SUMIFS(Trans_Credit,Trans_CreditAcct,$E$4,Trans_Date,"&lt;="&amp;D72,Trans_Numb,"&lt;="&amp;C72)-SUMIFS(Trans_Debit,Trans_DebitAcct,$E$4,Trans_Date,"&lt;="&amp;D72,Trans_Numb,"&lt;="&amp;C72)))</f>
        <v/>
      </c>
      <c r="J72" s="18"/>
      <c r="K72" s="2"/>
    </row>
    <row r="73" spans="3:11" ht="15.75" thickBot="1" x14ac:dyDescent="0.3">
      <c r="C73" s="93"/>
      <c r="D73" s="49"/>
      <c r="E73" s="38"/>
      <c r="F73" s="38"/>
      <c r="G73" s="39"/>
      <c r="H73" s="39"/>
      <c r="I73" s="40"/>
      <c r="J73" s="19"/>
      <c r="K73" s="2"/>
    </row>
    <row r="74" spans="3:11" x14ac:dyDescent="0.25">
      <c r="C74" s="93"/>
      <c r="D74" s="50"/>
      <c r="E74" s="41"/>
      <c r="F74" s="41"/>
      <c r="G74" s="42"/>
      <c r="H74" s="42"/>
      <c r="I74" s="43" t="str">
        <f>IF(OR(E74="",$E$4="[All Accounts]"),"",IF($B$8="Increase",SUMIFS(Trans_Debit,Trans_DebitAcct,$E$4,Trans_Date,"&lt;="&amp;D74,Trans_Numb,"&lt;="&amp;C74)-SUMIFS(Trans_Credit,Trans_CreditAcct,$E$4,Trans_Date,"&lt;="&amp;D74,Trans_Numb,"&lt;="&amp;C74),SUMIFS(Trans_Credit,Trans_CreditAcct,$E$4,Trans_Date,"&lt;="&amp;D74,Trans_Numb,"&lt;="&amp;C74)-SUMIFS(Trans_Debit,Trans_DebitAcct,$E$4,Trans_Date,"&lt;="&amp;D74,Trans_Numb,"&lt;="&amp;C74)))</f>
        <v/>
      </c>
      <c r="J74" s="18"/>
      <c r="K74" s="2"/>
    </row>
    <row r="75" spans="3:11" ht="15.75" thickBot="1" x14ac:dyDescent="0.3">
      <c r="C75" s="93"/>
      <c r="D75" s="49"/>
      <c r="E75" s="38"/>
      <c r="F75" s="38"/>
      <c r="G75" s="39"/>
      <c r="H75" s="39"/>
      <c r="I75" s="40"/>
      <c r="J75" s="19"/>
      <c r="K75" s="2"/>
    </row>
    <row r="76" spans="3:11" x14ac:dyDescent="0.25">
      <c r="C76" s="93"/>
      <c r="D76" s="50"/>
      <c r="E76" s="41"/>
      <c r="F76" s="41"/>
      <c r="G76" s="42"/>
      <c r="H76" s="42"/>
      <c r="I76" s="43" t="str">
        <f>IF(OR(E76="",$E$4="[All Accounts]"),"",IF($B$8="Increase",SUMIFS(Trans_Debit,Trans_DebitAcct,$E$4,Trans_Date,"&lt;="&amp;D76,Trans_Numb,"&lt;="&amp;C76)-SUMIFS(Trans_Credit,Trans_CreditAcct,$E$4,Trans_Date,"&lt;="&amp;D76,Trans_Numb,"&lt;="&amp;C76),SUMIFS(Trans_Credit,Trans_CreditAcct,$E$4,Trans_Date,"&lt;="&amp;D76,Trans_Numb,"&lt;="&amp;C76)-SUMIFS(Trans_Debit,Trans_DebitAcct,$E$4,Trans_Date,"&lt;="&amp;D76,Trans_Numb,"&lt;="&amp;C76)))</f>
        <v/>
      </c>
      <c r="J76" s="18"/>
      <c r="K76" s="2"/>
    </row>
    <row r="77" spans="3:11" ht="15.75" thickBot="1" x14ac:dyDescent="0.3">
      <c r="C77" s="93"/>
      <c r="D77" s="49"/>
      <c r="E77" s="38"/>
      <c r="F77" s="38"/>
      <c r="G77" s="39"/>
      <c r="H77" s="39"/>
      <c r="I77" s="40"/>
      <c r="J77" s="19"/>
      <c r="K77" s="2"/>
    </row>
    <row r="78" spans="3:11" x14ac:dyDescent="0.25">
      <c r="C78" s="93"/>
      <c r="D78" s="50"/>
      <c r="E78" s="41"/>
      <c r="F78" s="41"/>
      <c r="G78" s="42"/>
      <c r="H78" s="42"/>
      <c r="I78" s="43" t="str">
        <f>IF(OR(E78="",$E$4="[All Accounts]"),"",IF($B$8="Increase",SUMIFS(Trans_Debit,Trans_DebitAcct,$E$4,Trans_Date,"&lt;="&amp;D78,Trans_Numb,"&lt;="&amp;C78)-SUMIFS(Trans_Credit,Trans_CreditAcct,$E$4,Trans_Date,"&lt;="&amp;D78,Trans_Numb,"&lt;="&amp;C78),SUMIFS(Trans_Credit,Trans_CreditAcct,$E$4,Trans_Date,"&lt;="&amp;D78,Trans_Numb,"&lt;="&amp;C78)-SUMIFS(Trans_Debit,Trans_DebitAcct,$E$4,Trans_Date,"&lt;="&amp;D78,Trans_Numb,"&lt;="&amp;C78)))</f>
        <v/>
      </c>
      <c r="J78" s="18"/>
      <c r="K78" s="2"/>
    </row>
    <row r="79" spans="3:11" ht="15.75" thickBot="1" x14ac:dyDescent="0.3">
      <c r="C79" s="93"/>
      <c r="D79" s="49"/>
      <c r="E79" s="38"/>
      <c r="F79" s="38"/>
      <c r="G79" s="39"/>
      <c r="H79" s="39"/>
      <c r="I79" s="40"/>
      <c r="J79" s="19"/>
      <c r="K79" s="2"/>
    </row>
    <row r="80" spans="3:11" x14ac:dyDescent="0.25">
      <c r="C80" s="93"/>
      <c r="D80" s="50"/>
      <c r="E80" s="41"/>
      <c r="F80" s="41"/>
      <c r="G80" s="42"/>
      <c r="H80" s="42"/>
      <c r="I80" s="43" t="str">
        <f>IF(OR(E80="",$E$4="[All Accounts]"),"",IF($B$8="Increase",SUMIFS(Trans_Debit,Trans_DebitAcct,$E$4,Trans_Date,"&lt;="&amp;D80,Trans_Numb,"&lt;="&amp;C80)-SUMIFS(Trans_Credit,Trans_CreditAcct,$E$4,Trans_Date,"&lt;="&amp;D80,Trans_Numb,"&lt;="&amp;C80),SUMIFS(Trans_Credit,Trans_CreditAcct,$E$4,Trans_Date,"&lt;="&amp;D80,Trans_Numb,"&lt;="&amp;C80)-SUMIFS(Trans_Debit,Trans_DebitAcct,$E$4,Trans_Date,"&lt;="&amp;D80,Trans_Numb,"&lt;="&amp;C80)))</f>
        <v/>
      </c>
      <c r="J80" s="18"/>
      <c r="K80" s="2"/>
    </row>
    <row r="81" spans="3:11" ht="15.75" thickBot="1" x14ac:dyDescent="0.3">
      <c r="C81" s="93"/>
      <c r="D81" s="49"/>
      <c r="E81" s="38"/>
      <c r="F81" s="38"/>
      <c r="G81" s="39"/>
      <c r="H81" s="39"/>
      <c r="I81" s="40"/>
      <c r="J81" s="19"/>
      <c r="K81" s="2"/>
    </row>
    <row r="82" spans="3:11" x14ac:dyDescent="0.25">
      <c r="C82" s="93"/>
      <c r="D82" s="50"/>
      <c r="E82" s="41"/>
      <c r="F82" s="41"/>
      <c r="G82" s="42"/>
      <c r="H82" s="42"/>
      <c r="I82" s="43" t="str">
        <f>IF(OR(E82="",$E$4="[All Accounts]"),"",IF($B$8="Increase",SUMIFS(Trans_Debit,Trans_DebitAcct,$E$4,Trans_Date,"&lt;="&amp;D82,Trans_Numb,"&lt;="&amp;C82)-SUMIFS(Trans_Credit,Trans_CreditAcct,$E$4,Trans_Date,"&lt;="&amp;D82,Trans_Numb,"&lt;="&amp;C82),SUMIFS(Trans_Credit,Trans_CreditAcct,$E$4,Trans_Date,"&lt;="&amp;D82,Trans_Numb,"&lt;="&amp;C82)-SUMIFS(Trans_Debit,Trans_DebitAcct,$E$4,Trans_Date,"&lt;="&amp;D82,Trans_Numb,"&lt;="&amp;C82)))</f>
        <v/>
      </c>
      <c r="J82" s="18"/>
      <c r="K82" s="2"/>
    </row>
    <row r="83" spans="3:11" ht="15.75" thickBot="1" x14ac:dyDescent="0.3">
      <c r="C83" s="93"/>
      <c r="D83" s="49"/>
      <c r="E83" s="38"/>
      <c r="F83" s="38"/>
      <c r="G83" s="39"/>
      <c r="H83" s="39"/>
      <c r="I83" s="40"/>
      <c r="J83" s="19"/>
      <c r="K83" s="2"/>
    </row>
    <row r="84" spans="3:11" x14ac:dyDescent="0.25">
      <c r="C84" s="93"/>
      <c r="D84" s="50"/>
      <c r="E84" s="41"/>
      <c r="F84" s="41"/>
      <c r="G84" s="42"/>
      <c r="H84" s="42"/>
      <c r="I84" s="43" t="str">
        <f>IF(OR(E84="",$E$4="[All Accounts]"),"",IF($B$8="Increase",SUMIFS(Trans_Debit,Trans_DebitAcct,$E$4,Trans_Date,"&lt;="&amp;D84,Trans_Numb,"&lt;="&amp;C84)-SUMIFS(Trans_Credit,Trans_CreditAcct,$E$4,Trans_Date,"&lt;="&amp;D84,Trans_Numb,"&lt;="&amp;C84),SUMIFS(Trans_Credit,Trans_CreditAcct,$E$4,Trans_Date,"&lt;="&amp;D84,Trans_Numb,"&lt;="&amp;C84)-SUMIFS(Trans_Debit,Trans_DebitAcct,$E$4,Trans_Date,"&lt;="&amp;D84,Trans_Numb,"&lt;="&amp;C84)))</f>
        <v/>
      </c>
      <c r="J84" s="18"/>
      <c r="K84" s="2"/>
    </row>
    <row r="85" spans="3:11" ht="15.75" thickBot="1" x14ac:dyDescent="0.3">
      <c r="C85" s="93"/>
      <c r="D85" s="49"/>
      <c r="E85" s="38"/>
      <c r="F85" s="38"/>
      <c r="G85" s="39"/>
      <c r="H85" s="39"/>
      <c r="I85" s="40"/>
      <c r="J85" s="19"/>
      <c r="K85" s="2"/>
    </row>
    <row r="86" spans="3:11" x14ac:dyDescent="0.25">
      <c r="C86" s="93"/>
      <c r="D86" s="50"/>
      <c r="E86" s="41"/>
      <c r="F86" s="41"/>
      <c r="G86" s="42"/>
      <c r="H86" s="42"/>
      <c r="I86" s="43" t="str">
        <f>IF(OR(E86="",$E$4="[All Accounts]"),"",IF($B$8="Increase",SUMIFS(Trans_Debit,Trans_DebitAcct,$E$4,Trans_Date,"&lt;="&amp;D86,Trans_Numb,"&lt;="&amp;C86)-SUMIFS(Trans_Credit,Trans_CreditAcct,$E$4,Trans_Date,"&lt;="&amp;D86,Trans_Numb,"&lt;="&amp;C86),SUMIFS(Trans_Credit,Trans_CreditAcct,$E$4,Trans_Date,"&lt;="&amp;D86,Trans_Numb,"&lt;="&amp;C86)-SUMIFS(Trans_Debit,Trans_DebitAcct,$E$4,Trans_Date,"&lt;="&amp;D86,Trans_Numb,"&lt;="&amp;C86)))</f>
        <v/>
      </c>
      <c r="J86" s="18"/>
      <c r="K86" s="2"/>
    </row>
    <row r="87" spans="3:11" ht="15.75" thickBot="1" x14ac:dyDescent="0.3">
      <c r="C87" s="93"/>
      <c r="D87" s="49"/>
      <c r="E87" s="38"/>
      <c r="F87" s="38"/>
      <c r="G87" s="39"/>
      <c r="H87" s="39"/>
      <c r="I87" s="40"/>
      <c r="J87" s="19"/>
      <c r="K87" s="2"/>
    </row>
    <row r="88" spans="3:11" x14ac:dyDescent="0.25">
      <c r="C88" s="93"/>
      <c r="D88" s="50"/>
      <c r="E88" s="41"/>
      <c r="F88" s="41"/>
      <c r="G88" s="42"/>
      <c r="H88" s="42"/>
      <c r="I88" s="43" t="str">
        <f>IF(OR(E88="",$E$4="[All Accounts]"),"",IF($B$8="Increase",SUMIFS(Trans_Debit,Trans_DebitAcct,$E$4,Trans_Date,"&lt;="&amp;D88,Trans_Numb,"&lt;="&amp;C88)-SUMIFS(Trans_Credit,Trans_CreditAcct,$E$4,Trans_Date,"&lt;="&amp;D88,Trans_Numb,"&lt;="&amp;C88),SUMIFS(Trans_Credit,Trans_CreditAcct,$E$4,Trans_Date,"&lt;="&amp;D88,Trans_Numb,"&lt;="&amp;C88)-SUMIFS(Trans_Debit,Trans_DebitAcct,$E$4,Trans_Date,"&lt;="&amp;D88,Trans_Numb,"&lt;="&amp;C88)))</f>
        <v/>
      </c>
      <c r="J88" s="18"/>
      <c r="K88" s="2"/>
    </row>
    <row r="89" spans="3:11" ht="15.75" thickBot="1" x14ac:dyDescent="0.3">
      <c r="C89" s="93"/>
      <c r="D89" s="49"/>
      <c r="E89" s="38"/>
      <c r="F89" s="38"/>
      <c r="G89" s="39"/>
      <c r="H89" s="39"/>
      <c r="I89" s="40"/>
      <c r="J89" s="19"/>
      <c r="K89" s="2"/>
    </row>
    <row r="90" spans="3:11" x14ac:dyDescent="0.25">
      <c r="C90" s="93"/>
      <c r="D90" s="50"/>
      <c r="E90" s="41"/>
      <c r="F90" s="41"/>
      <c r="G90" s="42"/>
      <c r="H90" s="42"/>
      <c r="I90" s="43" t="str">
        <f>IF(OR(E90="",$E$4="[All Accounts]"),"",IF($B$8="Increase",SUMIFS(Trans_Debit,Trans_DebitAcct,$E$4,Trans_Date,"&lt;="&amp;D90,Trans_Numb,"&lt;="&amp;C90)-SUMIFS(Trans_Credit,Trans_CreditAcct,$E$4,Trans_Date,"&lt;="&amp;D90,Trans_Numb,"&lt;="&amp;C90),SUMIFS(Trans_Credit,Trans_CreditAcct,$E$4,Trans_Date,"&lt;="&amp;D90,Trans_Numb,"&lt;="&amp;C90)-SUMIFS(Trans_Debit,Trans_DebitAcct,$E$4,Trans_Date,"&lt;="&amp;D90,Trans_Numb,"&lt;="&amp;C90)))</f>
        <v/>
      </c>
      <c r="J90" s="18"/>
      <c r="K90" s="2"/>
    </row>
    <row r="91" spans="3:11" ht="15.75" thickBot="1" x14ac:dyDescent="0.3">
      <c r="C91" s="93"/>
      <c r="D91" s="49"/>
      <c r="E91" s="38"/>
      <c r="F91" s="38"/>
      <c r="G91" s="39"/>
      <c r="H91" s="39"/>
      <c r="I91" s="40"/>
      <c r="J91" s="19"/>
      <c r="K91" s="2"/>
    </row>
    <row r="92" spans="3:11" x14ac:dyDescent="0.25">
      <c r="C92" s="93"/>
      <c r="D92" s="50"/>
      <c r="E92" s="41"/>
      <c r="F92" s="41"/>
      <c r="G92" s="42"/>
      <c r="H92" s="42"/>
      <c r="I92" s="43" t="str">
        <f>IF(OR(E92="",$E$4="[All Accounts]"),"",IF($B$8="Increase",SUMIFS(Trans_Debit,Trans_DebitAcct,$E$4,Trans_Date,"&lt;="&amp;D92,Trans_Numb,"&lt;="&amp;C92)-SUMIFS(Trans_Credit,Trans_CreditAcct,$E$4,Trans_Date,"&lt;="&amp;D92,Trans_Numb,"&lt;="&amp;C92),SUMIFS(Trans_Credit,Trans_CreditAcct,$E$4,Trans_Date,"&lt;="&amp;D92,Trans_Numb,"&lt;="&amp;C92)-SUMIFS(Trans_Debit,Trans_DebitAcct,$E$4,Trans_Date,"&lt;="&amp;D92,Trans_Numb,"&lt;="&amp;C92)))</f>
        <v/>
      </c>
      <c r="J92" s="18"/>
      <c r="K92" s="2"/>
    </row>
    <row r="93" spans="3:11" ht="15.75" thickBot="1" x14ac:dyDescent="0.3">
      <c r="C93" s="93"/>
      <c r="D93" s="49"/>
      <c r="E93" s="38"/>
      <c r="F93" s="38"/>
      <c r="G93" s="39"/>
      <c r="H93" s="39"/>
      <c r="I93" s="40"/>
      <c r="J93" s="19"/>
      <c r="K93" s="2"/>
    </row>
    <row r="94" spans="3:11" x14ac:dyDescent="0.25">
      <c r="C94" s="93"/>
      <c r="D94" s="50"/>
      <c r="E94" s="41"/>
      <c r="F94" s="41"/>
      <c r="G94" s="42"/>
      <c r="H94" s="42"/>
      <c r="I94" s="43" t="str">
        <f>IF(OR(E94="",$E$4="[All Accounts]"),"",IF($B$8="Increase",SUMIFS(Trans_Debit,Trans_DebitAcct,$E$4,Trans_Date,"&lt;="&amp;D94,Trans_Numb,"&lt;="&amp;C94)-SUMIFS(Trans_Credit,Trans_CreditAcct,$E$4,Trans_Date,"&lt;="&amp;D94,Trans_Numb,"&lt;="&amp;C94),SUMIFS(Trans_Credit,Trans_CreditAcct,$E$4,Trans_Date,"&lt;="&amp;D94,Trans_Numb,"&lt;="&amp;C94)-SUMIFS(Trans_Debit,Trans_DebitAcct,$E$4,Trans_Date,"&lt;="&amp;D94,Trans_Numb,"&lt;="&amp;C94)))</f>
        <v/>
      </c>
      <c r="J94" s="18"/>
      <c r="K94" s="2"/>
    </row>
    <row r="95" spans="3:11" ht="15.75" thickBot="1" x14ac:dyDescent="0.3">
      <c r="C95" s="93"/>
      <c r="D95" s="49"/>
      <c r="E95" s="38"/>
      <c r="F95" s="38"/>
      <c r="G95" s="39"/>
      <c r="H95" s="39"/>
      <c r="I95" s="40"/>
      <c r="J95" s="19"/>
      <c r="K95" s="2"/>
    </row>
    <row r="96" spans="3:11" x14ac:dyDescent="0.25">
      <c r="C96" s="93"/>
      <c r="D96" s="50"/>
      <c r="E96" s="41"/>
      <c r="F96" s="41"/>
      <c r="G96" s="42"/>
      <c r="H96" s="42"/>
      <c r="I96" s="43" t="str">
        <f>IF(OR(E96="",$E$4="[All Accounts]"),"",IF($B$8="Increase",SUMIFS(Trans_Debit,Trans_DebitAcct,$E$4,Trans_Date,"&lt;="&amp;D96,Trans_Numb,"&lt;="&amp;C96)-SUMIFS(Trans_Credit,Trans_CreditAcct,$E$4,Trans_Date,"&lt;="&amp;D96,Trans_Numb,"&lt;="&amp;C96),SUMIFS(Trans_Credit,Trans_CreditAcct,$E$4,Trans_Date,"&lt;="&amp;D96,Trans_Numb,"&lt;="&amp;C96)-SUMIFS(Trans_Debit,Trans_DebitAcct,$E$4,Trans_Date,"&lt;="&amp;D96,Trans_Numb,"&lt;="&amp;C96)))</f>
        <v/>
      </c>
      <c r="J96" s="18"/>
      <c r="K96" s="2"/>
    </row>
    <row r="97" spans="3:11" ht="15.75" thickBot="1" x14ac:dyDescent="0.3">
      <c r="C97" s="93"/>
      <c r="D97" s="49"/>
      <c r="E97" s="38"/>
      <c r="F97" s="38"/>
      <c r="G97" s="39"/>
      <c r="H97" s="39"/>
      <c r="I97" s="40"/>
      <c r="J97" s="19"/>
      <c r="K97" s="2"/>
    </row>
    <row r="98" spans="3:11" x14ac:dyDescent="0.25">
      <c r="C98" s="93"/>
      <c r="D98" s="50"/>
      <c r="E98" s="41"/>
      <c r="F98" s="41"/>
      <c r="G98" s="42"/>
      <c r="H98" s="42"/>
      <c r="I98" s="43" t="str">
        <f>IF(OR(E98="",$E$4="[All Accounts]"),"",IF($B$8="Increase",SUMIFS(Trans_Debit,Trans_DebitAcct,$E$4,Trans_Date,"&lt;="&amp;D98,Trans_Numb,"&lt;="&amp;C98)-SUMIFS(Trans_Credit,Trans_CreditAcct,$E$4,Trans_Date,"&lt;="&amp;D98,Trans_Numb,"&lt;="&amp;C98),SUMIFS(Trans_Credit,Trans_CreditAcct,$E$4,Trans_Date,"&lt;="&amp;D98,Trans_Numb,"&lt;="&amp;C98)-SUMIFS(Trans_Debit,Trans_DebitAcct,$E$4,Trans_Date,"&lt;="&amp;D98,Trans_Numb,"&lt;="&amp;C98)))</f>
        <v/>
      </c>
      <c r="J98" s="18"/>
      <c r="K98" s="2"/>
    </row>
    <row r="99" spans="3:11" ht="15.75" thickBot="1" x14ac:dyDescent="0.3">
      <c r="C99" s="93"/>
      <c r="D99" s="49"/>
      <c r="E99" s="38"/>
      <c r="F99" s="38"/>
      <c r="G99" s="39"/>
      <c r="H99" s="39"/>
      <c r="I99" s="40"/>
      <c r="J99" s="19"/>
      <c r="K99" s="2"/>
    </row>
    <row r="100" spans="3:11" x14ac:dyDescent="0.25">
      <c r="C100" s="93"/>
      <c r="D100" s="50"/>
      <c r="E100" s="41"/>
      <c r="F100" s="41"/>
      <c r="G100" s="42"/>
      <c r="H100" s="42"/>
      <c r="I100" s="43" t="str">
        <f>IF(OR(E100="",$E$4="[All Accounts]"),"",IF($B$8="Increase",SUMIFS(Trans_Debit,Trans_DebitAcct,$E$4,Trans_Date,"&lt;="&amp;D100,Trans_Numb,"&lt;="&amp;C100)-SUMIFS(Trans_Credit,Trans_CreditAcct,$E$4,Trans_Date,"&lt;="&amp;D100,Trans_Numb,"&lt;="&amp;C100),SUMIFS(Trans_Credit,Trans_CreditAcct,$E$4,Trans_Date,"&lt;="&amp;D100,Trans_Numb,"&lt;="&amp;C100)-SUMIFS(Trans_Debit,Trans_DebitAcct,$E$4,Trans_Date,"&lt;="&amp;D100,Trans_Numb,"&lt;="&amp;C100)))</f>
        <v/>
      </c>
      <c r="J100" s="18"/>
      <c r="K100" s="2"/>
    </row>
    <row r="101" spans="3:11" ht="15.75" thickBot="1" x14ac:dyDescent="0.3">
      <c r="C101" s="93"/>
      <c r="D101" s="49"/>
      <c r="E101" s="38"/>
      <c r="F101" s="38"/>
      <c r="G101" s="39"/>
      <c r="H101" s="39"/>
      <c r="I101" s="40"/>
      <c r="J101" s="19"/>
      <c r="K101" s="2"/>
    </row>
    <row r="102" spans="3:11" x14ac:dyDescent="0.25">
      <c r="C102" s="93"/>
      <c r="D102" s="50"/>
      <c r="E102" s="41"/>
      <c r="F102" s="41"/>
      <c r="G102" s="42"/>
      <c r="H102" s="42"/>
      <c r="I102" s="43" t="str">
        <f>IF(OR(E102="",$E$4="[All Accounts]"),"",IF($B$8="Increase",SUMIFS(Trans_Debit,Trans_DebitAcct,$E$4,Trans_Date,"&lt;="&amp;D102,Trans_Numb,"&lt;="&amp;C102)-SUMIFS(Trans_Credit,Trans_CreditAcct,$E$4,Trans_Date,"&lt;="&amp;D102,Trans_Numb,"&lt;="&amp;C102),SUMIFS(Trans_Credit,Trans_CreditAcct,$E$4,Trans_Date,"&lt;="&amp;D102,Trans_Numb,"&lt;="&amp;C102)-SUMIFS(Trans_Debit,Trans_DebitAcct,$E$4,Trans_Date,"&lt;="&amp;D102,Trans_Numb,"&lt;="&amp;C102)))</f>
        <v/>
      </c>
      <c r="J102" s="18"/>
      <c r="K102" s="2"/>
    </row>
    <row r="103" spans="3:11" ht="15.75" thickBot="1" x14ac:dyDescent="0.3">
      <c r="C103" s="93"/>
      <c r="D103" s="49"/>
      <c r="E103" s="38"/>
      <c r="F103" s="38"/>
      <c r="G103" s="39"/>
      <c r="H103" s="39"/>
      <c r="I103" s="40"/>
      <c r="J103" s="19"/>
      <c r="K103" s="2"/>
    </row>
    <row r="104" spans="3:11" x14ac:dyDescent="0.25">
      <c r="C104" s="93"/>
      <c r="D104" s="50"/>
      <c r="E104" s="41"/>
      <c r="F104" s="41"/>
      <c r="G104" s="42"/>
      <c r="H104" s="42"/>
      <c r="I104" s="43" t="str">
        <f>IF(OR(E104="",$E$4="[All Accounts]"),"",IF($B$8="Increase",SUMIFS(Trans_Debit,Trans_DebitAcct,$E$4,Trans_Date,"&lt;="&amp;D104,Trans_Numb,"&lt;="&amp;C104)-SUMIFS(Trans_Credit,Trans_CreditAcct,$E$4,Trans_Date,"&lt;="&amp;D104,Trans_Numb,"&lt;="&amp;C104),SUMIFS(Trans_Credit,Trans_CreditAcct,$E$4,Trans_Date,"&lt;="&amp;D104,Trans_Numb,"&lt;="&amp;C104)-SUMIFS(Trans_Debit,Trans_DebitAcct,$E$4,Trans_Date,"&lt;="&amp;D104,Trans_Numb,"&lt;="&amp;C104)))</f>
        <v/>
      </c>
      <c r="J104" s="18"/>
      <c r="K104" s="2"/>
    </row>
    <row r="105" spans="3:11" ht="15.75" thickBot="1" x14ac:dyDescent="0.3">
      <c r="C105" s="93"/>
      <c r="D105" s="49"/>
      <c r="E105" s="38"/>
      <c r="F105" s="38"/>
      <c r="G105" s="39"/>
      <c r="H105" s="39"/>
      <c r="I105" s="40"/>
      <c r="J105" s="19"/>
      <c r="K105" s="2"/>
    </row>
    <row r="106" spans="3:11" x14ac:dyDescent="0.25">
      <c r="C106" s="93"/>
      <c r="D106" s="50"/>
      <c r="E106" s="41"/>
      <c r="F106" s="41"/>
      <c r="G106" s="42"/>
      <c r="H106" s="42"/>
      <c r="I106" s="43" t="str">
        <f>IF(OR(E106="",$E$4="[All Accounts]"),"",IF($B$8="Increase",SUMIFS(Trans_Debit,Trans_DebitAcct,$E$4,Trans_Date,"&lt;="&amp;D106,Trans_Numb,"&lt;="&amp;C106)-SUMIFS(Trans_Credit,Trans_CreditAcct,$E$4,Trans_Date,"&lt;="&amp;D106,Trans_Numb,"&lt;="&amp;C106),SUMIFS(Trans_Credit,Trans_CreditAcct,$E$4,Trans_Date,"&lt;="&amp;D106,Trans_Numb,"&lt;="&amp;C106)-SUMIFS(Trans_Debit,Trans_DebitAcct,$E$4,Trans_Date,"&lt;="&amp;D106,Trans_Numb,"&lt;="&amp;C106)))</f>
        <v/>
      </c>
      <c r="J106" s="18"/>
      <c r="K106" s="2"/>
    </row>
    <row r="107" spans="3:11" ht="15.75" thickBot="1" x14ac:dyDescent="0.3">
      <c r="C107" s="93"/>
      <c r="D107" s="49"/>
      <c r="E107" s="38"/>
      <c r="F107" s="38"/>
      <c r="G107" s="39"/>
      <c r="H107" s="39"/>
      <c r="I107" s="40"/>
      <c r="J107" s="19"/>
      <c r="K107" s="2"/>
    </row>
    <row r="108" spans="3:11" x14ac:dyDescent="0.25">
      <c r="C108" s="93"/>
      <c r="D108" s="50"/>
      <c r="E108" s="41"/>
      <c r="F108" s="41"/>
      <c r="G108" s="42"/>
      <c r="H108" s="42"/>
      <c r="I108" s="43" t="str">
        <f>IF(OR(E108="",$E$4="[All Accounts]"),"",IF($B$8="Increase",SUMIFS(Trans_Debit,Trans_DebitAcct,$E$4,Trans_Date,"&lt;="&amp;D108,Trans_Numb,"&lt;="&amp;C108)-SUMIFS(Trans_Credit,Trans_CreditAcct,$E$4,Trans_Date,"&lt;="&amp;D108,Trans_Numb,"&lt;="&amp;C108),SUMIFS(Trans_Credit,Trans_CreditAcct,$E$4,Trans_Date,"&lt;="&amp;D108,Trans_Numb,"&lt;="&amp;C108)-SUMIFS(Trans_Debit,Trans_DebitAcct,$E$4,Trans_Date,"&lt;="&amp;D108,Trans_Numb,"&lt;="&amp;C108)))</f>
        <v/>
      </c>
      <c r="J108" s="18"/>
      <c r="K108" s="2"/>
    </row>
    <row r="109" spans="3:11" ht="15.75" thickBot="1" x14ac:dyDescent="0.3">
      <c r="C109" s="93"/>
      <c r="D109" s="49"/>
      <c r="E109" s="38"/>
      <c r="F109" s="38"/>
      <c r="G109" s="39"/>
      <c r="H109" s="39"/>
      <c r="I109" s="40"/>
      <c r="J109" s="19"/>
      <c r="K109" s="2"/>
    </row>
    <row r="110" spans="3:11" x14ac:dyDescent="0.25">
      <c r="C110" s="93"/>
      <c r="D110" s="50"/>
      <c r="E110" s="41"/>
      <c r="F110" s="41"/>
      <c r="G110" s="42"/>
      <c r="H110" s="42"/>
      <c r="I110" s="43" t="str">
        <f>IF(OR(E110="",$E$4="[All Accounts]"),"",IF($B$8="Increase",SUMIFS(Trans_Debit,Trans_DebitAcct,$E$4,Trans_Date,"&lt;="&amp;D110,Trans_Numb,"&lt;="&amp;C110)-SUMIFS(Trans_Credit,Trans_CreditAcct,$E$4,Trans_Date,"&lt;="&amp;D110,Trans_Numb,"&lt;="&amp;C110),SUMIFS(Trans_Credit,Trans_CreditAcct,$E$4,Trans_Date,"&lt;="&amp;D110,Trans_Numb,"&lt;="&amp;C110)-SUMIFS(Trans_Debit,Trans_DebitAcct,$E$4,Trans_Date,"&lt;="&amp;D110,Trans_Numb,"&lt;="&amp;C110)))</f>
        <v/>
      </c>
      <c r="J110" s="18"/>
      <c r="K110" s="2"/>
    </row>
    <row r="111" spans="3:11" ht="15.75" thickBot="1" x14ac:dyDescent="0.3">
      <c r="C111" s="93"/>
      <c r="D111" s="49"/>
      <c r="E111" s="38"/>
      <c r="F111" s="38"/>
      <c r="G111" s="39"/>
      <c r="H111" s="39"/>
      <c r="I111" s="40"/>
      <c r="J111" s="19"/>
      <c r="K111" s="2"/>
    </row>
    <row r="112" spans="3:11" x14ac:dyDescent="0.25">
      <c r="C112" s="93"/>
      <c r="D112" s="50"/>
      <c r="E112" s="41"/>
      <c r="F112" s="41"/>
      <c r="G112" s="42"/>
      <c r="H112" s="42"/>
      <c r="I112" s="43" t="str">
        <f>IF(OR(E112="",$E$4="[All Accounts]"),"",IF($B$8="Increase",SUMIFS(Trans_Debit,Trans_DebitAcct,$E$4,Trans_Date,"&lt;="&amp;D112,Trans_Numb,"&lt;="&amp;C112)-SUMIFS(Trans_Credit,Trans_CreditAcct,$E$4,Trans_Date,"&lt;="&amp;D112,Trans_Numb,"&lt;="&amp;C112),SUMIFS(Trans_Credit,Trans_CreditAcct,$E$4,Trans_Date,"&lt;="&amp;D112,Trans_Numb,"&lt;="&amp;C112)-SUMIFS(Trans_Debit,Trans_DebitAcct,$E$4,Trans_Date,"&lt;="&amp;D112,Trans_Numb,"&lt;="&amp;C112)))</f>
        <v/>
      </c>
      <c r="J112" s="18"/>
      <c r="K112" s="2"/>
    </row>
    <row r="113" spans="3:11" ht="15.75" thickBot="1" x14ac:dyDescent="0.3">
      <c r="C113" s="93"/>
      <c r="D113" s="49"/>
      <c r="E113" s="38"/>
      <c r="F113" s="38"/>
      <c r="G113" s="39"/>
      <c r="H113" s="39"/>
      <c r="I113" s="40"/>
      <c r="J113" s="19"/>
      <c r="K113" s="2"/>
    </row>
    <row r="114" spans="3:11" x14ac:dyDescent="0.25">
      <c r="C114" s="93"/>
      <c r="D114" s="50"/>
      <c r="E114" s="41"/>
      <c r="F114" s="41"/>
      <c r="G114" s="42"/>
      <c r="H114" s="42"/>
      <c r="I114" s="43" t="str">
        <f>IF(OR(E114="",$E$4="[All Accounts]"),"",IF($B$8="Increase",SUMIFS(Trans_Debit,Trans_DebitAcct,$E$4,Trans_Date,"&lt;="&amp;D114,Trans_Numb,"&lt;="&amp;C114)-SUMIFS(Trans_Credit,Trans_CreditAcct,$E$4,Trans_Date,"&lt;="&amp;D114,Trans_Numb,"&lt;="&amp;C114),SUMIFS(Trans_Credit,Trans_CreditAcct,$E$4,Trans_Date,"&lt;="&amp;D114,Trans_Numb,"&lt;="&amp;C114)-SUMIFS(Trans_Debit,Trans_DebitAcct,$E$4,Trans_Date,"&lt;="&amp;D114,Trans_Numb,"&lt;="&amp;C114)))</f>
        <v/>
      </c>
      <c r="J114" s="18"/>
      <c r="K114" s="2"/>
    </row>
    <row r="115" spans="3:11" ht="15.75" thickBot="1" x14ac:dyDescent="0.3">
      <c r="C115" s="93"/>
      <c r="D115" s="49"/>
      <c r="E115" s="38"/>
      <c r="F115" s="38"/>
      <c r="G115" s="39"/>
      <c r="H115" s="39"/>
      <c r="I115" s="40"/>
      <c r="J115" s="19"/>
      <c r="K115" s="2"/>
    </row>
    <row r="116" spans="3:11" x14ac:dyDescent="0.25">
      <c r="C116" s="93"/>
      <c r="D116" s="50"/>
      <c r="E116" s="41"/>
      <c r="F116" s="41"/>
      <c r="G116" s="42"/>
      <c r="H116" s="42"/>
      <c r="I116" s="43" t="str">
        <f>IF(OR(E116="",$E$4="[All Accounts]"),"",IF($B$8="Increase",SUMIFS(Trans_Debit,Trans_DebitAcct,$E$4,Trans_Date,"&lt;="&amp;D116,Trans_Numb,"&lt;="&amp;C116)-SUMIFS(Trans_Credit,Trans_CreditAcct,$E$4,Trans_Date,"&lt;="&amp;D116,Trans_Numb,"&lt;="&amp;C116),SUMIFS(Trans_Credit,Trans_CreditAcct,$E$4,Trans_Date,"&lt;="&amp;D116,Trans_Numb,"&lt;="&amp;C116)-SUMIFS(Trans_Debit,Trans_DebitAcct,$E$4,Trans_Date,"&lt;="&amp;D116,Trans_Numb,"&lt;="&amp;C116)))</f>
        <v/>
      </c>
      <c r="J116" s="18"/>
      <c r="K116" s="2"/>
    </row>
    <row r="117" spans="3:11" ht="15.75" thickBot="1" x14ac:dyDescent="0.3">
      <c r="C117" s="93"/>
      <c r="D117" s="49"/>
      <c r="E117" s="38"/>
      <c r="F117" s="38"/>
      <c r="G117" s="39"/>
      <c r="H117" s="39"/>
      <c r="I117" s="40"/>
      <c r="J117" s="19"/>
      <c r="K117" s="2"/>
    </row>
    <row r="118" spans="3:11" x14ac:dyDescent="0.25">
      <c r="C118" s="93"/>
      <c r="D118" s="50"/>
      <c r="E118" s="41"/>
      <c r="F118" s="41"/>
      <c r="G118" s="42"/>
      <c r="H118" s="42"/>
      <c r="I118" s="43" t="str">
        <f>IF(OR(E118="",$E$4="[All Accounts]"),"",IF($B$8="Increase",SUMIFS(Trans_Debit,Trans_DebitAcct,$E$4,Trans_Date,"&lt;="&amp;D118,Trans_Numb,"&lt;="&amp;C118)-SUMIFS(Trans_Credit,Trans_CreditAcct,$E$4,Trans_Date,"&lt;="&amp;D118,Trans_Numb,"&lt;="&amp;C118),SUMIFS(Trans_Credit,Trans_CreditAcct,$E$4,Trans_Date,"&lt;="&amp;D118,Trans_Numb,"&lt;="&amp;C118)-SUMIFS(Trans_Debit,Trans_DebitAcct,$E$4,Trans_Date,"&lt;="&amp;D118,Trans_Numb,"&lt;="&amp;C118)))</f>
        <v/>
      </c>
      <c r="J118" s="18"/>
      <c r="K118" s="2"/>
    </row>
    <row r="119" spans="3:11" ht="15.75" thickBot="1" x14ac:dyDescent="0.3">
      <c r="C119" s="93"/>
      <c r="D119" s="49"/>
      <c r="E119" s="38"/>
      <c r="F119" s="38"/>
      <c r="G119" s="39"/>
      <c r="H119" s="39"/>
      <c r="I119" s="40"/>
      <c r="J119" s="19"/>
      <c r="K119" s="2"/>
    </row>
    <row r="120" spans="3:11" x14ac:dyDescent="0.25">
      <c r="C120" s="93"/>
      <c r="D120" s="50"/>
      <c r="E120" s="41"/>
      <c r="F120" s="41"/>
      <c r="G120" s="42"/>
      <c r="H120" s="42"/>
      <c r="I120" s="43" t="str">
        <f>IF(OR(E120="",$E$4="[All Accounts]"),"",IF($B$8="Increase",SUMIFS(Trans_Debit,Trans_DebitAcct,$E$4,Trans_Date,"&lt;="&amp;D120,Trans_Numb,"&lt;="&amp;C120)-SUMIFS(Trans_Credit,Trans_CreditAcct,$E$4,Trans_Date,"&lt;="&amp;D120,Trans_Numb,"&lt;="&amp;C120),SUMIFS(Trans_Credit,Trans_CreditAcct,$E$4,Trans_Date,"&lt;="&amp;D120,Trans_Numb,"&lt;="&amp;C120)-SUMIFS(Trans_Debit,Trans_DebitAcct,$E$4,Trans_Date,"&lt;="&amp;D120,Trans_Numb,"&lt;="&amp;C120)))</f>
        <v/>
      </c>
      <c r="J120" s="18"/>
      <c r="K120" s="2"/>
    </row>
    <row r="121" spans="3:11" ht="15.75" thickBot="1" x14ac:dyDescent="0.3">
      <c r="C121" s="93"/>
      <c r="D121" s="49"/>
      <c r="E121" s="38"/>
      <c r="F121" s="38"/>
      <c r="G121" s="39"/>
      <c r="H121" s="39"/>
      <c r="I121" s="40"/>
      <c r="J121" s="19"/>
      <c r="K121" s="2"/>
    </row>
    <row r="122" spans="3:11" x14ac:dyDescent="0.25">
      <c r="C122" s="93"/>
      <c r="D122" s="50"/>
      <c r="E122" s="41"/>
      <c r="F122" s="41"/>
      <c r="G122" s="42"/>
      <c r="H122" s="42"/>
      <c r="I122" s="43" t="str">
        <f>IF(OR(E122="",$E$4="[All Accounts]"),"",IF($B$8="Increase",SUMIFS(Trans_Debit,Trans_DebitAcct,$E$4,Trans_Date,"&lt;="&amp;D122,Trans_Numb,"&lt;="&amp;C122)-SUMIFS(Trans_Credit,Trans_CreditAcct,$E$4,Trans_Date,"&lt;="&amp;D122,Trans_Numb,"&lt;="&amp;C122),SUMIFS(Trans_Credit,Trans_CreditAcct,$E$4,Trans_Date,"&lt;="&amp;D122,Trans_Numb,"&lt;="&amp;C122)-SUMIFS(Trans_Debit,Trans_DebitAcct,$E$4,Trans_Date,"&lt;="&amp;D122,Trans_Numb,"&lt;="&amp;C122)))</f>
        <v/>
      </c>
      <c r="J122" s="18"/>
      <c r="K122" s="2"/>
    </row>
    <row r="123" spans="3:11" ht="15.75" thickBot="1" x14ac:dyDescent="0.3">
      <c r="C123" s="93"/>
      <c r="D123" s="49"/>
      <c r="E123" s="38"/>
      <c r="F123" s="38"/>
      <c r="G123" s="39"/>
      <c r="H123" s="39"/>
      <c r="I123" s="40"/>
      <c r="J123" s="19"/>
      <c r="K123" s="2"/>
    </row>
    <row r="124" spans="3:11" x14ac:dyDescent="0.25">
      <c r="C124" s="93"/>
      <c r="D124" s="50"/>
      <c r="E124" s="41"/>
      <c r="F124" s="41"/>
      <c r="G124" s="42"/>
      <c r="H124" s="42"/>
      <c r="I124" s="43" t="str">
        <f>IF(OR(E124="",$E$4="[All Accounts]"),"",IF($B$8="Increase",SUMIFS(Trans_Debit,Trans_DebitAcct,$E$4,Trans_Date,"&lt;="&amp;D124,Trans_Numb,"&lt;="&amp;C124)-SUMIFS(Trans_Credit,Trans_CreditAcct,$E$4,Trans_Date,"&lt;="&amp;D124,Trans_Numb,"&lt;="&amp;C124),SUMIFS(Trans_Credit,Trans_CreditAcct,$E$4,Trans_Date,"&lt;="&amp;D124,Trans_Numb,"&lt;="&amp;C124)-SUMIFS(Trans_Debit,Trans_DebitAcct,$E$4,Trans_Date,"&lt;="&amp;D124,Trans_Numb,"&lt;="&amp;C124)))</f>
        <v/>
      </c>
      <c r="J124" s="18"/>
      <c r="K124" s="2"/>
    </row>
    <row r="125" spans="3:11" ht="15.75" thickBot="1" x14ac:dyDescent="0.3">
      <c r="C125" s="93"/>
      <c r="D125" s="49"/>
      <c r="E125" s="38"/>
      <c r="F125" s="38"/>
      <c r="G125" s="39"/>
      <c r="H125" s="39"/>
      <c r="I125" s="40"/>
      <c r="J125" s="19"/>
      <c r="K125" s="2"/>
    </row>
    <row r="126" spans="3:11" x14ac:dyDescent="0.25">
      <c r="C126" s="93"/>
      <c r="D126" s="50"/>
      <c r="E126" s="41"/>
      <c r="F126" s="41"/>
      <c r="G126" s="42"/>
      <c r="H126" s="42"/>
      <c r="I126" s="43" t="str">
        <f>IF(OR(E126="",$E$4="[All Accounts]"),"",IF($B$8="Increase",SUMIFS(Trans_Debit,Trans_DebitAcct,$E$4,Trans_Date,"&lt;="&amp;D126,Trans_Numb,"&lt;="&amp;C126)-SUMIFS(Trans_Credit,Trans_CreditAcct,$E$4,Trans_Date,"&lt;="&amp;D126,Trans_Numb,"&lt;="&amp;C126),SUMIFS(Trans_Credit,Trans_CreditAcct,$E$4,Trans_Date,"&lt;="&amp;D126,Trans_Numb,"&lt;="&amp;C126)-SUMIFS(Trans_Debit,Trans_DebitAcct,$E$4,Trans_Date,"&lt;="&amp;D126,Trans_Numb,"&lt;="&amp;C126)))</f>
        <v/>
      </c>
      <c r="J126" s="18"/>
      <c r="K126" s="2"/>
    </row>
    <row r="127" spans="3:11" ht="15.75" thickBot="1" x14ac:dyDescent="0.3">
      <c r="C127" s="93"/>
      <c r="D127" s="49"/>
      <c r="E127" s="38"/>
      <c r="F127" s="38"/>
      <c r="G127" s="39"/>
      <c r="H127" s="39"/>
      <c r="I127" s="40"/>
      <c r="J127" s="19"/>
      <c r="K127" s="2"/>
    </row>
    <row r="128" spans="3:11" x14ac:dyDescent="0.25">
      <c r="C128" s="93"/>
      <c r="D128" s="50"/>
      <c r="E128" s="41"/>
      <c r="F128" s="41"/>
      <c r="G128" s="42"/>
      <c r="H128" s="42"/>
      <c r="I128" s="43" t="str">
        <f>IF(OR(E128="",$E$4="[All Accounts]"),"",IF($B$8="Increase",SUMIFS(Trans_Debit,Trans_DebitAcct,$E$4,Trans_Date,"&lt;="&amp;D128,Trans_Numb,"&lt;="&amp;C128)-SUMIFS(Trans_Credit,Trans_CreditAcct,$E$4,Trans_Date,"&lt;="&amp;D128,Trans_Numb,"&lt;="&amp;C128),SUMIFS(Trans_Credit,Trans_CreditAcct,$E$4,Trans_Date,"&lt;="&amp;D128,Trans_Numb,"&lt;="&amp;C128)-SUMIFS(Trans_Debit,Trans_DebitAcct,$E$4,Trans_Date,"&lt;="&amp;D128,Trans_Numb,"&lt;="&amp;C128)))</f>
        <v/>
      </c>
      <c r="J128" s="18"/>
      <c r="K128" s="2"/>
    </row>
    <row r="129" spans="3:11" ht="15.75" thickBot="1" x14ac:dyDescent="0.3">
      <c r="C129" s="93"/>
      <c r="D129" s="49"/>
      <c r="E129" s="38"/>
      <c r="F129" s="38"/>
      <c r="G129" s="39"/>
      <c r="H129" s="39"/>
      <c r="I129" s="40"/>
      <c r="J129" s="19"/>
      <c r="K129" s="2"/>
    </row>
    <row r="130" spans="3:11" x14ac:dyDescent="0.25">
      <c r="C130" s="93"/>
      <c r="D130" s="50"/>
      <c r="E130" s="41"/>
      <c r="F130" s="41"/>
      <c r="G130" s="42"/>
      <c r="H130" s="42"/>
      <c r="I130" s="43" t="str">
        <f>IF(OR(E130="",$E$4="[All Accounts]"),"",IF($B$8="Increase",SUMIFS(Trans_Debit,Trans_DebitAcct,$E$4,Trans_Date,"&lt;="&amp;D130,Trans_Numb,"&lt;="&amp;C130)-SUMIFS(Trans_Credit,Trans_CreditAcct,$E$4,Trans_Date,"&lt;="&amp;D130,Trans_Numb,"&lt;="&amp;C130),SUMIFS(Trans_Credit,Trans_CreditAcct,$E$4,Trans_Date,"&lt;="&amp;D130,Trans_Numb,"&lt;="&amp;C130)-SUMIFS(Trans_Debit,Trans_DebitAcct,$E$4,Trans_Date,"&lt;="&amp;D130,Trans_Numb,"&lt;="&amp;C130)))</f>
        <v/>
      </c>
      <c r="J130" s="18"/>
      <c r="K130" s="2"/>
    </row>
    <row r="131" spans="3:11" ht="15.75" thickBot="1" x14ac:dyDescent="0.3">
      <c r="C131" s="93"/>
      <c r="D131" s="49"/>
      <c r="E131" s="38"/>
      <c r="F131" s="38"/>
      <c r="G131" s="39"/>
      <c r="H131" s="39"/>
      <c r="I131" s="40"/>
      <c r="J131" s="19"/>
      <c r="K131" s="2"/>
    </row>
    <row r="132" spans="3:11" x14ac:dyDescent="0.25">
      <c r="C132" s="93"/>
      <c r="D132" s="50"/>
      <c r="E132" s="41"/>
      <c r="F132" s="41"/>
      <c r="G132" s="42"/>
      <c r="H132" s="42"/>
      <c r="I132" s="43" t="str">
        <f>IF(OR(E132="",$E$4="[All Accounts]"),"",IF($B$8="Increase",SUMIFS(Trans_Debit,Trans_DebitAcct,$E$4,Trans_Date,"&lt;="&amp;D132,Trans_Numb,"&lt;="&amp;C132)-SUMIFS(Trans_Credit,Trans_CreditAcct,$E$4,Trans_Date,"&lt;="&amp;D132,Trans_Numb,"&lt;="&amp;C132),SUMIFS(Trans_Credit,Trans_CreditAcct,$E$4,Trans_Date,"&lt;="&amp;D132,Trans_Numb,"&lt;="&amp;C132)-SUMIFS(Trans_Debit,Trans_DebitAcct,$E$4,Trans_Date,"&lt;="&amp;D132,Trans_Numb,"&lt;="&amp;C132)))</f>
        <v/>
      </c>
      <c r="J132" s="18"/>
      <c r="K132" s="2"/>
    </row>
    <row r="133" spans="3:11" ht="15.75" thickBot="1" x14ac:dyDescent="0.3">
      <c r="C133" s="93"/>
      <c r="D133" s="49"/>
      <c r="E133" s="38"/>
      <c r="F133" s="38"/>
      <c r="G133" s="39"/>
      <c r="H133" s="39"/>
      <c r="I133" s="40"/>
      <c r="J133" s="19"/>
      <c r="K133" s="2"/>
    </row>
    <row r="134" spans="3:11" x14ac:dyDescent="0.25">
      <c r="C134" s="93"/>
      <c r="D134" s="50"/>
      <c r="E134" s="41"/>
      <c r="F134" s="41"/>
      <c r="G134" s="42"/>
      <c r="H134" s="42"/>
      <c r="I134" s="43" t="str">
        <f>IF(OR(E134="",$E$4="[All Accounts]"),"",IF($B$8="Increase",SUMIFS(Trans_Debit,Trans_DebitAcct,$E$4,Trans_Date,"&lt;="&amp;D134,Trans_Numb,"&lt;="&amp;C134)-SUMIFS(Trans_Credit,Trans_CreditAcct,$E$4,Trans_Date,"&lt;="&amp;D134,Trans_Numb,"&lt;="&amp;C134),SUMIFS(Trans_Credit,Trans_CreditAcct,$E$4,Trans_Date,"&lt;="&amp;D134,Trans_Numb,"&lt;="&amp;C134)-SUMIFS(Trans_Debit,Trans_DebitAcct,$E$4,Trans_Date,"&lt;="&amp;D134,Trans_Numb,"&lt;="&amp;C134)))</f>
        <v/>
      </c>
      <c r="J134" s="18"/>
      <c r="K134" s="2"/>
    </row>
    <row r="135" spans="3:11" ht="15.75" thickBot="1" x14ac:dyDescent="0.3">
      <c r="C135" s="93"/>
      <c r="D135" s="49"/>
      <c r="E135" s="38"/>
      <c r="F135" s="38"/>
      <c r="G135" s="39"/>
      <c r="H135" s="39"/>
      <c r="I135" s="40"/>
      <c r="J135" s="19"/>
      <c r="K135" s="2"/>
    </row>
    <row r="136" spans="3:11" x14ac:dyDescent="0.25">
      <c r="C136" s="93"/>
      <c r="D136" s="50"/>
      <c r="E136" s="41"/>
      <c r="F136" s="41"/>
      <c r="G136" s="42"/>
      <c r="H136" s="42"/>
      <c r="I136" s="43" t="str">
        <f>IF(OR(E136="",$E$4="[All Accounts]"),"",IF($B$8="Increase",SUMIFS(Trans_Debit,Trans_DebitAcct,$E$4,Trans_Date,"&lt;="&amp;D136,Trans_Numb,"&lt;="&amp;C136)-SUMIFS(Trans_Credit,Trans_CreditAcct,$E$4,Trans_Date,"&lt;="&amp;D136,Trans_Numb,"&lt;="&amp;C136),SUMIFS(Trans_Credit,Trans_CreditAcct,$E$4,Trans_Date,"&lt;="&amp;D136,Trans_Numb,"&lt;="&amp;C136)-SUMIFS(Trans_Debit,Trans_DebitAcct,$E$4,Trans_Date,"&lt;="&amp;D136,Trans_Numb,"&lt;="&amp;C136)))</f>
        <v/>
      </c>
      <c r="J136" s="18"/>
      <c r="K136" s="2"/>
    </row>
    <row r="137" spans="3:11" ht="15.75" thickBot="1" x14ac:dyDescent="0.3">
      <c r="C137" s="93"/>
      <c r="D137" s="49"/>
      <c r="E137" s="38"/>
      <c r="F137" s="38"/>
      <c r="G137" s="39"/>
      <c r="H137" s="39"/>
      <c r="I137" s="40"/>
      <c r="J137" s="19"/>
      <c r="K137" s="2"/>
    </row>
    <row r="138" spans="3:11" x14ac:dyDescent="0.25">
      <c r="C138" s="93"/>
      <c r="D138" s="50"/>
      <c r="E138" s="41"/>
      <c r="F138" s="41"/>
      <c r="G138" s="42"/>
      <c r="H138" s="42"/>
      <c r="I138" s="43" t="str">
        <f>IF(OR(E138="",$E$4="[All Accounts]"),"",IF($B$8="Increase",SUMIFS(Trans_Debit,Trans_DebitAcct,$E$4,Trans_Date,"&lt;="&amp;D138,Trans_Numb,"&lt;="&amp;C138)-SUMIFS(Trans_Credit,Trans_CreditAcct,$E$4,Trans_Date,"&lt;="&amp;D138,Trans_Numb,"&lt;="&amp;C138),SUMIFS(Trans_Credit,Trans_CreditAcct,$E$4,Trans_Date,"&lt;="&amp;D138,Trans_Numb,"&lt;="&amp;C138)-SUMIFS(Trans_Debit,Trans_DebitAcct,$E$4,Trans_Date,"&lt;="&amp;D138,Trans_Numb,"&lt;="&amp;C138)))</f>
        <v/>
      </c>
      <c r="J138" s="18"/>
      <c r="K138" s="2"/>
    </row>
    <row r="139" spans="3:11" ht="15.75" thickBot="1" x14ac:dyDescent="0.3">
      <c r="C139" s="93"/>
      <c r="D139" s="49"/>
      <c r="E139" s="38"/>
      <c r="F139" s="38"/>
      <c r="G139" s="39"/>
      <c r="H139" s="39"/>
      <c r="I139" s="40"/>
      <c r="J139" s="19"/>
      <c r="K139" s="2"/>
    </row>
    <row r="140" spans="3:11" x14ac:dyDescent="0.25">
      <c r="C140" s="93"/>
      <c r="D140" s="50"/>
      <c r="E140" s="41"/>
      <c r="F140" s="41"/>
      <c r="G140" s="42"/>
      <c r="H140" s="42"/>
      <c r="I140" s="43" t="str">
        <f>IF(OR(E140="",$E$4="[All Accounts]"),"",IF($B$8="Increase",SUMIFS(Trans_Debit,Trans_DebitAcct,$E$4,Trans_Date,"&lt;="&amp;D140,Trans_Numb,"&lt;="&amp;C140)-SUMIFS(Trans_Credit,Trans_CreditAcct,$E$4,Trans_Date,"&lt;="&amp;D140,Trans_Numb,"&lt;="&amp;C140),SUMIFS(Trans_Credit,Trans_CreditAcct,$E$4,Trans_Date,"&lt;="&amp;D140,Trans_Numb,"&lt;="&amp;C140)-SUMIFS(Trans_Debit,Trans_DebitAcct,$E$4,Trans_Date,"&lt;="&amp;D140,Trans_Numb,"&lt;="&amp;C140)))</f>
        <v/>
      </c>
      <c r="J140" s="18"/>
      <c r="K140" s="2"/>
    </row>
    <row r="141" spans="3:11" ht="15.75" thickBot="1" x14ac:dyDescent="0.3">
      <c r="C141" s="93"/>
      <c r="D141" s="49"/>
      <c r="E141" s="38"/>
      <c r="F141" s="38"/>
      <c r="G141" s="39"/>
      <c r="H141" s="39"/>
      <c r="I141" s="40"/>
      <c r="J141" s="19"/>
      <c r="K141" s="2"/>
    </row>
    <row r="142" spans="3:11" x14ac:dyDescent="0.25">
      <c r="C142" s="93"/>
      <c r="D142" s="50"/>
      <c r="E142" s="41"/>
      <c r="F142" s="41"/>
      <c r="G142" s="42"/>
      <c r="H142" s="42"/>
      <c r="I142" s="43" t="str">
        <f>IF(OR(E142="",$E$4="[All Accounts]"),"",IF($B$8="Increase",SUMIFS(Trans_Debit,Trans_DebitAcct,$E$4,Trans_Date,"&lt;="&amp;D142,Trans_Numb,"&lt;="&amp;C142)-SUMIFS(Trans_Credit,Trans_CreditAcct,$E$4,Trans_Date,"&lt;="&amp;D142,Trans_Numb,"&lt;="&amp;C142),SUMIFS(Trans_Credit,Trans_CreditAcct,$E$4,Trans_Date,"&lt;="&amp;D142,Trans_Numb,"&lt;="&amp;C142)-SUMIFS(Trans_Debit,Trans_DebitAcct,$E$4,Trans_Date,"&lt;="&amp;D142,Trans_Numb,"&lt;="&amp;C142)))</f>
        <v/>
      </c>
      <c r="J142" s="18"/>
      <c r="K142" s="2"/>
    </row>
    <row r="143" spans="3:11" ht="15.75" thickBot="1" x14ac:dyDescent="0.3">
      <c r="C143" s="93"/>
      <c r="D143" s="49"/>
      <c r="E143" s="38"/>
      <c r="F143" s="38"/>
      <c r="G143" s="39"/>
      <c r="H143" s="39"/>
      <c r="I143" s="40"/>
      <c r="J143" s="19"/>
      <c r="K143" s="2"/>
    </row>
    <row r="144" spans="3:11" x14ac:dyDescent="0.25">
      <c r="C144" s="93"/>
      <c r="D144" s="50"/>
      <c r="E144" s="41"/>
      <c r="F144" s="41"/>
      <c r="G144" s="42"/>
      <c r="H144" s="42"/>
      <c r="I144" s="43" t="str">
        <f>IF(OR(E144="",$E$4="[All Accounts]"),"",IF($B$8="Increase",SUMIFS(Trans_Debit,Trans_DebitAcct,$E$4,Trans_Date,"&lt;="&amp;D144,Trans_Numb,"&lt;="&amp;C144)-SUMIFS(Trans_Credit,Trans_CreditAcct,$E$4,Trans_Date,"&lt;="&amp;D144,Trans_Numb,"&lt;="&amp;C144),SUMIFS(Trans_Credit,Trans_CreditAcct,$E$4,Trans_Date,"&lt;="&amp;D144,Trans_Numb,"&lt;="&amp;C144)-SUMIFS(Trans_Debit,Trans_DebitAcct,$E$4,Trans_Date,"&lt;="&amp;D144,Trans_Numb,"&lt;="&amp;C144)))</f>
        <v/>
      </c>
      <c r="J144" s="18"/>
      <c r="K144" s="2"/>
    </row>
    <row r="145" spans="3:11" ht="15.75" thickBot="1" x14ac:dyDescent="0.3">
      <c r="C145" s="93"/>
      <c r="D145" s="49"/>
      <c r="E145" s="38"/>
      <c r="F145" s="38"/>
      <c r="G145" s="39"/>
      <c r="H145" s="39"/>
      <c r="I145" s="40"/>
      <c r="J145" s="19"/>
      <c r="K145" s="2"/>
    </row>
    <row r="146" spans="3:11" x14ac:dyDescent="0.25">
      <c r="C146" s="93"/>
      <c r="D146" s="50"/>
      <c r="E146" s="41"/>
      <c r="F146" s="41"/>
      <c r="G146" s="42"/>
      <c r="H146" s="42"/>
      <c r="I146" s="43" t="str">
        <f>IF(OR(E146="",$E$4="[All Accounts]"),"",IF($B$8="Increase",SUMIFS(Trans_Debit,Trans_DebitAcct,$E$4,Trans_Date,"&lt;="&amp;D146,Trans_Numb,"&lt;="&amp;C146)-SUMIFS(Trans_Credit,Trans_CreditAcct,$E$4,Trans_Date,"&lt;="&amp;D146,Trans_Numb,"&lt;="&amp;C146),SUMIFS(Trans_Credit,Trans_CreditAcct,$E$4,Trans_Date,"&lt;="&amp;D146,Trans_Numb,"&lt;="&amp;C146)-SUMIFS(Trans_Debit,Trans_DebitAcct,$E$4,Trans_Date,"&lt;="&amp;D146,Trans_Numb,"&lt;="&amp;C146)))</f>
        <v/>
      </c>
      <c r="J146" s="18"/>
      <c r="K146" s="2"/>
    </row>
    <row r="147" spans="3:11" ht="15.75" thickBot="1" x14ac:dyDescent="0.3">
      <c r="C147" s="93"/>
      <c r="D147" s="49"/>
      <c r="E147" s="38"/>
      <c r="F147" s="38"/>
      <c r="G147" s="39"/>
      <c r="H147" s="39"/>
      <c r="I147" s="40"/>
      <c r="J147" s="19"/>
      <c r="K147" s="2"/>
    </row>
    <row r="148" spans="3:11" x14ac:dyDescent="0.25">
      <c r="C148" s="93"/>
      <c r="D148" s="50"/>
      <c r="E148" s="41"/>
      <c r="F148" s="41"/>
      <c r="G148" s="42"/>
      <c r="H148" s="42"/>
      <c r="I148" s="43" t="str">
        <f>IF(OR(E148="",$E$4="[All Accounts]"),"",IF($B$8="Increase",SUMIFS(Trans_Debit,Trans_DebitAcct,$E$4,Trans_Date,"&lt;="&amp;D148,Trans_Numb,"&lt;="&amp;C148)-SUMIFS(Trans_Credit,Trans_CreditAcct,$E$4,Trans_Date,"&lt;="&amp;D148,Trans_Numb,"&lt;="&amp;C148),SUMIFS(Trans_Credit,Trans_CreditAcct,$E$4,Trans_Date,"&lt;="&amp;D148,Trans_Numb,"&lt;="&amp;C148)-SUMIFS(Trans_Debit,Trans_DebitAcct,$E$4,Trans_Date,"&lt;="&amp;D148,Trans_Numb,"&lt;="&amp;C148)))</f>
        <v/>
      </c>
      <c r="J148" s="18"/>
      <c r="K148" s="2"/>
    </row>
    <row r="149" spans="3:11" ht="15.75" thickBot="1" x14ac:dyDescent="0.3">
      <c r="C149" s="93"/>
      <c r="D149" s="49"/>
      <c r="E149" s="38"/>
      <c r="F149" s="38"/>
      <c r="G149" s="39"/>
      <c r="H149" s="39"/>
      <c r="I149" s="40"/>
      <c r="J149" s="19"/>
      <c r="K149" s="2"/>
    </row>
    <row r="150" spans="3:11" x14ac:dyDescent="0.25">
      <c r="C150" s="93"/>
      <c r="D150" s="50"/>
      <c r="E150" s="41"/>
      <c r="F150" s="41"/>
      <c r="G150" s="42"/>
      <c r="H150" s="42"/>
      <c r="I150" s="43" t="str">
        <f>IF(OR(E150="",$E$4="[All Accounts]"),"",IF($B$8="Increase",SUMIFS(Trans_Debit,Trans_DebitAcct,$E$4,Trans_Date,"&lt;="&amp;D150,Trans_Numb,"&lt;="&amp;C150)-SUMIFS(Trans_Credit,Trans_CreditAcct,$E$4,Trans_Date,"&lt;="&amp;D150,Trans_Numb,"&lt;="&amp;C150),SUMIFS(Trans_Credit,Trans_CreditAcct,$E$4,Trans_Date,"&lt;="&amp;D150,Trans_Numb,"&lt;="&amp;C150)-SUMIFS(Trans_Debit,Trans_DebitAcct,$E$4,Trans_Date,"&lt;="&amp;D150,Trans_Numb,"&lt;="&amp;C150)))</f>
        <v/>
      </c>
      <c r="J150" s="18"/>
      <c r="K150" s="2"/>
    </row>
    <row r="151" spans="3:11" ht="15.75" thickBot="1" x14ac:dyDescent="0.3">
      <c r="C151" s="93"/>
      <c r="D151" s="49"/>
      <c r="E151" s="38"/>
      <c r="F151" s="38"/>
      <c r="G151" s="39"/>
      <c r="H151" s="39"/>
      <c r="I151" s="40"/>
      <c r="J151" s="19"/>
      <c r="K151" s="2"/>
    </row>
    <row r="152" spans="3:11" x14ac:dyDescent="0.25">
      <c r="C152" s="93"/>
      <c r="D152" s="50"/>
      <c r="E152" s="41"/>
      <c r="F152" s="41"/>
      <c r="G152" s="42"/>
      <c r="H152" s="42"/>
      <c r="I152" s="43" t="str">
        <f>IF(OR(E152="",$E$4="[All Accounts]"),"",IF($B$8="Increase",SUMIFS(Trans_Debit,Trans_DebitAcct,$E$4,Trans_Date,"&lt;="&amp;D152,Trans_Numb,"&lt;="&amp;C152)-SUMIFS(Trans_Credit,Trans_CreditAcct,$E$4,Trans_Date,"&lt;="&amp;D152,Trans_Numb,"&lt;="&amp;C152),SUMIFS(Trans_Credit,Trans_CreditAcct,$E$4,Trans_Date,"&lt;="&amp;D152,Trans_Numb,"&lt;="&amp;C152)-SUMIFS(Trans_Debit,Trans_DebitAcct,$E$4,Trans_Date,"&lt;="&amp;D152,Trans_Numb,"&lt;="&amp;C152)))</f>
        <v/>
      </c>
      <c r="J152" s="18"/>
      <c r="K152" s="2"/>
    </row>
    <row r="153" spans="3:11" ht="15.75" thickBot="1" x14ac:dyDescent="0.3">
      <c r="C153" s="93"/>
      <c r="D153" s="49"/>
      <c r="E153" s="38"/>
      <c r="F153" s="38"/>
      <c r="G153" s="39"/>
      <c r="H153" s="39"/>
      <c r="I153" s="40"/>
      <c r="J153" s="19"/>
      <c r="K153" s="2"/>
    </row>
    <row r="154" spans="3:11" x14ac:dyDescent="0.25">
      <c r="C154" s="93"/>
      <c r="D154" s="50"/>
      <c r="E154" s="41"/>
      <c r="F154" s="41"/>
      <c r="G154" s="42"/>
      <c r="H154" s="42"/>
      <c r="I154" s="43" t="str">
        <f>IF(OR(E154="",$E$4="[All Accounts]"),"",IF($B$8="Increase",SUMIFS(Trans_Debit,Trans_DebitAcct,$E$4,Trans_Date,"&lt;="&amp;D154,Trans_Numb,"&lt;="&amp;C154)-SUMIFS(Trans_Credit,Trans_CreditAcct,$E$4,Trans_Date,"&lt;="&amp;D154,Trans_Numb,"&lt;="&amp;C154),SUMIFS(Trans_Credit,Trans_CreditAcct,$E$4,Trans_Date,"&lt;="&amp;D154,Trans_Numb,"&lt;="&amp;C154)-SUMIFS(Trans_Debit,Trans_DebitAcct,$E$4,Trans_Date,"&lt;="&amp;D154,Trans_Numb,"&lt;="&amp;C154)))</f>
        <v/>
      </c>
      <c r="J154" s="18"/>
      <c r="K154" s="2"/>
    </row>
    <row r="155" spans="3:11" ht="15.75" thickBot="1" x14ac:dyDescent="0.3">
      <c r="C155" s="93"/>
      <c r="D155" s="49"/>
      <c r="E155" s="38"/>
      <c r="F155" s="38"/>
      <c r="G155" s="39"/>
      <c r="H155" s="39"/>
      <c r="I155" s="40"/>
      <c r="J155" s="19"/>
      <c r="K155" s="2"/>
    </row>
    <row r="156" spans="3:11" x14ac:dyDescent="0.25">
      <c r="C156" s="93"/>
      <c r="D156" s="50"/>
      <c r="E156" s="41"/>
      <c r="F156" s="41"/>
      <c r="G156" s="42"/>
      <c r="H156" s="42"/>
      <c r="I156" s="43" t="str">
        <f>IF(OR(E156="",$E$4="[All Accounts]"),"",IF($B$8="Increase",SUMIFS(Trans_Debit,Trans_DebitAcct,$E$4,Trans_Date,"&lt;="&amp;D156,Trans_Numb,"&lt;="&amp;C156)-SUMIFS(Trans_Credit,Trans_CreditAcct,$E$4,Trans_Date,"&lt;="&amp;D156,Trans_Numb,"&lt;="&amp;C156),SUMIFS(Trans_Credit,Trans_CreditAcct,$E$4,Trans_Date,"&lt;="&amp;D156,Trans_Numb,"&lt;="&amp;C156)-SUMIFS(Trans_Debit,Trans_DebitAcct,$E$4,Trans_Date,"&lt;="&amp;D156,Trans_Numb,"&lt;="&amp;C156)))</f>
        <v/>
      </c>
      <c r="J156" s="18"/>
      <c r="K156" s="2"/>
    </row>
    <row r="157" spans="3:11" ht="15.75" thickBot="1" x14ac:dyDescent="0.3">
      <c r="C157" s="93"/>
      <c r="D157" s="49"/>
      <c r="E157" s="38"/>
      <c r="F157" s="38"/>
      <c r="G157" s="39"/>
      <c r="H157" s="39"/>
      <c r="I157" s="40"/>
      <c r="J157" s="19"/>
      <c r="K157" s="2"/>
    </row>
    <row r="158" spans="3:11" x14ac:dyDescent="0.25">
      <c r="C158" s="93"/>
      <c r="D158" s="50"/>
      <c r="E158" s="41"/>
      <c r="F158" s="41"/>
      <c r="G158" s="42"/>
      <c r="H158" s="42"/>
      <c r="I158" s="43" t="str">
        <f>IF(OR(E158="",$E$4="[All Accounts]"),"",IF($B$8="Increase",SUMIFS(Trans_Debit,Trans_DebitAcct,$E$4,Trans_Date,"&lt;="&amp;D158,Trans_Numb,"&lt;="&amp;C158)-SUMIFS(Trans_Credit,Trans_CreditAcct,$E$4,Trans_Date,"&lt;="&amp;D158,Trans_Numb,"&lt;="&amp;C158),SUMIFS(Trans_Credit,Trans_CreditAcct,$E$4,Trans_Date,"&lt;="&amp;D158,Trans_Numb,"&lt;="&amp;C158)-SUMIFS(Trans_Debit,Trans_DebitAcct,$E$4,Trans_Date,"&lt;="&amp;D158,Trans_Numb,"&lt;="&amp;C158)))</f>
        <v/>
      </c>
      <c r="J158" s="18"/>
      <c r="K158" s="2"/>
    </row>
    <row r="159" spans="3:11" ht="15.75" thickBot="1" x14ac:dyDescent="0.3">
      <c r="C159" s="93"/>
      <c r="D159" s="49"/>
      <c r="E159" s="38"/>
      <c r="F159" s="38"/>
      <c r="G159" s="39"/>
      <c r="H159" s="39"/>
      <c r="I159" s="40"/>
      <c r="J159" s="19"/>
      <c r="K159" s="2"/>
    </row>
    <row r="160" spans="3:11" x14ac:dyDescent="0.25">
      <c r="C160" s="93"/>
      <c r="D160" s="50"/>
      <c r="E160" s="41"/>
      <c r="F160" s="41"/>
      <c r="G160" s="42"/>
      <c r="H160" s="42"/>
      <c r="I160" s="43" t="str">
        <f>IF(OR(E160="",$E$4="[All Accounts]"),"",IF($B$8="Increase",SUMIFS(Trans_Debit,Trans_DebitAcct,$E$4,Trans_Date,"&lt;="&amp;D160,Trans_Numb,"&lt;="&amp;C160)-SUMIFS(Trans_Credit,Trans_CreditAcct,$E$4,Trans_Date,"&lt;="&amp;D160,Trans_Numb,"&lt;="&amp;C160),SUMIFS(Trans_Credit,Trans_CreditAcct,$E$4,Trans_Date,"&lt;="&amp;D160,Trans_Numb,"&lt;="&amp;C160)-SUMIFS(Trans_Debit,Trans_DebitAcct,$E$4,Trans_Date,"&lt;="&amp;D160,Trans_Numb,"&lt;="&amp;C160)))</f>
        <v/>
      </c>
      <c r="J160" s="18"/>
      <c r="K160" s="2"/>
    </row>
    <row r="161" spans="3:11" ht="15.75" thickBot="1" x14ac:dyDescent="0.3">
      <c r="C161" s="93"/>
      <c r="D161" s="49"/>
      <c r="E161" s="38"/>
      <c r="F161" s="38"/>
      <c r="G161" s="39"/>
      <c r="H161" s="39"/>
      <c r="I161" s="40"/>
      <c r="J161" s="19"/>
      <c r="K161" s="2"/>
    </row>
    <row r="162" spans="3:11" x14ac:dyDescent="0.25">
      <c r="C162" s="93"/>
      <c r="D162" s="50"/>
      <c r="E162" s="41"/>
      <c r="F162" s="41"/>
      <c r="G162" s="42"/>
      <c r="H162" s="42"/>
      <c r="I162" s="43" t="str">
        <f>IF(OR(E162="",$E$4="[All Accounts]"),"",IF($B$8="Increase",SUMIFS(Trans_Debit,Trans_DebitAcct,$E$4,Trans_Date,"&lt;="&amp;D162,Trans_Numb,"&lt;="&amp;C162)-SUMIFS(Trans_Credit,Trans_CreditAcct,$E$4,Trans_Date,"&lt;="&amp;D162,Trans_Numb,"&lt;="&amp;C162),SUMIFS(Trans_Credit,Trans_CreditAcct,$E$4,Trans_Date,"&lt;="&amp;D162,Trans_Numb,"&lt;="&amp;C162)-SUMIFS(Trans_Debit,Trans_DebitAcct,$E$4,Trans_Date,"&lt;="&amp;D162,Trans_Numb,"&lt;="&amp;C162)))</f>
        <v/>
      </c>
      <c r="J162" s="18"/>
      <c r="K162" s="2"/>
    </row>
    <row r="163" spans="3:11" ht="15.75" thickBot="1" x14ac:dyDescent="0.3">
      <c r="C163" s="93"/>
      <c r="D163" s="49"/>
      <c r="E163" s="38"/>
      <c r="F163" s="38"/>
      <c r="G163" s="39"/>
      <c r="H163" s="39"/>
      <c r="I163" s="40"/>
      <c r="J163" s="19"/>
      <c r="K163" s="2"/>
    </row>
    <row r="164" spans="3:11" x14ac:dyDescent="0.25">
      <c r="C164" s="93"/>
      <c r="D164" s="50"/>
      <c r="E164" s="41"/>
      <c r="F164" s="41"/>
      <c r="G164" s="42"/>
      <c r="H164" s="42"/>
      <c r="I164" s="43" t="str">
        <f>IF(OR(E164="",$E$4="[All Accounts]"),"",IF($B$8="Increase",SUMIFS(Trans_Debit,Trans_DebitAcct,$E$4,Trans_Date,"&lt;="&amp;D164,Trans_Numb,"&lt;="&amp;C164)-SUMIFS(Trans_Credit,Trans_CreditAcct,$E$4,Trans_Date,"&lt;="&amp;D164,Trans_Numb,"&lt;="&amp;C164),SUMIFS(Trans_Credit,Trans_CreditAcct,$E$4,Trans_Date,"&lt;="&amp;D164,Trans_Numb,"&lt;="&amp;C164)-SUMIFS(Trans_Debit,Trans_DebitAcct,$E$4,Trans_Date,"&lt;="&amp;D164,Trans_Numb,"&lt;="&amp;C164)))</f>
        <v/>
      </c>
      <c r="J164" s="18"/>
      <c r="K164" s="2"/>
    </row>
    <row r="165" spans="3:11" ht="15.75" thickBot="1" x14ac:dyDescent="0.3">
      <c r="C165" s="93"/>
      <c r="D165" s="49"/>
      <c r="E165" s="38"/>
      <c r="F165" s="38"/>
      <c r="G165" s="39"/>
      <c r="H165" s="39"/>
      <c r="I165" s="40"/>
      <c r="J165" s="19"/>
      <c r="K165" s="2"/>
    </row>
    <row r="166" spans="3:11" x14ac:dyDescent="0.25">
      <c r="C166" s="93"/>
      <c r="D166" s="50"/>
      <c r="E166" s="41"/>
      <c r="F166" s="41"/>
      <c r="G166" s="42"/>
      <c r="H166" s="42"/>
      <c r="I166" s="43" t="str">
        <f>IF(OR(E166="",$E$4="[All Accounts]"),"",IF($B$8="Increase",SUMIFS(Trans_Debit,Trans_DebitAcct,$E$4,Trans_Date,"&lt;="&amp;D166,Trans_Numb,"&lt;="&amp;C166)-SUMIFS(Trans_Credit,Trans_CreditAcct,$E$4,Trans_Date,"&lt;="&amp;D166,Trans_Numb,"&lt;="&amp;C166),SUMIFS(Trans_Credit,Trans_CreditAcct,$E$4,Trans_Date,"&lt;="&amp;D166,Trans_Numb,"&lt;="&amp;C166)-SUMIFS(Trans_Debit,Trans_DebitAcct,$E$4,Trans_Date,"&lt;="&amp;D166,Trans_Numb,"&lt;="&amp;C166)))</f>
        <v/>
      </c>
      <c r="J166" s="18"/>
      <c r="K166" s="2"/>
    </row>
    <row r="167" spans="3:11" ht="15.75" thickBot="1" x14ac:dyDescent="0.3">
      <c r="C167" s="93"/>
      <c r="D167" s="49"/>
      <c r="E167" s="38"/>
      <c r="F167" s="38"/>
      <c r="G167" s="39"/>
      <c r="H167" s="39"/>
      <c r="I167" s="40"/>
      <c r="J167" s="19"/>
      <c r="K167" s="2"/>
    </row>
    <row r="168" spans="3:11" x14ac:dyDescent="0.25">
      <c r="C168" s="93"/>
      <c r="D168" s="50"/>
      <c r="E168" s="41"/>
      <c r="F168" s="41"/>
      <c r="G168" s="42"/>
      <c r="H168" s="42"/>
      <c r="I168" s="43" t="str">
        <f>IF(OR(E168="",$E$4="[All Accounts]"),"",IF($B$8="Increase",SUMIFS(Trans_Debit,Trans_DebitAcct,$E$4,Trans_Date,"&lt;="&amp;D168,Trans_Numb,"&lt;="&amp;C168)-SUMIFS(Trans_Credit,Trans_CreditAcct,$E$4,Trans_Date,"&lt;="&amp;D168,Trans_Numb,"&lt;="&amp;C168),SUMIFS(Trans_Credit,Trans_CreditAcct,$E$4,Trans_Date,"&lt;="&amp;D168,Trans_Numb,"&lt;="&amp;C168)-SUMIFS(Trans_Debit,Trans_DebitAcct,$E$4,Trans_Date,"&lt;="&amp;D168,Trans_Numb,"&lt;="&amp;C168)))</f>
        <v/>
      </c>
      <c r="J168" s="18"/>
      <c r="K168" s="2"/>
    </row>
    <row r="169" spans="3:11" ht="15.75" thickBot="1" x14ac:dyDescent="0.3">
      <c r="C169" s="93"/>
      <c r="D169" s="49"/>
      <c r="E169" s="38"/>
      <c r="F169" s="38"/>
      <c r="G169" s="39"/>
      <c r="H169" s="39"/>
      <c r="I169" s="40"/>
      <c r="J169" s="19"/>
      <c r="K169" s="2"/>
    </row>
    <row r="170" spans="3:11" x14ac:dyDescent="0.25">
      <c r="C170" s="93"/>
      <c r="D170" s="50"/>
      <c r="E170" s="41"/>
      <c r="F170" s="41"/>
      <c r="G170" s="42"/>
      <c r="H170" s="42"/>
      <c r="I170" s="43" t="str">
        <f>IF(OR(E170="",$E$4="[All Accounts]"),"",IF($B$8="Increase",SUMIFS(Trans_Debit,Trans_DebitAcct,$E$4,Trans_Date,"&lt;="&amp;D170,Trans_Numb,"&lt;="&amp;C170)-SUMIFS(Trans_Credit,Trans_CreditAcct,$E$4,Trans_Date,"&lt;="&amp;D170,Trans_Numb,"&lt;="&amp;C170),SUMIFS(Trans_Credit,Trans_CreditAcct,$E$4,Trans_Date,"&lt;="&amp;D170,Trans_Numb,"&lt;="&amp;C170)-SUMIFS(Trans_Debit,Trans_DebitAcct,$E$4,Trans_Date,"&lt;="&amp;D170,Trans_Numb,"&lt;="&amp;C170)))</f>
        <v/>
      </c>
      <c r="J170" s="18"/>
      <c r="K170" s="2"/>
    </row>
    <row r="171" spans="3:11" ht="15.75" thickBot="1" x14ac:dyDescent="0.3">
      <c r="C171" s="93"/>
      <c r="D171" s="49"/>
      <c r="E171" s="38"/>
      <c r="F171" s="38"/>
      <c r="G171" s="39"/>
      <c r="H171" s="39"/>
      <c r="I171" s="40"/>
      <c r="J171" s="19"/>
      <c r="K171" s="2"/>
    </row>
    <row r="172" spans="3:11" x14ac:dyDescent="0.25">
      <c r="C172" s="93"/>
      <c r="D172" s="50"/>
      <c r="E172" s="41"/>
      <c r="F172" s="41"/>
      <c r="G172" s="42"/>
      <c r="H172" s="42"/>
      <c r="I172" s="43" t="str">
        <f>IF(OR(E172="",$E$4="[All Accounts]"),"",IF($B$8="Increase",SUMIFS(Trans_Debit,Trans_DebitAcct,$E$4,Trans_Date,"&lt;="&amp;D172,Trans_Numb,"&lt;="&amp;C172)-SUMIFS(Trans_Credit,Trans_CreditAcct,$E$4,Trans_Date,"&lt;="&amp;D172,Trans_Numb,"&lt;="&amp;C172),SUMIFS(Trans_Credit,Trans_CreditAcct,$E$4,Trans_Date,"&lt;="&amp;D172,Trans_Numb,"&lt;="&amp;C172)-SUMIFS(Trans_Debit,Trans_DebitAcct,$E$4,Trans_Date,"&lt;="&amp;D172,Trans_Numb,"&lt;="&amp;C172)))</f>
        <v/>
      </c>
      <c r="J172" s="18"/>
      <c r="K172" s="2"/>
    </row>
    <row r="173" spans="3:11" ht="15.75" thickBot="1" x14ac:dyDescent="0.3">
      <c r="C173" s="93"/>
      <c r="D173" s="49"/>
      <c r="E173" s="38"/>
      <c r="F173" s="38"/>
      <c r="G173" s="39"/>
      <c r="H173" s="39"/>
      <c r="I173" s="40"/>
      <c r="J173" s="19"/>
      <c r="K173" s="2"/>
    </row>
    <row r="174" spans="3:11" x14ac:dyDescent="0.25">
      <c r="C174" s="93"/>
      <c r="D174" s="50"/>
      <c r="E174" s="41"/>
      <c r="F174" s="41"/>
      <c r="G174" s="42"/>
      <c r="H174" s="42"/>
      <c r="I174" s="43" t="str">
        <f>IF(OR(E174="",$E$4="[All Accounts]"),"",IF($B$8="Increase",SUMIFS(Trans_Debit,Trans_DebitAcct,$E$4,Trans_Date,"&lt;="&amp;D174,Trans_Numb,"&lt;="&amp;C174)-SUMIFS(Trans_Credit,Trans_CreditAcct,$E$4,Trans_Date,"&lt;="&amp;D174,Trans_Numb,"&lt;="&amp;C174),SUMIFS(Trans_Credit,Trans_CreditAcct,$E$4,Trans_Date,"&lt;="&amp;D174,Trans_Numb,"&lt;="&amp;C174)-SUMIFS(Trans_Debit,Trans_DebitAcct,$E$4,Trans_Date,"&lt;="&amp;D174,Trans_Numb,"&lt;="&amp;C174)))</f>
        <v/>
      </c>
      <c r="J174" s="18"/>
      <c r="K174" s="2"/>
    </row>
    <row r="175" spans="3:11" ht="15.75" thickBot="1" x14ac:dyDescent="0.3">
      <c r="C175" s="93"/>
      <c r="D175" s="49"/>
      <c r="E175" s="38"/>
      <c r="F175" s="38"/>
      <c r="G175" s="39"/>
      <c r="H175" s="39"/>
      <c r="I175" s="40"/>
      <c r="J175" s="19"/>
      <c r="K175" s="2"/>
    </row>
    <row r="176" spans="3:11" x14ac:dyDescent="0.25">
      <c r="C176" s="93"/>
      <c r="D176" s="50"/>
      <c r="E176" s="41"/>
      <c r="F176" s="41"/>
      <c r="G176" s="42"/>
      <c r="H176" s="42"/>
      <c r="I176" s="43" t="str">
        <f>IF(OR(E176="",$E$4="[All Accounts]"),"",IF($B$8="Increase",SUMIFS(Trans_Debit,Trans_DebitAcct,$E$4,Trans_Date,"&lt;="&amp;D176,Trans_Numb,"&lt;="&amp;C176)-SUMIFS(Trans_Credit,Trans_CreditAcct,$E$4,Trans_Date,"&lt;="&amp;D176,Trans_Numb,"&lt;="&amp;C176),SUMIFS(Trans_Credit,Trans_CreditAcct,$E$4,Trans_Date,"&lt;="&amp;D176,Trans_Numb,"&lt;="&amp;C176)-SUMIFS(Trans_Debit,Trans_DebitAcct,$E$4,Trans_Date,"&lt;="&amp;D176,Trans_Numb,"&lt;="&amp;C176)))</f>
        <v/>
      </c>
      <c r="J176" s="18"/>
      <c r="K176" s="2"/>
    </row>
    <row r="177" spans="3:11" ht="15.75" thickBot="1" x14ac:dyDescent="0.3">
      <c r="C177" s="93"/>
      <c r="D177" s="49"/>
      <c r="E177" s="38"/>
      <c r="F177" s="38"/>
      <c r="G177" s="39"/>
      <c r="H177" s="39"/>
      <c r="I177" s="40"/>
      <c r="J177" s="19"/>
      <c r="K177" s="2"/>
    </row>
    <row r="178" spans="3:11" x14ac:dyDescent="0.25">
      <c r="C178" s="93"/>
      <c r="D178" s="50"/>
      <c r="E178" s="41"/>
      <c r="F178" s="41"/>
      <c r="G178" s="42"/>
      <c r="H178" s="42"/>
      <c r="I178" s="43" t="str">
        <f>IF(OR(E178="",$E$4="[All Accounts]"),"",IF($B$8="Increase",SUMIFS(Trans_Debit,Trans_DebitAcct,$E$4,Trans_Date,"&lt;="&amp;D178,Trans_Numb,"&lt;="&amp;C178)-SUMIFS(Trans_Credit,Trans_CreditAcct,$E$4,Trans_Date,"&lt;="&amp;D178,Trans_Numb,"&lt;="&amp;C178),SUMIFS(Trans_Credit,Trans_CreditAcct,$E$4,Trans_Date,"&lt;="&amp;D178,Trans_Numb,"&lt;="&amp;C178)-SUMIFS(Trans_Debit,Trans_DebitAcct,$E$4,Trans_Date,"&lt;="&amp;D178,Trans_Numb,"&lt;="&amp;C178)))</f>
        <v/>
      </c>
      <c r="J178" s="18"/>
      <c r="K178" s="2"/>
    </row>
    <row r="179" spans="3:11" ht="15.75" thickBot="1" x14ac:dyDescent="0.3">
      <c r="C179" s="93"/>
      <c r="D179" s="49"/>
      <c r="E179" s="38"/>
      <c r="F179" s="38"/>
      <c r="G179" s="39"/>
      <c r="H179" s="39"/>
      <c r="I179" s="40"/>
      <c r="J179" s="19"/>
      <c r="K179" s="2"/>
    </row>
    <row r="180" spans="3:11" x14ac:dyDescent="0.25">
      <c r="C180" s="93"/>
      <c r="D180" s="50"/>
      <c r="E180" s="41"/>
      <c r="F180" s="41"/>
      <c r="G180" s="42"/>
      <c r="H180" s="42"/>
      <c r="I180" s="43" t="str">
        <f>IF(OR(E180="",$E$4="[All Accounts]"),"",IF($B$8="Increase",SUMIFS(Trans_Debit,Trans_DebitAcct,$E$4,Trans_Date,"&lt;="&amp;D180,Trans_Numb,"&lt;="&amp;C180)-SUMIFS(Trans_Credit,Trans_CreditAcct,$E$4,Trans_Date,"&lt;="&amp;D180,Trans_Numb,"&lt;="&amp;C180),SUMIFS(Trans_Credit,Trans_CreditAcct,$E$4,Trans_Date,"&lt;="&amp;D180,Trans_Numb,"&lt;="&amp;C180)-SUMIFS(Trans_Debit,Trans_DebitAcct,$E$4,Trans_Date,"&lt;="&amp;D180,Trans_Numb,"&lt;="&amp;C180)))</f>
        <v/>
      </c>
      <c r="J180" s="18"/>
      <c r="K180" s="2"/>
    </row>
    <row r="181" spans="3:11" ht="15.75" thickBot="1" x14ac:dyDescent="0.3">
      <c r="C181" s="93"/>
      <c r="D181" s="49"/>
      <c r="E181" s="38"/>
      <c r="F181" s="38"/>
      <c r="G181" s="39"/>
      <c r="H181" s="39"/>
      <c r="I181" s="40"/>
      <c r="J181" s="19"/>
      <c r="K181" s="2"/>
    </row>
    <row r="182" spans="3:11" x14ac:dyDescent="0.25">
      <c r="C182" s="93"/>
      <c r="D182" s="50"/>
      <c r="E182" s="41"/>
      <c r="F182" s="41"/>
      <c r="G182" s="42"/>
      <c r="H182" s="42"/>
      <c r="I182" s="43" t="str">
        <f>IF(OR(E182="",$E$4="[All Accounts]"),"",IF($B$8="Increase",SUMIFS(Trans_Debit,Trans_DebitAcct,$E$4,Trans_Date,"&lt;="&amp;D182,Trans_Numb,"&lt;="&amp;C182)-SUMIFS(Trans_Credit,Trans_CreditAcct,$E$4,Trans_Date,"&lt;="&amp;D182,Trans_Numb,"&lt;="&amp;C182),SUMIFS(Trans_Credit,Trans_CreditAcct,$E$4,Trans_Date,"&lt;="&amp;D182,Trans_Numb,"&lt;="&amp;C182)-SUMIFS(Trans_Debit,Trans_DebitAcct,$E$4,Trans_Date,"&lt;="&amp;D182,Trans_Numb,"&lt;="&amp;C182)))</f>
        <v/>
      </c>
      <c r="J182" s="18"/>
      <c r="K182" s="2"/>
    </row>
    <row r="183" spans="3:11" ht="15.75" thickBot="1" x14ac:dyDescent="0.3">
      <c r="C183" s="93"/>
      <c r="D183" s="49"/>
      <c r="E183" s="38"/>
      <c r="F183" s="38"/>
      <c r="G183" s="39"/>
      <c r="H183" s="39"/>
      <c r="I183" s="40"/>
      <c r="J183" s="19"/>
      <c r="K183" s="2"/>
    </row>
    <row r="184" spans="3:11" x14ac:dyDescent="0.25">
      <c r="C184" s="93"/>
      <c r="D184" s="50"/>
      <c r="E184" s="41"/>
      <c r="F184" s="41"/>
      <c r="G184" s="42"/>
      <c r="H184" s="42"/>
      <c r="I184" s="43" t="str">
        <f>IF(OR(E184="",$E$4="[All Accounts]"),"",IF($B$8="Increase",SUMIFS(Trans_Debit,Trans_DebitAcct,$E$4,Trans_Date,"&lt;="&amp;D184,Trans_Numb,"&lt;="&amp;C184)-SUMIFS(Trans_Credit,Trans_CreditAcct,$E$4,Trans_Date,"&lt;="&amp;D184,Trans_Numb,"&lt;="&amp;C184),SUMIFS(Trans_Credit,Trans_CreditAcct,$E$4,Trans_Date,"&lt;="&amp;D184,Trans_Numb,"&lt;="&amp;C184)-SUMIFS(Trans_Debit,Trans_DebitAcct,$E$4,Trans_Date,"&lt;="&amp;D184,Trans_Numb,"&lt;="&amp;C184)))</f>
        <v/>
      </c>
      <c r="J184" s="18"/>
      <c r="K184" s="2"/>
    </row>
    <row r="185" spans="3:11" ht="15.75" thickBot="1" x14ac:dyDescent="0.3">
      <c r="C185" s="93"/>
      <c r="D185" s="49"/>
      <c r="E185" s="38"/>
      <c r="F185" s="38"/>
      <c r="G185" s="39"/>
      <c r="H185" s="39"/>
      <c r="I185" s="40"/>
      <c r="J185" s="19"/>
      <c r="K185" s="2"/>
    </row>
    <row r="186" spans="3:11" x14ac:dyDescent="0.25">
      <c r="C186" s="93"/>
      <c r="D186" s="50"/>
      <c r="E186" s="41"/>
      <c r="F186" s="41"/>
      <c r="G186" s="42"/>
      <c r="H186" s="42"/>
      <c r="I186" s="43" t="str">
        <f>IF(OR(E186="",$E$4="[All Accounts]"),"",IF($B$8="Increase",SUMIFS(Trans_Debit,Trans_DebitAcct,$E$4,Trans_Date,"&lt;="&amp;D186,Trans_Numb,"&lt;="&amp;C186)-SUMIFS(Trans_Credit,Trans_CreditAcct,$E$4,Trans_Date,"&lt;="&amp;D186,Trans_Numb,"&lt;="&amp;C186),SUMIFS(Trans_Credit,Trans_CreditAcct,$E$4,Trans_Date,"&lt;="&amp;D186,Trans_Numb,"&lt;="&amp;C186)-SUMIFS(Trans_Debit,Trans_DebitAcct,$E$4,Trans_Date,"&lt;="&amp;D186,Trans_Numb,"&lt;="&amp;C186)))</f>
        <v/>
      </c>
      <c r="J186" s="18"/>
      <c r="K186" s="2"/>
    </row>
    <row r="187" spans="3:11" ht="15.75" thickBot="1" x14ac:dyDescent="0.3">
      <c r="C187" s="93"/>
      <c r="D187" s="49"/>
      <c r="E187" s="38"/>
      <c r="F187" s="38"/>
      <c r="G187" s="39"/>
      <c r="H187" s="39"/>
      <c r="I187" s="40"/>
      <c r="J187" s="19"/>
      <c r="K187" s="2"/>
    </row>
    <row r="188" spans="3:11" x14ac:dyDescent="0.25">
      <c r="C188" s="93"/>
      <c r="D188" s="50"/>
      <c r="E188" s="41"/>
      <c r="F188" s="41"/>
      <c r="G188" s="42"/>
      <c r="H188" s="42"/>
      <c r="I188" s="43" t="str">
        <f>IF(OR(E188="",$E$4="[All Accounts]"),"",IF($B$8="Increase",SUMIFS(Trans_Debit,Trans_DebitAcct,$E$4,Trans_Date,"&lt;="&amp;D188,Trans_Numb,"&lt;="&amp;C188)-SUMIFS(Trans_Credit,Trans_CreditAcct,$E$4,Trans_Date,"&lt;="&amp;D188,Trans_Numb,"&lt;="&amp;C188),SUMIFS(Trans_Credit,Trans_CreditAcct,$E$4,Trans_Date,"&lt;="&amp;D188,Trans_Numb,"&lt;="&amp;C188)-SUMIFS(Trans_Debit,Trans_DebitAcct,$E$4,Trans_Date,"&lt;="&amp;D188,Trans_Numb,"&lt;="&amp;C188)))</f>
        <v/>
      </c>
      <c r="J188" s="18"/>
      <c r="K188" s="2"/>
    </row>
    <row r="189" spans="3:11" ht="15.75" thickBot="1" x14ac:dyDescent="0.3">
      <c r="C189" s="93"/>
      <c r="D189" s="49"/>
      <c r="E189" s="38"/>
      <c r="F189" s="38"/>
      <c r="G189" s="39"/>
      <c r="H189" s="39"/>
      <c r="I189" s="40"/>
      <c r="J189" s="19"/>
      <c r="K189" s="2"/>
    </row>
    <row r="190" spans="3:11" x14ac:dyDescent="0.25">
      <c r="C190" s="93"/>
      <c r="D190" s="50"/>
      <c r="E190" s="41"/>
      <c r="F190" s="41"/>
      <c r="G190" s="42"/>
      <c r="H190" s="42"/>
      <c r="I190" s="43" t="str">
        <f>IF(OR(E190="",$E$4="[All Accounts]"),"",IF($B$8="Increase",SUMIFS(Trans_Debit,Trans_DebitAcct,$E$4,Trans_Date,"&lt;="&amp;D190,Trans_Numb,"&lt;="&amp;C190)-SUMIFS(Trans_Credit,Trans_CreditAcct,$E$4,Trans_Date,"&lt;="&amp;D190,Trans_Numb,"&lt;="&amp;C190),SUMIFS(Trans_Credit,Trans_CreditAcct,$E$4,Trans_Date,"&lt;="&amp;D190,Trans_Numb,"&lt;="&amp;C190)-SUMIFS(Trans_Debit,Trans_DebitAcct,$E$4,Trans_Date,"&lt;="&amp;D190,Trans_Numb,"&lt;="&amp;C190)))</f>
        <v/>
      </c>
      <c r="J190" s="18"/>
      <c r="K190" s="2"/>
    </row>
    <row r="191" spans="3:11" ht="15.75" thickBot="1" x14ac:dyDescent="0.3">
      <c r="C191" s="93"/>
      <c r="D191" s="49"/>
      <c r="E191" s="38"/>
      <c r="F191" s="38"/>
      <c r="G191" s="39"/>
      <c r="H191" s="39"/>
      <c r="I191" s="40"/>
      <c r="J191" s="19"/>
      <c r="K191" s="2"/>
    </row>
    <row r="192" spans="3:11" x14ac:dyDescent="0.25">
      <c r="C192" s="93"/>
      <c r="D192" s="50"/>
      <c r="E192" s="41"/>
      <c r="F192" s="41"/>
      <c r="G192" s="42"/>
      <c r="H192" s="42"/>
      <c r="I192" s="43" t="str">
        <f>IF(OR(E192="",$E$4="[All Accounts]"),"",IF($B$8="Increase",SUMIFS(Trans_Debit,Trans_DebitAcct,$E$4,Trans_Date,"&lt;="&amp;D192,Trans_Numb,"&lt;="&amp;C192)-SUMIFS(Trans_Credit,Trans_CreditAcct,$E$4,Trans_Date,"&lt;="&amp;D192,Trans_Numb,"&lt;="&amp;C192),SUMIFS(Trans_Credit,Trans_CreditAcct,$E$4,Trans_Date,"&lt;="&amp;D192,Trans_Numb,"&lt;="&amp;C192)-SUMIFS(Trans_Debit,Trans_DebitAcct,$E$4,Trans_Date,"&lt;="&amp;D192,Trans_Numb,"&lt;="&amp;C192)))</f>
        <v/>
      </c>
      <c r="J192" s="18"/>
      <c r="K192" s="2"/>
    </row>
    <row r="193" spans="3:11" ht="15.75" thickBot="1" x14ac:dyDescent="0.3">
      <c r="C193" s="93"/>
      <c r="D193" s="49"/>
      <c r="E193" s="38"/>
      <c r="F193" s="38"/>
      <c r="G193" s="39"/>
      <c r="H193" s="39"/>
      <c r="I193" s="40"/>
      <c r="J193" s="19"/>
      <c r="K193" s="2"/>
    </row>
    <row r="194" spans="3:11" x14ac:dyDescent="0.25">
      <c r="C194" s="93"/>
      <c r="D194" s="50"/>
      <c r="E194" s="41"/>
      <c r="F194" s="41"/>
      <c r="G194" s="42"/>
      <c r="H194" s="42"/>
      <c r="I194" s="43" t="str">
        <f>IF(OR(E194="",$E$4="[All Accounts]"),"",IF($B$8="Increase",SUMIFS(Trans_Debit,Trans_DebitAcct,$E$4,Trans_Date,"&lt;="&amp;D194,Trans_Numb,"&lt;="&amp;C194)-SUMIFS(Trans_Credit,Trans_CreditAcct,$E$4,Trans_Date,"&lt;="&amp;D194,Trans_Numb,"&lt;="&amp;C194),SUMIFS(Trans_Credit,Trans_CreditAcct,$E$4,Trans_Date,"&lt;="&amp;D194,Trans_Numb,"&lt;="&amp;C194)-SUMIFS(Trans_Debit,Trans_DebitAcct,$E$4,Trans_Date,"&lt;="&amp;D194,Trans_Numb,"&lt;="&amp;C194)))</f>
        <v/>
      </c>
      <c r="J194" s="18"/>
      <c r="K194" s="2"/>
    </row>
    <row r="195" spans="3:11" ht="15.75" thickBot="1" x14ac:dyDescent="0.3">
      <c r="C195" s="93"/>
      <c r="D195" s="49"/>
      <c r="E195" s="38"/>
      <c r="F195" s="38"/>
      <c r="G195" s="39"/>
      <c r="H195" s="39"/>
      <c r="I195" s="40"/>
      <c r="J195" s="19"/>
      <c r="K195" s="2"/>
    </row>
    <row r="196" spans="3:11" x14ac:dyDescent="0.25">
      <c r="C196" s="93"/>
      <c r="D196" s="50"/>
      <c r="E196" s="41"/>
      <c r="F196" s="41"/>
      <c r="G196" s="42"/>
      <c r="H196" s="42"/>
      <c r="I196" s="43" t="str">
        <f>IF(OR(E196="",$E$4="[All Accounts]"),"",IF($B$8="Increase",SUMIFS(Trans_Debit,Trans_DebitAcct,$E$4,Trans_Date,"&lt;="&amp;D196,Trans_Numb,"&lt;="&amp;C196)-SUMIFS(Trans_Credit,Trans_CreditAcct,$E$4,Trans_Date,"&lt;="&amp;D196,Trans_Numb,"&lt;="&amp;C196),SUMIFS(Trans_Credit,Trans_CreditAcct,$E$4,Trans_Date,"&lt;="&amp;D196,Trans_Numb,"&lt;="&amp;C196)-SUMIFS(Trans_Debit,Trans_DebitAcct,$E$4,Trans_Date,"&lt;="&amp;D196,Trans_Numb,"&lt;="&amp;C196)))</f>
        <v/>
      </c>
      <c r="J196" s="18"/>
      <c r="K196" s="2"/>
    </row>
    <row r="197" spans="3:11" ht="15.75" thickBot="1" x14ac:dyDescent="0.3">
      <c r="C197" s="93"/>
      <c r="D197" s="49"/>
      <c r="E197" s="38"/>
      <c r="F197" s="38"/>
      <c r="G197" s="39"/>
      <c r="H197" s="39"/>
      <c r="I197" s="40"/>
      <c r="J197" s="19"/>
      <c r="K197" s="2"/>
    </row>
    <row r="198" spans="3:11" x14ac:dyDescent="0.25">
      <c r="C198" s="93"/>
      <c r="D198" s="50"/>
      <c r="E198" s="41"/>
      <c r="F198" s="41"/>
      <c r="G198" s="42"/>
      <c r="H198" s="42"/>
      <c r="I198" s="43" t="str">
        <f>IF(OR(E198="",$E$4="[All Accounts]"),"",IF($B$8="Increase",SUMIFS(Trans_Debit,Trans_DebitAcct,$E$4,Trans_Date,"&lt;="&amp;D198,Trans_Numb,"&lt;="&amp;C198)-SUMIFS(Trans_Credit,Trans_CreditAcct,$E$4,Trans_Date,"&lt;="&amp;D198,Trans_Numb,"&lt;="&amp;C198),SUMIFS(Trans_Credit,Trans_CreditAcct,$E$4,Trans_Date,"&lt;="&amp;D198,Trans_Numb,"&lt;="&amp;C198)-SUMIFS(Trans_Debit,Trans_DebitAcct,$E$4,Trans_Date,"&lt;="&amp;D198,Trans_Numb,"&lt;="&amp;C198)))</f>
        <v/>
      </c>
      <c r="J198" s="18"/>
      <c r="K198" s="2"/>
    </row>
    <row r="199" spans="3:11" ht="15.75" thickBot="1" x14ac:dyDescent="0.3">
      <c r="C199" s="93"/>
      <c r="D199" s="49"/>
      <c r="E199" s="38"/>
      <c r="F199" s="38"/>
      <c r="G199" s="39"/>
      <c r="H199" s="39"/>
      <c r="I199" s="40"/>
      <c r="J199" s="19"/>
      <c r="K199" s="2"/>
    </row>
    <row r="200" spans="3:11" x14ac:dyDescent="0.25">
      <c r="C200" s="93"/>
      <c r="D200" s="50"/>
      <c r="E200" s="41"/>
      <c r="F200" s="41"/>
      <c r="G200" s="42"/>
      <c r="H200" s="42"/>
      <c r="I200" s="43" t="str">
        <f>IF(OR(E200="",$E$4="[All Accounts]"),"",IF($B$8="Increase",SUMIFS(Trans_Debit,Trans_DebitAcct,$E$4,Trans_Date,"&lt;="&amp;D200,Trans_Numb,"&lt;="&amp;C200)-SUMIFS(Trans_Credit,Trans_CreditAcct,$E$4,Trans_Date,"&lt;="&amp;D200,Trans_Numb,"&lt;="&amp;C200),SUMIFS(Trans_Credit,Trans_CreditAcct,$E$4,Trans_Date,"&lt;="&amp;D200,Trans_Numb,"&lt;="&amp;C200)-SUMIFS(Trans_Debit,Trans_DebitAcct,$E$4,Trans_Date,"&lt;="&amp;D200,Trans_Numb,"&lt;="&amp;C200)))</f>
        <v/>
      </c>
      <c r="J200" s="18"/>
      <c r="K200" s="2"/>
    </row>
    <row r="201" spans="3:11" ht="15.75" thickBot="1" x14ac:dyDescent="0.3">
      <c r="C201" s="93"/>
      <c r="D201" s="49"/>
      <c r="E201" s="38"/>
      <c r="F201" s="38"/>
      <c r="G201" s="39"/>
      <c r="H201" s="39"/>
      <c r="I201" s="40"/>
      <c r="J201" s="19"/>
      <c r="K201" s="2"/>
    </row>
    <row r="202" spans="3:11" x14ac:dyDescent="0.25">
      <c r="C202" s="93"/>
      <c r="D202" s="50"/>
      <c r="E202" s="41"/>
      <c r="F202" s="41"/>
      <c r="G202" s="42"/>
      <c r="H202" s="42"/>
      <c r="I202" s="43" t="str">
        <f>IF(OR(E202="",$E$4="[All Accounts]"),"",IF($B$8="Increase",SUMIFS(Trans_Debit,Trans_DebitAcct,$E$4,Trans_Date,"&lt;="&amp;D202,Trans_Numb,"&lt;="&amp;C202)-SUMIFS(Trans_Credit,Trans_CreditAcct,$E$4,Trans_Date,"&lt;="&amp;D202,Trans_Numb,"&lt;="&amp;C202),SUMIFS(Trans_Credit,Trans_CreditAcct,$E$4,Trans_Date,"&lt;="&amp;D202,Trans_Numb,"&lt;="&amp;C202)-SUMIFS(Trans_Debit,Trans_DebitAcct,$E$4,Trans_Date,"&lt;="&amp;D202,Trans_Numb,"&lt;="&amp;C202)))</f>
        <v/>
      </c>
      <c r="J202" s="18"/>
      <c r="K202" s="2"/>
    </row>
    <row r="203" spans="3:11" ht="15.75" thickBot="1" x14ac:dyDescent="0.3">
      <c r="C203" s="93"/>
      <c r="D203" s="49"/>
      <c r="E203" s="38"/>
      <c r="F203" s="38"/>
      <c r="G203" s="39"/>
      <c r="H203" s="39"/>
      <c r="I203" s="40"/>
      <c r="J203" s="19"/>
      <c r="K203" s="2"/>
    </row>
    <row r="204" spans="3:11" x14ac:dyDescent="0.25">
      <c r="C204" s="93"/>
      <c r="D204" s="50"/>
      <c r="E204" s="41"/>
      <c r="F204" s="41"/>
      <c r="G204" s="42"/>
      <c r="H204" s="42"/>
      <c r="I204" s="43" t="str">
        <f>IF(OR(E204="",$E$4="[All Accounts]"),"",IF($B$8="Increase",SUMIFS(Trans_Debit,Trans_DebitAcct,$E$4,Trans_Date,"&lt;="&amp;D204,Trans_Numb,"&lt;="&amp;C204)-SUMIFS(Trans_Credit,Trans_CreditAcct,$E$4,Trans_Date,"&lt;="&amp;D204,Trans_Numb,"&lt;="&amp;C204),SUMIFS(Trans_Credit,Trans_CreditAcct,$E$4,Trans_Date,"&lt;="&amp;D204,Trans_Numb,"&lt;="&amp;C204)-SUMIFS(Trans_Debit,Trans_DebitAcct,$E$4,Trans_Date,"&lt;="&amp;D204,Trans_Numb,"&lt;="&amp;C204)))</f>
        <v/>
      </c>
      <c r="J204" s="18"/>
      <c r="K204" s="2"/>
    </row>
    <row r="205" spans="3:11" ht="15.75" thickBot="1" x14ac:dyDescent="0.3">
      <c r="C205" s="93"/>
      <c r="D205" s="49"/>
      <c r="E205" s="38"/>
      <c r="F205" s="38"/>
      <c r="G205" s="39"/>
      <c r="H205" s="39"/>
      <c r="I205" s="40"/>
      <c r="J205" s="19"/>
      <c r="K205" s="2"/>
    </row>
    <row r="206" spans="3:11" x14ac:dyDescent="0.25">
      <c r="C206" s="93"/>
      <c r="D206" s="50"/>
      <c r="E206" s="41"/>
      <c r="F206" s="41"/>
      <c r="G206" s="42"/>
      <c r="H206" s="42"/>
      <c r="I206" s="43" t="str">
        <f>IF(OR(E206="",$E$4="[All Accounts]"),"",IF($B$8="Increase",SUMIFS(Trans_Debit,Trans_DebitAcct,$E$4,Trans_Date,"&lt;="&amp;D206,Trans_Numb,"&lt;="&amp;C206)-SUMIFS(Trans_Credit,Trans_CreditAcct,$E$4,Trans_Date,"&lt;="&amp;D206,Trans_Numb,"&lt;="&amp;C206),SUMIFS(Trans_Credit,Trans_CreditAcct,$E$4,Trans_Date,"&lt;="&amp;D206,Trans_Numb,"&lt;="&amp;C206)-SUMIFS(Trans_Debit,Trans_DebitAcct,$E$4,Trans_Date,"&lt;="&amp;D206,Trans_Numb,"&lt;="&amp;C206)))</f>
        <v/>
      </c>
      <c r="J206" s="18"/>
      <c r="K206" s="2"/>
    </row>
    <row r="207" spans="3:11" ht="15.75" thickBot="1" x14ac:dyDescent="0.3">
      <c r="C207" s="93"/>
      <c r="D207" s="49"/>
      <c r="E207" s="38"/>
      <c r="F207" s="38"/>
      <c r="G207" s="39"/>
      <c r="H207" s="39"/>
      <c r="I207" s="40"/>
      <c r="J207" s="19"/>
      <c r="K207" s="2"/>
    </row>
    <row r="208" spans="3:11" x14ac:dyDescent="0.25">
      <c r="C208" s="93"/>
      <c r="D208" s="50"/>
      <c r="E208" s="41"/>
      <c r="F208" s="41"/>
      <c r="G208" s="42"/>
      <c r="H208" s="42"/>
      <c r="I208" s="43" t="str">
        <f>IF(OR(E208="",$E$4="[All Accounts]"),"",IF($B$8="Increase",SUMIFS(Trans_Debit,Trans_DebitAcct,$E$4,Trans_Date,"&lt;="&amp;D208,Trans_Numb,"&lt;="&amp;C208)-SUMIFS(Trans_Credit,Trans_CreditAcct,$E$4,Trans_Date,"&lt;="&amp;D208,Trans_Numb,"&lt;="&amp;C208),SUMIFS(Trans_Credit,Trans_CreditAcct,$E$4,Trans_Date,"&lt;="&amp;D208,Trans_Numb,"&lt;="&amp;C208)-SUMIFS(Trans_Debit,Trans_DebitAcct,$E$4,Trans_Date,"&lt;="&amp;D208,Trans_Numb,"&lt;="&amp;C208)))</f>
        <v/>
      </c>
      <c r="J208" s="18"/>
      <c r="K208" s="2"/>
    </row>
    <row r="209" spans="3:11" ht="15.75" thickBot="1" x14ac:dyDescent="0.3">
      <c r="C209" s="93"/>
      <c r="D209" s="49"/>
      <c r="E209" s="38"/>
      <c r="F209" s="38"/>
      <c r="G209" s="39"/>
      <c r="H209" s="39"/>
      <c r="I209" s="40"/>
      <c r="J209" s="19"/>
      <c r="K209" s="2"/>
    </row>
    <row r="210" spans="3:11" x14ac:dyDescent="0.25">
      <c r="C210" s="93"/>
      <c r="D210" s="50"/>
      <c r="E210" s="41"/>
      <c r="F210" s="41"/>
      <c r="G210" s="42"/>
      <c r="H210" s="42"/>
      <c r="I210" s="43" t="str">
        <f>IF(OR(E210="",$E$4="[All Accounts]"),"",IF($B$8="Increase",SUMIFS(Trans_Debit,Trans_DebitAcct,$E$4,Trans_Date,"&lt;="&amp;D210,Trans_Numb,"&lt;="&amp;C210)-SUMIFS(Trans_Credit,Trans_CreditAcct,$E$4,Trans_Date,"&lt;="&amp;D210,Trans_Numb,"&lt;="&amp;C210),SUMIFS(Trans_Credit,Trans_CreditAcct,$E$4,Trans_Date,"&lt;="&amp;D210,Trans_Numb,"&lt;="&amp;C210)-SUMIFS(Trans_Debit,Trans_DebitAcct,$E$4,Trans_Date,"&lt;="&amp;D210,Trans_Numb,"&lt;="&amp;C210)))</f>
        <v/>
      </c>
      <c r="J210" s="18"/>
      <c r="K210" s="2"/>
    </row>
    <row r="211" spans="3:11" ht="15.75" thickBot="1" x14ac:dyDescent="0.3">
      <c r="C211" s="93"/>
      <c r="D211" s="49"/>
      <c r="E211" s="38"/>
      <c r="F211" s="38"/>
      <c r="G211" s="39"/>
      <c r="H211" s="39"/>
      <c r="I211" s="40"/>
      <c r="J211" s="19"/>
      <c r="K211" s="2"/>
    </row>
    <row r="212" spans="3:11" x14ac:dyDescent="0.25">
      <c r="C212" s="93"/>
      <c r="D212" s="50"/>
      <c r="E212" s="41"/>
      <c r="F212" s="41"/>
      <c r="G212" s="42"/>
      <c r="H212" s="42"/>
      <c r="I212" s="43" t="str">
        <f>IF(OR(E212="",$E$4="[All Accounts]"),"",IF($B$8="Increase",SUMIFS(Trans_Debit,Trans_DebitAcct,$E$4,Trans_Date,"&lt;="&amp;D212,Trans_Numb,"&lt;="&amp;C212)-SUMIFS(Trans_Credit,Trans_CreditAcct,$E$4,Trans_Date,"&lt;="&amp;D212,Trans_Numb,"&lt;="&amp;C212),SUMIFS(Trans_Credit,Trans_CreditAcct,$E$4,Trans_Date,"&lt;="&amp;D212,Trans_Numb,"&lt;="&amp;C212)-SUMIFS(Trans_Debit,Trans_DebitAcct,$E$4,Trans_Date,"&lt;="&amp;D212,Trans_Numb,"&lt;="&amp;C212)))</f>
        <v/>
      </c>
      <c r="J212" s="18"/>
      <c r="K212" s="2"/>
    </row>
    <row r="213" spans="3:11" ht="15.75" thickBot="1" x14ac:dyDescent="0.3">
      <c r="C213" s="93"/>
      <c r="D213" s="49"/>
      <c r="E213" s="38"/>
      <c r="F213" s="38"/>
      <c r="G213" s="39"/>
      <c r="H213" s="39"/>
      <c r="I213" s="40"/>
      <c r="J213" s="19"/>
      <c r="K213" s="2"/>
    </row>
    <row r="214" spans="3:11" x14ac:dyDescent="0.25">
      <c r="C214" s="93"/>
      <c r="D214" s="50"/>
      <c r="E214" s="41"/>
      <c r="F214" s="41"/>
      <c r="G214" s="42"/>
      <c r="H214" s="42"/>
      <c r="I214" s="43" t="str">
        <f>IF(OR(E214="",$E$4="[All Accounts]"),"",IF($B$8="Increase",SUMIFS(Trans_Debit,Trans_DebitAcct,$E$4,Trans_Date,"&lt;="&amp;D214,Trans_Numb,"&lt;="&amp;C214)-SUMIFS(Trans_Credit,Trans_CreditAcct,$E$4,Trans_Date,"&lt;="&amp;D214,Trans_Numb,"&lt;="&amp;C214),SUMIFS(Trans_Credit,Trans_CreditAcct,$E$4,Trans_Date,"&lt;="&amp;D214,Trans_Numb,"&lt;="&amp;C214)-SUMIFS(Trans_Debit,Trans_DebitAcct,$E$4,Trans_Date,"&lt;="&amp;D214,Trans_Numb,"&lt;="&amp;C214)))</f>
        <v/>
      </c>
      <c r="J214" s="18"/>
      <c r="K214" s="2"/>
    </row>
    <row r="215" spans="3:11" ht="15.75" thickBot="1" x14ac:dyDescent="0.3">
      <c r="C215" s="93"/>
      <c r="D215" s="49"/>
      <c r="E215" s="38"/>
      <c r="F215" s="38"/>
      <c r="G215" s="39"/>
      <c r="H215" s="39"/>
      <c r="I215" s="40"/>
      <c r="J215" s="19"/>
      <c r="K215" s="2"/>
    </row>
    <row r="216" spans="3:11" x14ac:dyDescent="0.25">
      <c r="C216" s="93"/>
      <c r="D216" s="50"/>
      <c r="E216" s="41"/>
      <c r="F216" s="41"/>
      <c r="G216" s="42"/>
      <c r="H216" s="42"/>
      <c r="I216" s="43" t="str">
        <f>IF(OR(E216="",$E$4="[All Accounts]"),"",IF($B$8="Increase",SUMIFS(Trans_Debit,Trans_DebitAcct,$E$4,Trans_Date,"&lt;="&amp;D216,Trans_Numb,"&lt;="&amp;C216)-SUMIFS(Trans_Credit,Trans_CreditAcct,$E$4,Trans_Date,"&lt;="&amp;D216,Trans_Numb,"&lt;="&amp;C216),SUMIFS(Trans_Credit,Trans_CreditAcct,$E$4,Trans_Date,"&lt;="&amp;D216,Trans_Numb,"&lt;="&amp;C216)-SUMIFS(Trans_Debit,Trans_DebitAcct,$E$4,Trans_Date,"&lt;="&amp;D216,Trans_Numb,"&lt;="&amp;C216)))</f>
        <v/>
      </c>
      <c r="J216" s="18"/>
      <c r="K216" s="2"/>
    </row>
    <row r="217" spans="3:11" ht="15.75" thickBot="1" x14ac:dyDescent="0.3">
      <c r="C217" s="93"/>
      <c r="D217" s="49"/>
      <c r="E217" s="38"/>
      <c r="F217" s="38"/>
      <c r="G217" s="39"/>
      <c r="H217" s="39"/>
      <c r="I217" s="40"/>
      <c r="J217" s="19"/>
      <c r="K217" s="2"/>
    </row>
    <row r="218" spans="3:11" x14ac:dyDescent="0.25">
      <c r="C218" s="93"/>
      <c r="D218" s="50"/>
      <c r="E218" s="41"/>
      <c r="F218" s="41"/>
      <c r="G218" s="42"/>
      <c r="H218" s="42"/>
      <c r="I218" s="43" t="str">
        <f>IF(OR(E218="",$E$4="[All Accounts]"),"",IF($B$8="Increase",SUMIFS(Trans_Debit,Trans_DebitAcct,$E$4,Trans_Date,"&lt;="&amp;D218,Trans_Numb,"&lt;="&amp;C218)-SUMIFS(Trans_Credit,Trans_CreditAcct,$E$4,Trans_Date,"&lt;="&amp;D218,Trans_Numb,"&lt;="&amp;C218),SUMIFS(Trans_Credit,Trans_CreditAcct,$E$4,Trans_Date,"&lt;="&amp;D218,Trans_Numb,"&lt;="&amp;C218)-SUMIFS(Trans_Debit,Trans_DebitAcct,$E$4,Trans_Date,"&lt;="&amp;D218,Trans_Numb,"&lt;="&amp;C218)))</f>
        <v/>
      </c>
      <c r="J218" s="18"/>
      <c r="K218" s="2"/>
    </row>
    <row r="219" spans="3:11" ht="15.75" thickBot="1" x14ac:dyDescent="0.3">
      <c r="C219" s="93"/>
      <c r="D219" s="49"/>
      <c r="E219" s="38"/>
      <c r="F219" s="38"/>
      <c r="G219" s="39"/>
      <c r="H219" s="39"/>
      <c r="I219" s="40"/>
      <c r="J219" s="19"/>
      <c r="K219" s="2"/>
    </row>
    <row r="220" spans="3:11" x14ac:dyDescent="0.25">
      <c r="C220" s="93"/>
      <c r="D220" s="50"/>
      <c r="E220" s="41"/>
      <c r="F220" s="41"/>
      <c r="G220" s="42"/>
      <c r="H220" s="42"/>
      <c r="I220" s="43" t="str">
        <f>IF(OR(E220="",$E$4="[All Accounts]"),"",IF($B$8="Increase",SUMIFS(Trans_Debit,Trans_DebitAcct,$E$4,Trans_Date,"&lt;="&amp;D220,Trans_Numb,"&lt;="&amp;C220)-SUMIFS(Trans_Credit,Trans_CreditAcct,$E$4,Trans_Date,"&lt;="&amp;D220,Trans_Numb,"&lt;="&amp;C220),SUMIFS(Trans_Credit,Trans_CreditAcct,$E$4,Trans_Date,"&lt;="&amp;D220,Trans_Numb,"&lt;="&amp;C220)-SUMIFS(Trans_Debit,Trans_DebitAcct,$E$4,Trans_Date,"&lt;="&amp;D220,Trans_Numb,"&lt;="&amp;C220)))</f>
        <v/>
      </c>
      <c r="J220" s="18"/>
      <c r="K220" s="2"/>
    </row>
    <row r="221" spans="3:11" ht="15.75" thickBot="1" x14ac:dyDescent="0.3">
      <c r="C221" s="93"/>
      <c r="D221" s="49"/>
      <c r="E221" s="38"/>
      <c r="F221" s="38"/>
      <c r="G221" s="39"/>
      <c r="H221" s="39"/>
      <c r="I221" s="40"/>
      <c r="J221" s="19"/>
      <c r="K221" s="2"/>
    </row>
    <row r="222" spans="3:11" x14ac:dyDescent="0.25">
      <c r="C222" s="93"/>
      <c r="D222" s="50"/>
      <c r="E222" s="41"/>
      <c r="F222" s="41"/>
      <c r="G222" s="42"/>
      <c r="H222" s="42"/>
      <c r="I222" s="43" t="str">
        <f>IF(OR(E222="",$E$4="[All Accounts]"),"",IF($B$8="Increase",SUMIFS(Trans_Debit,Trans_DebitAcct,$E$4,Trans_Date,"&lt;="&amp;D222,Trans_Numb,"&lt;="&amp;C222)-SUMIFS(Trans_Credit,Trans_CreditAcct,$E$4,Trans_Date,"&lt;="&amp;D222,Trans_Numb,"&lt;="&amp;C222),SUMIFS(Trans_Credit,Trans_CreditAcct,$E$4,Trans_Date,"&lt;="&amp;D222,Trans_Numb,"&lt;="&amp;C222)-SUMIFS(Trans_Debit,Trans_DebitAcct,$E$4,Trans_Date,"&lt;="&amp;D222,Trans_Numb,"&lt;="&amp;C222)))</f>
        <v/>
      </c>
      <c r="J222" s="18"/>
      <c r="K222" s="2"/>
    </row>
    <row r="223" spans="3:11" ht="15.75" thickBot="1" x14ac:dyDescent="0.3">
      <c r="C223" s="93"/>
      <c r="D223" s="49"/>
      <c r="E223" s="38"/>
      <c r="F223" s="38"/>
      <c r="G223" s="39"/>
      <c r="H223" s="39"/>
      <c r="I223" s="40"/>
      <c r="J223" s="19"/>
      <c r="K223" s="2"/>
    </row>
    <row r="224" spans="3:11" x14ac:dyDescent="0.25">
      <c r="C224" s="93"/>
      <c r="D224" s="50"/>
      <c r="E224" s="41"/>
      <c r="F224" s="41"/>
      <c r="G224" s="42"/>
      <c r="H224" s="42"/>
      <c r="I224" s="43" t="str">
        <f>IF(OR(E224="",$E$4="[All Accounts]"),"",IF($B$8="Increase",SUMIFS(Trans_Debit,Trans_DebitAcct,$E$4,Trans_Date,"&lt;="&amp;D224,Trans_Numb,"&lt;="&amp;C224)-SUMIFS(Trans_Credit,Trans_CreditAcct,$E$4,Trans_Date,"&lt;="&amp;D224,Trans_Numb,"&lt;="&amp;C224),SUMIFS(Trans_Credit,Trans_CreditAcct,$E$4,Trans_Date,"&lt;="&amp;D224,Trans_Numb,"&lt;="&amp;C224)-SUMIFS(Trans_Debit,Trans_DebitAcct,$E$4,Trans_Date,"&lt;="&amp;D224,Trans_Numb,"&lt;="&amp;C224)))</f>
        <v/>
      </c>
      <c r="J224" s="18"/>
      <c r="K224" s="2"/>
    </row>
    <row r="225" spans="3:11" ht="15.75" thickBot="1" x14ac:dyDescent="0.3">
      <c r="C225" s="93"/>
      <c r="D225" s="49"/>
      <c r="E225" s="38"/>
      <c r="F225" s="38"/>
      <c r="G225" s="39"/>
      <c r="H225" s="39"/>
      <c r="I225" s="40"/>
      <c r="J225" s="19"/>
      <c r="K225" s="2"/>
    </row>
    <row r="226" spans="3:11" x14ac:dyDescent="0.25">
      <c r="C226" s="93"/>
      <c r="D226" s="50"/>
      <c r="E226" s="41"/>
      <c r="F226" s="41"/>
      <c r="G226" s="42"/>
      <c r="H226" s="42"/>
      <c r="I226" s="43" t="str">
        <f>IF(OR(E226="",$E$4="[All Accounts]"),"",IF($B$8="Increase",SUMIFS(Trans_Debit,Trans_DebitAcct,$E$4,Trans_Date,"&lt;="&amp;D226,Trans_Numb,"&lt;="&amp;C226)-SUMIFS(Trans_Credit,Trans_CreditAcct,$E$4,Trans_Date,"&lt;="&amp;D226,Trans_Numb,"&lt;="&amp;C226),SUMIFS(Trans_Credit,Trans_CreditAcct,$E$4,Trans_Date,"&lt;="&amp;D226,Trans_Numb,"&lt;="&amp;C226)-SUMIFS(Trans_Debit,Trans_DebitAcct,$E$4,Trans_Date,"&lt;="&amp;D226,Trans_Numb,"&lt;="&amp;C226)))</f>
        <v/>
      </c>
      <c r="J226" s="18"/>
      <c r="K226" s="2"/>
    </row>
    <row r="227" spans="3:11" ht="15.75" thickBot="1" x14ac:dyDescent="0.3">
      <c r="C227" s="93"/>
      <c r="D227" s="49"/>
      <c r="E227" s="38"/>
      <c r="F227" s="38"/>
      <c r="G227" s="39"/>
      <c r="H227" s="39"/>
      <c r="I227" s="40"/>
      <c r="J227" s="19"/>
      <c r="K227" s="2"/>
    </row>
    <row r="228" spans="3:11" x14ac:dyDescent="0.25">
      <c r="C228" s="93"/>
      <c r="D228" s="50"/>
      <c r="E228" s="41"/>
      <c r="F228" s="41"/>
      <c r="G228" s="42"/>
      <c r="H228" s="42"/>
      <c r="I228" s="43" t="str">
        <f>IF(OR(E228="",$E$4="[All Accounts]"),"",IF($B$8="Increase",SUMIFS(Trans_Debit,Trans_DebitAcct,$E$4,Trans_Date,"&lt;="&amp;D228,Trans_Numb,"&lt;="&amp;C228)-SUMIFS(Trans_Credit,Trans_CreditAcct,$E$4,Trans_Date,"&lt;="&amp;D228,Trans_Numb,"&lt;="&amp;C228),SUMIFS(Trans_Credit,Trans_CreditAcct,$E$4,Trans_Date,"&lt;="&amp;D228,Trans_Numb,"&lt;="&amp;C228)-SUMIFS(Trans_Debit,Trans_DebitAcct,$E$4,Trans_Date,"&lt;="&amp;D228,Trans_Numb,"&lt;="&amp;C228)))</f>
        <v/>
      </c>
      <c r="J228" s="18"/>
      <c r="K228" s="2"/>
    </row>
    <row r="229" spans="3:11" ht="15.75" thickBot="1" x14ac:dyDescent="0.3">
      <c r="C229" s="93"/>
      <c r="D229" s="49"/>
      <c r="E229" s="38"/>
      <c r="F229" s="38"/>
      <c r="G229" s="39"/>
      <c r="H229" s="39"/>
      <c r="I229" s="40"/>
      <c r="J229" s="19"/>
      <c r="K229" s="2"/>
    </row>
    <row r="230" spans="3:11" x14ac:dyDescent="0.25">
      <c r="C230" s="93"/>
      <c r="D230" s="50"/>
      <c r="E230" s="41"/>
      <c r="F230" s="41"/>
      <c r="G230" s="42"/>
      <c r="H230" s="42"/>
      <c r="I230" s="43" t="str">
        <f>IF(OR(E230="",$E$4="[All Accounts]"),"",IF($B$8="Increase",SUMIFS(Trans_Debit,Trans_DebitAcct,$E$4,Trans_Date,"&lt;="&amp;D230,Trans_Numb,"&lt;="&amp;C230)-SUMIFS(Trans_Credit,Trans_CreditAcct,$E$4,Trans_Date,"&lt;="&amp;D230,Trans_Numb,"&lt;="&amp;C230),SUMIFS(Trans_Credit,Trans_CreditAcct,$E$4,Trans_Date,"&lt;="&amp;D230,Trans_Numb,"&lt;="&amp;C230)-SUMIFS(Trans_Debit,Trans_DebitAcct,$E$4,Trans_Date,"&lt;="&amp;D230,Trans_Numb,"&lt;="&amp;C230)))</f>
        <v/>
      </c>
      <c r="J230" s="18"/>
      <c r="K230" s="2"/>
    </row>
    <row r="231" spans="3:11" ht="15.75" thickBot="1" x14ac:dyDescent="0.3">
      <c r="C231" s="93"/>
      <c r="D231" s="49"/>
      <c r="E231" s="38"/>
      <c r="F231" s="38"/>
      <c r="G231" s="39"/>
      <c r="H231" s="39"/>
      <c r="I231" s="40"/>
      <c r="J231" s="19"/>
      <c r="K231" s="2"/>
    </row>
    <row r="232" spans="3:11" x14ac:dyDescent="0.25">
      <c r="C232" s="93"/>
      <c r="D232" s="50"/>
      <c r="E232" s="41"/>
      <c r="F232" s="41"/>
      <c r="G232" s="42"/>
      <c r="H232" s="42"/>
      <c r="I232" s="43" t="str">
        <f>IF(OR(E232="",$E$4="[All Accounts]"),"",IF($B$8="Increase",SUMIFS(Trans_Debit,Trans_DebitAcct,$E$4,Trans_Date,"&lt;="&amp;D232,Trans_Numb,"&lt;="&amp;C232)-SUMIFS(Trans_Credit,Trans_CreditAcct,$E$4,Trans_Date,"&lt;="&amp;D232,Trans_Numb,"&lt;="&amp;C232),SUMIFS(Trans_Credit,Trans_CreditAcct,$E$4,Trans_Date,"&lt;="&amp;D232,Trans_Numb,"&lt;="&amp;C232)-SUMIFS(Trans_Debit,Trans_DebitAcct,$E$4,Trans_Date,"&lt;="&amp;D232,Trans_Numb,"&lt;="&amp;C232)))</f>
        <v/>
      </c>
      <c r="J232" s="18"/>
      <c r="K232" s="2"/>
    </row>
    <row r="233" spans="3:11" ht="15.75" thickBot="1" x14ac:dyDescent="0.3">
      <c r="C233" s="93"/>
      <c r="D233" s="49"/>
      <c r="E233" s="38"/>
      <c r="F233" s="38"/>
      <c r="G233" s="39"/>
      <c r="H233" s="39"/>
      <c r="I233" s="40"/>
      <c r="J233" s="19"/>
      <c r="K233" s="2"/>
    </row>
    <row r="234" spans="3:11" x14ac:dyDescent="0.25">
      <c r="C234" s="93"/>
      <c r="D234" s="50"/>
      <c r="E234" s="41"/>
      <c r="F234" s="41"/>
      <c r="G234" s="42"/>
      <c r="H234" s="42"/>
      <c r="I234" s="43" t="str">
        <f>IF(OR(E234="",$E$4="[All Accounts]"),"",IF($B$8="Increase",SUMIFS(Trans_Debit,Trans_DebitAcct,$E$4,Trans_Date,"&lt;="&amp;D234,Trans_Numb,"&lt;="&amp;C234)-SUMIFS(Trans_Credit,Trans_CreditAcct,$E$4,Trans_Date,"&lt;="&amp;D234,Trans_Numb,"&lt;="&amp;C234),SUMIFS(Trans_Credit,Trans_CreditAcct,$E$4,Trans_Date,"&lt;="&amp;D234,Trans_Numb,"&lt;="&amp;C234)-SUMIFS(Trans_Debit,Trans_DebitAcct,$E$4,Trans_Date,"&lt;="&amp;D234,Trans_Numb,"&lt;="&amp;C234)))</f>
        <v/>
      </c>
      <c r="J234" s="18"/>
      <c r="K234" s="2"/>
    </row>
    <row r="235" spans="3:11" ht="15.75" thickBot="1" x14ac:dyDescent="0.3">
      <c r="C235" s="93"/>
      <c r="D235" s="49"/>
      <c r="E235" s="38"/>
      <c r="F235" s="38"/>
      <c r="G235" s="39"/>
      <c r="H235" s="39"/>
      <c r="I235" s="40"/>
      <c r="J235" s="19"/>
      <c r="K235" s="2"/>
    </row>
    <row r="236" spans="3:11" x14ac:dyDescent="0.25">
      <c r="C236" s="93"/>
      <c r="D236" s="50"/>
      <c r="E236" s="41"/>
      <c r="F236" s="41"/>
      <c r="G236" s="42"/>
      <c r="H236" s="42"/>
      <c r="I236" s="43" t="str">
        <f>IF(OR(E236="",$E$4="[All Accounts]"),"",IF($B$8="Increase",SUMIFS(Trans_Debit,Trans_DebitAcct,$E$4,Trans_Date,"&lt;="&amp;D236,Trans_Numb,"&lt;="&amp;C236)-SUMIFS(Trans_Credit,Trans_CreditAcct,$E$4,Trans_Date,"&lt;="&amp;D236,Trans_Numb,"&lt;="&amp;C236),SUMIFS(Trans_Credit,Trans_CreditAcct,$E$4,Trans_Date,"&lt;="&amp;D236,Trans_Numb,"&lt;="&amp;C236)-SUMIFS(Trans_Debit,Trans_DebitAcct,$E$4,Trans_Date,"&lt;="&amp;D236,Trans_Numb,"&lt;="&amp;C236)))</f>
        <v/>
      </c>
      <c r="J236" s="18"/>
      <c r="K236" s="2"/>
    </row>
    <row r="237" spans="3:11" ht="15.75" thickBot="1" x14ac:dyDescent="0.3">
      <c r="C237" s="93"/>
      <c r="D237" s="49"/>
      <c r="E237" s="38"/>
      <c r="F237" s="38"/>
      <c r="G237" s="39"/>
      <c r="H237" s="39"/>
      <c r="I237" s="40"/>
      <c r="J237" s="19"/>
      <c r="K237" s="2"/>
    </row>
    <row r="238" spans="3:11" x14ac:dyDescent="0.25">
      <c r="C238" s="93"/>
      <c r="D238" s="50"/>
      <c r="E238" s="41"/>
      <c r="F238" s="41"/>
      <c r="G238" s="42"/>
      <c r="H238" s="42"/>
      <c r="I238" s="43" t="str">
        <f>IF(OR(E238="",$E$4="[All Accounts]"),"",IF($B$8="Increase",SUMIFS(Trans_Debit,Trans_DebitAcct,$E$4,Trans_Date,"&lt;="&amp;D238,Trans_Numb,"&lt;="&amp;C238)-SUMIFS(Trans_Credit,Trans_CreditAcct,$E$4,Trans_Date,"&lt;="&amp;D238,Trans_Numb,"&lt;="&amp;C238),SUMIFS(Trans_Credit,Trans_CreditAcct,$E$4,Trans_Date,"&lt;="&amp;D238,Trans_Numb,"&lt;="&amp;C238)-SUMIFS(Trans_Debit,Trans_DebitAcct,$E$4,Trans_Date,"&lt;="&amp;D238,Trans_Numb,"&lt;="&amp;C238)))</f>
        <v/>
      </c>
      <c r="J238" s="18"/>
      <c r="K238" s="2"/>
    </row>
    <row r="239" spans="3:11" ht="15.75" thickBot="1" x14ac:dyDescent="0.3">
      <c r="C239" s="93"/>
      <c r="D239" s="49"/>
      <c r="E239" s="38"/>
      <c r="F239" s="38"/>
      <c r="G239" s="39"/>
      <c r="H239" s="39"/>
      <c r="I239" s="40"/>
      <c r="J239" s="19"/>
      <c r="K239" s="2"/>
    </row>
    <row r="240" spans="3:11" x14ac:dyDescent="0.25">
      <c r="C240" s="93"/>
      <c r="D240" s="50"/>
      <c r="E240" s="41"/>
      <c r="F240" s="41"/>
      <c r="G240" s="42"/>
      <c r="H240" s="42"/>
      <c r="I240" s="43" t="str">
        <f>IF(OR(E240="",$E$4="[All Accounts]"),"",IF($B$8="Increase",SUMIFS(Trans_Debit,Trans_DebitAcct,$E$4,Trans_Date,"&lt;="&amp;D240,Trans_Numb,"&lt;="&amp;C240)-SUMIFS(Trans_Credit,Trans_CreditAcct,$E$4,Trans_Date,"&lt;="&amp;D240,Trans_Numb,"&lt;="&amp;C240),SUMIFS(Trans_Credit,Trans_CreditAcct,$E$4,Trans_Date,"&lt;="&amp;D240,Trans_Numb,"&lt;="&amp;C240)-SUMIFS(Trans_Debit,Trans_DebitAcct,$E$4,Trans_Date,"&lt;="&amp;D240,Trans_Numb,"&lt;="&amp;C240)))</f>
        <v/>
      </c>
      <c r="J240" s="18"/>
      <c r="K240" s="2"/>
    </row>
    <row r="241" spans="3:11" ht="15.75" thickBot="1" x14ac:dyDescent="0.3">
      <c r="C241" s="93"/>
      <c r="D241" s="49"/>
      <c r="E241" s="38"/>
      <c r="F241" s="38"/>
      <c r="G241" s="39"/>
      <c r="H241" s="39"/>
      <c r="I241" s="40"/>
      <c r="J241" s="19"/>
      <c r="K241" s="2"/>
    </row>
    <row r="242" spans="3:11" x14ac:dyDescent="0.25">
      <c r="C242" s="93"/>
      <c r="D242" s="50"/>
      <c r="E242" s="41"/>
      <c r="F242" s="41"/>
      <c r="G242" s="42"/>
      <c r="H242" s="42"/>
      <c r="I242" s="43" t="str">
        <f>IF(OR(E242="",$E$4="[All Accounts]"),"",IF($B$8="Increase",SUMIFS(Trans_Debit,Trans_DebitAcct,$E$4,Trans_Date,"&lt;="&amp;D242,Trans_Numb,"&lt;="&amp;C242)-SUMIFS(Trans_Credit,Trans_CreditAcct,$E$4,Trans_Date,"&lt;="&amp;D242,Trans_Numb,"&lt;="&amp;C242),SUMIFS(Trans_Credit,Trans_CreditAcct,$E$4,Trans_Date,"&lt;="&amp;D242,Trans_Numb,"&lt;="&amp;C242)-SUMIFS(Trans_Debit,Trans_DebitAcct,$E$4,Trans_Date,"&lt;="&amp;D242,Trans_Numb,"&lt;="&amp;C242)))</f>
        <v/>
      </c>
      <c r="J242" s="18"/>
      <c r="K242" s="2"/>
    </row>
    <row r="243" spans="3:11" ht="15.75" thickBot="1" x14ac:dyDescent="0.3">
      <c r="C243" s="93"/>
      <c r="D243" s="49"/>
      <c r="E243" s="38"/>
      <c r="F243" s="38"/>
      <c r="G243" s="39"/>
      <c r="H243" s="39"/>
      <c r="I243" s="40"/>
      <c r="J243" s="19"/>
      <c r="K243" s="2"/>
    </row>
    <row r="244" spans="3:11" x14ac:dyDescent="0.25">
      <c r="C244" s="93"/>
      <c r="D244" s="50"/>
      <c r="E244" s="41"/>
      <c r="F244" s="41"/>
      <c r="G244" s="42"/>
      <c r="H244" s="42"/>
      <c r="I244" s="43" t="str">
        <f>IF(OR(E244="",$E$4="[All Accounts]"),"",IF($B$8="Increase",SUMIFS(Trans_Debit,Trans_DebitAcct,$E$4,Trans_Date,"&lt;="&amp;D244,Trans_Numb,"&lt;="&amp;C244)-SUMIFS(Trans_Credit,Trans_CreditAcct,$E$4,Trans_Date,"&lt;="&amp;D244,Trans_Numb,"&lt;="&amp;C244),SUMIFS(Trans_Credit,Trans_CreditAcct,$E$4,Trans_Date,"&lt;="&amp;D244,Trans_Numb,"&lt;="&amp;C244)-SUMIFS(Trans_Debit,Trans_DebitAcct,$E$4,Trans_Date,"&lt;="&amp;D244,Trans_Numb,"&lt;="&amp;C244)))</f>
        <v/>
      </c>
      <c r="J244" s="18"/>
      <c r="K244" s="2"/>
    </row>
    <row r="245" spans="3:11" ht="15.75" thickBot="1" x14ac:dyDescent="0.3">
      <c r="C245" s="93"/>
      <c r="D245" s="49"/>
      <c r="E245" s="38"/>
      <c r="F245" s="38"/>
      <c r="G245" s="39"/>
      <c r="H245" s="39"/>
      <c r="I245" s="40"/>
      <c r="J245" s="19"/>
      <c r="K245" s="2"/>
    </row>
    <row r="246" spans="3:11" x14ac:dyDescent="0.25">
      <c r="C246" s="93"/>
      <c r="D246" s="50"/>
      <c r="E246" s="41"/>
      <c r="F246" s="41"/>
      <c r="G246" s="42"/>
      <c r="H246" s="42"/>
      <c r="I246" s="43" t="str">
        <f>IF(OR(E246="",$E$4="[All Accounts]"),"",IF($B$8="Increase",SUMIFS(Trans_Debit,Trans_DebitAcct,$E$4,Trans_Date,"&lt;="&amp;D246,Trans_Numb,"&lt;="&amp;C246)-SUMIFS(Trans_Credit,Trans_CreditAcct,$E$4,Trans_Date,"&lt;="&amp;D246,Trans_Numb,"&lt;="&amp;C246),SUMIFS(Trans_Credit,Trans_CreditAcct,$E$4,Trans_Date,"&lt;="&amp;D246,Trans_Numb,"&lt;="&amp;C246)-SUMIFS(Trans_Debit,Trans_DebitAcct,$E$4,Trans_Date,"&lt;="&amp;D246,Trans_Numb,"&lt;="&amp;C246)))</f>
        <v/>
      </c>
      <c r="J246" s="18"/>
      <c r="K246" s="2"/>
    </row>
    <row r="247" spans="3:11" ht="15.75" thickBot="1" x14ac:dyDescent="0.3">
      <c r="C247" s="93"/>
      <c r="D247" s="49"/>
      <c r="E247" s="38"/>
      <c r="F247" s="38"/>
      <c r="G247" s="39"/>
      <c r="H247" s="39"/>
      <c r="I247" s="40"/>
      <c r="J247" s="19"/>
      <c r="K247" s="2"/>
    </row>
    <row r="248" spans="3:11" x14ac:dyDescent="0.25">
      <c r="C248" s="93"/>
      <c r="D248" s="50"/>
      <c r="E248" s="41"/>
      <c r="F248" s="41"/>
      <c r="G248" s="42"/>
      <c r="H248" s="42"/>
      <c r="I248" s="43" t="str">
        <f>IF(OR(E248="",$E$4="[All Accounts]"),"",IF($B$8="Increase",SUMIFS(Trans_Debit,Trans_DebitAcct,$E$4,Trans_Date,"&lt;="&amp;D248,Trans_Numb,"&lt;="&amp;C248)-SUMIFS(Trans_Credit,Trans_CreditAcct,$E$4,Trans_Date,"&lt;="&amp;D248,Trans_Numb,"&lt;="&amp;C248),SUMIFS(Trans_Credit,Trans_CreditAcct,$E$4,Trans_Date,"&lt;="&amp;D248,Trans_Numb,"&lt;="&amp;C248)-SUMIFS(Trans_Debit,Trans_DebitAcct,$E$4,Trans_Date,"&lt;="&amp;D248,Trans_Numb,"&lt;="&amp;C248)))</f>
        <v/>
      </c>
      <c r="J248" s="18"/>
      <c r="K248" s="2"/>
    </row>
    <row r="249" spans="3:11" ht="15.75" thickBot="1" x14ac:dyDescent="0.3">
      <c r="C249" s="93"/>
      <c r="D249" s="49"/>
      <c r="E249" s="38"/>
      <c r="F249" s="38"/>
      <c r="G249" s="39"/>
      <c r="H249" s="39"/>
      <c r="I249" s="40"/>
      <c r="J249" s="19"/>
      <c r="K249" s="2"/>
    </row>
    <row r="250" spans="3:11" x14ac:dyDescent="0.25">
      <c r="C250" s="93"/>
      <c r="D250" s="50"/>
      <c r="E250" s="41"/>
      <c r="F250" s="41"/>
      <c r="G250" s="42"/>
      <c r="H250" s="42"/>
      <c r="I250" s="43" t="str">
        <f>IF(OR(E250="",$E$4="[All Accounts]"),"",IF($B$8="Increase",SUMIFS(Trans_Debit,Trans_DebitAcct,$E$4,Trans_Date,"&lt;="&amp;D250,Trans_Numb,"&lt;="&amp;C250)-SUMIFS(Trans_Credit,Trans_CreditAcct,$E$4,Trans_Date,"&lt;="&amp;D250,Trans_Numb,"&lt;="&amp;C250),SUMIFS(Trans_Credit,Trans_CreditAcct,$E$4,Trans_Date,"&lt;="&amp;D250,Trans_Numb,"&lt;="&amp;C250)-SUMIFS(Trans_Debit,Trans_DebitAcct,$E$4,Trans_Date,"&lt;="&amp;D250,Trans_Numb,"&lt;="&amp;C250)))</f>
        <v/>
      </c>
      <c r="J250" s="18"/>
      <c r="K250" s="2"/>
    </row>
    <row r="251" spans="3:11" ht="15.75" thickBot="1" x14ac:dyDescent="0.3">
      <c r="C251" s="93"/>
      <c r="D251" s="49"/>
      <c r="E251" s="38"/>
      <c r="F251" s="38"/>
      <c r="G251" s="39"/>
      <c r="H251" s="39"/>
      <c r="I251" s="40"/>
      <c r="J251" s="19"/>
      <c r="K251" s="2"/>
    </row>
    <row r="252" spans="3:11" x14ac:dyDescent="0.25">
      <c r="C252" s="93"/>
      <c r="D252" s="50"/>
      <c r="E252" s="41"/>
      <c r="F252" s="41"/>
      <c r="G252" s="42"/>
      <c r="H252" s="42"/>
      <c r="I252" s="43" t="str">
        <f>IF(OR(E252="",$E$4="[All Accounts]"),"",IF($B$8="Increase",SUMIFS(Trans_Debit,Trans_DebitAcct,$E$4,Trans_Date,"&lt;="&amp;D252,Trans_Numb,"&lt;="&amp;C252)-SUMIFS(Trans_Credit,Trans_CreditAcct,$E$4,Trans_Date,"&lt;="&amp;D252,Trans_Numb,"&lt;="&amp;C252),SUMIFS(Trans_Credit,Trans_CreditAcct,$E$4,Trans_Date,"&lt;="&amp;D252,Trans_Numb,"&lt;="&amp;C252)-SUMIFS(Trans_Debit,Trans_DebitAcct,$E$4,Trans_Date,"&lt;="&amp;D252,Trans_Numb,"&lt;="&amp;C252)))</f>
        <v/>
      </c>
      <c r="J252" s="18"/>
      <c r="K252" s="2"/>
    </row>
    <row r="253" spans="3:11" ht="15.75" thickBot="1" x14ac:dyDescent="0.3">
      <c r="C253" s="93"/>
      <c r="D253" s="49"/>
      <c r="E253" s="38"/>
      <c r="F253" s="38"/>
      <c r="G253" s="39"/>
      <c r="H253" s="39"/>
      <c r="I253" s="40"/>
      <c r="J253" s="19"/>
      <c r="K253" s="2"/>
    </row>
    <row r="254" spans="3:11" x14ac:dyDescent="0.25">
      <c r="C254" s="93"/>
      <c r="D254" s="50"/>
      <c r="E254" s="41"/>
      <c r="F254" s="41"/>
      <c r="G254" s="42"/>
      <c r="H254" s="42"/>
      <c r="I254" s="43" t="str">
        <f>IF(OR(E254="",$E$4="[All Accounts]"),"",IF($B$8="Increase",SUMIFS(Trans_Debit,Trans_DebitAcct,$E$4,Trans_Date,"&lt;="&amp;D254,Trans_Numb,"&lt;="&amp;C254)-SUMIFS(Trans_Credit,Trans_CreditAcct,$E$4,Trans_Date,"&lt;="&amp;D254,Trans_Numb,"&lt;="&amp;C254),SUMIFS(Trans_Credit,Trans_CreditAcct,$E$4,Trans_Date,"&lt;="&amp;D254,Trans_Numb,"&lt;="&amp;C254)-SUMIFS(Trans_Debit,Trans_DebitAcct,$E$4,Trans_Date,"&lt;="&amp;D254,Trans_Numb,"&lt;="&amp;C254)))</f>
        <v/>
      </c>
      <c r="J254" s="18"/>
      <c r="K254" s="2"/>
    </row>
    <row r="255" spans="3:11" ht="15.75" thickBot="1" x14ac:dyDescent="0.3">
      <c r="C255" s="93"/>
      <c r="D255" s="49"/>
      <c r="E255" s="38"/>
      <c r="F255" s="38"/>
      <c r="G255" s="39"/>
      <c r="H255" s="39"/>
      <c r="I255" s="40"/>
      <c r="J255" s="19"/>
      <c r="K255" s="2"/>
    </row>
    <row r="256" spans="3:11" x14ac:dyDescent="0.25">
      <c r="C256" s="93"/>
      <c r="D256" s="50"/>
      <c r="E256" s="41"/>
      <c r="F256" s="41"/>
      <c r="G256" s="42"/>
      <c r="H256" s="42"/>
      <c r="I256" s="43" t="str">
        <f>IF(OR(E256="",$E$4="[All Accounts]"),"",IF($B$8="Increase",SUMIFS(Trans_Debit,Trans_DebitAcct,$E$4,Trans_Date,"&lt;="&amp;D256,Trans_Numb,"&lt;="&amp;C256)-SUMIFS(Trans_Credit,Trans_CreditAcct,$E$4,Trans_Date,"&lt;="&amp;D256,Trans_Numb,"&lt;="&amp;C256),SUMIFS(Trans_Credit,Trans_CreditAcct,$E$4,Trans_Date,"&lt;="&amp;D256,Trans_Numb,"&lt;="&amp;C256)-SUMIFS(Trans_Debit,Trans_DebitAcct,$E$4,Trans_Date,"&lt;="&amp;D256,Trans_Numb,"&lt;="&amp;C256)))</f>
        <v/>
      </c>
      <c r="J256" s="18"/>
      <c r="K256" s="2"/>
    </row>
    <row r="257" spans="3:11" ht="15.75" thickBot="1" x14ac:dyDescent="0.3">
      <c r="C257" s="93"/>
      <c r="D257" s="49"/>
      <c r="E257" s="38"/>
      <c r="F257" s="38"/>
      <c r="G257" s="39"/>
      <c r="H257" s="39"/>
      <c r="I257" s="40"/>
      <c r="J257" s="19"/>
      <c r="K257" s="2"/>
    </row>
    <row r="258" spans="3:11" x14ac:dyDescent="0.25">
      <c r="C258" s="93"/>
      <c r="D258" s="50"/>
      <c r="E258" s="41"/>
      <c r="F258" s="41"/>
      <c r="G258" s="42"/>
      <c r="H258" s="42"/>
      <c r="I258" s="43" t="str">
        <f>IF(OR(E258="",$E$4="[All Accounts]"),"",IF($B$8="Increase",SUMIFS(Trans_Debit,Trans_DebitAcct,$E$4,Trans_Date,"&lt;="&amp;D258,Trans_Numb,"&lt;="&amp;C258)-SUMIFS(Trans_Credit,Trans_CreditAcct,$E$4,Trans_Date,"&lt;="&amp;D258,Trans_Numb,"&lt;="&amp;C258),SUMIFS(Trans_Credit,Trans_CreditAcct,$E$4,Trans_Date,"&lt;="&amp;D258,Trans_Numb,"&lt;="&amp;C258)-SUMIFS(Trans_Debit,Trans_DebitAcct,$E$4,Trans_Date,"&lt;="&amp;D258,Trans_Numb,"&lt;="&amp;C258)))</f>
        <v/>
      </c>
      <c r="J258" s="18"/>
      <c r="K258" s="2"/>
    </row>
    <row r="259" spans="3:11" ht="15.75" thickBot="1" x14ac:dyDescent="0.3">
      <c r="C259" s="93"/>
      <c r="D259" s="49"/>
      <c r="E259" s="38"/>
      <c r="F259" s="38"/>
      <c r="G259" s="39"/>
      <c r="H259" s="39"/>
      <c r="I259" s="40"/>
      <c r="J259" s="19"/>
      <c r="K259" s="2"/>
    </row>
    <row r="260" spans="3:11" x14ac:dyDescent="0.25">
      <c r="C260" s="93"/>
      <c r="D260" s="50"/>
      <c r="E260" s="41"/>
      <c r="F260" s="41"/>
      <c r="G260" s="42"/>
      <c r="H260" s="42"/>
      <c r="I260" s="43" t="str">
        <f>IF(OR(E260="",$E$4="[All Accounts]"),"",IF($B$8="Increase",SUMIFS(Trans_Debit,Trans_DebitAcct,$E$4,Trans_Date,"&lt;="&amp;D260,Trans_Numb,"&lt;="&amp;C260)-SUMIFS(Trans_Credit,Trans_CreditAcct,$E$4,Trans_Date,"&lt;="&amp;D260,Trans_Numb,"&lt;="&amp;C260),SUMIFS(Trans_Credit,Trans_CreditAcct,$E$4,Trans_Date,"&lt;="&amp;D260,Trans_Numb,"&lt;="&amp;C260)-SUMIFS(Trans_Debit,Trans_DebitAcct,$E$4,Trans_Date,"&lt;="&amp;D260,Trans_Numb,"&lt;="&amp;C260)))</f>
        <v/>
      </c>
      <c r="J260" s="18"/>
      <c r="K260" s="2"/>
    </row>
    <row r="261" spans="3:11" ht="15.75" thickBot="1" x14ac:dyDescent="0.3">
      <c r="C261" s="93"/>
      <c r="D261" s="49"/>
      <c r="E261" s="38"/>
      <c r="F261" s="38"/>
      <c r="G261" s="39"/>
      <c r="H261" s="39"/>
      <c r="I261" s="40"/>
      <c r="J261" s="19"/>
      <c r="K261" s="2"/>
    </row>
    <row r="262" spans="3:11" x14ac:dyDescent="0.25">
      <c r="C262" s="93"/>
      <c r="D262" s="50"/>
      <c r="E262" s="41"/>
      <c r="F262" s="41"/>
      <c r="G262" s="42"/>
      <c r="H262" s="42"/>
      <c r="I262" s="43" t="str">
        <f>IF(OR(E262="",$E$4="[All Accounts]"),"",IF($B$8="Increase",SUMIFS(Trans_Debit,Trans_DebitAcct,$E$4,Trans_Date,"&lt;="&amp;D262,Trans_Numb,"&lt;="&amp;C262)-SUMIFS(Trans_Credit,Trans_CreditAcct,$E$4,Trans_Date,"&lt;="&amp;D262,Trans_Numb,"&lt;="&amp;C262),SUMIFS(Trans_Credit,Trans_CreditAcct,$E$4,Trans_Date,"&lt;="&amp;D262,Trans_Numb,"&lt;="&amp;C262)-SUMIFS(Trans_Debit,Trans_DebitAcct,$E$4,Trans_Date,"&lt;="&amp;D262,Trans_Numb,"&lt;="&amp;C262)))</f>
        <v/>
      </c>
      <c r="J262" s="18"/>
      <c r="K262" s="2"/>
    </row>
    <row r="263" spans="3:11" ht="15.75" thickBot="1" x14ac:dyDescent="0.3">
      <c r="C263" s="93"/>
      <c r="D263" s="49"/>
      <c r="E263" s="38"/>
      <c r="F263" s="38"/>
      <c r="G263" s="39"/>
      <c r="H263" s="39"/>
      <c r="I263" s="40"/>
      <c r="J263" s="19"/>
      <c r="K263" s="2"/>
    </row>
    <row r="264" spans="3:11" x14ac:dyDescent="0.25">
      <c r="C264" s="93"/>
      <c r="D264" s="50"/>
      <c r="E264" s="41"/>
      <c r="F264" s="41"/>
      <c r="G264" s="42"/>
      <c r="H264" s="42"/>
      <c r="I264" s="43" t="str">
        <f>IF(OR(E264="",$E$4="[All Accounts]"),"",IF($B$8="Increase",SUMIFS(Trans_Debit,Trans_DebitAcct,$E$4,Trans_Date,"&lt;="&amp;D264,Trans_Numb,"&lt;="&amp;C264)-SUMIFS(Trans_Credit,Trans_CreditAcct,$E$4,Trans_Date,"&lt;="&amp;D264,Trans_Numb,"&lt;="&amp;C264),SUMIFS(Trans_Credit,Trans_CreditAcct,$E$4,Trans_Date,"&lt;="&amp;D264,Trans_Numb,"&lt;="&amp;C264)-SUMIFS(Trans_Debit,Trans_DebitAcct,$E$4,Trans_Date,"&lt;="&amp;D264,Trans_Numb,"&lt;="&amp;C264)))</f>
        <v/>
      </c>
      <c r="J264" s="18"/>
      <c r="K264" s="2"/>
    </row>
    <row r="265" spans="3:11" ht="15.75" thickBot="1" x14ac:dyDescent="0.3">
      <c r="C265" s="93"/>
      <c r="D265" s="49"/>
      <c r="E265" s="38"/>
      <c r="F265" s="38"/>
      <c r="G265" s="39"/>
      <c r="H265" s="39"/>
      <c r="I265" s="40"/>
      <c r="J265" s="19"/>
      <c r="K265" s="2"/>
    </row>
    <row r="266" spans="3:11" x14ac:dyDescent="0.25">
      <c r="C266" s="93"/>
      <c r="D266" s="50"/>
      <c r="E266" s="41"/>
      <c r="F266" s="41"/>
      <c r="G266" s="42"/>
      <c r="H266" s="42"/>
      <c r="I266" s="43" t="str">
        <f>IF(OR(E266="",$E$4="[All Accounts]"),"",IF($B$8="Increase",SUMIFS(Trans_Debit,Trans_DebitAcct,$E$4,Trans_Date,"&lt;="&amp;D266,Trans_Numb,"&lt;="&amp;C266)-SUMIFS(Trans_Credit,Trans_CreditAcct,$E$4,Trans_Date,"&lt;="&amp;D266,Trans_Numb,"&lt;="&amp;C266),SUMIFS(Trans_Credit,Trans_CreditAcct,$E$4,Trans_Date,"&lt;="&amp;D266,Trans_Numb,"&lt;="&amp;C266)-SUMIFS(Trans_Debit,Trans_DebitAcct,$E$4,Trans_Date,"&lt;="&amp;D266,Trans_Numb,"&lt;="&amp;C266)))</f>
        <v/>
      </c>
      <c r="J266" s="18"/>
      <c r="K266" s="2"/>
    </row>
    <row r="267" spans="3:11" ht="15.75" thickBot="1" x14ac:dyDescent="0.3">
      <c r="C267" s="93"/>
      <c r="D267" s="49"/>
      <c r="E267" s="38"/>
      <c r="F267" s="38"/>
      <c r="G267" s="39"/>
      <c r="H267" s="39"/>
      <c r="I267" s="40"/>
      <c r="J267" s="19"/>
      <c r="K267" s="2"/>
    </row>
    <row r="268" spans="3:11" x14ac:dyDescent="0.25">
      <c r="C268" s="93"/>
      <c r="D268" s="50"/>
      <c r="E268" s="41"/>
      <c r="F268" s="41"/>
      <c r="G268" s="42"/>
      <c r="H268" s="42"/>
      <c r="I268" s="43" t="str">
        <f>IF(OR(E268="",$E$4="[All Accounts]"),"",IF($B$8="Increase",SUMIFS(Trans_Debit,Trans_DebitAcct,$E$4,Trans_Date,"&lt;="&amp;D268,Trans_Numb,"&lt;="&amp;C268)-SUMIFS(Trans_Credit,Trans_CreditAcct,$E$4,Trans_Date,"&lt;="&amp;D268,Trans_Numb,"&lt;="&amp;C268),SUMIFS(Trans_Credit,Trans_CreditAcct,$E$4,Trans_Date,"&lt;="&amp;D268,Trans_Numb,"&lt;="&amp;C268)-SUMIFS(Trans_Debit,Trans_DebitAcct,$E$4,Trans_Date,"&lt;="&amp;D268,Trans_Numb,"&lt;="&amp;C268)))</f>
        <v/>
      </c>
      <c r="J268" s="18"/>
      <c r="K268" s="2"/>
    </row>
    <row r="269" spans="3:11" ht="15.75" thickBot="1" x14ac:dyDescent="0.3">
      <c r="C269" s="93"/>
      <c r="D269" s="49"/>
      <c r="E269" s="38"/>
      <c r="F269" s="38"/>
      <c r="G269" s="39"/>
      <c r="H269" s="39"/>
      <c r="I269" s="40"/>
      <c r="J269" s="19"/>
      <c r="K269" s="2"/>
    </row>
    <row r="270" spans="3:11" x14ac:dyDescent="0.25">
      <c r="C270" s="93"/>
      <c r="D270" s="50"/>
      <c r="E270" s="41"/>
      <c r="F270" s="41"/>
      <c r="G270" s="42"/>
      <c r="H270" s="42"/>
      <c r="I270" s="43" t="str">
        <f>IF(OR(E270="",$E$4="[All Accounts]"),"",IF($B$8="Increase",SUMIFS(Trans_Debit,Trans_DebitAcct,$E$4,Trans_Date,"&lt;="&amp;D270,Trans_Numb,"&lt;="&amp;C270)-SUMIFS(Trans_Credit,Trans_CreditAcct,$E$4,Trans_Date,"&lt;="&amp;D270,Trans_Numb,"&lt;="&amp;C270),SUMIFS(Trans_Credit,Trans_CreditAcct,$E$4,Trans_Date,"&lt;="&amp;D270,Trans_Numb,"&lt;="&amp;C270)-SUMIFS(Trans_Debit,Trans_DebitAcct,$E$4,Trans_Date,"&lt;="&amp;D270,Trans_Numb,"&lt;="&amp;C270)))</f>
        <v/>
      </c>
      <c r="J270" s="18"/>
      <c r="K270" s="2"/>
    </row>
    <row r="271" spans="3:11" ht="15.75" thickBot="1" x14ac:dyDescent="0.3">
      <c r="C271" s="93"/>
      <c r="D271" s="49"/>
      <c r="E271" s="38"/>
      <c r="F271" s="38"/>
      <c r="G271" s="39"/>
      <c r="H271" s="39"/>
      <c r="I271" s="40"/>
      <c r="J271" s="19"/>
      <c r="K271" s="2"/>
    </row>
    <row r="272" spans="3:11" x14ac:dyDescent="0.25">
      <c r="C272" s="93"/>
      <c r="D272" s="50"/>
      <c r="E272" s="41"/>
      <c r="F272" s="41"/>
      <c r="G272" s="42"/>
      <c r="H272" s="42"/>
      <c r="I272" s="43" t="str">
        <f>IF(OR(E272="",$E$4="[All Accounts]"),"",IF($B$8="Increase",SUMIFS(Trans_Debit,Trans_DebitAcct,$E$4,Trans_Date,"&lt;="&amp;D272,Trans_Numb,"&lt;="&amp;C272)-SUMIFS(Trans_Credit,Trans_CreditAcct,$E$4,Trans_Date,"&lt;="&amp;D272,Trans_Numb,"&lt;="&amp;C272),SUMIFS(Trans_Credit,Trans_CreditAcct,$E$4,Trans_Date,"&lt;="&amp;D272,Trans_Numb,"&lt;="&amp;C272)-SUMIFS(Trans_Debit,Trans_DebitAcct,$E$4,Trans_Date,"&lt;="&amp;D272,Trans_Numb,"&lt;="&amp;C272)))</f>
        <v/>
      </c>
      <c r="J272" s="18"/>
      <c r="K272" s="2"/>
    </row>
    <row r="273" spans="3:11" ht="15.75" thickBot="1" x14ac:dyDescent="0.3">
      <c r="C273" s="93"/>
      <c r="D273" s="49"/>
      <c r="E273" s="38"/>
      <c r="F273" s="38"/>
      <c r="G273" s="39"/>
      <c r="H273" s="39"/>
      <c r="I273" s="40"/>
      <c r="J273" s="19"/>
      <c r="K273" s="2"/>
    </row>
    <row r="274" spans="3:11" x14ac:dyDescent="0.25">
      <c r="C274" s="93"/>
      <c r="D274" s="50"/>
      <c r="E274" s="41"/>
      <c r="F274" s="41"/>
      <c r="G274" s="42"/>
      <c r="H274" s="42"/>
      <c r="I274" s="43" t="str">
        <f>IF(OR(E274="",$E$4="[All Accounts]"),"",IF($B$8="Increase",SUMIFS(Trans_Debit,Trans_DebitAcct,$E$4,Trans_Date,"&lt;="&amp;D274,Trans_Numb,"&lt;="&amp;C274)-SUMIFS(Trans_Credit,Trans_CreditAcct,$E$4,Trans_Date,"&lt;="&amp;D274,Trans_Numb,"&lt;="&amp;C274),SUMIFS(Trans_Credit,Trans_CreditAcct,$E$4,Trans_Date,"&lt;="&amp;D274,Trans_Numb,"&lt;="&amp;C274)-SUMIFS(Trans_Debit,Trans_DebitAcct,$E$4,Trans_Date,"&lt;="&amp;D274,Trans_Numb,"&lt;="&amp;C274)))</f>
        <v/>
      </c>
      <c r="J274" s="18"/>
      <c r="K274" s="2"/>
    </row>
    <row r="275" spans="3:11" ht="15.75" thickBot="1" x14ac:dyDescent="0.3">
      <c r="C275" s="93"/>
      <c r="D275" s="49"/>
      <c r="E275" s="38"/>
      <c r="F275" s="38"/>
      <c r="G275" s="39"/>
      <c r="H275" s="39"/>
      <c r="I275" s="40"/>
      <c r="J275" s="19"/>
      <c r="K275" s="2"/>
    </row>
    <row r="276" spans="3:11" x14ac:dyDescent="0.25">
      <c r="C276" s="93"/>
      <c r="D276" s="50"/>
      <c r="E276" s="41"/>
      <c r="F276" s="41"/>
      <c r="G276" s="42"/>
      <c r="H276" s="42"/>
      <c r="I276" s="43" t="str">
        <f>IF(OR(E276="",$E$4="[All Accounts]"),"",IF($B$8="Increase",SUMIFS(Trans_Debit,Trans_DebitAcct,$E$4,Trans_Date,"&lt;="&amp;D276,Trans_Numb,"&lt;="&amp;C276)-SUMIFS(Trans_Credit,Trans_CreditAcct,$E$4,Trans_Date,"&lt;="&amp;D276,Trans_Numb,"&lt;="&amp;C276),SUMIFS(Trans_Credit,Trans_CreditAcct,$E$4,Trans_Date,"&lt;="&amp;D276,Trans_Numb,"&lt;="&amp;C276)-SUMIFS(Trans_Debit,Trans_DebitAcct,$E$4,Trans_Date,"&lt;="&amp;D276,Trans_Numb,"&lt;="&amp;C276)))</f>
        <v/>
      </c>
      <c r="J276" s="18"/>
      <c r="K276" s="2"/>
    </row>
    <row r="277" spans="3:11" ht="15.75" thickBot="1" x14ac:dyDescent="0.3">
      <c r="C277" s="93"/>
      <c r="D277" s="49"/>
      <c r="E277" s="38"/>
      <c r="F277" s="38"/>
      <c r="G277" s="39"/>
      <c r="H277" s="39"/>
      <c r="I277" s="40"/>
      <c r="J277" s="19"/>
      <c r="K277" s="2"/>
    </row>
    <row r="278" spans="3:11" x14ac:dyDescent="0.25">
      <c r="C278" s="93"/>
      <c r="D278" s="50"/>
      <c r="E278" s="41"/>
      <c r="F278" s="41"/>
      <c r="G278" s="42"/>
      <c r="H278" s="42"/>
      <c r="I278" s="43" t="str">
        <f>IF(OR(E278="",$E$4="[All Accounts]"),"",IF($B$8="Increase",SUMIFS(Trans_Debit,Trans_DebitAcct,$E$4,Trans_Date,"&lt;="&amp;D278,Trans_Numb,"&lt;="&amp;C278)-SUMIFS(Trans_Credit,Trans_CreditAcct,$E$4,Trans_Date,"&lt;="&amp;D278,Trans_Numb,"&lt;="&amp;C278),SUMIFS(Trans_Credit,Trans_CreditAcct,$E$4,Trans_Date,"&lt;="&amp;D278,Trans_Numb,"&lt;="&amp;C278)-SUMIFS(Trans_Debit,Trans_DebitAcct,$E$4,Trans_Date,"&lt;="&amp;D278,Trans_Numb,"&lt;="&amp;C278)))</f>
        <v/>
      </c>
      <c r="J278" s="18"/>
      <c r="K278" s="2"/>
    </row>
    <row r="279" spans="3:11" ht="15.75" thickBot="1" x14ac:dyDescent="0.3">
      <c r="C279" s="93"/>
      <c r="D279" s="49"/>
      <c r="E279" s="38"/>
      <c r="F279" s="38"/>
      <c r="G279" s="39"/>
      <c r="H279" s="39"/>
      <c r="I279" s="40"/>
      <c r="J279" s="19"/>
      <c r="K279" s="2"/>
    </row>
    <row r="280" spans="3:11" x14ac:dyDescent="0.25">
      <c r="C280" s="93"/>
      <c r="D280" s="50"/>
      <c r="E280" s="41"/>
      <c r="F280" s="41"/>
      <c r="G280" s="42"/>
      <c r="H280" s="42"/>
      <c r="I280" s="43" t="str">
        <f>IF(OR(E280="",$E$4="[All Accounts]"),"",IF($B$8="Increase",SUMIFS(Trans_Debit,Trans_DebitAcct,$E$4,Trans_Date,"&lt;="&amp;D280,Trans_Numb,"&lt;="&amp;C280)-SUMIFS(Trans_Credit,Trans_CreditAcct,$E$4,Trans_Date,"&lt;="&amp;D280,Trans_Numb,"&lt;="&amp;C280),SUMIFS(Trans_Credit,Trans_CreditAcct,$E$4,Trans_Date,"&lt;="&amp;D280,Trans_Numb,"&lt;="&amp;C280)-SUMIFS(Trans_Debit,Trans_DebitAcct,$E$4,Trans_Date,"&lt;="&amp;D280,Trans_Numb,"&lt;="&amp;C280)))</f>
        <v/>
      </c>
      <c r="J280" s="18"/>
      <c r="K280" s="2"/>
    </row>
    <row r="281" spans="3:11" ht="15.75" thickBot="1" x14ac:dyDescent="0.3">
      <c r="C281" s="93"/>
      <c r="D281" s="49"/>
      <c r="E281" s="38"/>
      <c r="F281" s="38"/>
      <c r="G281" s="39"/>
      <c r="H281" s="39"/>
      <c r="I281" s="40"/>
      <c r="J281" s="19"/>
      <c r="K281" s="2"/>
    </row>
    <row r="282" spans="3:11" x14ac:dyDescent="0.25">
      <c r="C282" s="93"/>
      <c r="D282" s="50"/>
      <c r="E282" s="41"/>
      <c r="F282" s="41"/>
      <c r="G282" s="42"/>
      <c r="H282" s="42"/>
      <c r="I282" s="43" t="str">
        <f>IF(OR(E282="",$E$4="[All Accounts]"),"",IF($B$8="Increase",SUMIFS(Trans_Debit,Trans_DebitAcct,$E$4,Trans_Date,"&lt;="&amp;D282,Trans_Numb,"&lt;="&amp;C282)-SUMIFS(Trans_Credit,Trans_CreditAcct,$E$4,Trans_Date,"&lt;="&amp;D282,Trans_Numb,"&lt;="&amp;C282),SUMIFS(Trans_Credit,Trans_CreditAcct,$E$4,Trans_Date,"&lt;="&amp;D282,Trans_Numb,"&lt;="&amp;C282)-SUMIFS(Trans_Debit,Trans_DebitAcct,$E$4,Trans_Date,"&lt;="&amp;D282,Trans_Numb,"&lt;="&amp;C282)))</f>
        <v/>
      </c>
      <c r="J282" s="18"/>
      <c r="K282" s="2"/>
    </row>
    <row r="283" spans="3:11" ht="15.75" thickBot="1" x14ac:dyDescent="0.3">
      <c r="C283" s="93"/>
      <c r="D283" s="49"/>
      <c r="E283" s="38"/>
      <c r="F283" s="38"/>
      <c r="G283" s="39"/>
      <c r="H283" s="39"/>
      <c r="I283" s="40"/>
      <c r="J283" s="19"/>
      <c r="K283" s="2"/>
    </row>
    <row r="284" spans="3:11" x14ac:dyDescent="0.25">
      <c r="C284" s="93"/>
      <c r="D284" s="50"/>
      <c r="E284" s="41"/>
      <c r="F284" s="41"/>
      <c r="G284" s="42"/>
      <c r="H284" s="42"/>
      <c r="I284" s="43" t="str">
        <f>IF(OR(E284="",$E$4="[All Accounts]"),"",IF($B$8="Increase",SUMIFS(Trans_Debit,Trans_DebitAcct,$E$4,Trans_Date,"&lt;="&amp;D284,Trans_Numb,"&lt;="&amp;C284)-SUMIFS(Trans_Credit,Trans_CreditAcct,$E$4,Trans_Date,"&lt;="&amp;D284,Trans_Numb,"&lt;="&amp;C284),SUMIFS(Trans_Credit,Trans_CreditAcct,$E$4,Trans_Date,"&lt;="&amp;D284,Trans_Numb,"&lt;="&amp;C284)-SUMIFS(Trans_Debit,Trans_DebitAcct,$E$4,Trans_Date,"&lt;="&amp;D284,Trans_Numb,"&lt;="&amp;C284)))</f>
        <v/>
      </c>
      <c r="J284" s="18"/>
      <c r="K284" s="2"/>
    </row>
    <row r="285" spans="3:11" ht="15.75" thickBot="1" x14ac:dyDescent="0.3">
      <c r="C285" s="93"/>
      <c r="D285" s="49"/>
      <c r="E285" s="38"/>
      <c r="F285" s="38"/>
      <c r="G285" s="39"/>
      <c r="H285" s="39"/>
      <c r="I285" s="40"/>
      <c r="J285" s="19"/>
      <c r="K285" s="2"/>
    </row>
    <row r="286" spans="3:11" x14ac:dyDescent="0.25">
      <c r="C286" s="93"/>
      <c r="D286" s="50"/>
      <c r="E286" s="41"/>
      <c r="F286" s="41"/>
      <c r="G286" s="42"/>
      <c r="H286" s="42"/>
      <c r="I286" s="43" t="str">
        <f>IF(OR(E286="",$E$4="[All Accounts]"),"",IF($B$8="Increase",SUMIFS(Trans_Debit,Trans_DebitAcct,$E$4,Trans_Date,"&lt;="&amp;D286,Trans_Numb,"&lt;="&amp;C286)-SUMIFS(Trans_Credit,Trans_CreditAcct,$E$4,Trans_Date,"&lt;="&amp;D286,Trans_Numb,"&lt;="&amp;C286),SUMIFS(Trans_Credit,Trans_CreditAcct,$E$4,Trans_Date,"&lt;="&amp;D286,Trans_Numb,"&lt;="&amp;C286)-SUMIFS(Trans_Debit,Trans_DebitAcct,$E$4,Trans_Date,"&lt;="&amp;D286,Trans_Numb,"&lt;="&amp;C286)))</f>
        <v/>
      </c>
      <c r="J286" s="18"/>
      <c r="K286" s="2"/>
    </row>
    <row r="287" spans="3:11" ht="15.75" thickBot="1" x14ac:dyDescent="0.3">
      <c r="C287" s="93"/>
      <c r="D287" s="49"/>
      <c r="E287" s="38"/>
      <c r="F287" s="38"/>
      <c r="G287" s="39"/>
      <c r="H287" s="39"/>
      <c r="I287" s="40"/>
      <c r="J287" s="19"/>
      <c r="K287" s="2"/>
    </row>
    <row r="288" spans="3:11" x14ac:dyDescent="0.25">
      <c r="C288" s="93"/>
      <c r="D288" s="50"/>
      <c r="E288" s="41"/>
      <c r="F288" s="41"/>
      <c r="G288" s="42"/>
      <c r="H288" s="42"/>
      <c r="I288" s="43" t="str">
        <f>IF(OR(E288="",$E$4="[All Accounts]"),"",IF($B$8="Increase",SUMIFS(Trans_Debit,Trans_DebitAcct,$E$4,Trans_Date,"&lt;="&amp;D288,Trans_Numb,"&lt;="&amp;C288)-SUMIFS(Trans_Credit,Trans_CreditAcct,$E$4,Trans_Date,"&lt;="&amp;D288,Trans_Numb,"&lt;="&amp;C288),SUMIFS(Trans_Credit,Trans_CreditAcct,$E$4,Trans_Date,"&lt;="&amp;D288,Trans_Numb,"&lt;="&amp;C288)-SUMIFS(Trans_Debit,Trans_DebitAcct,$E$4,Trans_Date,"&lt;="&amp;D288,Trans_Numb,"&lt;="&amp;C288)))</f>
        <v/>
      </c>
      <c r="J288" s="18"/>
      <c r="K288" s="2"/>
    </row>
    <row r="289" spans="3:11" ht="15.75" thickBot="1" x14ac:dyDescent="0.3">
      <c r="C289" s="93"/>
      <c r="D289" s="49"/>
      <c r="E289" s="38"/>
      <c r="F289" s="38"/>
      <c r="G289" s="39"/>
      <c r="H289" s="39"/>
      <c r="I289" s="40"/>
      <c r="J289" s="19"/>
      <c r="K289" s="2"/>
    </row>
    <row r="290" spans="3:11" x14ac:dyDescent="0.25">
      <c r="C290" s="93"/>
      <c r="D290" s="50"/>
      <c r="E290" s="41"/>
      <c r="F290" s="41"/>
      <c r="G290" s="42"/>
      <c r="H290" s="42"/>
      <c r="I290" s="43" t="str">
        <f>IF(OR(E290="",$E$4="[All Accounts]"),"",IF($B$8="Increase",SUMIFS(Trans_Debit,Trans_DebitAcct,$E$4,Trans_Date,"&lt;="&amp;D290,Trans_Numb,"&lt;="&amp;C290)-SUMIFS(Trans_Credit,Trans_CreditAcct,$E$4,Trans_Date,"&lt;="&amp;D290,Trans_Numb,"&lt;="&amp;C290),SUMIFS(Trans_Credit,Trans_CreditAcct,$E$4,Trans_Date,"&lt;="&amp;D290,Trans_Numb,"&lt;="&amp;C290)-SUMIFS(Trans_Debit,Trans_DebitAcct,$E$4,Trans_Date,"&lt;="&amp;D290,Trans_Numb,"&lt;="&amp;C290)))</f>
        <v/>
      </c>
      <c r="J290" s="18"/>
      <c r="K290" s="2"/>
    </row>
    <row r="291" spans="3:11" ht="15.75" thickBot="1" x14ac:dyDescent="0.3">
      <c r="C291" s="93"/>
      <c r="D291" s="49"/>
      <c r="E291" s="38"/>
      <c r="F291" s="38"/>
      <c r="G291" s="39"/>
      <c r="H291" s="39"/>
      <c r="I291" s="40"/>
      <c r="J291" s="19"/>
      <c r="K291" s="2"/>
    </row>
    <row r="292" spans="3:11" x14ac:dyDescent="0.25">
      <c r="C292" s="93"/>
      <c r="D292" s="50"/>
      <c r="E292" s="41"/>
      <c r="F292" s="41"/>
      <c r="G292" s="42"/>
      <c r="H292" s="42"/>
      <c r="I292" s="43" t="str">
        <f>IF(OR(E292="",$E$4="[All Accounts]"),"",IF($B$8="Increase",SUMIFS(Trans_Debit,Trans_DebitAcct,$E$4,Trans_Date,"&lt;="&amp;D292,Trans_Numb,"&lt;="&amp;C292)-SUMIFS(Trans_Credit,Trans_CreditAcct,$E$4,Trans_Date,"&lt;="&amp;D292,Trans_Numb,"&lt;="&amp;C292),SUMIFS(Trans_Credit,Trans_CreditAcct,$E$4,Trans_Date,"&lt;="&amp;D292,Trans_Numb,"&lt;="&amp;C292)-SUMIFS(Trans_Debit,Trans_DebitAcct,$E$4,Trans_Date,"&lt;="&amp;D292,Trans_Numb,"&lt;="&amp;C292)))</f>
        <v/>
      </c>
      <c r="J292" s="18"/>
      <c r="K292" s="2"/>
    </row>
    <row r="293" spans="3:11" ht="15.75" thickBot="1" x14ac:dyDescent="0.3">
      <c r="C293" s="93"/>
      <c r="D293" s="49"/>
      <c r="E293" s="38"/>
      <c r="F293" s="38"/>
      <c r="G293" s="39"/>
      <c r="H293" s="39"/>
      <c r="I293" s="40"/>
      <c r="J293" s="19"/>
      <c r="K293" s="2"/>
    </row>
    <row r="294" spans="3:11" x14ac:dyDescent="0.25">
      <c r="C294" s="93"/>
      <c r="D294" s="50"/>
      <c r="E294" s="41"/>
      <c r="F294" s="41"/>
      <c r="G294" s="42"/>
      <c r="H294" s="42"/>
      <c r="I294" s="43" t="str">
        <f>IF(OR(E294="",$E$4="[All Accounts]"),"",IF($B$8="Increase",SUMIFS(Trans_Debit,Trans_DebitAcct,$E$4,Trans_Date,"&lt;="&amp;D294,Trans_Numb,"&lt;="&amp;C294)-SUMIFS(Trans_Credit,Trans_CreditAcct,$E$4,Trans_Date,"&lt;="&amp;D294,Trans_Numb,"&lt;="&amp;C294),SUMIFS(Trans_Credit,Trans_CreditAcct,$E$4,Trans_Date,"&lt;="&amp;D294,Trans_Numb,"&lt;="&amp;C294)-SUMIFS(Trans_Debit,Trans_DebitAcct,$E$4,Trans_Date,"&lt;="&amp;D294,Trans_Numb,"&lt;="&amp;C294)))</f>
        <v/>
      </c>
      <c r="J294" s="18"/>
      <c r="K294" s="2"/>
    </row>
    <row r="295" spans="3:11" ht="15.75" thickBot="1" x14ac:dyDescent="0.3">
      <c r="C295" s="93"/>
      <c r="D295" s="49"/>
      <c r="E295" s="38"/>
      <c r="F295" s="38"/>
      <c r="G295" s="39"/>
      <c r="H295" s="39"/>
      <c r="I295" s="40"/>
      <c r="J295" s="19"/>
      <c r="K295" s="2"/>
    </row>
    <row r="296" spans="3:11" x14ac:dyDescent="0.25">
      <c r="C296" s="93"/>
      <c r="D296" s="50"/>
      <c r="E296" s="41"/>
      <c r="F296" s="41"/>
      <c r="G296" s="42"/>
      <c r="H296" s="42"/>
      <c r="I296" s="43" t="str">
        <f>IF(OR(E296="",$E$4="[All Accounts]"),"",IF($B$8="Increase",SUMIFS(Trans_Debit,Trans_DebitAcct,$E$4,Trans_Date,"&lt;="&amp;D296,Trans_Numb,"&lt;="&amp;C296)-SUMIFS(Trans_Credit,Trans_CreditAcct,$E$4,Trans_Date,"&lt;="&amp;D296,Trans_Numb,"&lt;="&amp;C296),SUMIFS(Trans_Credit,Trans_CreditAcct,$E$4,Trans_Date,"&lt;="&amp;D296,Trans_Numb,"&lt;="&amp;C296)-SUMIFS(Trans_Debit,Trans_DebitAcct,$E$4,Trans_Date,"&lt;="&amp;D296,Trans_Numb,"&lt;="&amp;C296)))</f>
        <v/>
      </c>
      <c r="J296" s="18"/>
      <c r="K296" s="2"/>
    </row>
    <row r="297" spans="3:11" ht="15.75" thickBot="1" x14ac:dyDescent="0.3">
      <c r="C297" s="93"/>
      <c r="D297" s="49"/>
      <c r="E297" s="38"/>
      <c r="F297" s="38"/>
      <c r="G297" s="39"/>
      <c r="H297" s="39"/>
      <c r="I297" s="40"/>
      <c r="J297" s="19"/>
      <c r="K297" s="2"/>
    </row>
    <row r="298" spans="3:11" x14ac:dyDescent="0.25">
      <c r="C298" s="93"/>
      <c r="D298" s="50"/>
      <c r="E298" s="41"/>
      <c r="F298" s="41"/>
      <c r="G298" s="42"/>
      <c r="H298" s="42"/>
      <c r="I298" s="43" t="str">
        <f>IF(OR(E298="",$E$4="[All Accounts]"),"",IF($B$8="Increase",SUMIFS(Trans_Debit,Trans_DebitAcct,$E$4,Trans_Date,"&lt;="&amp;D298,Trans_Numb,"&lt;="&amp;C298)-SUMIFS(Trans_Credit,Trans_CreditAcct,$E$4,Trans_Date,"&lt;="&amp;D298,Trans_Numb,"&lt;="&amp;C298),SUMIFS(Trans_Credit,Trans_CreditAcct,$E$4,Trans_Date,"&lt;="&amp;D298,Trans_Numb,"&lt;="&amp;C298)-SUMIFS(Trans_Debit,Trans_DebitAcct,$E$4,Trans_Date,"&lt;="&amp;D298,Trans_Numb,"&lt;="&amp;C298)))</f>
        <v/>
      </c>
      <c r="J298" s="18"/>
      <c r="K298" s="2"/>
    </row>
    <row r="299" spans="3:11" ht="15.75" thickBot="1" x14ac:dyDescent="0.3">
      <c r="C299" s="93"/>
      <c r="D299" s="49"/>
      <c r="E299" s="38"/>
      <c r="F299" s="38"/>
      <c r="G299" s="39"/>
      <c r="H299" s="39"/>
      <c r="I299" s="40"/>
      <c r="J299" s="19"/>
      <c r="K299" s="2"/>
    </row>
    <row r="300" spans="3:11" x14ac:dyDescent="0.25">
      <c r="C300" s="93"/>
      <c r="D300" s="50"/>
      <c r="E300" s="41"/>
      <c r="F300" s="41"/>
      <c r="G300" s="42"/>
      <c r="H300" s="42"/>
      <c r="I300" s="43" t="str">
        <f>IF(OR(E300="",$E$4="[All Accounts]"),"",IF($B$8="Increase",SUMIFS(Trans_Debit,Trans_DebitAcct,$E$4,Trans_Date,"&lt;="&amp;D300,Trans_Numb,"&lt;="&amp;C300)-SUMIFS(Trans_Credit,Trans_CreditAcct,$E$4,Trans_Date,"&lt;="&amp;D300,Trans_Numb,"&lt;="&amp;C300),SUMIFS(Trans_Credit,Trans_CreditAcct,$E$4,Trans_Date,"&lt;="&amp;D300,Trans_Numb,"&lt;="&amp;C300)-SUMIFS(Trans_Debit,Trans_DebitAcct,$E$4,Trans_Date,"&lt;="&amp;D300,Trans_Numb,"&lt;="&amp;C300)))</f>
        <v/>
      </c>
      <c r="J300" s="18"/>
      <c r="K300" s="2"/>
    </row>
    <row r="301" spans="3:11" ht="15.75" thickBot="1" x14ac:dyDescent="0.3">
      <c r="C301" s="93"/>
      <c r="D301" s="49"/>
      <c r="E301" s="38"/>
      <c r="F301" s="38"/>
      <c r="G301" s="39"/>
      <c r="H301" s="39"/>
      <c r="I301" s="40"/>
      <c r="J301" s="19"/>
      <c r="K301" s="2"/>
    </row>
    <row r="302" spans="3:11" x14ac:dyDescent="0.25">
      <c r="C302" s="93"/>
      <c r="D302" s="50"/>
      <c r="E302" s="41"/>
      <c r="F302" s="41"/>
      <c r="G302" s="42"/>
      <c r="H302" s="42"/>
      <c r="I302" s="43" t="str">
        <f>IF(OR(E302="",$E$4="[All Accounts]"),"",IF($B$8="Increase",SUMIFS(Trans_Debit,Trans_DebitAcct,$E$4,Trans_Date,"&lt;="&amp;D302,Trans_Numb,"&lt;="&amp;C302)-SUMIFS(Trans_Credit,Trans_CreditAcct,$E$4,Trans_Date,"&lt;="&amp;D302,Trans_Numb,"&lt;="&amp;C302),SUMIFS(Trans_Credit,Trans_CreditAcct,$E$4,Trans_Date,"&lt;="&amp;D302,Trans_Numb,"&lt;="&amp;C302)-SUMIFS(Trans_Debit,Trans_DebitAcct,$E$4,Trans_Date,"&lt;="&amp;D302,Trans_Numb,"&lt;="&amp;C302)))</f>
        <v/>
      </c>
      <c r="J302" s="18"/>
      <c r="K302" s="2"/>
    </row>
    <row r="303" spans="3:11" ht="15.75" thickBot="1" x14ac:dyDescent="0.3">
      <c r="C303" s="93"/>
      <c r="D303" s="49"/>
      <c r="E303" s="38"/>
      <c r="F303" s="38"/>
      <c r="G303" s="39"/>
      <c r="H303" s="39"/>
      <c r="I303" s="40"/>
      <c r="J303" s="19"/>
      <c r="K303" s="2"/>
    </row>
    <row r="304" spans="3:11" x14ac:dyDescent="0.25">
      <c r="C304" s="93"/>
      <c r="D304" s="50"/>
      <c r="E304" s="41"/>
      <c r="F304" s="41"/>
      <c r="G304" s="42"/>
      <c r="H304" s="42"/>
      <c r="I304" s="43" t="str">
        <f>IF(OR(E304="",$E$4="[All Accounts]"),"",IF($B$8="Increase",SUMIFS(Trans_Debit,Trans_DebitAcct,$E$4,Trans_Date,"&lt;="&amp;D304,Trans_Numb,"&lt;="&amp;C304)-SUMIFS(Trans_Credit,Trans_CreditAcct,$E$4,Trans_Date,"&lt;="&amp;D304,Trans_Numb,"&lt;="&amp;C304),SUMIFS(Trans_Credit,Trans_CreditAcct,$E$4,Trans_Date,"&lt;="&amp;D304,Trans_Numb,"&lt;="&amp;C304)-SUMIFS(Trans_Debit,Trans_DebitAcct,$E$4,Trans_Date,"&lt;="&amp;D304,Trans_Numb,"&lt;="&amp;C304)))</f>
        <v/>
      </c>
      <c r="J304" s="18"/>
      <c r="K304" s="2"/>
    </row>
    <row r="305" spans="3:11" ht="15.75" thickBot="1" x14ac:dyDescent="0.3">
      <c r="C305" s="93"/>
      <c r="D305" s="49"/>
      <c r="E305" s="38"/>
      <c r="F305" s="38"/>
      <c r="G305" s="39"/>
      <c r="H305" s="39"/>
      <c r="I305" s="40"/>
      <c r="J305" s="19"/>
      <c r="K305" s="2"/>
    </row>
    <row r="306" spans="3:11" x14ac:dyDescent="0.25">
      <c r="C306" s="93"/>
      <c r="D306" s="50"/>
      <c r="E306" s="41"/>
      <c r="F306" s="41"/>
      <c r="G306" s="42"/>
      <c r="H306" s="42"/>
      <c r="I306" s="43" t="str">
        <f>IF(OR(E306="",$E$4="[All Accounts]"),"",IF($B$8="Increase",SUMIFS(Trans_Debit,Trans_DebitAcct,$E$4,Trans_Date,"&lt;="&amp;D306,Trans_Numb,"&lt;="&amp;C306)-SUMIFS(Trans_Credit,Trans_CreditAcct,$E$4,Trans_Date,"&lt;="&amp;D306,Trans_Numb,"&lt;="&amp;C306),SUMIFS(Trans_Credit,Trans_CreditAcct,$E$4,Trans_Date,"&lt;="&amp;D306,Trans_Numb,"&lt;="&amp;C306)-SUMIFS(Trans_Debit,Trans_DebitAcct,$E$4,Trans_Date,"&lt;="&amp;D306,Trans_Numb,"&lt;="&amp;C306)))</f>
        <v/>
      </c>
      <c r="J306" s="18"/>
      <c r="K306" s="2"/>
    </row>
    <row r="307" spans="3:11" ht="15.75" thickBot="1" x14ac:dyDescent="0.3">
      <c r="C307" s="93"/>
      <c r="D307" s="49"/>
      <c r="E307" s="38"/>
      <c r="F307" s="38"/>
      <c r="G307" s="39"/>
      <c r="H307" s="39"/>
      <c r="I307" s="40"/>
      <c r="J307" s="19"/>
      <c r="K307" s="2"/>
    </row>
    <row r="308" spans="3:11" x14ac:dyDescent="0.25">
      <c r="C308" s="93"/>
      <c r="D308" s="50"/>
      <c r="E308" s="41"/>
      <c r="F308" s="41"/>
      <c r="G308" s="42"/>
      <c r="H308" s="42"/>
      <c r="I308" s="43" t="str">
        <f>IF(OR(E308="",$E$4="[All Accounts]"),"",IF($B$8="Increase",SUMIFS(Trans_Debit,Trans_DebitAcct,$E$4,Trans_Date,"&lt;="&amp;D308,Trans_Numb,"&lt;="&amp;C308)-SUMIFS(Trans_Credit,Trans_CreditAcct,$E$4,Trans_Date,"&lt;="&amp;D308,Trans_Numb,"&lt;="&amp;C308),SUMIFS(Trans_Credit,Trans_CreditAcct,$E$4,Trans_Date,"&lt;="&amp;D308,Trans_Numb,"&lt;="&amp;C308)-SUMIFS(Trans_Debit,Trans_DebitAcct,$E$4,Trans_Date,"&lt;="&amp;D308,Trans_Numb,"&lt;="&amp;C308)))</f>
        <v/>
      </c>
      <c r="J308" s="18"/>
      <c r="K308" s="2"/>
    </row>
    <row r="309" spans="3:11" ht="15.75" thickBot="1" x14ac:dyDescent="0.3">
      <c r="C309" s="93"/>
      <c r="D309" s="49"/>
      <c r="E309" s="38"/>
      <c r="F309" s="38"/>
      <c r="G309" s="39"/>
      <c r="H309" s="39"/>
      <c r="I309" s="40"/>
      <c r="J309" s="19"/>
      <c r="K309" s="2"/>
    </row>
    <row r="310" spans="3:11" x14ac:dyDescent="0.25">
      <c r="C310" s="93"/>
      <c r="D310" s="50"/>
      <c r="E310" s="41"/>
      <c r="F310" s="41"/>
      <c r="G310" s="42"/>
      <c r="H310" s="42"/>
      <c r="I310" s="43" t="str">
        <f>IF(OR(E310="",$E$4="[All Accounts]"),"",IF($B$8="Increase",SUMIFS(Trans_Debit,Trans_DebitAcct,$E$4,Trans_Date,"&lt;="&amp;D310,Trans_Numb,"&lt;="&amp;C310)-SUMIFS(Trans_Credit,Trans_CreditAcct,$E$4,Trans_Date,"&lt;="&amp;D310,Trans_Numb,"&lt;="&amp;C310),SUMIFS(Trans_Credit,Trans_CreditAcct,$E$4,Trans_Date,"&lt;="&amp;D310,Trans_Numb,"&lt;="&amp;C310)-SUMIFS(Trans_Debit,Trans_DebitAcct,$E$4,Trans_Date,"&lt;="&amp;D310,Trans_Numb,"&lt;="&amp;C310)))</f>
        <v/>
      </c>
      <c r="J310" s="18"/>
      <c r="K310" s="2"/>
    </row>
    <row r="311" spans="3:11" ht="15.75" thickBot="1" x14ac:dyDescent="0.3">
      <c r="C311" s="93"/>
      <c r="D311" s="49"/>
      <c r="E311" s="38"/>
      <c r="F311" s="38"/>
      <c r="G311" s="39"/>
      <c r="H311" s="39"/>
      <c r="I311" s="40"/>
      <c r="J311" s="19"/>
      <c r="K311" s="2"/>
    </row>
    <row r="312" spans="3:11" x14ac:dyDescent="0.25">
      <c r="C312" s="93"/>
      <c r="D312" s="50"/>
      <c r="E312" s="41"/>
      <c r="F312" s="41"/>
      <c r="G312" s="42"/>
      <c r="H312" s="42"/>
      <c r="I312" s="43" t="str">
        <f>IF(OR(E312="",$E$4="[All Accounts]"),"",IF($B$8="Increase",SUMIFS(Trans_Debit,Trans_DebitAcct,$E$4,Trans_Date,"&lt;="&amp;D312,Trans_Numb,"&lt;="&amp;C312)-SUMIFS(Trans_Credit,Trans_CreditAcct,$E$4,Trans_Date,"&lt;="&amp;D312,Trans_Numb,"&lt;="&amp;C312),SUMIFS(Trans_Credit,Trans_CreditAcct,$E$4,Trans_Date,"&lt;="&amp;D312,Trans_Numb,"&lt;="&amp;C312)-SUMIFS(Trans_Debit,Trans_DebitAcct,$E$4,Trans_Date,"&lt;="&amp;D312,Trans_Numb,"&lt;="&amp;C312)))</f>
        <v/>
      </c>
      <c r="J312" s="18"/>
      <c r="K312" s="2"/>
    </row>
    <row r="313" spans="3:11" ht="15.75" thickBot="1" x14ac:dyDescent="0.3">
      <c r="C313" s="93"/>
      <c r="D313" s="49"/>
      <c r="E313" s="38"/>
      <c r="F313" s="38"/>
      <c r="G313" s="39"/>
      <c r="H313" s="39"/>
      <c r="I313" s="40"/>
      <c r="J313" s="19"/>
      <c r="K313" s="2"/>
    </row>
    <row r="314" spans="3:11" x14ac:dyDescent="0.25">
      <c r="C314" s="93"/>
      <c r="D314" s="50"/>
      <c r="E314" s="41"/>
      <c r="F314" s="41"/>
      <c r="G314" s="42"/>
      <c r="H314" s="42"/>
      <c r="I314" s="43" t="str">
        <f>IF(OR(E314="",$E$4="[All Accounts]"),"",IF($B$8="Increase",SUMIFS(Trans_Debit,Trans_DebitAcct,$E$4,Trans_Date,"&lt;="&amp;D314,Trans_Numb,"&lt;="&amp;C314)-SUMIFS(Trans_Credit,Trans_CreditAcct,$E$4,Trans_Date,"&lt;="&amp;D314,Trans_Numb,"&lt;="&amp;C314),SUMIFS(Trans_Credit,Trans_CreditAcct,$E$4,Trans_Date,"&lt;="&amp;D314,Trans_Numb,"&lt;="&amp;C314)-SUMIFS(Trans_Debit,Trans_DebitAcct,$E$4,Trans_Date,"&lt;="&amp;D314,Trans_Numb,"&lt;="&amp;C314)))</f>
        <v/>
      </c>
      <c r="J314" s="18"/>
      <c r="K314" s="2"/>
    </row>
    <row r="315" spans="3:11" ht="15.75" thickBot="1" x14ac:dyDescent="0.3">
      <c r="C315" s="93"/>
      <c r="D315" s="49"/>
      <c r="E315" s="38"/>
      <c r="F315" s="38"/>
      <c r="G315" s="39"/>
      <c r="H315" s="39"/>
      <c r="I315" s="40"/>
      <c r="J315" s="19"/>
      <c r="K315" s="2"/>
    </row>
    <row r="316" spans="3:11" x14ac:dyDescent="0.25">
      <c r="C316" s="93"/>
      <c r="D316" s="50"/>
      <c r="E316" s="41"/>
      <c r="F316" s="41"/>
      <c r="G316" s="42"/>
      <c r="H316" s="42"/>
      <c r="I316" s="43" t="str">
        <f>IF(OR(E316="",$E$4="[All Accounts]"),"",IF($B$8="Increase",SUMIFS(Trans_Debit,Trans_DebitAcct,$E$4,Trans_Date,"&lt;="&amp;D316,Trans_Numb,"&lt;="&amp;C316)-SUMIFS(Trans_Credit,Trans_CreditAcct,$E$4,Trans_Date,"&lt;="&amp;D316,Trans_Numb,"&lt;="&amp;C316),SUMIFS(Trans_Credit,Trans_CreditAcct,$E$4,Trans_Date,"&lt;="&amp;D316,Trans_Numb,"&lt;="&amp;C316)-SUMIFS(Trans_Debit,Trans_DebitAcct,$E$4,Trans_Date,"&lt;="&amp;D316,Trans_Numb,"&lt;="&amp;C316)))</f>
        <v/>
      </c>
      <c r="J316" s="18"/>
      <c r="K316" s="2"/>
    </row>
    <row r="317" spans="3:11" ht="15.75" thickBot="1" x14ac:dyDescent="0.3">
      <c r="C317" s="93"/>
      <c r="D317" s="49"/>
      <c r="E317" s="38"/>
      <c r="F317" s="38"/>
      <c r="G317" s="39"/>
      <c r="H317" s="39"/>
      <c r="I317" s="40"/>
      <c r="J317" s="19"/>
      <c r="K317" s="2"/>
    </row>
    <row r="318" spans="3:11" x14ac:dyDescent="0.25">
      <c r="C318" s="93"/>
      <c r="D318" s="50"/>
      <c r="E318" s="41"/>
      <c r="F318" s="41"/>
      <c r="G318" s="42"/>
      <c r="H318" s="42"/>
      <c r="I318" s="43" t="str">
        <f>IF(OR(E318="",$E$4="[All Accounts]"),"",IF($B$8="Increase",SUMIFS(Trans_Debit,Trans_DebitAcct,$E$4,Trans_Date,"&lt;="&amp;D318,Trans_Numb,"&lt;="&amp;C318)-SUMIFS(Trans_Credit,Trans_CreditAcct,$E$4,Trans_Date,"&lt;="&amp;D318,Trans_Numb,"&lt;="&amp;C318),SUMIFS(Trans_Credit,Trans_CreditAcct,$E$4,Trans_Date,"&lt;="&amp;D318,Trans_Numb,"&lt;="&amp;C318)-SUMIFS(Trans_Debit,Trans_DebitAcct,$E$4,Trans_Date,"&lt;="&amp;D318,Trans_Numb,"&lt;="&amp;C318)))</f>
        <v/>
      </c>
      <c r="J318" s="18"/>
      <c r="K318" s="2"/>
    </row>
    <row r="319" spans="3:11" ht="15.75" thickBot="1" x14ac:dyDescent="0.3">
      <c r="C319" s="93"/>
      <c r="D319" s="49"/>
      <c r="E319" s="38"/>
      <c r="F319" s="38"/>
      <c r="G319" s="39"/>
      <c r="H319" s="39"/>
      <c r="I319" s="40"/>
      <c r="J319" s="19"/>
      <c r="K319" s="2"/>
    </row>
    <row r="320" spans="3:11" x14ac:dyDescent="0.25">
      <c r="C320" s="93"/>
      <c r="D320" s="50"/>
      <c r="E320" s="41"/>
      <c r="F320" s="41"/>
      <c r="G320" s="42"/>
      <c r="H320" s="42"/>
      <c r="I320" s="43" t="str">
        <f>IF(OR(E320="",$E$4="[All Accounts]"),"",IF($B$8="Increase",SUMIFS(Trans_Debit,Trans_DebitAcct,$E$4,Trans_Date,"&lt;="&amp;D320,Trans_Numb,"&lt;="&amp;C320)-SUMIFS(Trans_Credit,Trans_CreditAcct,$E$4,Trans_Date,"&lt;="&amp;D320,Trans_Numb,"&lt;="&amp;C320),SUMIFS(Trans_Credit,Trans_CreditAcct,$E$4,Trans_Date,"&lt;="&amp;D320,Trans_Numb,"&lt;="&amp;C320)-SUMIFS(Trans_Debit,Trans_DebitAcct,$E$4,Trans_Date,"&lt;="&amp;D320,Trans_Numb,"&lt;="&amp;C320)))</f>
        <v/>
      </c>
      <c r="J320" s="18"/>
      <c r="K320" s="2"/>
    </row>
    <row r="321" spans="3:11" ht="15.75" thickBot="1" x14ac:dyDescent="0.3">
      <c r="C321" s="93"/>
      <c r="D321" s="49"/>
      <c r="E321" s="38"/>
      <c r="F321" s="38"/>
      <c r="G321" s="39"/>
      <c r="H321" s="39"/>
      <c r="I321" s="40"/>
      <c r="J321" s="19"/>
      <c r="K321" s="2"/>
    </row>
    <row r="322" spans="3:11" x14ac:dyDescent="0.25">
      <c r="C322" s="93"/>
      <c r="D322" s="50"/>
      <c r="E322" s="41"/>
      <c r="F322" s="41"/>
      <c r="G322" s="42"/>
      <c r="H322" s="42"/>
      <c r="I322" s="43" t="str">
        <f>IF(OR(E322="",$E$4="[All Accounts]"),"",IF($B$8="Increase",SUMIFS(Trans_Debit,Trans_DebitAcct,$E$4,Trans_Date,"&lt;="&amp;D322,Trans_Numb,"&lt;="&amp;C322)-SUMIFS(Trans_Credit,Trans_CreditAcct,$E$4,Trans_Date,"&lt;="&amp;D322,Trans_Numb,"&lt;="&amp;C322),SUMIFS(Trans_Credit,Trans_CreditAcct,$E$4,Trans_Date,"&lt;="&amp;D322,Trans_Numb,"&lt;="&amp;C322)-SUMIFS(Trans_Debit,Trans_DebitAcct,$E$4,Trans_Date,"&lt;="&amp;D322,Trans_Numb,"&lt;="&amp;C322)))</f>
        <v/>
      </c>
      <c r="J322" s="18"/>
      <c r="K322" s="2"/>
    </row>
    <row r="323" spans="3:11" ht="15.75" thickBot="1" x14ac:dyDescent="0.3">
      <c r="C323" s="93"/>
      <c r="D323" s="49"/>
      <c r="E323" s="38"/>
      <c r="F323" s="38"/>
      <c r="G323" s="39"/>
      <c r="H323" s="39"/>
      <c r="I323" s="40"/>
      <c r="J323" s="19"/>
      <c r="K323" s="2"/>
    </row>
    <row r="324" spans="3:11" x14ac:dyDescent="0.25">
      <c r="C324" s="93"/>
      <c r="D324" s="50"/>
      <c r="E324" s="41"/>
      <c r="F324" s="41"/>
      <c r="G324" s="42"/>
      <c r="H324" s="42"/>
      <c r="I324" s="43" t="str">
        <f>IF(OR(E324="",$E$4="[All Accounts]"),"",IF($B$8="Increase",SUMIFS(Trans_Debit,Trans_DebitAcct,$E$4,Trans_Date,"&lt;="&amp;D324,Trans_Numb,"&lt;="&amp;C324)-SUMIFS(Trans_Credit,Trans_CreditAcct,$E$4,Trans_Date,"&lt;="&amp;D324,Trans_Numb,"&lt;="&amp;C324),SUMIFS(Trans_Credit,Trans_CreditAcct,$E$4,Trans_Date,"&lt;="&amp;D324,Trans_Numb,"&lt;="&amp;C324)-SUMIFS(Trans_Debit,Trans_DebitAcct,$E$4,Trans_Date,"&lt;="&amp;D324,Trans_Numb,"&lt;="&amp;C324)))</f>
        <v/>
      </c>
      <c r="J324" s="18"/>
      <c r="K324" s="2"/>
    </row>
    <row r="325" spans="3:11" ht="15.75" thickBot="1" x14ac:dyDescent="0.3">
      <c r="C325" s="93"/>
      <c r="D325" s="49"/>
      <c r="E325" s="38"/>
      <c r="F325" s="38"/>
      <c r="G325" s="39"/>
      <c r="H325" s="39"/>
      <c r="I325" s="40"/>
      <c r="J325" s="19"/>
      <c r="K325" s="2"/>
    </row>
    <row r="326" spans="3:11" x14ac:dyDescent="0.25">
      <c r="C326" s="93"/>
      <c r="D326" s="50"/>
      <c r="E326" s="41"/>
      <c r="F326" s="41"/>
      <c r="G326" s="42"/>
      <c r="H326" s="42"/>
      <c r="I326" s="43" t="str">
        <f>IF(OR(E326="",$E$4="[All Accounts]"),"",IF($B$8="Increase",SUMIFS(Trans_Debit,Trans_DebitAcct,$E$4,Trans_Date,"&lt;="&amp;D326,Trans_Numb,"&lt;="&amp;C326)-SUMIFS(Trans_Credit,Trans_CreditAcct,$E$4,Trans_Date,"&lt;="&amp;D326,Trans_Numb,"&lt;="&amp;C326),SUMIFS(Trans_Credit,Trans_CreditAcct,$E$4,Trans_Date,"&lt;="&amp;D326,Trans_Numb,"&lt;="&amp;C326)-SUMIFS(Trans_Debit,Trans_DebitAcct,$E$4,Trans_Date,"&lt;="&amp;D326,Trans_Numb,"&lt;="&amp;C326)))</f>
        <v/>
      </c>
      <c r="J326" s="18"/>
      <c r="K326" s="2"/>
    </row>
    <row r="327" spans="3:11" ht="15.75" thickBot="1" x14ac:dyDescent="0.3">
      <c r="C327" s="93"/>
      <c r="D327" s="49"/>
      <c r="E327" s="38"/>
      <c r="F327" s="38"/>
      <c r="G327" s="39"/>
      <c r="H327" s="39"/>
      <c r="I327" s="40"/>
      <c r="J327" s="19"/>
      <c r="K327" s="2"/>
    </row>
    <row r="328" spans="3:11" x14ac:dyDescent="0.25">
      <c r="C328" s="93"/>
      <c r="D328" s="50"/>
      <c r="E328" s="41"/>
      <c r="F328" s="41"/>
      <c r="G328" s="42"/>
      <c r="H328" s="42"/>
      <c r="I328" s="43" t="str">
        <f>IF(OR(E328="",$E$4="[All Accounts]"),"",IF($B$8="Increase",SUMIFS(Trans_Debit,Trans_DebitAcct,$E$4,Trans_Date,"&lt;="&amp;D328,Trans_Numb,"&lt;="&amp;C328)-SUMIFS(Trans_Credit,Trans_CreditAcct,$E$4,Trans_Date,"&lt;="&amp;D328,Trans_Numb,"&lt;="&amp;C328),SUMIFS(Trans_Credit,Trans_CreditAcct,$E$4,Trans_Date,"&lt;="&amp;D328,Trans_Numb,"&lt;="&amp;C328)-SUMIFS(Trans_Debit,Trans_DebitAcct,$E$4,Trans_Date,"&lt;="&amp;D328,Trans_Numb,"&lt;="&amp;C328)))</f>
        <v/>
      </c>
      <c r="J328" s="18"/>
      <c r="K328" s="2"/>
    </row>
    <row r="329" spans="3:11" ht="15.75" thickBot="1" x14ac:dyDescent="0.3">
      <c r="C329" s="93"/>
      <c r="D329" s="49"/>
      <c r="E329" s="38"/>
      <c r="F329" s="38"/>
      <c r="G329" s="39"/>
      <c r="H329" s="39"/>
      <c r="I329" s="40"/>
      <c r="J329" s="19"/>
      <c r="K329" s="2"/>
    </row>
    <row r="330" spans="3:11" x14ac:dyDescent="0.25">
      <c r="C330" s="93"/>
      <c r="D330" s="50"/>
      <c r="E330" s="41"/>
      <c r="F330" s="41"/>
      <c r="G330" s="42"/>
      <c r="H330" s="42"/>
      <c r="I330" s="43" t="str">
        <f>IF(OR(E330="",$E$4="[All Accounts]"),"",IF($B$8="Increase",SUMIFS(Trans_Debit,Trans_DebitAcct,$E$4,Trans_Date,"&lt;="&amp;D330,Trans_Numb,"&lt;="&amp;C330)-SUMIFS(Trans_Credit,Trans_CreditAcct,$E$4,Trans_Date,"&lt;="&amp;D330,Trans_Numb,"&lt;="&amp;C330),SUMIFS(Trans_Credit,Trans_CreditAcct,$E$4,Trans_Date,"&lt;="&amp;D330,Trans_Numb,"&lt;="&amp;C330)-SUMIFS(Trans_Debit,Trans_DebitAcct,$E$4,Trans_Date,"&lt;="&amp;D330,Trans_Numb,"&lt;="&amp;C330)))</f>
        <v/>
      </c>
      <c r="J330" s="18"/>
      <c r="K330" s="2"/>
    </row>
    <row r="331" spans="3:11" ht="15.75" thickBot="1" x14ac:dyDescent="0.3">
      <c r="C331" s="93"/>
      <c r="D331" s="49"/>
      <c r="E331" s="38"/>
      <c r="F331" s="38"/>
      <c r="G331" s="39"/>
      <c r="H331" s="39"/>
      <c r="I331" s="40"/>
      <c r="J331" s="19"/>
      <c r="K331" s="2"/>
    </row>
    <row r="332" spans="3:11" x14ac:dyDescent="0.25">
      <c r="C332" s="93"/>
      <c r="D332" s="50"/>
      <c r="E332" s="41"/>
      <c r="F332" s="41"/>
      <c r="G332" s="42"/>
      <c r="H332" s="42"/>
      <c r="I332" s="43" t="str">
        <f>IF(OR(E332="",$E$4="[All Accounts]"),"",IF($B$8="Increase",SUMIFS(Trans_Debit,Trans_DebitAcct,$E$4,Trans_Date,"&lt;="&amp;D332,Trans_Numb,"&lt;="&amp;C332)-SUMIFS(Trans_Credit,Trans_CreditAcct,$E$4,Trans_Date,"&lt;="&amp;D332,Trans_Numb,"&lt;="&amp;C332),SUMIFS(Trans_Credit,Trans_CreditAcct,$E$4,Trans_Date,"&lt;="&amp;D332,Trans_Numb,"&lt;="&amp;C332)-SUMIFS(Trans_Debit,Trans_DebitAcct,$E$4,Trans_Date,"&lt;="&amp;D332,Trans_Numb,"&lt;="&amp;C332)))</f>
        <v/>
      </c>
      <c r="J332" s="18"/>
      <c r="K332" s="2"/>
    </row>
    <row r="333" spans="3:11" ht="15.75" thickBot="1" x14ac:dyDescent="0.3">
      <c r="C333" s="93"/>
      <c r="D333" s="49"/>
      <c r="E333" s="38"/>
      <c r="F333" s="38"/>
      <c r="G333" s="39"/>
      <c r="H333" s="39"/>
      <c r="I333" s="40"/>
      <c r="J333" s="19"/>
      <c r="K333" s="2"/>
    </row>
    <row r="334" spans="3:11" x14ac:dyDescent="0.25">
      <c r="C334" s="93"/>
      <c r="D334" s="50"/>
      <c r="E334" s="41"/>
      <c r="F334" s="41"/>
      <c r="G334" s="42"/>
      <c r="H334" s="42"/>
      <c r="I334" s="43" t="str">
        <f>IF(OR(E334="",$E$4="[All Accounts]"),"",IF($B$8="Increase",SUMIFS(Trans_Debit,Trans_DebitAcct,$E$4,Trans_Date,"&lt;="&amp;D334,Trans_Numb,"&lt;="&amp;C334)-SUMIFS(Trans_Credit,Trans_CreditAcct,$E$4,Trans_Date,"&lt;="&amp;D334,Trans_Numb,"&lt;="&amp;C334),SUMIFS(Trans_Credit,Trans_CreditAcct,$E$4,Trans_Date,"&lt;="&amp;D334,Trans_Numb,"&lt;="&amp;C334)-SUMIFS(Trans_Debit,Trans_DebitAcct,$E$4,Trans_Date,"&lt;="&amp;D334,Trans_Numb,"&lt;="&amp;C334)))</f>
        <v/>
      </c>
      <c r="J334" s="18"/>
      <c r="K334" s="2"/>
    </row>
    <row r="335" spans="3:11" ht="15.75" thickBot="1" x14ac:dyDescent="0.3">
      <c r="C335" s="93"/>
      <c r="D335" s="49"/>
      <c r="E335" s="38"/>
      <c r="F335" s="38"/>
      <c r="G335" s="39"/>
      <c r="H335" s="39"/>
      <c r="I335" s="40"/>
      <c r="J335" s="19"/>
      <c r="K335" s="2"/>
    </row>
    <row r="336" spans="3:11" x14ac:dyDescent="0.25">
      <c r="C336" s="93"/>
      <c r="D336" s="50"/>
      <c r="E336" s="41"/>
      <c r="F336" s="41"/>
      <c r="G336" s="42"/>
      <c r="H336" s="42"/>
      <c r="I336" s="43" t="str">
        <f>IF(OR(E336="",$E$4="[All Accounts]"),"",IF($B$8="Increase",SUMIFS(Trans_Debit,Trans_DebitAcct,$E$4,Trans_Date,"&lt;="&amp;D336,Trans_Numb,"&lt;="&amp;C336)-SUMIFS(Trans_Credit,Trans_CreditAcct,$E$4,Trans_Date,"&lt;="&amp;D336,Trans_Numb,"&lt;="&amp;C336),SUMIFS(Trans_Credit,Trans_CreditAcct,$E$4,Trans_Date,"&lt;="&amp;D336,Trans_Numb,"&lt;="&amp;C336)-SUMIFS(Trans_Debit,Trans_DebitAcct,$E$4,Trans_Date,"&lt;="&amp;D336,Trans_Numb,"&lt;="&amp;C336)))</f>
        <v/>
      </c>
      <c r="J336" s="18"/>
      <c r="K336" s="2"/>
    </row>
    <row r="337" spans="3:11" ht="15.75" thickBot="1" x14ac:dyDescent="0.3">
      <c r="C337" s="93"/>
      <c r="D337" s="49"/>
      <c r="E337" s="38"/>
      <c r="F337" s="38"/>
      <c r="G337" s="39"/>
      <c r="H337" s="39"/>
      <c r="I337" s="40"/>
      <c r="J337" s="19"/>
      <c r="K337" s="2"/>
    </row>
    <row r="338" spans="3:11" x14ac:dyDescent="0.25">
      <c r="C338" s="93"/>
      <c r="D338" s="50"/>
      <c r="E338" s="41"/>
      <c r="F338" s="41"/>
      <c r="G338" s="42"/>
      <c r="H338" s="42"/>
      <c r="I338" s="43"/>
      <c r="J338" s="18"/>
      <c r="K338" s="2"/>
    </row>
  </sheetData>
  <mergeCells count="7">
    <mergeCell ref="U5:V5"/>
    <mergeCell ref="D1:J1"/>
    <mergeCell ref="J6:J7"/>
    <mergeCell ref="F3:F4"/>
    <mergeCell ref="G6:G7"/>
    <mergeCell ref="H6:H7"/>
    <mergeCell ref="I6:I7"/>
  </mergeCells>
  <conditionalFormatting sqref="D8:J338">
    <cfRule type="expression" dxfId="10" priority="1">
      <formula>ROW()=$B$5+1</formula>
    </cfRule>
    <cfRule type="expression" dxfId="9" priority="2">
      <formula>ROW()=$B$5</formula>
    </cfRule>
    <cfRule type="expression" dxfId="8" priority="6">
      <formula>AND(ROW()=$B$2,$D8&lt;&gt;"")</formula>
    </cfRule>
  </conditionalFormatting>
  <conditionalFormatting sqref="D12:J338">
    <cfRule type="expression" dxfId="7" priority="5">
      <formula>AND($D9="",$D10="",$D11="",$D12="")</formula>
    </cfRule>
    <cfRule type="expression" dxfId="6" priority="20">
      <formula>AND(OR($D8&lt;&gt;"",$D9&lt;&gt;""),$D10="",$D11="",MOD(ROW(),2)=0)</formula>
    </cfRule>
    <cfRule type="expression" dxfId="5" priority="22">
      <formula>AND($D8="",$D9="",$D10="",$D11="")</formula>
    </cfRule>
  </conditionalFormatting>
  <conditionalFormatting sqref="D9:J338">
    <cfRule type="expression" dxfId="4" priority="3">
      <formula>AND($D8&lt;&gt;"",MOD(ROW(),2)=1)</formula>
    </cfRule>
    <cfRule type="expression" dxfId="3" priority="18">
      <formula>AND(ROW()=$B$2+1,$D8&lt;&gt;"")</formula>
    </cfRule>
  </conditionalFormatting>
  <conditionalFormatting sqref="D13:J338">
    <cfRule type="expression" dxfId="2" priority="30">
      <formula>AND(OR($D8&lt;&gt;"",$D9&lt;&gt;""),$D10="",$D11="",$D12="",MOD(ROW(),2)=1)</formula>
    </cfRule>
  </conditionalFormatting>
  <dataValidations count="4">
    <dataValidation type="list" allowBlank="1" showInputMessage="1" showErrorMessage="1" sqref="F8 F10 F12 F30 F16 F18 F20 F22 F24 F26 F28 F338 F32 F34 F36 F38 F40 F42 F44 F46 F48 F50 F52 F54 F56 F58 F60 F62 F64 F66 F68 F70 F72 F74 F76 F78 F80 F82 F84 F86 F88 F90 F92 F94 F96 F98 F100 F102 F104 F106 F108 F110 F112 F114 F116 F118 F120 F122 F124 F126 F128 F130 F132 F134 F136 F138 F140 F142 F144 F146 F148 F150 F152 F154 F156 F158 F160 F162 F164 F166 F168 F170 F172 F174 F176 F178 F180 F182 F184 F186 F188 F190 F192 F194 F196 F198 F200 F202 F204 F206 F208 F210 F212 F214 F216 F218 F220 F222 F224 F226 F228 F230 F232 F234 F236 F238 F240 F242 F244 F246 F248 F250 F252 F254 F256 F258 F260 F262 F264 F266 F268 F270 F272 F274 F276 F278 F280 F282 F284 F286 F288 F290 F292 F294 F296 F298 F300 F302 F304 F306 F308 F310 F312 F314 F316 F318 F320 F322 F324 F326 F328 F330 F332 F334 F336 F14" xr:uid="{00000000-0002-0000-0100-000000000000}">
      <formula1>Names</formula1>
    </dataValidation>
    <dataValidation type="list" allowBlank="1" showInputMessage="1" showErrorMessage="1" sqref="E4" xr:uid="{00000000-0002-0000-0100-000001000000}">
      <formula1>AccountsFilterList</formula1>
    </dataValidation>
    <dataValidation type="list" allowBlank="1" showInputMessage="1" sqref="D9 D11 D13 D15 D17 D19 D21 D23 D25 D27 D29 D31 D33 D35 D37 D39 D41 D43 D45 D47 D49 D51 D53 D55 D57 D59 D61 D63 D65 D67 D69 D71 D73 D75 D77 D79 D81 D83 D85 D87 D89 D91 D93 D95 D97 D99 D101 D103 D105 D107 D109 D111 D113 D115 D117 D119 D121 D123 D125 D127 D129 D131 D133 D135 D137 D139 D141 D143 D145 D147 D149 D151 D153 D155 D157 D159 D161 D163 D165 D167 D169 D171 D173 D175 D177 D179 D181 D183 D185 D187 D189 D191 D193 D195 D197 D199 D201 D203 D205 D207 D209 D211 D213 D215 D217 D219 D221 D223 D225 D227 D229 D231 D233 D235 D237 D239 D241 D243 D245 D247 D249 D251 D253 D255 D257 D259 D261 D263 D265 D267 D269 D271 D273 D275 D277 D279 D281 D283 D285 D287 D289 D291 D293 D295 D297 D299 D301 D303 D305 D307 D309 D311 D313 D315 D317 D319 D321 D323 D325 D327 D329 D331 D333 D335 D337" xr:uid="{00000000-0002-0000-0100-000002000000}">
      <formula1>TransType</formula1>
    </dataValidation>
    <dataValidation type="list" allowBlank="1" showInputMessage="1" showErrorMessage="1" sqref="E8:E338" xr:uid="{00000000-0002-0000-0100-000003000000}">
      <formula1>AccountsList_Names</formula1>
    </dataValidation>
  </dataValidations>
  <pageMargins left="0.7" right="0.7" top="0.75" bottom="0.75" header="0.3" footer="0.3"/>
  <pageSetup orientation="portrait" horizontalDpi="200" verticalDpi="200"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C1:BB81"/>
  <sheetViews>
    <sheetView topLeftCell="C1" zoomScaleNormal="100" workbookViewId="0">
      <pane ySplit="4" topLeftCell="A58" activePane="bottomLeft" state="frozen"/>
      <selection activeCell="C1" sqref="C1"/>
      <selection pane="bottomLeft" activeCell="V3" sqref="V3:AF62"/>
    </sheetView>
  </sheetViews>
  <sheetFormatPr baseColWidth="10" defaultColWidth="9.140625" defaultRowHeight="15" x14ac:dyDescent="0.25"/>
  <cols>
    <col min="1" max="2" width="0" hidden="1" customWidth="1"/>
    <col min="3" max="3" width="5.7109375" customWidth="1"/>
    <col min="4" max="4" width="8" style="15" bestFit="1" customWidth="1"/>
    <col min="5" max="5" width="12.7109375" style="45" customWidth="1"/>
    <col min="6" max="6" width="16" customWidth="1"/>
    <col min="7" max="7" width="28.28515625" customWidth="1"/>
    <col min="8" max="8" width="34.85546875" bestFit="1" customWidth="1"/>
    <col min="9" max="9" width="25.140625" customWidth="1"/>
    <col min="10" max="11" width="13.7109375" style="59" customWidth="1"/>
    <col min="12" max="12" width="15.5703125" bestFit="1" customWidth="1"/>
    <col min="13" max="13" width="46.140625" bestFit="1" customWidth="1"/>
    <col min="14" max="14" width="9.140625" style="15"/>
    <col min="15" max="15" width="5.7109375" customWidth="1"/>
    <col min="16" max="16" width="5.7109375" hidden="1" customWidth="1"/>
    <col min="17" max="17" width="8" bestFit="1" customWidth="1"/>
    <col min="18" max="18" width="9.28515625" customWidth="1"/>
    <col min="19" max="20" width="15.7109375" customWidth="1"/>
    <col min="21" max="21" width="5.7109375" customWidth="1"/>
    <col min="23" max="23" width="12.7109375" customWidth="1"/>
    <col min="24" max="24" width="34.85546875" bestFit="1" customWidth="1"/>
    <col min="25" max="25" width="25.42578125" bestFit="1" customWidth="1"/>
    <col min="26" max="27" width="13.7109375" customWidth="1"/>
    <col min="28" max="28" width="14" bestFit="1" customWidth="1"/>
    <col min="29" max="29" width="23" bestFit="1" customWidth="1"/>
    <col min="30" max="30" width="46.140625" bestFit="1" customWidth="1"/>
    <col min="31" max="32" width="13.7109375" customWidth="1"/>
  </cols>
  <sheetData>
    <row r="1" spans="3:54" ht="37.5" customHeight="1" x14ac:dyDescent="0.25">
      <c r="C1" s="54"/>
      <c r="D1" s="144" t="s">
        <v>302</v>
      </c>
      <c r="E1" s="144"/>
      <c r="F1" s="144"/>
      <c r="G1" s="144"/>
      <c r="H1" s="144"/>
      <c r="I1" s="144"/>
      <c r="J1" s="144"/>
      <c r="K1" s="144"/>
      <c r="L1" s="144"/>
      <c r="M1" s="144"/>
      <c r="N1" s="144"/>
      <c r="O1" s="54"/>
      <c r="P1" s="54"/>
      <c r="Q1" s="143" t="s">
        <v>24</v>
      </c>
      <c r="R1" s="143"/>
      <c r="S1" s="143"/>
      <c r="T1" s="143"/>
      <c r="V1" s="143" t="s">
        <v>42</v>
      </c>
      <c r="W1" s="143"/>
      <c r="X1" s="143"/>
      <c r="Y1" s="143"/>
      <c r="Z1" s="143"/>
      <c r="AA1" s="143"/>
      <c r="AB1" s="143"/>
      <c r="AC1" s="143"/>
      <c r="AD1" s="143"/>
      <c r="AE1" s="143"/>
      <c r="AF1" s="143"/>
    </row>
    <row r="2" spans="3:54" x14ac:dyDescent="0.25">
      <c r="C2" s="55"/>
      <c r="D2" s="144"/>
      <c r="E2" s="144"/>
      <c r="F2" s="144"/>
      <c r="G2" s="144"/>
      <c r="H2" s="144"/>
      <c r="I2" s="144"/>
      <c r="J2" s="144"/>
      <c r="K2" s="144"/>
      <c r="L2" s="144"/>
      <c r="M2" s="144"/>
      <c r="N2" s="144"/>
      <c r="O2" s="55"/>
      <c r="P2" s="55"/>
      <c r="Q2" s="113" t="s">
        <v>0</v>
      </c>
      <c r="R2" s="113" t="s">
        <v>0</v>
      </c>
      <c r="S2" s="113" t="s">
        <v>11</v>
      </c>
      <c r="T2" s="113" t="s">
        <v>12</v>
      </c>
      <c r="V2" s="71" t="s">
        <v>6</v>
      </c>
      <c r="W2" s="72" t="s">
        <v>0</v>
      </c>
      <c r="X2" s="73" t="s">
        <v>11</v>
      </c>
      <c r="Y2" s="73" t="s">
        <v>13</v>
      </c>
      <c r="Z2" s="73" t="s">
        <v>4</v>
      </c>
      <c r="AA2" s="73" t="s">
        <v>5</v>
      </c>
      <c r="AB2" s="73" t="s">
        <v>2</v>
      </c>
      <c r="AC2" s="73" t="s">
        <v>12</v>
      </c>
      <c r="AD2" s="73" t="s">
        <v>3</v>
      </c>
      <c r="AE2" s="73" t="s">
        <v>4</v>
      </c>
      <c r="AF2" s="73" t="s">
        <v>5</v>
      </c>
      <c r="AS2" s="44"/>
      <c r="BB2" s="15"/>
    </row>
    <row r="3" spans="3:54" ht="15.75" thickBot="1" x14ac:dyDescent="0.3">
      <c r="C3" s="71"/>
      <c r="D3" s="73"/>
      <c r="E3" s="72"/>
      <c r="F3" s="71"/>
      <c r="G3" s="71"/>
      <c r="H3" s="71"/>
      <c r="I3" s="71"/>
      <c r="J3" s="74"/>
      <c r="K3" s="74"/>
      <c r="L3" s="71"/>
      <c r="M3" s="71"/>
      <c r="N3" s="73"/>
      <c r="O3" s="71"/>
      <c r="P3" s="71"/>
      <c r="Q3" s="114" t="str">
        <f>IF(Écritures!G4="","","&gt;="&amp;Écritures!G4)</f>
        <v>&gt;=44927</v>
      </c>
      <c r="R3" s="114" t="str">
        <f>IF(Écritures!H4="","","&lt;="&amp;Écritures!H4)</f>
        <v>&lt;=45291</v>
      </c>
      <c r="S3" s="114" t="str">
        <f>IF(OR(Écritures!$E$4="",Écritures!$E$4="[All Accounts]"),"",Écritures!$E$4)</f>
        <v/>
      </c>
      <c r="T3" s="114"/>
      <c r="V3" s="75">
        <v>1</v>
      </c>
      <c r="W3" s="76">
        <v>44927</v>
      </c>
      <c r="X3" s="77" t="s">
        <v>45</v>
      </c>
      <c r="Y3" s="77" t="s">
        <v>168</v>
      </c>
      <c r="Z3" s="78">
        <v>100000</v>
      </c>
      <c r="AA3" s="78"/>
      <c r="AB3" s="77" t="s">
        <v>169</v>
      </c>
      <c r="AC3" s="77" t="s">
        <v>111</v>
      </c>
      <c r="AD3" s="77" t="s">
        <v>170</v>
      </c>
      <c r="AE3" s="78">
        <v>100000</v>
      </c>
      <c r="AF3" s="78"/>
      <c r="AS3" s="44"/>
      <c r="BB3" s="15"/>
    </row>
    <row r="4" spans="3:54" x14ac:dyDescent="0.25">
      <c r="C4" s="71"/>
      <c r="D4" s="86" t="s">
        <v>6</v>
      </c>
      <c r="E4" s="87" t="s">
        <v>0</v>
      </c>
      <c r="F4" s="88" t="s">
        <v>2</v>
      </c>
      <c r="G4" s="88" t="s">
        <v>13</v>
      </c>
      <c r="H4" s="88" t="s">
        <v>11</v>
      </c>
      <c r="I4" s="88" t="s">
        <v>12</v>
      </c>
      <c r="J4" s="89" t="s">
        <v>4</v>
      </c>
      <c r="K4" s="89" t="s">
        <v>5</v>
      </c>
      <c r="L4" s="88" t="s">
        <v>40</v>
      </c>
      <c r="M4" s="88" t="s">
        <v>3</v>
      </c>
      <c r="N4" s="90" t="s">
        <v>23</v>
      </c>
      <c r="O4" s="71"/>
      <c r="P4" s="71"/>
      <c r="Q4" s="114" t="str">
        <f>IF(Écritures!G4="","","&gt;="&amp;Écritures!G4)</f>
        <v>&gt;=44927</v>
      </c>
      <c r="R4" s="114" t="str">
        <f>IF(Écritures!H4="","","&lt;="&amp;Écritures!H4)</f>
        <v>&lt;=45291</v>
      </c>
      <c r="S4" s="114"/>
      <c r="T4" s="114" t="str">
        <f>IF(OR(Écritures!$E$4="",Écritures!$E$4="[All Accounts]"),"",Écritures!$E$4)</f>
        <v/>
      </c>
      <c r="V4" s="75">
        <v>1</v>
      </c>
      <c r="W4" s="76">
        <v>44927</v>
      </c>
      <c r="X4" s="77" t="s">
        <v>45</v>
      </c>
      <c r="Y4" s="77" t="s">
        <v>168</v>
      </c>
      <c r="Z4" s="78"/>
      <c r="AA4" s="78">
        <v>100000</v>
      </c>
      <c r="AB4" s="77" t="s">
        <v>169</v>
      </c>
      <c r="AC4" s="77" t="s">
        <v>111</v>
      </c>
      <c r="AD4" s="77" t="s">
        <v>170</v>
      </c>
      <c r="AE4" s="78"/>
      <c r="AF4" s="78">
        <v>100000</v>
      </c>
      <c r="AS4" s="44"/>
      <c r="BB4" s="15"/>
    </row>
    <row r="5" spans="3:54" x14ac:dyDescent="0.25">
      <c r="C5" s="71"/>
      <c r="D5" s="75">
        <v>1</v>
      </c>
      <c r="E5" s="76">
        <v>44927</v>
      </c>
      <c r="F5" s="77" t="s">
        <v>169</v>
      </c>
      <c r="G5" s="77" t="s">
        <v>168</v>
      </c>
      <c r="H5" s="77" t="s">
        <v>45</v>
      </c>
      <c r="I5" s="77" t="s">
        <v>111</v>
      </c>
      <c r="J5" s="78">
        <v>100000</v>
      </c>
      <c r="K5" s="78"/>
      <c r="L5" s="77"/>
      <c r="M5" s="77" t="s">
        <v>170</v>
      </c>
      <c r="N5" s="79"/>
      <c r="O5" s="71"/>
      <c r="P5" s="71"/>
      <c r="S5" s="44"/>
      <c r="V5" s="75">
        <v>2</v>
      </c>
      <c r="W5" s="76">
        <v>44930</v>
      </c>
      <c r="X5" s="77" t="s">
        <v>139</v>
      </c>
      <c r="Y5" s="77" t="s">
        <v>39</v>
      </c>
      <c r="Z5" s="78">
        <v>195</v>
      </c>
      <c r="AA5" s="80"/>
      <c r="AB5" s="77" t="s">
        <v>86</v>
      </c>
      <c r="AC5" s="77" t="s">
        <v>86</v>
      </c>
      <c r="AD5" s="77" t="s">
        <v>171</v>
      </c>
      <c r="AE5" s="78">
        <v>195</v>
      </c>
      <c r="AF5" s="80"/>
      <c r="AS5" s="44"/>
      <c r="BB5" s="15"/>
    </row>
    <row r="6" spans="3:54" x14ac:dyDescent="0.25">
      <c r="C6" s="71"/>
      <c r="D6" s="75">
        <v>1</v>
      </c>
      <c r="E6" s="76">
        <v>44927</v>
      </c>
      <c r="F6" s="77" t="s">
        <v>169</v>
      </c>
      <c r="G6" s="77" t="s">
        <v>168</v>
      </c>
      <c r="H6" s="77" t="s">
        <v>45</v>
      </c>
      <c r="I6" s="77" t="s">
        <v>111</v>
      </c>
      <c r="J6" s="78"/>
      <c r="K6" s="78">
        <v>100000</v>
      </c>
      <c r="L6" s="77"/>
      <c r="M6" s="77" t="s">
        <v>170</v>
      </c>
      <c r="N6" s="79"/>
      <c r="O6" s="71"/>
      <c r="P6" s="71"/>
      <c r="S6" s="44"/>
      <c r="V6" s="75">
        <v>2</v>
      </c>
      <c r="W6" s="76">
        <v>44930</v>
      </c>
      <c r="X6" s="77" t="s">
        <v>139</v>
      </c>
      <c r="Y6" s="77" t="s">
        <v>39</v>
      </c>
      <c r="Z6" s="80"/>
      <c r="AA6" s="78">
        <v>195</v>
      </c>
      <c r="AB6" s="77" t="s">
        <v>86</v>
      </c>
      <c r="AC6" s="77" t="s">
        <v>86</v>
      </c>
      <c r="AD6" s="77" t="s">
        <v>171</v>
      </c>
      <c r="AE6" s="80"/>
      <c r="AF6" s="78">
        <v>195</v>
      </c>
      <c r="AS6" s="44"/>
      <c r="BB6" s="15"/>
    </row>
    <row r="7" spans="3:54" x14ac:dyDescent="0.25">
      <c r="C7" s="71"/>
      <c r="D7" s="75">
        <v>2</v>
      </c>
      <c r="E7" s="76">
        <v>44930</v>
      </c>
      <c r="F7" s="77" t="s">
        <v>86</v>
      </c>
      <c r="G7" s="77" t="s">
        <v>39</v>
      </c>
      <c r="H7" s="77" t="s">
        <v>139</v>
      </c>
      <c r="I7" s="77" t="s">
        <v>86</v>
      </c>
      <c r="J7" s="78">
        <v>195</v>
      </c>
      <c r="K7" s="80"/>
      <c r="L7" s="77"/>
      <c r="M7" s="77" t="s">
        <v>171</v>
      </c>
      <c r="N7" s="79"/>
      <c r="O7" s="71"/>
      <c r="P7" s="71"/>
      <c r="S7" s="44"/>
      <c r="V7" s="75">
        <v>3</v>
      </c>
      <c r="W7" s="76">
        <v>44933</v>
      </c>
      <c r="X7" s="77" t="s">
        <v>67</v>
      </c>
      <c r="Y7" s="77" t="s">
        <v>181</v>
      </c>
      <c r="Z7" s="78">
        <v>2405</v>
      </c>
      <c r="AA7" s="78"/>
      <c r="AB7" s="77" t="s">
        <v>86</v>
      </c>
      <c r="AC7" s="77" t="s">
        <v>180</v>
      </c>
      <c r="AD7" s="77" t="s">
        <v>182</v>
      </c>
      <c r="AE7" s="78">
        <v>2405</v>
      </c>
      <c r="AF7" s="78"/>
      <c r="AS7" s="44"/>
      <c r="BB7" s="15"/>
    </row>
    <row r="8" spans="3:54" x14ac:dyDescent="0.25">
      <c r="C8" s="71"/>
      <c r="D8" s="75">
        <v>2</v>
      </c>
      <c r="E8" s="76">
        <v>44930</v>
      </c>
      <c r="F8" s="77" t="s">
        <v>86</v>
      </c>
      <c r="G8" s="77" t="s">
        <v>39</v>
      </c>
      <c r="H8" s="77" t="s">
        <v>139</v>
      </c>
      <c r="I8" s="77" t="s">
        <v>86</v>
      </c>
      <c r="J8" s="80"/>
      <c r="K8" s="78">
        <v>195</v>
      </c>
      <c r="L8" s="77"/>
      <c r="M8" s="77" t="s">
        <v>171</v>
      </c>
      <c r="N8" s="79"/>
      <c r="O8" s="71"/>
      <c r="P8" s="71"/>
      <c r="S8" s="44"/>
      <c r="V8" s="75">
        <v>3</v>
      </c>
      <c r="W8" s="76">
        <v>44933</v>
      </c>
      <c r="X8" s="77" t="s">
        <v>67</v>
      </c>
      <c r="Y8" s="77" t="s">
        <v>181</v>
      </c>
      <c r="Z8" s="78"/>
      <c r="AA8" s="78">
        <v>2405</v>
      </c>
      <c r="AB8" s="77" t="s">
        <v>86</v>
      </c>
      <c r="AC8" s="77" t="s">
        <v>180</v>
      </c>
      <c r="AD8" s="77" t="s">
        <v>182</v>
      </c>
      <c r="AE8" s="78"/>
      <c r="AF8" s="78">
        <v>2405</v>
      </c>
      <c r="AS8" s="44"/>
      <c r="BB8" s="15"/>
    </row>
    <row r="9" spans="3:54" x14ac:dyDescent="0.25">
      <c r="C9" s="71"/>
      <c r="D9" s="75">
        <v>3</v>
      </c>
      <c r="E9" s="76">
        <v>44933</v>
      </c>
      <c r="F9" s="77" t="s">
        <v>86</v>
      </c>
      <c r="G9" s="77" t="s">
        <v>181</v>
      </c>
      <c r="H9" s="77" t="s">
        <v>67</v>
      </c>
      <c r="I9" s="77" t="s">
        <v>180</v>
      </c>
      <c r="J9" s="78">
        <v>2405</v>
      </c>
      <c r="K9" s="78"/>
      <c r="L9" s="77"/>
      <c r="M9" s="77" t="s">
        <v>182</v>
      </c>
      <c r="N9" s="79"/>
      <c r="O9" s="71"/>
      <c r="P9" s="71"/>
      <c r="S9" s="44"/>
      <c r="V9" s="75">
        <v>14</v>
      </c>
      <c r="W9" s="76">
        <v>44941</v>
      </c>
      <c r="X9" s="77" t="s">
        <v>65</v>
      </c>
      <c r="Y9" s="77" t="s">
        <v>203</v>
      </c>
      <c r="Z9" s="78">
        <v>2850</v>
      </c>
      <c r="AA9" s="78"/>
      <c r="AB9" s="77" t="s">
        <v>176</v>
      </c>
      <c r="AC9" s="77" t="s">
        <v>45</v>
      </c>
      <c r="AD9" s="77" t="s">
        <v>205</v>
      </c>
      <c r="AE9" s="78">
        <v>2850</v>
      </c>
      <c r="AF9" s="78"/>
      <c r="AS9" s="44"/>
      <c r="BB9" s="15"/>
    </row>
    <row r="10" spans="3:54" x14ac:dyDescent="0.25">
      <c r="C10" s="71"/>
      <c r="D10" s="75">
        <v>3</v>
      </c>
      <c r="E10" s="76">
        <v>44933</v>
      </c>
      <c r="F10" s="77" t="s">
        <v>86</v>
      </c>
      <c r="G10" s="77" t="s">
        <v>181</v>
      </c>
      <c r="H10" s="77" t="s">
        <v>67</v>
      </c>
      <c r="I10" s="77" t="s">
        <v>180</v>
      </c>
      <c r="J10" s="78"/>
      <c r="K10" s="78">
        <v>2405</v>
      </c>
      <c r="L10" s="77"/>
      <c r="M10" s="77" t="s">
        <v>182</v>
      </c>
      <c r="N10" s="79"/>
      <c r="O10" s="71"/>
      <c r="P10" s="71"/>
      <c r="S10" s="44"/>
      <c r="V10" s="75">
        <v>14</v>
      </c>
      <c r="W10" s="76">
        <v>44941</v>
      </c>
      <c r="X10" s="77" t="s">
        <v>65</v>
      </c>
      <c r="Y10" s="77" t="s">
        <v>203</v>
      </c>
      <c r="Z10" s="78"/>
      <c r="AA10" s="78">
        <v>2850</v>
      </c>
      <c r="AB10" s="77" t="s">
        <v>176</v>
      </c>
      <c r="AC10" s="77" t="s">
        <v>45</v>
      </c>
      <c r="AD10" s="77" t="s">
        <v>205</v>
      </c>
      <c r="AE10" s="78"/>
      <c r="AF10" s="78">
        <v>2850</v>
      </c>
      <c r="AS10" s="44"/>
      <c r="BB10" s="15"/>
    </row>
    <row r="11" spans="3:54" x14ac:dyDescent="0.25">
      <c r="C11" s="71"/>
      <c r="D11" s="75">
        <v>14</v>
      </c>
      <c r="E11" s="76">
        <v>44941</v>
      </c>
      <c r="F11" s="77" t="s">
        <v>176</v>
      </c>
      <c r="G11" s="77" t="s">
        <v>203</v>
      </c>
      <c r="H11" s="77" t="s">
        <v>65</v>
      </c>
      <c r="I11" s="77" t="s">
        <v>45</v>
      </c>
      <c r="J11" s="78">
        <v>2850</v>
      </c>
      <c r="K11" s="78"/>
      <c r="L11" s="77"/>
      <c r="M11" s="77" t="s">
        <v>205</v>
      </c>
      <c r="N11" s="79"/>
      <c r="O11" s="71"/>
      <c r="P11" s="71"/>
      <c r="S11" s="44"/>
      <c r="V11" s="75">
        <v>4</v>
      </c>
      <c r="W11" s="76">
        <v>44944</v>
      </c>
      <c r="X11" s="77" t="s">
        <v>47</v>
      </c>
      <c r="Y11" s="77" t="s">
        <v>184</v>
      </c>
      <c r="Z11" s="78">
        <v>3445</v>
      </c>
      <c r="AA11" s="80"/>
      <c r="AB11" s="77" t="s">
        <v>177</v>
      </c>
      <c r="AC11" s="77" t="s">
        <v>120</v>
      </c>
      <c r="AD11" s="77" t="s">
        <v>186</v>
      </c>
      <c r="AE11" s="78">
        <v>3445</v>
      </c>
      <c r="AF11" s="80"/>
      <c r="AS11" s="44"/>
      <c r="BB11" s="15"/>
    </row>
    <row r="12" spans="3:54" x14ac:dyDescent="0.25">
      <c r="C12" s="71"/>
      <c r="D12" s="75">
        <v>14</v>
      </c>
      <c r="E12" s="76">
        <v>44941</v>
      </c>
      <c r="F12" s="77" t="s">
        <v>176</v>
      </c>
      <c r="G12" s="77" t="s">
        <v>203</v>
      </c>
      <c r="H12" s="77" t="s">
        <v>65</v>
      </c>
      <c r="I12" s="77" t="s">
        <v>45</v>
      </c>
      <c r="J12" s="78"/>
      <c r="K12" s="78">
        <v>2850</v>
      </c>
      <c r="L12" s="77"/>
      <c r="M12" s="77" t="s">
        <v>205</v>
      </c>
      <c r="N12" s="79"/>
      <c r="O12" s="71"/>
      <c r="P12" s="71"/>
      <c r="S12" s="44"/>
      <c r="V12" s="75">
        <v>4</v>
      </c>
      <c r="W12" s="76">
        <v>44944</v>
      </c>
      <c r="X12" s="77" t="s">
        <v>47</v>
      </c>
      <c r="Y12" s="77" t="s">
        <v>184</v>
      </c>
      <c r="Z12" s="80"/>
      <c r="AA12" s="78">
        <v>3445</v>
      </c>
      <c r="AB12" s="77" t="s">
        <v>177</v>
      </c>
      <c r="AC12" s="77" t="s">
        <v>120</v>
      </c>
      <c r="AD12" s="77" t="s">
        <v>186</v>
      </c>
      <c r="AE12" s="80"/>
      <c r="AF12" s="78">
        <v>3445</v>
      </c>
      <c r="AS12" s="44"/>
      <c r="BB12" s="15"/>
    </row>
    <row r="13" spans="3:54" x14ac:dyDescent="0.25">
      <c r="C13" s="71"/>
      <c r="D13" s="75">
        <v>4</v>
      </c>
      <c r="E13" s="76">
        <v>44944</v>
      </c>
      <c r="F13" s="77" t="s">
        <v>177</v>
      </c>
      <c r="G13" s="77" t="s">
        <v>184</v>
      </c>
      <c r="H13" s="77" t="s">
        <v>47</v>
      </c>
      <c r="I13" s="77" t="s">
        <v>120</v>
      </c>
      <c r="J13" s="78">
        <v>3445</v>
      </c>
      <c r="K13" s="80"/>
      <c r="L13" s="77"/>
      <c r="M13" s="77" t="s">
        <v>186</v>
      </c>
      <c r="N13" s="79"/>
      <c r="O13" s="71"/>
      <c r="P13" s="71"/>
      <c r="S13" s="44"/>
      <c r="V13" s="75">
        <v>5</v>
      </c>
      <c r="W13" s="76">
        <v>44957</v>
      </c>
      <c r="X13" s="77" t="s">
        <v>180</v>
      </c>
      <c r="Y13" s="77" t="s">
        <v>187</v>
      </c>
      <c r="Z13" s="78">
        <v>2000</v>
      </c>
      <c r="AA13" s="80"/>
      <c r="AB13" s="77" t="s">
        <v>175</v>
      </c>
      <c r="AC13" s="77" t="s">
        <v>45</v>
      </c>
      <c r="AD13" s="77" t="s">
        <v>188</v>
      </c>
      <c r="AE13" s="78">
        <v>2000</v>
      </c>
      <c r="AF13" s="80"/>
      <c r="AS13" s="44"/>
      <c r="BB13" s="15"/>
    </row>
    <row r="14" spans="3:54" x14ac:dyDescent="0.25">
      <c r="C14" s="71"/>
      <c r="D14" s="75">
        <v>4</v>
      </c>
      <c r="E14" s="76">
        <v>44944</v>
      </c>
      <c r="F14" s="77" t="s">
        <v>177</v>
      </c>
      <c r="G14" s="77" t="s">
        <v>184</v>
      </c>
      <c r="H14" s="77" t="s">
        <v>47</v>
      </c>
      <c r="I14" s="77" t="s">
        <v>120</v>
      </c>
      <c r="J14" s="80"/>
      <c r="K14" s="78">
        <v>3445</v>
      </c>
      <c r="L14" s="77"/>
      <c r="M14" s="77" t="s">
        <v>186</v>
      </c>
      <c r="N14" s="79"/>
      <c r="O14" s="71"/>
      <c r="P14" s="71"/>
      <c r="S14" s="44"/>
      <c r="V14" s="75">
        <v>5</v>
      </c>
      <c r="W14" s="76">
        <v>44957</v>
      </c>
      <c r="X14" s="77" t="s">
        <v>180</v>
      </c>
      <c r="Y14" s="77" t="s">
        <v>187</v>
      </c>
      <c r="Z14" s="80"/>
      <c r="AA14" s="78">
        <v>2000</v>
      </c>
      <c r="AB14" s="77" t="s">
        <v>175</v>
      </c>
      <c r="AC14" s="77" t="s">
        <v>45</v>
      </c>
      <c r="AD14" s="77" t="s">
        <v>188</v>
      </c>
      <c r="AE14" s="80"/>
      <c r="AF14" s="78">
        <v>2000</v>
      </c>
      <c r="AS14" s="44"/>
      <c r="BB14" s="15"/>
    </row>
    <row r="15" spans="3:54" x14ac:dyDescent="0.25">
      <c r="C15" s="71"/>
      <c r="D15" s="75">
        <v>5</v>
      </c>
      <c r="E15" s="76">
        <v>44957</v>
      </c>
      <c r="F15" s="77" t="s">
        <v>175</v>
      </c>
      <c r="G15" s="77" t="s">
        <v>187</v>
      </c>
      <c r="H15" s="77" t="s">
        <v>180</v>
      </c>
      <c r="I15" s="77" t="s">
        <v>45</v>
      </c>
      <c r="J15" s="78">
        <v>2000</v>
      </c>
      <c r="K15" s="80"/>
      <c r="L15" s="77"/>
      <c r="M15" s="77" t="s">
        <v>188</v>
      </c>
      <c r="N15" s="79"/>
      <c r="O15" s="71"/>
      <c r="P15" s="71"/>
      <c r="S15" s="44"/>
      <c r="V15" s="75">
        <v>10</v>
      </c>
      <c r="W15" s="76">
        <v>44958</v>
      </c>
      <c r="X15" s="77" t="s">
        <v>75</v>
      </c>
      <c r="Y15" s="77" t="s">
        <v>208</v>
      </c>
      <c r="Z15" s="78">
        <v>995</v>
      </c>
      <c r="AA15" s="80"/>
      <c r="AB15" s="77" t="s">
        <v>178</v>
      </c>
      <c r="AC15" s="77" t="s">
        <v>180</v>
      </c>
      <c r="AD15" s="77" t="s">
        <v>209</v>
      </c>
      <c r="AE15" s="78">
        <v>995</v>
      </c>
      <c r="AF15" s="80"/>
      <c r="AS15" s="44"/>
      <c r="BB15" s="15"/>
    </row>
    <row r="16" spans="3:54" x14ac:dyDescent="0.25">
      <c r="C16" s="71"/>
      <c r="D16" s="75">
        <v>5</v>
      </c>
      <c r="E16" s="76">
        <v>44957</v>
      </c>
      <c r="F16" s="77" t="s">
        <v>175</v>
      </c>
      <c r="G16" s="77" t="s">
        <v>187</v>
      </c>
      <c r="H16" s="77" t="s">
        <v>180</v>
      </c>
      <c r="I16" s="77" t="s">
        <v>45</v>
      </c>
      <c r="J16" s="80"/>
      <c r="K16" s="78">
        <v>2000</v>
      </c>
      <c r="L16" s="77"/>
      <c r="M16" s="77" t="s">
        <v>188</v>
      </c>
      <c r="N16" s="79"/>
      <c r="O16" s="71"/>
      <c r="P16" s="71"/>
      <c r="S16" s="44"/>
      <c r="V16" s="75">
        <v>10</v>
      </c>
      <c r="W16" s="76">
        <v>44958</v>
      </c>
      <c r="X16" s="77" t="s">
        <v>75</v>
      </c>
      <c r="Y16" s="77" t="s">
        <v>208</v>
      </c>
      <c r="Z16" s="80"/>
      <c r="AA16" s="78">
        <v>995</v>
      </c>
      <c r="AB16" s="77" t="s">
        <v>178</v>
      </c>
      <c r="AC16" s="77" t="s">
        <v>180</v>
      </c>
      <c r="AD16" s="77" t="s">
        <v>209</v>
      </c>
      <c r="AE16" s="80"/>
      <c r="AF16" s="78">
        <v>995</v>
      </c>
      <c r="AS16" s="44"/>
      <c r="BB16" s="15"/>
    </row>
    <row r="17" spans="3:54" x14ac:dyDescent="0.25">
      <c r="C17" s="71"/>
      <c r="D17" s="75">
        <v>10</v>
      </c>
      <c r="E17" s="76">
        <v>44958</v>
      </c>
      <c r="F17" s="77" t="s">
        <v>178</v>
      </c>
      <c r="G17" s="77" t="s">
        <v>208</v>
      </c>
      <c r="H17" s="77" t="s">
        <v>75</v>
      </c>
      <c r="I17" s="77" t="s">
        <v>180</v>
      </c>
      <c r="J17" s="78">
        <v>995</v>
      </c>
      <c r="K17" s="80"/>
      <c r="L17" s="77"/>
      <c r="M17" s="77" t="s">
        <v>209</v>
      </c>
      <c r="N17" s="79"/>
      <c r="O17" s="71"/>
      <c r="P17" s="71"/>
      <c r="S17" s="44"/>
      <c r="V17" s="75">
        <v>6</v>
      </c>
      <c r="W17" s="76">
        <v>44965</v>
      </c>
      <c r="X17" s="77" t="s">
        <v>139</v>
      </c>
      <c r="Y17" s="77" t="s">
        <v>189</v>
      </c>
      <c r="Z17" s="78">
        <v>65</v>
      </c>
      <c r="AA17" s="80"/>
      <c r="AB17" s="77" t="s">
        <v>86</v>
      </c>
      <c r="AC17" s="77" t="s">
        <v>180</v>
      </c>
      <c r="AD17" s="77" t="s">
        <v>192</v>
      </c>
      <c r="AE17" s="78">
        <v>65</v>
      </c>
      <c r="AF17" s="80"/>
      <c r="AS17" s="44"/>
      <c r="BB17" s="15"/>
    </row>
    <row r="18" spans="3:54" x14ac:dyDescent="0.25">
      <c r="C18" s="71"/>
      <c r="D18" s="75">
        <v>10</v>
      </c>
      <c r="E18" s="76">
        <v>44958</v>
      </c>
      <c r="F18" s="77" t="s">
        <v>178</v>
      </c>
      <c r="G18" s="77" t="s">
        <v>208</v>
      </c>
      <c r="H18" s="77" t="s">
        <v>75</v>
      </c>
      <c r="I18" s="77" t="s">
        <v>180</v>
      </c>
      <c r="J18" s="80"/>
      <c r="K18" s="78">
        <v>995</v>
      </c>
      <c r="L18" s="77"/>
      <c r="M18" s="77" t="s">
        <v>209</v>
      </c>
      <c r="N18" s="79"/>
      <c r="O18" s="71"/>
      <c r="P18" s="71"/>
      <c r="S18" s="44"/>
      <c r="V18" s="75">
        <v>6</v>
      </c>
      <c r="W18" s="76">
        <v>44965</v>
      </c>
      <c r="X18" s="77" t="s">
        <v>139</v>
      </c>
      <c r="Y18" s="77" t="s">
        <v>189</v>
      </c>
      <c r="Z18" s="80"/>
      <c r="AA18" s="78">
        <v>65</v>
      </c>
      <c r="AB18" s="77" t="s">
        <v>86</v>
      </c>
      <c r="AC18" s="77" t="s">
        <v>180</v>
      </c>
      <c r="AD18" s="77" t="s">
        <v>192</v>
      </c>
      <c r="AE18" s="80"/>
      <c r="AF18" s="78">
        <v>65</v>
      </c>
      <c r="AS18" s="44"/>
      <c r="BB18" s="15"/>
    </row>
    <row r="19" spans="3:54" x14ac:dyDescent="0.25">
      <c r="C19" s="71"/>
      <c r="D19" s="75">
        <v>6</v>
      </c>
      <c r="E19" s="76">
        <v>44965</v>
      </c>
      <c r="F19" s="77" t="s">
        <v>86</v>
      </c>
      <c r="G19" s="77" t="s">
        <v>189</v>
      </c>
      <c r="H19" s="77" t="s">
        <v>139</v>
      </c>
      <c r="I19" s="77" t="s">
        <v>180</v>
      </c>
      <c r="J19" s="78">
        <v>65</v>
      </c>
      <c r="K19" s="80"/>
      <c r="L19" s="77"/>
      <c r="M19" s="77" t="s">
        <v>192</v>
      </c>
      <c r="N19" s="79"/>
      <c r="O19" s="71"/>
      <c r="P19" s="71"/>
      <c r="S19" s="44"/>
      <c r="V19" s="75">
        <v>7</v>
      </c>
      <c r="W19" s="76">
        <v>44985</v>
      </c>
      <c r="X19" s="77" t="s">
        <v>117</v>
      </c>
      <c r="Y19" s="77" t="s">
        <v>168</v>
      </c>
      <c r="Z19" s="78">
        <v>5000</v>
      </c>
      <c r="AA19" s="80"/>
      <c r="AB19" s="77" t="s">
        <v>172</v>
      </c>
      <c r="AC19" s="77" t="s">
        <v>45</v>
      </c>
      <c r="AD19" s="77" t="s">
        <v>198</v>
      </c>
      <c r="AE19" s="78">
        <v>5000</v>
      </c>
      <c r="AF19" s="80"/>
      <c r="AS19" s="44"/>
      <c r="BB19" s="15"/>
    </row>
    <row r="20" spans="3:54" x14ac:dyDescent="0.25">
      <c r="C20" s="71"/>
      <c r="D20" s="75">
        <v>6</v>
      </c>
      <c r="E20" s="76">
        <v>44965</v>
      </c>
      <c r="F20" s="77" t="s">
        <v>86</v>
      </c>
      <c r="G20" s="77" t="s">
        <v>189</v>
      </c>
      <c r="H20" s="77" t="s">
        <v>139</v>
      </c>
      <c r="I20" s="77" t="s">
        <v>180</v>
      </c>
      <c r="J20" s="80"/>
      <c r="K20" s="78">
        <v>65</v>
      </c>
      <c r="L20" s="77"/>
      <c r="M20" s="77" t="s">
        <v>192</v>
      </c>
      <c r="N20" s="79"/>
      <c r="O20" s="71"/>
      <c r="P20" s="71"/>
      <c r="S20" s="44"/>
      <c r="V20" s="75">
        <v>7</v>
      </c>
      <c r="W20" s="76">
        <v>44985</v>
      </c>
      <c r="X20" s="77" t="s">
        <v>117</v>
      </c>
      <c r="Y20" s="77" t="s">
        <v>168</v>
      </c>
      <c r="Z20" s="80"/>
      <c r="AA20" s="78">
        <v>5000</v>
      </c>
      <c r="AB20" s="77" t="s">
        <v>172</v>
      </c>
      <c r="AC20" s="77" t="s">
        <v>45</v>
      </c>
      <c r="AD20" s="77" t="s">
        <v>198</v>
      </c>
      <c r="AE20" s="80"/>
      <c r="AF20" s="78">
        <v>5000</v>
      </c>
      <c r="AS20" s="44"/>
      <c r="BB20" s="15"/>
    </row>
    <row r="21" spans="3:54" x14ac:dyDescent="0.25">
      <c r="C21" s="71"/>
      <c r="D21" s="75">
        <v>7</v>
      </c>
      <c r="E21" s="76">
        <v>44985</v>
      </c>
      <c r="F21" s="77" t="s">
        <v>172</v>
      </c>
      <c r="G21" s="77" t="s">
        <v>168</v>
      </c>
      <c r="H21" s="77" t="s">
        <v>117</v>
      </c>
      <c r="I21" s="77" t="s">
        <v>45</v>
      </c>
      <c r="J21" s="78">
        <v>5000</v>
      </c>
      <c r="K21" s="80"/>
      <c r="L21" s="77"/>
      <c r="M21" s="77" t="s">
        <v>198</v>
      </c>
      <c r="N21" s="79"/>
      <c r="O21" s="71"/>
      <c r="P21" s="71"/>
      <c r="S21" s="44"/>
      <c r="V21" s="75">
        <v>13</v>
      </c>
      <c r="W21" s="76">
        <v>44985</v>
      </c>
      <c r="X21" s="77" t="s">
        <v>47</v>
      </c>
      <c r="Y21" s="77" t="s">
        <v>185</v>
      </c>
      <c r="Z21" s="78">
        <v>6890</v>
      </c>
      <c r="AA21" s="80"/>
      <c r="AB21" s="77" t="s">
        <v>177</v>
      </c>
      <c r="AC21" s="77" t="s">
        <v>120</v>
      </c>
      <c r="AD21" s="77" t="s">
        <v>197</v>
      </c>
      <c r="AE21" s="78">
        <v>6890</v>
      </c>
      <c r="AF21" s="80"/>
      <c r="AS21" s="44"/>
      <c r="BB21" s="15"/>
    </row>
    <row r="22" spans="3:54" x14ac:dyDescent="0.25">
      <c r="C22" s="71"/>
      <c r="D22" s="75">
        <v>7</v>
      </c>
      <c r="E22" s="76">
        <v>44985</v>
      </c>
      <c r="F22" s="77" t="s">
        <v>172</v>
      </c>
      <c r="G22" s="77" t="s">
        <v>168</v>
      </c>
      <c r="H22" s="77" t="s">
        <v>117</v>
      </c>
      <c r="I22" s="77" t="s">
        <v>45</v>
      </c>
      <c r="J22" s="80"/>
      <c r="K22" s="78">
        <v>5000</v>
      </c>
      <c r="L22" s="77"/>
      <c r="M22" s="77" t="s">
        <v>198</v>
      </c>
      <c r="N22" s="79"/>
      <c r="O22" s="71"/>
      <c r="P22" s="71"/>
      <c r="S22" s="44"/>
      <c r="V22" s="75">
        <v>13</v>
      </c>
      <c r="W22" s="76">
        <v>44985</v>
      </c>
      <c r="X22" s="77" t="s">
        <v>47</v>
      </c>
      <c r="Y22" s="77" t="s">
        <v>185</v>
      </c>
      <c r="Z22" s="80"/>
      <c r="AA22" s="78">
        <v>6890</v>
      </c>
      <c r="AB22" s="77" t="s">
        <v>177</v>
      </c>
      <c r="AC22" s="77" t="s">
        <v>120</v>
      </c>
      <c r="AD22" s="77" t="s">
        <v>197</v>
      </c>
      <c r="AE22" s="80"/>
      <c r="AF22" s="78">
        <v>6890</v>
      </c>
      <c r="AS22" s="44"/>
      <c r="BB22" s="15"/>
    </row>
    <row r="23" spans="3:54" x14ac:dyDescent="0.25">
      <c r="C23" s="71"/>
      <c r="D23" s="75">
        <v>13</v>
      </c>
      <c r="E23" s="76">
        <v>44985</v>
      </c>
      <c r="F23" s="77" t="s">
        <v>177</v>
      </c>
      <c r="G23" s="77" t="s">
        <v>185</v>
      </c>
      <c r="H23" s="77" t="s">
        <v>47</v>
      </c>
      <c r="I23" s="77" t="s">
        <v>120</v>
      </c>
      <c r="J23" s="78">
        <v>6890</v>
      </c>
      <c r="K23" s="80"/>
      <c r="L23" s="77"/>
      <c r="M23" s="77" t="s">
        <v>197</v>
      </c>
      <c r="N23" s="79"/>
      <c r="O23" s="71"/>
      <c r="P23" s="71"/>
      <c r="S23" s="44"/>
      <c r="V23" s="75">
        <v>23</v>
      </c>
      <c r="W23" s="76">
        <v>44985</v>
      </c>
      <c r="X23" s="77" t="s">
        <v>180</v>
      </c>
      <c r="Y23" s="77" t="s">
        <v>187</v>
      </c>
      <c r="Z23" s="80">
        <v>1465</v>
      </c>
      <c r="AA23" s="80"/>
      <c r="AB23" s="77" t="s">
        <v>176</v>
      </c>
      <c r="AC23" s="77" t="s">
        <v>45</v>
      </c>
      <c r="AD23" s="77" t="s">
        <v>211</v>
      </c>
      <c r="AE23" s="80">
        <v>1465</v>
      </c>
      <c r="AF23" s="80"/>
      <c r="AS23" s="44"/>
      <c r="BB23" s="15"/>
    </row>
    <row r="24" spans="3:54" x14ac:dyDescent="0.25">
      <c r="C24" s="71"/>
      <c r="D24" s="75">
        <v>13</v>
      </c>
      <c r="E24" s="76">
        <v>44985</v>
      </c>
      <c r="F24" s="77" t="s">
        <v>177</v>
      </c>
      <c r="G24" s="77" t="s">
        <v>185</v>
      </c>
      <c r="H24" s="77" t="s">
        <v>47</v>
      </c>
      <c r="I24" s="77" t="s">
        <v>120</v>
      </c>
      <c r="J24" s="80"/>
      <c r="K24" s="78">
        <v>6890</v>
      </c>
      <c r="L24" s="77"/>
      <c r="M24" s="77" t="s">
        <v>197</v>
      </c>
      <c r="N24" s="79"/>
      <c r="O24" s="71"/>
      <c r="P24" s="71"/>
      <c r="S24" s="44"/>
      <c r="V24" s="75">
        <v>23</v>
      </c>
      <c r="W24" s="76">
        <v>44985</v>
      </c>
      <c r="X24" s="77" t="s">
        <v>180</v>
      </c>
      <c r="Y24" s="77" t="s">
        <v>187</v>
      </c>
      <c r="Z24" s="80"/>
      <c r="AA24" s="80">
        <v>1465</v>
      </c>
      <c r="AB24" s="77" t="s">
        <v>176</v>
      </c>
      <c r="AC24" s="77" t="s">
        <v>45</v>
      </c>
      <c r="AD24" s="77" t="s">
        <v>211</v>
      </c>
      <c r="AE24" s="80"/>
      <c r="AF24" s="80">
        <v>1465</v>
      </c>
      <c r="AS24" s="44"/>
      <c r="BB24" s="15"/>
    </row>
    <row r="25" spans="3:54" x14ac:dyDescent="0.25">
      <c r="C25" s="71"/>
      <c r="D25" s="75">
        <v>23</v>
      </c>
      <c r="E25" s="76">
        <v>44985</v>
      </c>
      <c r="F25" s="77" t="s">
        <v>176</v>
      </c>
      <c r="G25" s="77" t="s">
        <v>187</v>
      </c>
      <c r="H25" s="77" t="s">
        <v>180</v>
      </c>
      <c r="I25" s="77" t="s">
        <v>45</v>
      </c>
      <c r="J25" s="80">
        <v>1465</v>
      </c>
      <c r="K25" s="80"/>
      <c r="L25" s="77"/>
      <c r="M25" s="77" t="s">
        <v>211</v>
      </c>
      <c r="N25" s="79"/>
      <c r="O25" s="71"/>
      <c r="P25" s="71"/>
      <c r="S25" s="44"/>
      <c r="V25" s="75">
        <v>9</v>
      </c>
      <c r="W25" s="76">
        <v>44986</v>
      </c>
      <c r="X25" s="77" t="s">
        <v>147</v>
      </c>
      <c r="Y25" s="77" t="s">
        <v>181</v>
      </c>
      <c r="Z25" s="78">
        <v>192</v>
      </c>
      <c r="AA25" s="80"/>
      <c r="AB25" s="77" t="s">
        <v>86</v>
      </c>
      <c r="AC25" s="77" t="s">
        <v>180</v>
      </c>
      <c r="AD25" s="77" t="s">
        <v>200</v>
      </c>
      <c r="AE25" s="78">
        <v>192</v>
      </c>
      <c r="AF25" s="80"/>
      <c r="AS25" s="44"/>
      <c r="BB25" s="15"/>
    </row>
    <row r="26" spans="3:54" x14ac:dyDescent="0.25">
      <c r="C26" s="71"/>
      <c r="D26" s="75">
        <v>23</v>
      </c>
      <c r="E26" s="76">
        <v>44985</v>
      </c>
      <c r="F26" s="77" t="s">
        <v>176</v>
      </c>
      <c r="G26" s="77" t="s">
        <v>187</v>
      </c>
      <c r="H26" s="77" t="s">
        <v>180</v>
      </c>
      <c r="I26" s="77" t="s">
        <v>45</v>
      </c>
      <c r="J26" s="80"/>
      <c r="K26" s="80">
        <v>1465</v>
      </c>
      <c r="L26" s="77"/>
      <c r="M26" s="77" t="s">
        <v>211</v>
      </c>
      <c r="N26" s="79"/>
      <c r="O26" s="71"/>
      <c r="P26" s="71"/>
      <c r="S26" s="44"/>
      <c r="V26" s="75">
        <v>9</v>
      </c>
      <c r="W26" s="76">
        <v>44986</v>
      </c>
      <c r="X26" s="77" t="s">
        <v>147</v>
      </c>
      <c r="Y26" s="77" t="s">
        <v>181</v>
      </c>
      <c r="Z26" s="80"/>
      <c r="AA26" s="78">
        <v>192</v>
      </c>
      <c r="AB26" s="77" t="s">
        <v>86</v>
      </c>
      <c r="AC26" s="77" t="s">
        <v>180</v>
      </c>
      <c r="AD26" s="77" t="s">
        <v>200</v>
      </c>
      <c r="AE26" s="80"/>
      <c r="AF26" s="78">
        <v>192</v>
      </c>
      <c r="AS26" s="44"/>
      <c r="BB26" s="15"/>
    </row>
    <row r="27" spans="3:54" x14ac:dyDescent="0.25">
      <c r="C27" s="71"/>
      <c r="D27" s="75">
        <v>9</v>
      </c>
      <c r="E27" s="76">
        <v>44986</v>
      </c>
      <c r="F27" s="77" t="s">
        <v>86</v>
      </c>
      <c r="G27" s="77" t="s">
        <v>181</v>
      </c>
      <c r="H27" s="77" t="s">
        <v>147</v>
      </c>
      <c r="I27" s="77" t="s">
        <v>180</v>
      </c>
      <c r="J27" s="78">
        <v>192</v>
      </c>
      <c r="K27" s="80"/>
      <c r="L27" s="77"/>
      <c r="M27" s="77" t="s">
        <v>200</v>
      </c>
      <c r="N27" s="79"/>
      <c r="O27" s="71"/>
      <c r="P27" s="71"/>
      <c r="S27" s="44"/>
      <c r="V27" s="75">
        <v>8</v>
      </c>
      <c r="W27" s="76">
        <v>44987</v>
      </c>
      <c r="X27" s="77" t="s">
        <v>71</v>
      </c>
      <c r="Y27" s="77" t="s">
        <v>181</v>
      </c>
      <c r="Z27" s="78">
        <v>699</v>
      </c>
      <c r="AA27" s="80"/>
      <c r="AB27" s="77" t="s">
        <v>86</v>
      </c>
      <c r="AC27" s="77" t="s">
        <v>180</v>
      </c>
      <c r="AD27" s="77" t="s">
        <v>199</v>
      </c>
      <c r="AE27" s="78">
        <v>699</v>
      </c>
      <c r="AF27" s="80"/>
      <c r="AS27" s="44"/>
      <c r="BB27" s="15"/>
    </row>
    <row r="28" spans="3:54" x14ac:dyDescent="0.25">
      <c r="C28" s="71"/>
      <c r="D28" s="75">
        <v>9</v>
      </c>
      <c r="E28" s="76">
        <v>44986</v>
      </c>
      <c r="F28" s="77" t="s">
        <v>86</v>
      </c>
      <c r="G28" s="77" t="s">
        <v>181</v>
      </c>
      <c r="H28" s="77" t="s">
        <v>147</v>
      </c>
      <c r="I28" s="77" t="s">
        <v>180</v>
      </c>
      <c r="J28" s="80"/>
      <c r="K28" s="78">
        <v>192</v>
      </c>
      <c r="L28" s="77"/>
      <c r="M28" s="77" t="s">
        <v>200</v>
      </c>
      <c r="N28" s="79"/>
      <c r="O28" s="71"/>
      <c r="P28" s="71"/>
      <c r="S28" s="44"/>
      <c r="V28" s="75">
        <v>8</v>
      </c>
      <c r="W28" s="76">
        <v>44987</v>
      </c>
      <c r="X28" s="77" t="s">
        <v>71</v>
      </c>
      <c r="Y28" s="77" t="s">
        <v>181</v>
      </c>
      <c r="Z28" s="80"/>
      <c r="AA28" s="78">
        <v>699</v>
      </c>
      <c r="AB28" s="77" t="s">
        <v>86</v>
      </c>
      <c r="AC28" s="77" t="s">
        <v>180</v>
      </c>
      <c r="AD28" s="77" t="s">
        <v>199</v>
      </c>
      <c r="AE28" s="80"/>
      <c r="AF28" s="78">
        <v>699</v>
      </c>
      <c r="AS28" s="44"/>
      <c r="BB28" s="15"/>
    </row>
    <row r="29" spans="3:54" x14ac:dyDescent="0.25">
      <c r="C29" s="71"/>
      <c r="D29" s="75">
        <v>8</v>
      </c>
      <c r="E29" s="76">
        <v>44987</v>
      </c>
      <c r="F29" s="77" t="s">
        <v>86</v>
      </c>
      <c r="G29" s="77" t="s">
        <v>181</v>
      </c>
      <c r="H29" s="77" t="s">
        <v>71</v>
      </c>
      <c r="I29" s="77" t="s">
        <v>180</v>
      </c>
      <c r="J29" s="78">
        <v>699</v>
      </c>
      <c r="K29" s="80"/>
      <c r="L29" s="77"/>
      <c r="M29" s="77" t="s">
        <v>199</v>
      </c>
      <c r="N29" s="79"/>
      <c r="O29" s="71"/>
      <c r="P29" s="71"/>
      <c r="S29" s="44"/>
      <c r="V29" s="75">
        <v>12</v>
      </c>
      <c r="W29" s="76">
        <v>45016</v>
      </c>
      <c r="X29" s="77" t="s">
        <v>117</v>
      </c>
      <c r="Y29" s="77" t="s">
        <v>168</v>
      </c>
      <c r="Z29" s="78">
        <v>5000</v>
      </c>
      <c r="AA29" s="80"/>
      <c r="AB29" s="77" t="s">
        <v>172</v>
      </c>
      <c r="AC29" s="77" t="s">
        <v>45</v>
      </c>
      <c r="AD29" s="77" t="s">
        <v>210</v>
      </c>
      <c r="AE29" s="78">
        <v>5000</v>
      </c>
      <c r="AF29" s="80"/>
      <c r="AS29" s="44"/>
      <c r="BB29" s="15"/>
    </row>
    <row r="30" spans="3:54" x14ac:dyDescent="0.25">
      <c r="C30" s="71"/>
      <c r="D30" s="75">
        <v>8</v>
      </c>
      <c r="E30" s="76">
        <v>44987</v>
      </c>
      <c r="F30" s="77" t="s">
        <v>86</v>
      </c>
      <c r="G30" s="77" t="s">
        <v>181</v>
      </c>
      <c r="H30" s="77" t="s">
        <v>71</v>
      </c>
      <c r="I30" s="77" t="s">
        <v>180</v>
      </c>
      <c r="J30" s="80"/>
      <c r="K30" s="78">
        <v>699</v>
      </c>
      <c r="L30" s="77"/>
      <c r="M30" s="77" t="s">
        <v>199</v>
      </c>
      <c r="N30" s="79"/>
      <c r="O30" s="71"/>
      <c r="P30" s="71"/>
      <c r="S30" s="44"/>
      <c r="V30" s="75">
        <v>12</v>
      </c>
      <c r="W30" s="76">
        <v>45016</v>
      </c>
      <c r="X30" s="77" t="s">
        <v>117</v>
      </c>
      <c r="Y30" s="77" t="s">
        <v>168</v>
      </c>
      <c r="Z30" s="80"/>
      <c r="AA30" s="78">
        <v>5000</v>
      </c>
      <c r="AB30" s="77" t="s">
        <v>172</v>
      </c>
      <c r="AC30" s="77" t="s">
        <v>45</v>
      </c>
      <c r="AD30" s="77" t="s">
        <v>210</v>
      </c>
      <c r="AE30" s="80"/>
      <c r="AF30" s="78">
        <v>5000</v>
      </c>
    </row>
    <row r="31" spans="3:54" x14ac:dyDescent="0.25">
      <c r="C31" s="71"/>
      <c r="D31" s="75">
        <v>12</v>
      </c>
      <c r="E31" s="76">
        <v>45016</v>
      </c>
      <c r="F31" s="77" t="s">
        <v>172</v>
      </c>
      <c r="G31" s="77" t="s">
        <v>168</v>
      </c>
      <c r="H31" s="77" t="s">
        <v>117</v>
      </c>
      <c r="I31" s="77" t="s">
        <v>45</v>
      </c>
      <c r="J31" s="78">
        <v>5000</v>
      </c>
      <c r="K31" s="80"/>
      <c r="L31" s="77"/>
      <c r="M31" s="77" t="s">
        <v>210</v>
      </c>
      <c r="N31" s="79"/>
      <c r="O31" s="71"/>
      <c r="P31" s="71"/>
      <c r="S31" s="44"/>
      <c r="V31" s="75">
        <v>15</v>
      </c>
      <c r="W31" s="76">
        <v>45016</v>
      </c>
      <c r="X31" s="77" t="s">
        <v>47</v>
      </c>
      <c r="Y31" s="77" t="s">
        <v>183</v>
      </c>
      <c r="Z31" s="80">
        <v>2298.4899999999998</v>
      </c>
      <c r="AA31" s="80"/>
      <c r="AB31" s="77" t="s">
        <v>177</v>
      </c>
      <c r="AC31" s="77" t="s">
        <v>120</v>
      </c>
      <c r="AD31" s="77" t="s">
        <v>207</v>
      </c>
      <c r="AE31" s="80">
        <v>2298.4899999999998</v>
      </c>
      <c r="AF31" s="80"/>
    </row>
    <row r="32" spans="3:54" x14ac:dyDescent="0.25">
      <c r="C32" s="71"/>
      <c r="D32" s="75">
        <v>12</v>
      </c>
      <c r="E32" s="76">
        <v>45016</v>
      </c>
      <c r="F32" s="77" t="s">
        <v>172</v>
      </c>
      <c r="G32" s="77" t="s">
        <v>168</v>
      </c>
      <c r="H32" s="77" t="s">
        <v>117</v>
      </c>
      <c r="I32" s="77" t="s">
        <v>45</v>
      </c>
      <c r="J32" s="80"/>
      <c r="K32" s="78">
        <v>5000</v>
      </c>
      <c r="L32" s="77"/>
      <c r="M32" s="77" t="s">
        <v>210</v>
      </c>
      <c r="N32" s="79"/>
      <c r="O32" s="71"/>
      <c r="P32" s="71"/>
      <c r="S32" s="44"/>
      <c r="V32" s="75">
        <v>15</v>
      </c>
      <c r="W32" s="76">
        <v>45016</v>
      </c>
      <c r="X32" s="77" t="s">
        <v>47</v>
      </c>
      <c r="Y32" s="77" t="s">
        <v>183</v>
      </c>
      <c r="Z32" s="80"/>
      <c r="AA32" s="80">
        <v>2298.4899999999998</v>
      </c>
      <c r="AB32" s="77" t="s">
        <v>177</v>
      </c>
      <c r="AC32" s="77" t="s">
        <v>120</v>
      </c>
      <c r="AD32" s="77" t="s">
        <v>207</v>
      </c>
      <c r="AE32" s="80"/>
      <c r="AF32" s="80">
        <v>2298.4899999999998</v>
      </c>
    </row>
    <row r="33" spans="3:32" x14ac:dyDescent="0.25">
      <c r="C33" s="71"/>
      <c r="D33" s="75">
        <v>15</v>
      </c>
      <c r="E33" s="76">
        <v>45016</v>
      </c>
      <c r="F33" s="77" t="s">
        <v>177</v>
      </c>
      <c r="G33" s="77" t="s">
        <v>183</v>
      </c>
      <c r="H33" s="77" t="s">
        <v>47</v>
      </c>
      <c r="I33" s="77" t="s">
        <v>120</v>
      </c>
      <c r="J33" s="80">
        <v>2298.4899999999998</v>
      </c>
      <c r="K33" s="80"/>
      <c r="L33" s="77"/>
      <c r="M33" s="77" t="s">
        <v>207</v>
      </c>
      <c r="N33" s="79"/>
      <c r="O33" s="71"/>
      <c r="P33" s="71"/>
      <c r="S33" s="44"/>
      <c r="V33" s="75">
        <v>24</v>
      </c>
      <c r="W33" s="76">
        <v>45016</v>
      </c>
      <c r="X33" s="77" t="s">
        <v>180</v>
      </c>
      <c r="Y33" s="77" t="s">
        <v>187</v>
      </c>
      <c r="Z33" s="80">
        <v>891</v>
      </c>
      <c r="AA33" s="80"/>
      <c r="AB33" s="77" t="s">
        <v>176</v>
      </c>
      <c r="AC33" s="77" t="s">
        <v>45</v>
      </c>
      <c r="AD33" s="77" t="s">
        <v>311</v>
      </c>
      <c r="AE33" s="80">
        <v>891</v>
      </c>
      <c r="AF33" s="80"/>
    </row>
    <row r="34" spans="3:32" x14ac:dyDescent="0.25">
      <c r="C34" s="71"/>
      <c r="D34" s="75">
        <v>15</v>
      </c>
      <c r="E34" s="76">
        <v>45016</v>
      </c>
      <c r="F34" s="77" t="s">
        <v>177</v>
      </c>
      <c r="G34" s="77" t="s">
        <v>183</v>
      </c>
      <c r="H34" s="77" t="s">
        <v>47</v>
      </c>
      <c r="I34" s="77" t="s">
        <v>120</v>
      </c>
      <c r="J34" s="80"/>
      <c r="K34" s="80">
        <v>2298.4899999999998</v>
      </c>
      <c r="L34" s="77"/>
      <c r="M34" s="77" t="s">
        <v>207</v>
      </c>
      <c r="N34" s="79"/>
      <c r="O34" s="71"/>
      <c r="P34" s="71"/>
      <c r="S34" s="44"/>
      <c r="V34" s="75">
        <v>24</v>
      </c>
      <c r="W34" s="76">
        <v>45016</v>
      </c>
      <c r="X34" s="77" t="s">
        <v>180</v>
      </c>
      <c r="Y34" s="77" t="s">
        <v>187</v>
      </c>
      <c r="Z34" s="80"/>
      <c r="AA34" s="80">
        <v>891</v>
      </c>
      <c r="AB34" s="77" t="s">
        <v>176</v>
      </c>
      <c r="AC34" s="77" t="s">
        <v>45</v>
      </c>
      <c r="AD34" s="77" t="s">
        <v>311</v>
      </c>
      <c r="AE34" s="80"/>
      <c r="AF34" s="80">
        <v>891</v>
      </c>
    </row>
    <row r="35" spans="3:32" x14ac:dyDescent="0.25">
      <c r="C35" s="71"/>
      <c r="D35" s="75">
        <v>24</v>
      </c>
      <c r="E35" s="76">
        <v>45016</v>
      </c>
      <c r="F35" s="77" t="s">
        <v>176</v>
      </c>
      <c r="G35" s="77" t="s">
        <v>187</v>
      </c>
      <c r="H35" s="77" t="s">
        <v>180</v>
      </c>
      <c r="I35" s="77" t="s">
        <v>45</v>
      </c>
      <c r="J35" s="80">
        <v>891</v>
      </c>
      <c r="K35" s="80"/>
      <c r="L35" s="77"/>
      <c r="M35" s="77" t="s">
        <v>311</v>
      </c>
      <c r="N35" s="79"/>
      <c r="O35" s="71"/>
      <c r="P35" s="71"/>
      <c r="S35" s="44"/>
      <c r="V35" s="75">
        <v>21</v>
      </c>
      <c r="W35" s="76">
        <v>45036</v>
      </c>
      <c r="X35" s="77" t="s">
        <v>45</v>
      </c>
      <c r="Y35" s="77" t="s">
        <v>185</v>
      </c>
      <c r="Z35" s="80">
        <v>6890</v>
      </c>
      <c r="AA35" s="80"/>
      <c r="AB35" s="77" t="s">
        <v>176</v>
      </c>
      <c r="AC35" s="77" t="s">
        <v>47</v>
      </c>
      <c r="AD35" s="77" t="s">
        <v>197</v>
      </c>
      <c r="AE35" s="80">
        <v>6890</v>
      </c>
      <c r="AF35" s="80"/>
    </row>
    <row r="36" spans="3:32" x14ac:dyDescent="0.25">
      <c r="C36" s="71"/>
      <c r="D36" s="75">
        <v>24</v>
      </c>
      <c r="E36" s="76">
        <v>45016</v>
      </c>
      <c r="F36" s="77" t="s">
        <v>176</v>
      </c>
      <c r="G36" s="77" t="s">
        <v>187</v>
      </c>
      <c r="H36" s="77" t="s">
        <v>180</v>
      </c>
      <c r="I36" s="77" t="s">
        <v>45</v>
      </c>
      <c r="J36" s="80"/>
      <c r="K36" s="80">
        <v>891</v>
      </c>
      <c r="L36" s="77"/>
      <c r="M36" s="77" t="s">
        <v>311</v>
      </c>
      <c r="N36" s="79"/>
      <c r="O36" s="71"/>
      <c r="P36" s="71"/>
      <c r="S36" s="44"/>
      <c r="V36" s="75">
        <v>21</v>
      </c>
      <c r="W36" s="76">
        <v>45036</v>
      </c>
      <c r="X36" s="77" t="s">
        <v>45</v>
      </c>
      <c r="Y36" s="77" t="s">
        <v>185</v>
      </c>
      <c r="Z36" s="80"/>
      <c r="AA36" s="80">
        <v>6890</v>
      </c>
      <c r="AB36" s="77" t="s">
        <v>176</v>
      </c>
      <c r="AC36" s="77" t="s">
        <v>47</v>
      </c>
      <c r="AD36" s="77" t="s">
        <v>197</v>
      </c>
      <c r="AE36" s="80"/>
      <c r="AF36" s="80">
        <v>6890</v>
      </c>
    </row>
    <row r="37" spans="3:32" x14ac:dyDescent="0.25">
      <c r="C37" s="71"/>
      <c r="D37" s="75">
        <v>21</v>
      </c>
      <c r="E37" s="76">
        <v>45036</v>
      </c>
      <c r="F37" s="77" t="s">
        <v>176</v>
      </c>
      <c r="G37" s="77" t="s">
        <v>185</v>
      </c>
      <c r="H37" s="77" t="s">
        <v>45</v>
      </c>
      <c r="I37" s="77" t="s">
        <v>47</v>
      </c>
      <c r="J37" s="80">
        <v>6890</v>
      </c>
      <c r="K37" s="80"/>
      <c r="L37" s="77"/>
      <c r="M37" s="77" t="s">
        <v>197</v>
      </c>
      <c r="N37" s="79"/>
      <c r="O37" s="71"/>
      <c r="P37" s="71"/>
      <c r="S37" s="44"/>
      <c r="V37" s="75">
        <v>16</v>
      </c>
      <c r="W37" s="76">
        <v>45046</v>
      </c>
      <c r="X37" s="77" t="s">
        <v>117</v>
      </c>
      <c r="Y37" s="77" t="s">
        <v>168</v>
      </c>
      <c r="Z37" s="80">
        <v>5000</v>
      </c>
      <c r="AA37" s="80"/>
      <c r="AB37" s="77" t="s">
        <v>172</v>
      </c>
      <c r="AC37" s="77" t="s">
        <v>45</v>
      </c>
      <c r="AD37" s="77" t="s">
        <v>305</v>
      </c>
      <c r="AE37" s="80">
        <v>5000</v>
      </c>
      <c r="AF37" s="80"/>
    </row>
    <row r="38" spans="3:32" x14ac:dyDescent="0.25">
      <c r="C38" s="71"/>
      <c r="D38" s="75">
        <v>21</v>
      </c>
      <c r="E38" s="76">
        <v>45036</v>
      </c>
      <c r="F38" s="77" t="s">
        <v>176</v>
      </c>
      <c r="G38" s="77" t="s">
        <v>185</v>
      </c>
      <c r="H38" s="77" t="s">
        <v>45</v>
      </c>
      <c r="I38" s="77" t="s">
        <v>47</v>
      </c>
      <c r="J38" s="80"/>
      <c r="K38" s="80">
        <v>6890</v>
      </c>
      <c r="L38" s="77"/>
      <c r="M38" s="77" t="s">
        <v>197</v>
      </c>
      <c r="N38" s="79"/>
      <c r="O38" s="71"/>
      <c r="P38" s="71"/>
      <c r="S38" s="44"/>
      <c r="V38" s="75">
        <v>16</v>
      </c>
      <c r="W38" s="76">
        <v>45046</v>
      </c>
      <c r="X38" s="77" t="s">
        <v>117</v>
      </c>
      <c r="Y38" s="77" t="s">
        <v>168</v>
      </c>
      <c r="Z38" s="80"/>
      <c r="AA38" s="80">
        <v>5000</v>
      </c>
      <c r="AB38" s="77" t="s">
        <v>172</v>
      </c>
      <c r="AC38" s="77" t="s">
        <v>45</v>
      </c>
      <c r="AD38" s="77" t="s">
        <v>305</v>
      </c>
      <c r="AE38" s="80"/>
      <c r="AF38" s="80">
        <v>5000</v>
      </c>
    </row>
    <row r="39" spans="3:32" x14ac:dyDescent="0.25">
      <c r="C39" s="71"/>
      <c r="D39" s="75">
        <v>16</v>
      </c>
      <c r="E39" s="76">
        <v>45046</v>
      </c>
      <c r="F39" s="77" t="s">
        <v>172</v>
      </c>
      <c r="G39" s="77" t="s">
        <v>168</v>
      </c>
      <c r="H39" s="77" t="s">
        <v>117</v>
      </c>
      <c r="I39" s="77" t="s">
        <v>45</v>
      </c>
      <c r="J39" s="80">
        <v>5000</v>
      </c>
      <c r="K39" s="80"/>
      <c r="L39" s="77"/>
      <c r="M39" s="77" t="s">
        <v>305</v>
      </c>
      <c r="N39" s="79"/>
      <c r="O39" s="71"/>
      <c r="P39" s="71"/>
      <c r="S39" s="44"/>
      <c r="V39" s="75">
        <v>11</v>
      </c>
      <c r="W39" s="76">
        <v>45057</v>
      </c>
      <c r="X39" s="77" t="s">
        <v>45</v>
      </c>
      <c r="Y39" s="77" t="s">
        <v>184</v>
      </c>
      <c r="Z39" s="78">
        <v>3445</v>
      </c>
      <c r="AA39" s="80"/>
      <c r="AB39" s="77" t="s">
        <v>176</v>
      </c>
      <c r="AC39" s="77" t="s">
        <v>47</v>
      </c>
      <c r="AD39" s="77" t="s">
        <v>186</v>
      </c>
      <c r="AE39" s="78">
        <v>3445</v>
      </c>
      <c r="AF39" s="80"/>
    </row>
    <row r="40" spans="3:32" x14ac:dyDescent="0.25">
      <c r="C40" s="71"/>
      <c r="D40" s="75">
        <v>16</v>
      </c>
      <c r="E40" s="76">
        <v>45046</v>
      </c>
      <c r="F40" s="77" t="s">
        <v>172</v>
      </c>
      <c r="G40" s="77" t="s">
        <v>168</v>
      </c>
      <c r="H40" s="77" t="s">
        <v>117</v>
      </c>
      <c r="I40" s="77" t="s">
        <v>45</v>
      </c>
      <c r="J40" s="80"/>
      <c r="K40" s="80">
        <v>5000</v>
      </c>
      <c r="L40" s="77"/>
      <c r="M40" s="77" t="s">
        <v>305</v>
      </c>
      <c r="N40" s="79"/>
      <c r="O40" s="71"/>
      <c r="P40" s="71"/>
      <c r="S40" s="44"/>
      <c r="V40" s="75">
        <v>11</v>
      </c>
      <c r="W40" s="76">
        <v>45057</v>
      </c>
      <c r="X40" s="77" t="s">
        <v>45</v>
      </c>
      <c r="Y40" s="77" t="s">
        <v>184</v>
      </c>
      <c r="Z40" s="80"/>
      <c r="AA40" s="78">
        <v>3445</v>
      </c>
      <c r="AB40" s="77" t="s">
        <v>176</v>
      </c>
      <c r="AC40" s="77" t="s">
        <v>47</v>
      </c>
      <c r="AD40" s="77" t="s">
        <v>186</v>
      </c>
      <c r="AE40" s="80"/>
      <c r="AF40" s="78">
        <v>3445</v>
      </c>
    </row>
    <row r="41" spans="3:32" x14ac:dyDescent="0.25">
      <c r="C41" s="71"/>
      <c r="D41" s="75">
        <v>11</v>
      </c>
      <c r="E41" s="76">
        <v>45057</v>
      </c>
      <c r="F41" s="77" t="s">
        <v>176</v>
      </c>
      <c r="G41" s="77" t="s">
        <v>184</v>
      </c>
      <c r="H41" s="77" t="s">
        <v>45</v>
      </c>
      <c r="I41" s="77" t="s">
        <v>47</v>
      </c>
      <c r="J41" s="78">
        <v>3445</v>
      </c>
      <c r="K41" s="80"/>
      <c r="L41" s="77"/>
      <c r="M41" s="77" t="s">
        <v>186</v>
      </c>
      <c r="N41" s="79"/>
      <c r="O41" s="71"/>
      <c r="P41" s="71"/>
      <c r="S41" s="44"/>
      <c r="V41" s="75">
        <v>17</v>
      </c>
      <c r="W41" s="76">
        <v>45066</v>
      </c>
      <c r="X41" s="77" t="s">
        <v>139</v>
      </c>
      <c r="Y41" s="77" t="s">
        <v>189</v>
      </c>
      <c r="Z41" s="80">
        <v>198</v>
      </c>
      <c r="AA41" s="80"/>
      <c r="AB41" s="77" t="s">
        <v>86</v>
      </c>
      <c r="AC41" s="77" t="s">
        <v>180</v>
      </c>
      <c r="AD41" s="77" t="s">
        <v>212</v>
      </c>
      <c r="AE41" s="80">
        <v>198</v>
      </c>
      <c r="AF41" s="80"/>
    </row>
    <row r="42" spans="3:32" x14ac:dyDescent="0.25">
      <c r="C42" s="71"/>
      <c r="D42" s="75">
        <v>11</v>
      </c>
      <c r="E42" s="76">
        <v>45057</v>
      </c>
      <c r="F42" s="77" t="s">
        <v>176</v>
      </c>
      <c r="G42" s="77" t="s">
        <v>184</v>
      </c>
      <c r="H42" s="77" t="s">
        <v>45</v>
      </c>
      <c r="I42" s="77" t="s">
        <v>47</v>
      </c>
      <c r="J42" s="80"/>
      <c r="K42" s="78">
        <v>3445</v>
      </c>
      <c r="L42" s="77"/>
      <c r="M42" s="77" t="s">
        <v>186</v>
      </c>
      <c r="N42" s="79"/>
      <c r="O42" s="71"/>
      <c r="P42" s="71"/>
      <c r="S42" s="44"/>
      <c r="V42" s="75">
        <v>17</v>
      </c>
      <c r="W42" s="76">
        <v>45066</v>
      </c>
      <c r="X42" s="77" t="s">
        <v>139</v>
      </c>
      <c r="Y42" s="77" t="s">
        <v>189</v>
      </c>
      <c r="Z42" s="80"/>
      <c r="AA42" s="80">
        <v>198</v>
      </c>
      <c r="AB42" s="77" t="s">
        <v>86</v>
      </c>
      <c r="AC42" s="77" t="s">
        <v>180</v>
      </c>
      <c r="AD42" s="77" t="s">
        <v>212</v>
      </c>
      <c r="AE42" s="80"/>
      <c r="AF42" s="80">
        <v>198</v>
      </c>
    </row>
    <row r="43" spans="3:32" x14ac:dyDescent="0.25">
      <c r="C43" s="71"/>
      <c r="D43" s="75">
        <v>17</v>
      </c>
      <c r="E43" s="76">
        <v>45066</v>
      </c>
      <c r="F43" s="77" t="s">
        <v>86</v>
      </c>
      <c r="G43" s="77" t="s">
        <v>189</v>
      </c>
      <c r="H43" s="77" t="s">
        <v>139</v>
      </c>
      <c r="I43" s="77" t="s">
        <v>180</v>
      </c>
      <c r="J43" s="80">
        <v>198</v>
      </c>
      <c r="K43" s="80"/>
      <c r="L43" s="77"/>
      <c r="M43" s="77" t="s">
        <v>212</v>
      </c>
      <c r="N43" s="79"/>
      <c r="O43" s="71"/>
      <c r="P43" s="71"/>
      <c r="V43" s="75">
        <v>18</v>
      </c>
      <c r="W43" s="76">
        <v>45077</v>
      </c>
      <c r="X43" s="77" t="s">
        <v>117</v>
      </c>
      <c r="Y43" s="77" t="s">
        <v>168</v>
      </c>
      <c r="Z43" s="80">
        <v>5000</v>
      </c>
      <c r="AA43" s="80"/>
      <c r="AB43" s="77" t="s">
        <v>172</v>
      </c>
      <c r="AC43" s="77" t="s">
        <v>45</v>
      </c>
      <c r="AD43" s="77" t="s">
        <v>306</v>
      </c>
      <c r="AE43" s="80">
        <v>5000</v>
      </c>
      <c r="AF43" s="80"/>
    </row>
    <row r="44" spans="3:32" x14ac:dyDescent="0.25">
      <c r="C44" s="71"/>
      <c r="D44" s="75">
        <v>17</v>
      </c>
      <c r="E44" s="76">
        <v>45066</v>
      </c>
      <c r="F44" s="77" t="s">
        <v>86</v>
      </c>
      <c r="G44" s="77" t="s">
        <v>189</v>
      </c>
      <c r="H44" s="77" t="s">
        <v>139</v>
      </c>
      <c r="I44" s="77" t="s">
        <v>180</v>
      </c>
      <c r="J44" s="80"/>
      <c r="K44" s="80">
        <v>198</v>
      </c>
      <c r="L44" s="77"/>
      <c r="M44" s="77" t="s">
        <v>212</v>
      </c>
      <c r="N44" s="79"/>
      <c r="O44" s="71"/>
      <c r="P44" s="71"/>
      <c r="V44" s="75">
        <v>18</v>
      </c>
      <c r="W44" s="76">
        <v>45077</v>
      </c>
      <c r="X44" s="77" t="s">
        <v>117</v>
      </c>
      <c r="Y44" s="77" t="s">
        <v>168</v>
      </c>
      <c r="Z44" s="80"/>
      <c r="AA44" s="80">
        <v>5000</v>
      </c>
      <c r="AB44" s="77" t="s">
        <v>172</v>
      </c>
      <c r="AC44" s="77" t="s">
        <v>45</v>
      </c>
      <c r="AD44" s="77" t="s">
        <v>306</v>
      </c>
      <c r="AE44" s="80"/>
      <c r="AF44" s="80">
        <v>5000</v>
      </c>
    </row>
    <row r="45" spans="3:32" x14ac:dyDescent="0.25">
      <c r="C45" s="71"/>
      <c r="D45" s="75">
        <v>18</v>
      </c>
      <c r="E45" s="76">
        <v>45077</v>
      </c>
      <c r="F45" s="77" t="s">
        <v>172</v>
      </c>
      <c r="G45" s="77" t="s">
        <v>168</v>
      </c>
      <c r="H45" s="77" t="s">
        <v>117</v>
      </c>
      <c r="I45" s="77" t="s">
        <v>45</v>
      </c>
      <c r="J45" s="80">
        <v>5000</v>
      </c>
      <c r="K45" s="80"/>
      <c r="L45" s="77"/>
      <c r="M45" s="77" t="s">
        <v>306</v>
      </c>
      <c r="N45" s="79"/>
      <c r="O45" s="71"/>
      <c r="P45" s="71"/>
      <c r="V45" s="75">
        <v>20</v>
      </c>
      <c r="W45" s="76">
        <v>45077</v>
      </c>
      <c r="X45" s="77" t="s">
        <v>47</v>
      </c>
      <c r="Y45" s="77" t="s">
        <v>304</v>
      </c>
      <c r="Z45" s="80">
        <v>12000</v>
      </c>
      <c r="AA45" s="80"/>
      <c r="AB45" s="77" t="s">
        <v>177</v>
      </c>
      <c r="AC45" s="77" t="s">
        <v>120</v>
      </c>
      <c r="AD45" s="77" t="s">
        <v>308</v>
      </c>
      <c r="AE45" s="80">
        <v>12000</v>
      </c>
      <c r="AF45" s="80"/>
    </row>
    <row r="46" spans="3:32" x14ac:dyDescent="0.25">
      <c r="C46" s="71"/>
      <c r="D46" s="75">
        <v>18</v>
      </c>
      <c r="E46" s="76">
        <v>45077</v>
      </c>
      <c r="F46" s="77" t="s">
        <v>172</v>
      </c>
      <c r="G46" s="77" t="s">
        <v>168</v>
      </c>
      <c r="H46" s="77" t="s">
        <v>117</v>
      </c>
      <c r="I46" s="77" t="s">
        <v>45</v>
      </c>
      <c r="J46" s="80"/>
      <c r="K46" s="80">
        <v>5000</v>
      </c>
      <c r="L46" s="77"/>
      <c r="M46" s="77" t="s">
        <v>306</v>
      </c>
      <c r="N46" s="79"/>
      <c r="O46" s="71"/>
      <c r="P46" s="71"/>
      <c r="V46" s="75">
        <v>20</v>
      </c>
      <c r="W46" s="76">
        <v>45077</v>
      </c>
      <c r="X46" s="77" t="s">
        <v>47</v>
      </c>
      <c r="Y46" s="77" t="s">
        <v>304</v>
      </c>
      <c r="Z46" s="80"/>
      <c r="AA46" s="80">
        <v>12000</v>
      </c>
      <c r="AB46" s="77" t="s">
        <v>177</v>
      </c>
      <c r="AC46" s="77" t="s">
        <v>120</v>
      </c>
      <c r="AD46" s="77" t="s">
        <v>308</v>
      </c>
      <c r="AE46" s="80"/>
      <c r="AF46" s="80">
        <v>12000</v>
      </c>
    </row>
    <row r="47" spans="3:32" x14ac:dyDescent="0.25">
      <c r="C47" s="71"/>
      <c r="D47" s="75">
        <v>20</v>
      </c>
      <c r="E47" s="76">
        <v>45077</v>
      </c>
      <c r="F47" s="77" t="s">
        <v>177</v>
      </c>
      <c r="G47" s="77" t="s">
        <v>304</v>
      </c>
      <c r="H47" s="77" t="s">
        <v>47</v>
      </c>
      <c r="I47" s="77" t="s">
        <v>120</v>
      </c>
      <c r="J47" s="80">
        <v>12000</v>
      </c>
      <c r="K47" s="80"/>
      <c r="L47" s="77"/>
      <c r="M47" s="77" t="s">
        <v>308</v>
      </c>
      <c r="N47" s="79"/>
      <c r="O47" s="71"/>
      <c r="P47" s="71"/>
      <c r="V47" s="75">
        <v>25</v>
      </c>
      <c r="W47" s="76">
        <v>45077</v>
      </c>
      <c r="X47" s="77" t="s">
        <v>180</v>
      </c>
      <c r="Y47" s="77" t="s">
        <v>187</v>
      </c>
      <c r="Z47" s="80">
        <v>198</v>
      </c>
      <c r="AA47" s="80"/>
      <c r="AB47" s="77" t="s">
        <v>176</v>
      </c>
      <c r="AC47" s="77" t="s">
        <v>45</v>
      </c>
      <c r="AD47" s="77" t="s">
        <v>312</v>
      </c>
      <c r="AE47" s="80">
        <v>198</v>
      </c>
      <c r="AF47" s="80"/>
    </row>
    <row r="48" spans="3:32" x14ac:dyDescent="0.25">
      <c r="C48" s="71"/>
      <c r="D48" s="75">
        <v>20</v>
      </c>
      <c r="E48" s="76">
        <v>45077</v>
      </c>
      <c r="F48" s="77" t="s">
        <v>177</v>
      </c>
      <c r="G48" s="77" t="s">
        <v>304</v>
      </c>
      <c r="H48" s="77" t="s">
        <v>47</v>
      </c>
      <c r="I48" s="77" t="s">
        <v>120</v>
      </c>
      <c r="J48" s="80"/>
      <c r="K48" s="80">
        <v>12000</v>
      </c>
      <c r="L48" s="77"/>
      <c r="M48" s="77" t="s">
        <v>308</v>
      </c>
      <c r="N48" s="79"/>
      <c r="O48" s="71"/>
      <c r="P48" s="71"/>
      <c r="V48" s="75">
        <v>25</v>
      </c>
      <c r="W48" s="76">
        <v>45077</v>
      </c>
      <c r="X48" s="77" t="s">
        <v>180</v>
      </c>
      <c r="Y48" s="77" t="s">
        <v>187</v>
      </c>
      <c r="Z48" s="80"/>
      <c r="AA48" s="80">
        <v>198</v>
      </c>
      <c r="AB48" s="77" t="s">
        <v>176</v>
      </c>
      <c r="AC48" s="77" t="s">
        <v>45</v>
      </c>
      <c r="AD48" s="77" t="s">
        <v>312</v>
      </c>
      <c r="AE48" s="80"/>
      <c r="AF48" s="80">
        <v>198</v>
      </c>
    </row>
    <row r="49" spans="3:32" x14ac:dyDescent="0.25">
      <c r="C49" s="71"/>
      <c r="D49" s="75">
        <v>25</v>
      </c>
      <c r="E49" s="76">
        <v>45077</v>
      </c>
      <c r="F49" s="77" t="s">
        <v>176</v>
      </c>
      <c r="G49" s="77" t="s">
        <v>187</v>
      </c>
      <c r="H49" s="77" t="s">
        <v>180</v>
      </c>
      <c r="I49" s="77" t="s">
        <v>45</v>
      </c>
      <c r="J49" s="80">
        <v>198</v>
      </c>
      <c r="K49" s="80"/>
      <c r="L49" s="77"/>
      <c r="M49" s="77" t="s">
        <v>312</v>
      </c>
      <c r="N49" s="79"/>
      <c r="O49" s="71"/>
      <c r="P49" s="71"/>
      <c r="V49" s="75">
        <v>26</v>
      </c>
      <c r="W49" s="76">
        <v>45106</v>
      </c>
      <c r="X49" s="77" t="s">
        <v>143</v>
      </c>
      <c r="Y49" s="77" t="s">
        <v>168</v>
      </c>
      <c r="Z49" s="80">
        <v>345</v>
      </c>
      <c r="AA49" s="80"/>
      <c r="AB49" s="77" t="s">
        <v>176</v>
      </c>
      <c r="AC49" s="77" t="s">
        <v>45</v>
      </c>
      <c r="AD49" s="77" t="s">
        <v>313</v>
      </c>
      <c r="AE49" s="80">
        <v>345</v>
      </c>
      <c r="AF49" s="80"/>
    </row>
    <row r="50" spans="3:32" x14ac:dyDescent="0.25">
      <c r="C50" s="71"/>
      <c r="D50" s="75">
        <v>25</v>
      </c>
      <c r="E50" s="76">
        <v>45077</v>
      </c>
      <c r="F50" s="77" t="s">
        <v>176</v>
      </c>
      <c r="G50" s="77" t="s">
        <v>187</v>
      </c>
      <c r="H50" s="77" t="s">
        <v>180</v>
      </c>
      <c r="I50" s="77" t="s">
        <v>45</v>
      </c>
      <c r="J50" s="80"/>
      <c r="K50" s="80">
        <v>198</v>
      </c>
      <c r="L50" s="77"/>
      <c r="M50" s="77" t="s">
        <v>312</v>
      </c>
      <c r="N50" s="79"/>
      <c r="O50" s="71"/>
      <c r="P50" s="71"/>
      <c r="V50" s="75">
        <v>26</v>
      </c>
      <c r="W50" s="76">
        <v>45106</v>
      </c>
      <c r="X50" s="77" t="s">
        <v>143</v>
      </c>
      <c r="Y50" s="77" t="s">
        <v>168</v>
      </c>
      <c r="Z50" s="80"/>
      <c r="AA50" s="80">
        <v>345</v>
      </c>
      <c r="AB50" s="77" t="s">
        <v>176</v>
      </c>
      <c r="AC50" s="77" t="s">
        <v>45</v>
      </c>
      <c r="AD50" s="77" t="s">
        <v>313</v>
      </c>
      <c r="AE50" s="80"/>
      <c r="AF50" s="80">
        <v>345</v>
      </c>
    </row>
    <row r="51" spans="3:32" x14ac:dyDescent="0.25">
      <c r="C51" s="71"/>
      <c r="D51" s="75">
        <v>26</v>
      </c>
      <c r="E51" s="76">
        <v>45106</v>
      </c>
      <c r="F51" s="77" t="s">
        <v>176</v>
      </c>
      <c r="G51" s="77" t="s">
        <v>168</v>
      </c>
      <c r="H51" s="77" t="s">
        <v>143</v>
      </c>
      <c r="I51" s="77" t="s">
        <v>45</v>
      </c>
      <c r="J51" s="80">
        <v>345</v>
      </c>
      <c r="K51" s="80"/>
      <c r="L51" s="77"/>
      <c r="M51" s="77" t="s">
        <v>313</v>
      </c>
      <c r="N51" s="79"/>
      <c r="O51" s="71"/>
      <c r="P51" s="71"/>
      <c r="V51" s="75">
        <v>19</v>
      </c>
      <c r="W51" s="76">
        <v>45107</v>
      </c>
      <c r="X51" s="77" t="s">
        <v>117</v>
      </c>
      <c r="Y51" s="77" t="s">
        <v>168</v>
      </c>
      <c r="Z51" s="80">
        <v>5000</v>
      </c>
      <c r="AA51" s="80"/>
      <c r="AB51" s="77" t="s">
        <v>172</v>
      </c>
      <c r="AC51" s="77" t="s">
        <v>45</v>
      </c>
      <c r="AD51" s="77" t="s">
        <v>314</v>
      </c>
      <c r="AE51" s="80">
        <v>5000</v>
      </c>
      <c r="AF51" s="80"/>
    </row>
    <row r="52" spans="3:32" x14ac:dyDescent="0.25">
      <c r="C52" s="71"/>
      <c r="D52" s="75">
        <v>26</v>
      </c>
      <c r="E52" s="76">
        <v>45106</v>
      </c>
      <c r="F52" s="77" t="s">
        <v>176</v>
      </c>
      <c r="G52" s="77" t="s">
        <v>168</v>
      </c>
      <c r="H52" s="77" t="s">
        <v>143</v>
      </c>
      <c r="I52" s="77" t="s">
        <v>45</v>
      </c>
      <c r="J52" s="80"/>
      <c r="K52" s="80">
        <v>345</v>
      </c>
      <c r="L52" s="77"/>
      <c r="M52" s="77" t="s">
        <v>313</v>
      </c>
      <c r="N52" s="79"/>
      <c r="O52" s="71"/>
      <c r="P52" s="71"/>
      <c r="V52" s="75">
        <v>19</v>
      </c>
      <c r="W52" s="76">
        <v>45107</v>
      </c>
      <c r="X52" s="77" t="s">
        <v>117</v>
      </c>
      <c r="Y52" s="77" t="s">
        <v>168</v>
      </c>
      <c r="Z52" s="80"/>
      <c r="AA52" s="80">
        <v>5000</v>
      </c>
      <c r="AB52" s="77" t="s">
        <v>172</v>
      </c>
      <c r="AC52" s="77" t="s">
        <v>45</v>
      </c>
      <c r="AD52" s="77" t="s">
        <v>314</v>
      </c>
      <c r="AE52" s="80"/>
      <c r="AF52" s="80">
        <v>5000</v>
      </c>
    </row>
    <row r="53" spans="3:32" x14ac:dyDescent="0.25">
      <c r="C53" s="71"/>
      <c r="D53" s="75">
        <v>19</v>
      </c>
      <c r="E53" s="76">
        <v>45107</v>
      </c>
      <c r="F53" s="77" t="s">
        <v>172</v>
      </c>
      <c r="G53" s="77" t="s">
        <v>168</v>
      </c>
      <c r="H53" s="77" t="s">
        <v>117</v>
      </c>
      <c r="I53" s="77" t="s">
        <v>45</v>
      </c>
      <c r="J53" s="80">
        <v>5000</v>
      </c>
      <c r="K53" s="80"/>
      <c r="L53" s="77"/>
      <c r="M53" s="77" t="s">
        <v>314</v>
      </c>
      <c r="N53" s="79"/>
      <c r="O53" s="71"/>
      <c r="P53" s="71"/>
      <c r="V53" s="75">
        <v>22</v>
      </c>
      <c r="W53" s="76">
        <v>45114</v>
      </c>
      <c r="X53" s="77" t="s">
        <v>139</v>
      </c>
      <c r="Y53" s="77" t="s">
        <v>309</v>
      </c>
      <c r="Z53" s="80">
        <v>458.89</v>
      </c>
      <c r="AA53" s="80"/>
      <c r="AB53" s="77" t="s">
        <v>86</v>
      </c>
      <c r="AC53" s="77" t="s">
        <v>180</v>
      </c>
      <c r="AD53" s="77" t="s">
        <v>310</v>
      </c>
      <c r="AE53" s="80">
        <v>458.89</v>
      </c>
      <c r="AF53" s="80"/>
    </row>
    <row r="54" spans="3:32" x14ac:dyDescent="0.25">
      <c r="C54" s="71"/>
      <c r="D54" s="75">
        <v>19</v>
      </c>
      <c r="E54" s="76">
        <v>45107</v>
      </c>
      <c r="F54" s="77" t="s">
        <v>172</v>
      </c>
      <c r="G54" s="77" t="s">
        <v>168</v>
      </c>
      <c r="H54" s="77" t="s">
        <v>117</v>
      </c>
      <c r="I54" s="77" t="s">
        <v>45</v>
      </c>
      <c r="J54" s="80"/>
      <c r="K54" s="80">
        <v>5000</v>
      </c>
      <c r="L54" s="77"/>
      <c r="M54" s="77" t="s">
        <v>314</v>
      </c>
      <c r="N54" s="79"/>
      <c r="O54" s="71"/>
      <c r="P54" s="71"/>
      <c r="V54" s="75">
        <v>22</v>
      </c>
      <c r="W54" s="76">
        <v>45114</v>
      </c>
      <c r="X54" s="77" t="s">
        <v>139</v>
      </c>
      <c r="Y54" s="77" t="s">
        <v>309</v>
      </c>
      <c r="Z54" s="80"/>
      <c r="AA54" s="80">
        <v>458.89</v>
      </c>
      <c r="AB54" s="77" t="s">
        <v>86</v>
      </c>
      <c r="AC54" s="77" t="s">
        <v>180</v>
      </c>
      <c r="AD54" s="77" t="s">
        <v>310</v>
      </c>
      <c r="AE54" s="80"/>
      <c r="AF54" s="80">
        <v>458.89</v>
      </c>
    </row>
    <row r="55" spans="3:32" x14ac:dyDescent="0.25">
      <c r="C55" s="71"/>
      <c r="D55" s="75">
        <v>22</v>
      </c>
      <c r="E55" s="76">
        <v>45114</v>
      </c>
      <c r="F55" s="77" t="s">
        <v>86</v>
      </c>
      <c r="G55" s="77" t="s">
        <v>309</v>
      </c>
      <c r="H55" s="77" t="s">
        <v>139</v>
      </c>
      <c r="I55" s="77" t="s">
        <v>180</v>
      </c>
      <c r="J55" s="80">
        <v>458.89</v>
      </c>
      <c r="K55" s="80"/>
      <c r="L55" s="77"/>
      <c r="M55" s="77" t="s">
        <v>310</v>
      </c>
      <c r="N55" s="79"/>
      <c r="O55" s="71"/>
      <c r="P55" s="71"/>
      <c r="V55" s="75">
        <v>27</v>
      </c>
      <c r="W55" s="76">
        <v>45138</v>
      </c>
      <c r="X55" s="77" t="s">
        <v>117</v>
      </c>
      <c r="Y55" s="77" t="s">
        <v>168</v>
      </c>
      <c r="Z55" s="80">
        <v>5000</v>
      </c>
      <c r="AA55" s="80"/>
      <c r="AB55" s="77" t="s">
        <v>172</v>
      </c>
      <c r="AC55" s="77" t="s">
        <v>45</v>
      </c>
      <c r="AD55" s="77" t="s">
        <v>315</v>
      </c>
      <c r="AE55" s="80">
        <v>5000</v>
      </c>
      <c r="AF55" s="80"/>
    </row>
    <row r="56" spans="3:32" x14ac:dyDescent="0.25">
      <c r="C56" s="71"/>
      <c r="D56" s="75">
        <v>22</v>
      </c>
      <c r="E56" s="76">
        <v>45114</v>
      </c>
      <c r="F56" s="77" t="s">
        <v>86</v>
      </c>
      <c r="G56" s="77" t="s">
        <v>309</v>
      </c>
      <c r="H56" s="77" t="s">
        <v>139</v>
      </c>
      <c r="I56" s="77" t="s">
        <v>180</v>
      </c>
      <c r="J56" s="80"/>
      <c r="K56" s="80">
        <v>458.89</v>
      </c>
      <c r="L56" s="77"/>
      <c r="M56" s="77" t="s">
        <v>310</v>
      </c>
      <c r="N56" s="79"/>
      <c r="O56" s="71"/>
      <c r="P56" s="71"/>
      <c r="V56" s="75">
        <v>27</v>
      </c>
      <c r="W56" s="76">
        <v>45138</v>
      </c>
      <c r="X56" s="77" t="s">
        <v>117</v>
      </c>
      <c r="Y56" s="77" t="s">
        <v>168</v>
      </c>
      <c r="Z56" s="80"/>
      <c r="AA56" s="80">
        <v>5000</v>
      </c>
      <c r="AB56" s="77" t="s">
        <v>172</v>
      </c>
      <c r="AC56" s="77" t="s">
        <v>45</v>
      </c>
      <c r="AD56" s="77" t="s">
        <v>315</v>
      </c>
      <c r="AE56" s="80"/>
      <c r="AF56" s="80">
        <v>5000</v>
      </c>
    </row>
    <row r="57" spans="3:32" x14ac:dyDescent="0.25">
      <c r="C57" s="71"/>
      <c r="D57" s="75">
        <v>27</v>
      </c>
      <c r="E57" s="76">
        <v>45138</v>
      </c>
      <c r="F57" s="77" t="s">
        <v>172</v>
      </c>
      <c r="G57" s="77" t="s">
        <v>168</v>
      </c>
      <c r="H57" s="77" t="s">
        <v>117</v>
      </c>
      <c r="I57" s="77" t="s">
        <v>45</v>
      </c>
      <c r="J57" s="80">
        <v>5000</v>
      </c>
      <c r="K57" s="80"/>
      <c r="L57" s="77"/>
      <c r="M57" s="77" t="s">
        <v>315</v>
      </c>
      <c r="N57" s="79"/>
      <c r="O57" s="71"/>
      <c r="V57" s="75">
        <v>28</v>
      </c>
      <c r="W57" s="76">
        <v>45169</v>
      </c>
      <c r="X57" s="77" t="s">
        <v>117</v>
      </c>
      <c r="Y57" s="77" t="s">
        <v>168</v>
      </c>
      <c r="Z57" s="80">
        <v>5000</v>
      </c>
      <c r="AA57" s="80"/>
      <c r="AB57" s="77" t="s">
        <v>172</v>
      </c>
      <c r="AC57" s="77" t="s">
        <v>45</v>
      </c>
      <c r="AD57" s="77" t="s">
        <v>316</v>
      </c>
      <c r="AE57" s="80">
        <v>5000</v>
      </c>
      <c r="AF57" s="80"/>
    </row>
    <row r="58" spans="3:32" x14ac:dyDescent="0.25">
      <c r="C58" s="71"/>
      <c r="D58" s="75">
        <v>27</v>
      </c>
      <c r="E58" s="76">
        <v>45138</v>
      </c>
      <c r="F58" s="77" t="s">
        <v>172</v>
      </c>
      <c r="G58" s="77" t="s">
        <v>168</v>
      </c>
      <c r="H58" s="77" t="s">
        <v>117</v>
      </c>
      <c r="I58" s="77" t="s">
        <v>45</v>
      </c>
      <c r="J58" s="80"/>
      <c r="K58" s="80">
        <v>5000</v>
      </c>
      <c r="L58" s="77"/>
      <c r="M58" s="77" t="s">
        <v>315</v>
      </c>
      <c r="N58" s="79"/>
      <c r="O58" s="71"/>
      <c r="V58" s="75">
        <v>28</v>
      </c>
      <c r="W58" s="76">
        <v>45169</v>
      </c>
      <c r="X58" s="77" t="s">
        <v>117</v>
      </c>
      <c r="Y58" s="77" t="s">
        <v>168</v>
      </c>
      <c r="Z58" s="80"/>
      <c r="AA58" s="80">
        <v>5000</v>
      </c>
      <c r="AB58" s="77" t="s">
        <v>172</v>
      </c>
      <c r="AC58" s="77" t="s">
        <v>45</v>
      </c>
      <c r="AD58" s="77" t="s">
        <v>316</v>
      </c>
      <c r="AE58" s="80"/>
      <c r="AF58" s="80">
        <v>5000</v>
      </c>
    </row>
    <row r="59" spans="3:32" x14ac:dyDescent="0.25">
      <c r="C59" s="71"/>
      <c r="D59" s="75">
        <v>28</v>
      </c>
      <c r="E59" s="76">
        <v>45169</v>
      </c>
      <c r="F59" s="77" t="s">
        <v>172</v>
      </c>
      <c r="G59" s="77" t="s">
        <v>168</v>
      </c>
      <c r="H59" s="77" t="s">
        <v>117</v>
      </c>
      <c r="I59" s="77" t="s">
        <v>45</v>
      </c>
      <c r="J59" s="80">
        <v>5000</v>
      </c>
      <c r="K59" s="80"/>
      <c r="L59" s="77"/>
      <c r="M59" s="77" t="s">
        <v>316</v>
      </c>
      <c r="N59" s="79"/>
      <c r="O59" s="71"/>
      <c r="V59" s="75">
        <v>29</v>
      </c>
      <c r="W59" s="76">
        <v>45199</v>
      </c>
      <c r="X59" s="77" t="s">
        <v>117</v>
      </c>
      <c r="Y59" s="77" t="s">
        <v>168</v>
      </c>
      <c r="Z59" s="80">
        <v>5000</v>
      </c>
      <c r="AA59" s="80"/>
      <c r="AB59" s="77" t="s">
        <v>172</v>
      </c>
      <c r="AC59" s="77" t="s">
        <v>45</v>
      </c>
      <c r="AD59" s="77" t="s">
        <v>317</v>
      </c>
      <c r="AE59" s="80">
        <v>5000</v>
      </c>
      <c r="AF59" s="80"/>
    </row>
    <row r="60" spans="3:32" x14ac:dyDescent="0.25">
      <c r="C60" s="71"/>
      <c r="D60" s="75">
        <v>28</v>
      </c>
      <c r="E60" s="76">
        <v>45169</v>
      </c>
      <c r="F60" s="77" t="s">
        <v>172</v>
      </c>
      <c r="G60" s="77" t="s">
        <v>168</v>
      </c>
      <c r="H60" s="77" t="s">
        <v>117</v>
      </c>
      <c r="I60" s="77" t="s">
        <v>45</v>
      </c>
      <c r="J60" s="80"/>
      <c r="K60" s="80">
        <v>5000</v>
      </c>
      <c r="L60" s="77"/>
      <c r="M60" s="77" t="s">
        <v>316</v>
      </c>
      <c r="N60" s="79"/>
      <c r="O60" s="71"/>
      <c r="V60" s="75">
        <v>29</v>
      </c>
      <c r="W60" s="76">
        <v>45199</v>
      </c>
      <c r="X60" s="77" t="s">
        <v>117</v>
      </c>
      <c r="Y60" s="77" t="s">
        <v>168</v>
      </c>
      <c r="Z60" s="80"/>
      <c r="AA60" s="80">
        <v>5000</v>
      </c>
      <c r="AB60" s="77" t="s">
        <v>172</v>
      </c>
      <c r="AC60" s="77" t="s">
        <v>45</v>
      </c>
      <c r="AD60" s="77" t="s">
        <v>317</v>
      </c>
      <c r="AE60" s="80"/>
      <c r="AF60" s="80">
        <v>5000</v>
      </c>
    </row>
    <row r="61" spans="3:32" x14ac:dyDescent="0.25">
      <c r="C61" s="71"/>
      <c r="D61" s="75">
        <v>29</v>
      </c>
      <c r="E61" s="76">
        <v>45199</v>
      </c>
      <c r="F61" s="77" t="s">
        <v>172</v>
      </c>
      <c r="G61" s="77" t="s">
        <v>168</v>
      </c>
      <c r="H61" s="77" t="s">
        <v>117</v>
      </c>
      <c r="I61" s="77" t="s">
        <v>45</v>
      </c>
      <c r="J61" s="80">
        <v>5000</v>
      </c>
      <c r="K61" s="80"/>
      <c r="L61" s="77"/>
      <c r="M61" s="77" t="s">
        <v>317</v>
      </c>
      <c r="N61" s="79"/>
      <c r="O61" s="71"/>
      <c r="V61" s="75">
        <v>30</v>
      </c>
      <c r="W61" s="76">
        <v>45214</v>
      </c>
      <c r="X61" s="77" t="s">
        <v>59</v>
      </c>
      <c r="Y61" s="77" t="s">
        <v>318</v>
      </c>
      <c r="Z61" s="80">
        <v>125</v>
      </c>
      <c r="AA61" s="80"/>
      <c r="AB61" s="77" t="s">
        <v>176</v>
      </c>
      <c r="AC61" s="77" t="s">
        <v>45</v>
      </c>
      <c r="AD61" s="77" t="s">
        <v>319</v>
      </c>
      <c r="AE61" s="80">
        <v>125</v>
      </c>
      <c r="AF61" s="80"/>
    </row>
    <row r="62" spans="3:32" x14ac:dyDescent="0.25">
      <c r="C62" s="71"/>
      <c r="D62" s="75">
        <v>29</v>
      </c>
      <c r="E62" s="76">
        <v>45199</v>
      </c>
      <c r="F62" s="77" t="s">
        <v>172</v>
      </c>
      <c r="G62" s="77" t="s">
        <v>168</v>
      </c>
      <c r="H62" s="77" t="s">
        <v>117</v>
      </c>
      <c r="I62" s="77" t="s">
        <v>45</v>
      </c>
      <c r="J62" s="80"/>
      <c r="K62" s="80">
        <v>5000</v>
      </c>
      <c r="L62" s="77"/>
      <c r="M62" s="77" t="s">
        <v>317</v>
      </c>
      <c r="N62" s="79"/>
      <c r="O62" s="71"/>
      <c r="V62" s="75">
        <v>30</v>
      </c>
      <c r="W62" s="76">
        <v>45214</v>
      </c>
      <c r="X62" s="77" t="s">
        <v>59</v>
      </c>
      <c r="Y62" s="77" t="s">
        <v>318</v>
      </c>
      <c r="Z62" s="80"/>
      <c r="AA62" s="80">
        <v>125</v>
      </c>
      <c r="AB62" s="77" t="s">
        <v>176</v>
      </c>
      <c r="AC62" s="77" t="s">
        <v>45</v>
      </c>
      <c r="AD62" s="77" t="s">
        <v>319</v>
      </c>
      <c r="AE62" s="80"/>
      <c r="AF62" s="80">
        <v>125</v>
      </c>
    </row>
    <row r="63" spans="3:32" x14ac:dyDescent="0.25">
      <c r="C63" s="71"/>
      <c r="D63" s="75">
        <v>30</v>
      </c>
      <c r="E63" s="76">
        <v>45214</v>
      </c>
      <c r="F63" s="77" t="s">
        <v>176</v>
      </c>
      <c r="G63" s="77" t="s">
        <v>318</v>
      </c>
      <c r="H63" s="77" t="s">
        <v>59</v>
      </c>
      <c r="I63" s="77" t="s">
        <v>45</v>
      </c>
      <c r="J63" s="80">
        <v>125</v>
      </c>
      <c r="K63" s="80"/>
      <c r="L63" s="77"/>
      <c r="M63" s="77" t="s">
        <v>319</v>
      </c>
      <c r="N63" s="79"/>
      <c r="O63" s="71"/>
    </row>
    <row r="64" spans="3:32" x14ac:dyDescent="0.25">
      <c r="C64" s="71"/>
      <c r="D64" s="75">
        <v>30</v>
      </c>
      <c r="E64" s="76">
        <v>45214</v>
      </c>
      <c r="F64" s="77" t="s">
        <v>176</v>
      </c>
      <c r="G64" s="77" t="s">
        <v>318</v>
      </c>
      <c r="H64" s="77" t="s">
        <v>59</v>
      </c>
      <c r="I64" s="77" t="s">
        <v>45</v>
      </c>
      <c r="J64" s="80"/>
      <c r="K64" s="80">
        <v>125</v>
      </c>
      <c r="L64" s="77"/>
      <c r="M64" s="77" t="s">
        <v>319</v>
      </c>
      <c r="N64" s="79"/>
      <c r="O64" s="71"/>
    </row>
    <row r="65" spans="3:15" x14ac:dyDescent="0.25">
      <c r="C65" s="71"/>
      <c r="D65" s="75"/>
      <c r="E65" s="76"/>
      <c r="F65" s="77"/>
      <c r="G65" s="77"/>
      <c r="H65" s="77"/>
      <c r="I65" s="77"/>
      <c r="J65" s="80"/>
      <c r="K65" s="80"/>
      <c r="L65" s="77"/>
      <c r="M65" s="77"/>
      <c r="N65" s="79"/>
      <c r="O65" s="71"/>
    </row>
    <row r="66" spans="3:15" x14ac:dyDescent="0.25">
      <c r="C66" s="71"/>
      <c r="D66" s="75"/>
      <c r="E66" s="76"/>
      <c r="F66" s="77"/>
      <c r="G66" s="77"/>
      <c r="H66" s="77"/>
      <c r="I66" s="77"/>
      <c r="J66" s="80"/>
      <c r="K66" s="80"/>
      <c r="L66" s="77"/>
      <c r="M66" s="77"/>
      <c r="N66" s="79"/>
      <c r="O66" s="71"/>
    </row>
    <row r="67" spans="3:15" x14ac:dyDescent="0.25">
      <c r="C67" s="71"/>
      <c r="D67" s="75"/>
      <c r="E67" s="76"/>
      <c r="F67" s="77"/>
      <c r="G67" s="77"/>
      <c r="H67" s="77"/>
      <c r="I67" s="77"/>
      <c r="J67" s="80"/>
      <c r="K67" s="80"/>
      <c r="L67" s="77"/>
      <c r="M67" s="77"/>
      <c r="N67" s="79"/>
      <c r="O67" s="71"/>
    </row>
    <row r="68" spans="3:15" x14ac:dyDescent="0.25">
      <c r="C68" s="71"/>
      <c r="D68" s="75"/>
      <c r="E68" s="76"/>
      <c r="F68" s="77"/>
      <c r="G68" s="77"/>
      <c r="H68" s="77"/>
      <c r="I68" s="77"/>
      <c r="J68" s="80"/>
      <c r="K68" s="80"/>
      <c r="L68" s="77"/>
      <c r="M68" s="77"/>
      <c r="N68" s="79"/>
      <c r="O68" s="71"/>
    </row>
    <row r="69" spans="3:15" x14ac:dyDescent="0.25">
      <c r="C69" s="71"/>
      <c r="D69" s="75"/>
      <c r="E69" s="76"/>
      <c r="F69" s="77"/>
      <c r="G69" s="77"/>
      <c r="H69" s="77"/>
      <c r="I69" s="77"/>
      <c r="J69" s="80"/>
      <c r="K69" s="80"/>
      <c r="L69" s="77"/>
      <c r="M69" s="77"/>
      <c r="N69" s="79"/>
      <c r="O69" s="71"/>
    </row>
    <row r="70" spans="3:15" x14ac:dyDescent="0.25">
      <c r="C70" s="71"/>
      <c r="D70" s="75"/>
      <c r="E70" s="76"/>
      <c r="F70" s="77"/>
      <c r="G70" s="77"/>
      <c r="H70" s="77"/>
      <c r="I70" s="77"/>
      <c r="J70" s="80"/>
      <c r="K70" s="80"/>
      <c r="L70" s="77"/>
      <c r="M70" s="77"/>
      <c r="N70" s="79"/>
      <c r="O70" s="71"/>
    </row>
    <row r="71" spans="3:15" x14ac:dyDescent="0.25">
      <c r="C71" s="71"/>
      <c r="D71" s="75"/>
      <c r="E71" s="76"/>
      <c r="F71" s="77"/>
      <c r="G71" s="77"/>
      <c r="H71" s="77"/>
      <c r="I71" s="77"/>
      <c r="J71" s="80"/>
      <c r="K71" s="80"/>
      <c r="L71" s="77"/>
      <c r="M71" s="77"/>
      <c r="N71" s="79"/>
      <c r="O71" s="71"/>
    </row>
    <row r="72" spans="3:15" x14ac:dyDescent="0.25">
      <c r="C72" s="71"/>
      <c r="D72" s="75"/>
      <c r="E72" s="76"/>
      <c r="F72" s="77"/>
      <c r="G72" s="77"/>
      <c r="H72" s="77"/>
      <c r="I72" s="77"/>
      <c r="J72" s="80"/>
      <c r="K72" s="80"/>
      <c r="L72" s="77"/>
      <c r="M72" s="77"/>
      <c r="N72" s="79"/>
      <c r="O72" s="71"/>
    </row>
    <row r="73" spans="3:15" x14ac:dyDescent="0.25">
      <c r="C73" s="71"/>
      <c r="D73" s="75"/>
      <c r="E73" s="76"/>
      <c r="F73" s="77"/>
      <c r="G73" s="77"/>
      <c r="H73" s="77"/>
      <c r="I73" s="77"/>
      <c r="J73" s="80"/>
      <c r="K73" s="80"/>
      <c r="L73" s="77"/>
      <c r="M73" s="77"/>
      <c r="N73" s="79"/>
      <c r="O73" s="71"/>
    </row>
    <row r="74" spans="3:15" x14ac:dyDescent="0.25">
      <c r="C74" s="71"/>
      <c r="D74" s="75"/>
      <c r="E74" s="76"/>
      <c r="F74" s="77"/>
      <c r="G74" s="77"/>
      <c r="H74" s="77"/>
      <c r="I74" s="77"/>
      <c r="J74" s="80"/>
      <c r="K74" s="80"/>
      <c r="L74" s="77"/>
      <c r="M74" s="77"/>
      <c r="N74" s="79"/>
      <c r="O74" s="71"/>
    </row>
    <row r="75" spans="3:15" x14ac:dyDescent="0.25">
      <c r="C75" s="71"/>
      <c r="D75" s="75"/>
      <c r="E75" s="76"/>
      <c r="F75" s="77"/>
      <c r="G75" s="77"/>
      <c r="H75" s="77"/>
      <c r="I75" s="77"/>
      <c r="J75" s="80"/>
      <c r="K75" s="80"/>
      <c r="L75" s="77"/>
      <c r="M75" s="77"/>
      <c r="N75" s="79"/>
      <c r="O75" s="71"/>
    </row>
    <row r="76" spans="3:15" x14ac:dyDescent="0.25">
      <c r="C76" s="71"/>
      <c r="D76" s="75"/>
      <c r="E76" s="76"/>
      <c r="F76" s="77"/>
      <c r="G76" s="77"/>
      <c r="H76" s="77"/>
      <c r="I76" s="77"/>
      <c r="J76" s="80"/>
      <c r="K76" s="80"/>
      <c r="L76" s="77"/>
      <c r="M76" s="77"/>
      <c r="N76" s="79"/>
      <c r="O76" s="71"/>
    </row>
    <row r="77" spans="3:15" x14ac:dyDescent="0.25">
      <c r="C77" s="71"/>
      <c r="D77" s="75"/>
      <c r="E77" s="76"/>
      <c r="F77" s="77"/>
      <c r="G77" s="77"/>
      <c r="H77" s="77"/>
      <c r="I77" s="77"/>
      <c r="J77" s="80"/>
      <c r="K77" s="80"/>
      <c r="L77" s="77"/>
      <c r="M77" s="77"/>
      <c r="N77" s="79"/>
      <c r="O77" s="71"/>
    </row>
    <row r="78" spans="3:15" x14ac:dyDescent="0.25">
      <c r="C78" s="71"/>
      <c r="D78" s="75"/>
      <c r="E78" s="76"/>
      <c r="F78" s="77"/>
      <c r="G78" s="77"/>
      <c r="H78" s="77"/>
      <c r="I78" s="77"/>
      <c r="J78" s="80"/>
      <c r="K78" s="80"/>
      <c r="L78" s="77"/>
      <c r="M78" s="77"/>
      <c r="N78" s="79"/>
      <c r="O78" s="71"/>
    </row>
    <row r="79" spans="3:15" x14ac:dyDescent="0.25">
      <c r="C79" s="71"/>
      <c r="D79" s="75"/>
      <c r="E79" s="76"/>
      <c r="F79" s="77"/>
      <c r="G79" s="77"/>
      <c r="H79" s="77"/>
      <c r="I79" s="77"/>
      <c r="J79" s="80"/>
      <c r="K79" s="80"/>
      <c r="L79" s="77"/>
      <c r="M79" s="77"/>
      <c r="N79" s="79"/>
      <c r="O79" s="71"/>
    </row>
    <row r="80" spans="3:15" ht="15.75" thickBot="1" x14ac:dyDescent="0.3">
      <c r="C80" s="71"/>
      <c r="D80" s="81"/>
      <c r="E80" s="82"/>
      <c r="F80" s="83"/>
      <c r="G80" s="83"/>
      <c r="H80" s="83"/>
      <c r="I80" s="83"/>
      <c r="J80" s="84"/>
      <c r="K80" s="84"/>
      <c r="L80" s="83"/>
      <c r="M80" s="83"/>
      <c r="N80" s="85"/>
      <c r="O80" s="71"/>
    </row>
    <row r="81" spans="3:15" x14ac:dyDescent="0.25">
      <c r="C81" s="71"/>
      <c r="D81" s="71"/>
      <c r="E81" s="71"/>
      <c r="F81" s="71"/>
      <c r="G81" s="71"/>
      <c r="H81" s="71"/>
      <c r="I81" s="71"/>
      <c r="J81" s="71"/>
      <c r="K81" s="71"/>
      <c r="L81" s="71"/>
      <c r="M81" s="71"/>
      <c r="N81" s="71"/>
      <c r="O81" s="71"/>
    </row>
  </sheetData>
  <sortState xmlns:xlrd2="http://schemas.microsoft.com/office/spreadsheetml/2017/richdata2" ref="V3:AF62">
    <sortCondition ref="W3"/>
  </sortState>
  <mergeCells count="3">
    <mergeCell ref="Q1:T1"/>
    <mergeCell ref="V1:AF1"/>
    <mergeCell ref="D1:N2"/>
  </mergeCells>
  <conditionalFormatting sqref="D4:N79">
    <cfRule type="expression" dxfId="1" priority="2">
      <formula>MOD(ROW(),2)=0</formula>
    </cfRule>
  </conditionalFormatting>
  <conditionalFormatting sqref="D80:N80">
    <cfRule type="expression" dxfId="0" priority="1">
      <formula>MOD(ROW(),2)=0</formula>
    </cfRule>
  </conditionalFormatting>
  <pageMargins left="0.7" right="0.7" top="0.75" bottom="0.75" header="0.3" footer="0.3"/>
  <pageSetup orientation="portrait" horizontalDpi="200" verticalDpi="20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H20"/>
  <sheetViews>
    <sheetView workbookViewId="0">
      <selection activeCell="J12" sqref="J12"/>
    </sheetView>
  </sheetViews>
  <sheetFormatPr baseColWidth="10" defaultColWidth="9.140625" defaultRowHeight="15" x14ac:dyDescent="0.25"/>
  <cols>
    <col min="1" max="1" width="12.140625" bestFit="1" customWidth="1"/>
  </cols>
  <sheetData>
    <row r="1" spans="1:8" x14ac:dyDescent="0.25">
      <c r="A1" s="44">
        <f ca="1">TODAY()</f>
        <v>45196</v>
      </c>
      <c r="B1" s="52" t="str">
        <f>IF(WEEKDAY(DATE(CalYear,MATCH($A$4,CalMonths,0),1))=1,DATE(CalYear,MATCH($A$4,CalMonths,0),1),"")</f>
        <v/>
      </c>
      <c r="C1" s="52" t="str">
        <f>IF(B1&lt;&gt;"",B1+1,IF(WEEKDAY(DATE(CalYear,MATCH($A$4,CalMonths,0),1))=2,DATE(CalYear,MATCH($A$4,CalMonths,0),1),""))</f>
        <v/>
      </c>
      <c r="D1" s="52" t="str">
        <f>IF(C1&lt;&gt;"",C1+1,IF(WEEKDAY(DATE(CalYear,MATCH($A$4,CalMonths,0),1))=3,DATE(CalYear,MATCH($A$4,CalMonths,0),1),""))</f>
        <v/>
      </c>
      <c r="E1" s="52" t="str">
        <f>IF(D1&lt;&gt;"",D1+1,IF(WEEKDAY(DATE(CalYear,MATCH($A$4,CalMonths,0),1))=4,DATE(CalYear,MATCH($A$4,CalMonths,0),1),""))</f>
        <v/>
      </c>
      <c r="F1" s="52" t="str">
        <f>IF(E1&lt;&gt;"",E1+1,IF(WEEKDAY(DATE(CalYear,MATCH($A$4,CalMonths,0),1))=5,DATE(CalYear,MATCH($A$4,CalMonths,0),1),""))</f>
        <v/>
      </c>
      <c r="G1" s="52">
        <f>IF(F1&lt;&gt;"",F1+1,IF(WEEKDAY(DATE(CalYear,MATCH($A$4,CalMonths,0),1))=6,DATE(CalYear,MATCH($A$4,CalMonths,0),1),""))</f>
        <v>45170</v>
      </c>
      <c r="H1" s="52">
        <f>IF(G1&lt;&gt;"",G1+1,IF(WEEKDAY(DATE(CalYear,MATCH($A$4,CalMonths,0),1))=7,DATE(CalYear,MATCH($A$4,CalMonths,0),1),""))</f>
        <v>45171</v>
      </c>
    </row>
    <row r="2" spans="1:8" x14ac:dyDescent="0.25">
      <c r="A2">
        <v>2023</v>
      </c>
      <c r="B2" s="52">
        <f>H1+1</f>
        <v>45172</v>
      </c>
      <c r="C2" s="52">
        <f>B2+1</f>
        <v>45173</v>
      </c>
      <c r="D2" s="52">
        <f t="shared" ref="D2:H2" si="0">C2+1</f>
        <v>45174</v>
      </c>
      <c r="E2" s="52">
        <f t="shared" si="0"/>
        <v>45175</v>
      </c>
      <c r="F2" s="52">
        <f t="shared" si="0"/>
        <v>45176</v>
      </c>
      <c r="G2" s="52">
        <f t="shared" si="0"/>
        <v>45177</v>
      </c>
      <c r="H2" s="52">
        <f t="shared" si="0"/>
        <v>45178</v>
      </c>
    </row>
    <row r="3" spans="1:8" x14ac:dyDescent="0.25">
      <c r="A3">
        <v>9</v>
      </c>
      <c r="B3" s="52">
        <f t="shared" ref="B3:B4" si="1">H2+1</f>
        <v>45179</v>
      </c>
      <c r="C3" s="52">
        <f t="shared" ref="C3:H3" si="2">B3+1</f>
        <v>45180</v>
      </c>
      <c r="D3" s="52">
        <f t="shared" si="2"/>
        <v>45181</v>
      </c>
      <c r="E3" s="52">
        <f t="shared" si="2"/>
        <v>45182</v>
      </c>
      <c r="F3" s="52">
        <f t="shared" si="2"/>
        <v>45183</v>
      </c>
      <c r="G3" s="52">
        <f t="shared" si="2"/>
        <v>45184</v>
      </c>
      <c r="H3" s="52">
        <f t="shared" si="2"/>
        <v>45185</v>
      </c>
    </row>
    <row r="4" spans="1:8" x14ac:dyDescent="0.25">
      <c r="A4" t="str">
        <f>INDEX(CalMonths,A3,)</f>
        <v>September</v>
      </c>
      <c r="B4" s="52">
        <f t="shared" si="1"/>
        <v>45186</v>
      </c>
      <c r="C4" s="52">
        <f t="shared" ref="C4:H4" si="3">B4+1</f>
        <v>45187</v>
      </c>
      <c r="D4" s="52">
        <f t="shared" si="3"/>
        <v>45188</v>
      </c>
      <c r="E4" s="52">
        <f t="shared" si="3"/>
        <v>45189</v>
      </c>
      <c r="F4" s="52">
        <f t="shared" si="3"/>
        <v>45190</v>
      </c>
      <c r="G4" s="52">
        <f t="shared" si="3"/>
        <v>45191</v>
      </c>
      <c r="H4" s="52">
        <f t="shared" si="3"/>
        <v>45192</v>
      </c>
    </row>
    <row r="5" spans="1:8" x14ac:dyDescent="0.25">
      <c r="A5" t="str">
        <f>A4&amp;" "&amp;CalYear</f>
        <v>September 2023</v>
      </c>
      <c r="B5" s="52">
        <f>IF(OR(H4="",MONTH(H4+1)&lt;&gt;$A$3),"",H4+1)</f>
        <v>45193</v>
      </c>
      <c r="C5" s="52">
        <f>IFERROR(IF(MONTH(B5+1)&lt;&gt;$A$3,"",B5+1),"")</f>
        <v>45194</v>
      </c>
      <c r="D5" s="52">
        <f t="shared" ref="D5:H6" si="4">IFERROR(IF(MONTH(C5+1)&lt;&gt;$A$3,"",C5+1),"")</f>
        <v>45195</v>
      </c>
      <c r="E5" s="52">
        <f t="shared" si="4"/>
        <v>45196</v>
      </c>
      <c r="F5" s="52">
        <f t="shared" si="4"/>
        <v>45197</v>
      </c>
      <c r="G5" s="52">
        <f t="shared" si="4"/>
        <v>45198</v>
      </c>
      <c r="H5" s="52">
        <f t="shared" si="4"/>
        <v>45199</v>
      </c>
    </row>
    <row r="6" spans="1:8" x14ac:dyDescent="0.25">
      <c r="A6">
        <f>SUM(B6:H6)</f>
        <v>0</v>
      </c>
      <c r="B6" s="52" t="str">
        <f>IFERROR(IF(OR(H5="",MONTH(H5+1)&lt;&gt;$A$3),"",H5+1),"")</f>
        <v/>
      </c>
      <c r="C6" s="52" t="str">
        <f>IFERROR(IF(MONTH(B6+1)&lt;&gt;$A$3,"",B6+1),"")</f>
        <v/>
      </c>
      <c r="D6" s="52" t="str">
        <f t="shared" si="4"/>
        <v/>
      </c>
      <c r="E6" s="52" t="str">
        <f t="shared" si="4"/>
        <v/>
      </c>
      <c r="F6" s="52" t="str">
        <f t="shared" si="4"/>
        <v/>
      </c>
      <c r="G6" s="52" t="str">
        <f t="shared" si="4"/>
        <v/>
      </c>
      <c r="H6" s="52" t="str">
        <f t="shared" si="4"/>
        <v/>
      </c>
    </row>
    <row r="7" spans="1:8" x14ac:dyDescent="0.25">
      <c r="B7">
        <v>1</v>
      </c>
      <c r="C7">
        <v>2</v>
      </c>
      <c r="D7">
        <v>3</v>
      </c>
      <c r="E7">
        <v>4</v>
      </c>
      <c r="F7">
        <v>5</v>
      </c>
      <c r="G7">
        <v>6</v>
      </c>
      <c r="H7">
        <v>7</v>
      </c>
    </row>
    <row r="8" spans="1:8" x14ac:dyDescent="0.25">
      <c r="A8" t="s">
        <v>196</v>
      </c>
      <c r="B8">
        <v>8</v>
      </c>
      <c r="C8">
        <v>9</v>
      </c>
      <c r="D8">
        <v>10</v>
      </c>
      <c r="E8">
        <v>11</v>
      </c>
      <c r="F8">
        <v>12</v>
      </c>
      <c r="G8">
        <v>13</v>
      </c>
      <c r="H8">
        <v>14</v>
      </c>
    </row>
    <row r="9" spans="1:8" x14ac:dyDescent="0.25">
      <c r="A9" t="s">
        <v>25</v>
      </c>
      <c r="B9">
        <v>15</v>
      </c>
      <c r="C9">
        <v>16</v>
      </c>
      <c r="D9">
        <v>17</v>
      </c>
      <c r="E9">
        <v>18</v>
      </c>
      <c r="F9">
        <v>19</v>
      </c>
      <c r="G9">
        <v>20</v>
      </c>
      <c r="H9">
        <v>21</v>
      </c>
    </row>
    <row r="10" spans="1:8" x14ac:dyDescent="0.25">
      <c r="A10" t="s">
        <v>26</v>
      </c>
      <c r="B10">
        <v>22</v>
      </c>
      <c r="C10">
        <v>23</v>
      </c>
      <c r="D10">
        <v>24</v>
      </c>
      <c r="E10">
        <v>25</v>
      </c>
      <c r="F10">
        <v>26</v>
      </c>
      <c r="G10">
        <v>27</v>
      </c>
      <c r="H10">
        <v>28</v>
      </c>
    </row>
    <row r="11" spans="1:8" x14ac:dyDescent="0.25">
      <c r="A11" t="s">
        <v>27</v>
      </c>
      <c r="B11">
        <v>29</v>
      </c>
      <c r="C11">
        <v>30</v>
      </c>
      <c r="D11">
        <v>31</v>
      </c>
      <c r="E11">
        <v>32</v>
      </c>
      <c r="F11">
        <v>33</v>
      </c>
      <c r="G11">
        <v>34</v>
      </c>
      <c r="H11">
        <v>35</v>
      </c>
    </row>
    <row r="12" spans="1:8" x14ac:dyDescent="0.25">
      <c r="A12" t="s">
        <v>28</v>
      </c>
      <c r="B12">
        <v>36</v>
      </c>
      <c r="C12">
        <v>37</v>
      </c>
      <c r="D12">
        <v>38</v>
      </c>
      <c r="E12">
        <v>39</v>
      </c>
      <c r="F12">
        <v>40</v>
      </c>
      <c r="G12">
        <v>41</v>
      </c>
      <c r="H12">
        <v>42</v>
      </c>
    </row>
    <row r="13" spans="1:8" x14ac:dyDescent="0.25">
      <c r="A13" t="s">
        <v>29</v>
      </c>
    </row>
    <row r="14" spans="1:8" x14ac:dyDescent="0.25">
      <c r="A14" t="s">
        <v>30</v>
      </c>
    </row>
    <row r="15" spans="1:8" x14ac:dyDescent="0.25">
      <c r="A15" t="s">
        <v>31</v>
      </c>
    </row>
    <row r="16" spans="1:8" x14ac:dyDescent="0.25">
      <c r="A16" t="s">
        <v>32</v>
      </c>
    </row>
    <row r="17" spans="1:1" x14ac:dyDescent="0.25">
      <c r="A17" t="s">
        <v>33</v>
      </c>
    </row>
    <row r="18" spans="1:1" x14ac:dyDescent="0.25">
      <c r="A18" t="s">
        <v>34</v>
      </c>
    </row>
    <row r="19" spans="1:1" x14ac:dyDescent="0.25">
      <c r="A19" t="s">
        <v>35</v>
      </c>
    </row>
    <row r="20" spans="1:1" x14ac:dyDescent="0.25">
      <c r="A20">
        <f ca="1">IFERROR(INDIRECT(ADDRESS(SUMPRODUCT((B1:H6=A1)*ROW(B1:H6))+6,SUMPRODUCT((B1:H6=A1)*COLUMN(B1:H6)),1,1)),"")</f>
        <v>32</v>
      </c>
    </row>
  </sheetData>
  <pageMargins left="0.7" right="0.7" top="0.75" bottom="0.75" header="0.3" footer="0.3"/>
  <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AA728B-EBCB-4FD7-8755-6E02361A5323}">
  <sheetPr codeName="Feuil1"/>
  <dimension ref="A1:E80"/>
  <sheetViews>
    <sheetView topLeftCell="A51" workbookViewId="0">
      <selection activeCell="E71" sqref="E71"/>
    </sheetView>
  </sheetViews>
  <sheetFormatPr baseColWidth="10" defaultRowHeight="15.75" x14ac:dyDescent="0.25"/>
  <cols>
    <col min="1" max="1" width="5.7109375" style="106" customWidth="1"/>
    <col min="2" max="2" width="11.42578125" style="105"/>
    <col min="3" max="3" width="16.85546875" style="104" bestFit="1" customWidth="1"/>
    <col min="4" max="4" width="37.7109375" bestFit="1" customWidth="1"/>
  </cols>
  <sheetData>
    <row r="1" spans="1:5" x14ac:dyDescent="0.25">
      <c r="A1" s="106" t="s">
        <v>225</v>
      </c>
    </row>
    <row r="2" spans="1:5" x14ac:dyDescent="0.25">
      <c r="B2" s="105" t="s">
        <v>213</v>
      </c>
      <c r="C2" s="104" t="s">
        <v>214</v>
      </c>
      <c r="D2" t="s">
        <v>220</v>
      </c>
      <c r="E2" t="s">
        <v>221</v>
      </c>
    </row>
    <row r="3" spans="1:5" x14ac:dyDescent="0.25">
      <c r="D3" t="s">
        <v>223</v>
      </c>
      <c r="E3" t="s">
        <v>222</v>
      </c>
    </row>
    <row r="4" spans="1:5" x14ac:dyDescent="0.25">
      <c r="D4" t="s">
        <v>224</v>
      </c>
      <c r="E4" t="s">
        <v>221</v>
      </c>
    </row>
    <row r="5" spans="1:5" x14ac:dyDescent="0.25">
      <c r="B5" s="105" t="s">
        <v>215</v>
      </c>
      <c r="C5" s="104" t="s">
        <v>10</v>
      </c>
    </row>
    <row r="6" spans="1:5" x14ac:dyDescent="0.25">
      <c r="B6" s="105" t="s">
        <v>216</v>
      </c>
      <c r="C6" s="104" t="s">
        <v>218</v>
      </c>
    </row>
    <row r="7" spans="1:5" x14ac:dyDescent="0.25">
      <c r="B7" s="105" t="s">
        <v>217</v>
      </c>
      <c r="C7" s="104" t="s">
        <v>219</v>
      </c>
    </row>
    <row r="9" spans="1:5" x14ac:dyDescent="0.25">
      <c r="A9" s="106" t="s">
        <v>226</v>
      </c>
    </row>
    <row r="10" spans="1:5" x14ac:dyDescent="0.25">
      <c r="B10" s="105" t="s">
        <v>227</v>
      </c>
    </row>
    <row r="11" spans="1:5" x14ac:dyDescent="0.25">
      <c r="D11" t="s">
        <v>231</v>
      </c>
      <c r="E11" t="s">
        <v>222</v>
      </c>
    </row>
    <row r="12" spans="1:5" x14ac:dyDescent="0.25">
      <c r="D12" t="s">
        <v>232</v>
      </c>
      <c r="E12" t="s">
        <v>222</v>
      </c>
    </row>
    <row r="13" spans="1:5" x14ac:dyDescent="0.25">
      <c r="B13" s="105" t="s">
        <v>228</v>
      </c>
    </row>
    <row r="14" spans="1:5" x14ac:dyDescent="0.25">
      <c r="D14" t="s">
        <v>233</v>
      </c>
      <c r="E14" t="s">
        <v>222</v>
      </c>
    </row>
    <row r="15" spans="1:5" x14ac:dyDescent="0.25">
      <c r="D15" t="s">
        <v>234</v>
      </c>
      <c r="E15" t="s">
        <v>222</v>
      </c>
    </row>
    <row r="16" spans="1:5" x14ac:dyDescent="0.25">
      <c r="D16" t="s">
        <v>235</v>
      </c>
      <c r="E16" t="s">
        <v>222</v>
      </c>
    </row>
    <row r="17" spans="4:5" x14ac:dyDescent="0.25">
      <c r="D17" t="s">
        <v>236</v>
      </c>
      <c r="E17" t="s">
        <v>222</v>
      </c>
    </row>
    <row r="18" spans="4:5" x14ac:dyDescent="0.25">
      <c r="D18" t="s">
        <v>237</v>
      </c>
      <c r="E18" t="s">
        <v>222</v>
      </c>
    </row>
    <row r="19" spans="4:5" x14ac:dyDescent="0.25">
      <c r="D19" t="s">
        <v>238</v>
      </c>
      <c r="E19" t="s">
        <v>222</v>
      </c>
    </row>
    <row r="20" spans="4:5" x14ac:dyDescent="0.25">
      <c r="D20" t="s">
        <v>239</v>
      </c>
      <c r="E20" t="s">
        <v>222</v>
      </c>
    </row>
    <row r="21" spans="4:5" x14ac:dyDescent="0.25">
      <c r="D21" t="s">
        <v>240</v>
      </c>
      <c r="E21" t="s">
        <v>222</v>
      </c>
    </row>
    <row r="22" spans="4:5" x14ac:dyDescent="0.25">
      <c r="D22" t="s">
        <v>241</v>
      </c>
      <c r="E22" t="s">
        <v>222</v>
      </c>
    </row>
    <row r="23" spans="4:5" x14ac:dyDescent="0.25">
      <c r="D23" t="s">
        <v>242</v>
      </c>
      <c r="E23" t="s">
        <v>222</v>
      </c>
    </row>
    <row r="24" spans="4:5" x14ac:dyDescent="0.25">
      <c r="D24" t="s">
        <v>297</v>
      </c>
      <c r="E24" t="s">
        <v>222</v>
      </c>
    </row>
    <row r="25" spans="4:5" x14ac:dyDescent="0.25">
      <c r="D25" t="s">
        <v>243</v>
      </c>
      <c r="E25" t="s">
        <v>222</v>
      </c>
    </row>
    <row r="26" spans="4:5" x14ac:dyDescent="0.25">
      <c r="D26" t="s">
        <v>244</v>
      </c>
      <c r="E26" t="s">
        <v>222</v>
      </c>
    </row>
    <row r="27" spans="4:5" x14ac:dyDescent="0.25">
      <c r="D27" t="s">
        <v>245</v>
      </c>
      <c r="E27" t="s">
        <v>222</v>
      </c>
    </row>
    <row r="28" spans="4:5" x14ac:dyDescent="0.25">
      <c r="D28" t="s">
        <v>246</v>
      </c>
      <c r="E28" t="s">
        <v>222</v>
      </c>
    </row>
    <row r="29" spans="4:5" x14ac:dyDescent="0.25">
      <c r="D29" t="s">
        <v>280</v>
      </c>
      <c r="E29" t="s">
        <v>222</v>
      </c>
    </row>
    <row r="30" spans="4:5" x14ac:dyDescent="0.25">
      <c r="D30" t="s">
        <v>281</v>
      </c>
      <c r="E30" t="s">
        <v>222</v>
      </c>
    </row>
    <row r="31" spans="4:5" x14ac:dyDescent="0.25">
      <c r="D31" t="s">
        <v>282</v>
      </c>
      <c r="E31" t="s">
        <v>222</v>
      </c>
    </row>
    <row r="32" spans="4:5" x14ac:dyDescent="0.25">
      <c r="D32" t="s">
        <v>283</v>
      </c>
      <c r="E32" t="s">
        <v>222</v>
      </c>
    </row>
    <row r="33" spans="4:5" x14ac:dyDescent="0.25">
      <c r="D33" t="s">
        <v>284</v>
      </c>
      <c r="E33" t="s">
        <v>222</v>
      </c>
    </row>
    <row r="34" spans="4:5" x14ac:dyDescent="0.25">
      <c r="D34" t="s">
        <v>285</v>
      </c>
      <c r="E34" t="s">
        <v>222</v>
      </c>
    </row>
    <row r="35" spans="4:5" x14ac:dyDescent="0.25">
      <c r="D35" t="s">
        <v>286</v>
      </c>
      <c r="E35" t="s">
        <v>222</v>
      </c>
    </row>
    <row r="36" spans="4:5" x14ac:dyDescent="0.25">
      <c r="D36" t="s">
        <v>287</v>
      </c>
      <c r="E36" t="s">
        <v>222</v>
      </c>
    </row>
    <row r="37" spans="4:5" x14ac:dyDescent="0.25">
      <c r="D37" t="s">
        <v>247</v>
      </c>
      <c r="E37" t="s">
        <v>222</v>
      </c>
    </row>
    <row r="38" spans="4:5" x14ac:dyDescent="0.25">
      <c r="D38" t="s">
        <v>248</v>
      </c>
      <c r="E38" t="s">
        <v>222</v>
      </c>
    </row>
    <row r="39" spans="4:5" x14ac:dyDescent="0.25">
      <c r="D39" t="s">
        <v>249</v>
      </c>
      <c r="E39" t="s">
        <v>222</v>
      </c>
    </row>
    <row r="40" spans="4:5" x14ac:dyDescent="0.25">
      <c r="D40" t="s">
        <v>250</v>
      </c>
      <c r="E40" t="s">
        <v>222</v>
      </c>
    </row>
    <row r="41" spans="4:5" x14ac:dyDescent="0.25">
      <c r="D41" t="s">
        <v>251</v>
      </c>
      <c r="E41" t="s">
        <v>222</v>
      </c>
    </row>
    <row r="42" spans="4:5" x14ac:dyDescent="0.25">
      <c r="D42" t="s">
        <v>252</v>
      </c>
      <c r="E42" t="s">
        <v>222</v>
      </c>
    </row>
    <row r="43" spans="4:5" x14ac:dyDescent="0.25">
      <c r="D43" t="s">
        <v>253</v>
      </c>
      <c r="E43" t="s">
        <v>222</v>
      </c>
    </row>
    <row r="44" spans="4:5" x14ac:dyDescent="0.25">
      <c r="D44" t="s">
        <v>254</v>
      </c>
      <c r="E44" t="s">
        <v>222</v>
      </c>
    </row>
    <row r="45" spans="4:5" x14ac:dyDescent="0.25">
      <c r="D45" t="s">
        <v>255</v>
      </c>
      <c r="E45" t="s">
        <v>222</v>
      </c>
    </row>
    <row r="46" spans="4:5" x14ac:dyDescent="0.25">
      <c r="D46" t="s">
        <v>256</v>
      </c>
      <c r="E46" t="s">
        <v>222</v>
      </c>
    </row>
    <row r="47" spans="4:5" x14ac:dyDescent="0.25">
      <c r="D47" t="s">
        <v>257</v>
      </c>
      <c r="E47" t="s">
        <v>222</v>
      </c>
    </row>
    <row r="48" spans="4:5" x14ac:dyDescent="0.25">
      <c r="D48" t="s">
        <v>258</v>
      </c>
      <c r="E48" t="s">
        <v>222</v>
      </c>
    </row>
    <row r="49" spans="4:5" x14ac:dyDescent="0.25">
      <c r="D49" t="s">
        <v>259</v>
      </c>
      <c r="E49" t="s">
        <v>222</v>
      </c>
    </row>
    <row r="50" spans="4:5" x14ac:dyDescent="0.25">
      <c r="D50" t="s">
        <v>260</v>
      </c>
      <c r="E50" t="s">
        <v>222</v>
      </c>
    </row>
    <row r="51" spans="4:5" x14ac:dyDescent="0.25">
      <c r="D51" t="s">
        <v>261</v>
      </c>
      <c r="E51" t="s">
        <v>222</v>
      </c>
    </row>
    <row r="52" spans="4:5" x14ac:dyDescent="0.25">
      <c r="D52" t="s">
        <v>262</v>
      </c>
      <c r="E52" t="s">
        <v>222</v>
      </c>
    </row>
    <row r="53" spans="4:5" x14ac:dyDescent="0.25">
      <c r="D53" t="s">
        <v>263</v>
      </c>
      <c r="E53" t="s">
        <v>222</v>
      </c>
    </row>
    <row r="54" spans="4:5" x14ac:dyDescent="0.25">
      <c r="D54" t="s">
        <v>264</v>
      </c>
      <c r="E54" t="s">
        <v>222</v>
      </c>
    </row>
    <row r="55" spans="4:5" x14ac:dyDescent="0.25">
      <c r="D55" t="s">
        <v>265</v>
      </c>
      <c r="E55" t="s">
        <v>222</v>
      </c>
    </row>
    <row r="56" spans="4:5" x14ac:dyDescent="0.25">
      <c r="D56" t="s">
        <v>266</v>
      </c>
      <c r="E56" t="s">
        <v>222</v>
      </c>
    </row>
    <row r="57" spans="4:5" x14ac:dyDescent="0.25">
      <c r="D57" t="s">
        <v>267</v>
      </c>
      <c r="E57" t="s">
        <v>222</v>
      </c>
    </row>
    <row r="58" spans="4:5" x14ac:dyDescent="0.25">
      <c r="D58" t="s">
        <v>268</v>
      </c>
      <c r="E58" t="s">
        <v>222</v>
      </c>
    </row>
    <row r="59" spans="4:5" x14ac:dyDescent="0.25">
      <c r="D59" t="s">
        <v>269</v>
      </c>
      <c r="E59" t="s">
        <v>222</v>
      </c>
    </row>
    <row r="60" spans="4:5" x14ac:dyDescent="0.25">
      <c r="D60" t="s">
        <v>270</v>
      </c>
      <c r="E60" t="s">
        <v>222</v>
      </c>
    </row>
    <row r="61" spans="4:5" x14ac:dyDescent="0.25">
      <c r="D61" t="s">
        <v>271</v>
      </c>
      <c r="E61" t="s">
        <v>222</v>
      </c>
    </row>
    <row r="62" spans="4:5" x14ac:dyDescent="0.25">
      <c r="D62" t="s">
        <v>272</v>
      </c>
      <c r="E62" t="s">
        <v>222</v>
      </c>
    </row>
    <row r="63" spans="4:5" x14ac:dyDescent="0.25">
      <c r="D63" t="s">
        <v>273</v>
      </c>
      <c r="E63" t="s">
        <v>222</v>
      </c>
    </row>
    <row r="64" spans="4:5" x14ac:dyDescent="0.25">
      <c r="D64" t="s">
        <v>274</v>
      </c>
      <c r="E64" t="s">
        <v>222</v>
      </c>
    </row>
    <row r="65" spans="2:5" x14ac:dyDescent="0.25">
      <c r="D65" t="s">
        <v>275</v>
      </c>
      <c r="E65" t="s">
        <v>222</v>
      </c>
    </row>
    <row r="66" spans="2:5" x14ac:dyDescent="0.25">
      <c r="D66" t="s">
        <v>276</v>
      </c>
      <c r="E66" t="s">
        <v>222</v>
      </c>
    </row>
    <row r="67" spans="2:5" x14ac:dyDescent="0.25">
      <c r="D67" t="s">
        <v>277</v>
      </c>
      <c r="E67" t="s">
        <v>222</v>
      </c>
    </row>
    <row r="68" spans="2:5" x14ac:dyDescent="0.25">
      <c r="D68" t="s">
        <v>278</v>
      </c>
      <c r="E68" t="s">
        <v>222</v>
      </c>
    </row>
    <row r="69" spans="2:5" x14ac:dyDescent="0.25">
      <c r="D69" t="s">
        <v>279</v>
      </c>
      <c r="E69" t="s">
        <v>222</v>
      </c>
    </row>
    <row r="70" spans="2:5" x14ac:dyDescent="0.25">
      <c r="D70" t="s">
        <v>288</v>
      </c>
    </row>
    <row r="71" spans="2:5" x14ac:dyDescent="0.25">
      <c r="D71" t="s">
        <v>289</v>
      </c>
      <c r="E71" t="s">
        <v>222</v>
      </c>
    </row>
    <row r="72" spans="2:5" x14ac:dyDescent="0.25">
      <c r="D72" t="s">
        <v>290</v>
      </c>
    </row>
    <row r="73" spans="2:5" x14ac:dyDescent="0.25">
      <c r="D73" t="s">
        <v>291</v>
      </c>
    </row>
    <row r="74" spans="2:5" x14ac:dyDescent="0.25">
      <c r="D74" t="s">
        <v>292</v>
      </c>
    </row>
    <row r="75" spans="2:5" x14ac:dyDescent="0.25">
      <c r="D75" t="s">
        <v>293</v>
      </c>
    </row>
    <row r="76" spans="2:5" x14ac:dyDescent="0.25">
      <c r="B76" s="105" t="s">
        <v>229</v>
      </c>
    </row>
    <row r="77" spans="2:5" x14ac:dyDescent="0.25">
      <c r="D77" t="s">
        <v>294</v>
      </c>
    </row>
    <row r="78" spans="2:5" x14ac:dyDescent="0.25">
      <c r="D78" t="s">
        <v>295</v>
      </c>
    </row>
    <row r="79" spans="2:5" x14ac:dyDescent="0.25">
      <c r="B79" s="105" t="s">
        <v>230</v>
      </c>
    </row>
    <row r="80" spans="2:5" x14ac:dyDescent="0.25">
      <c r="D80" t="s">
        <v>296</v>
      </c>
    </row>
  </sheetData>
  <phoneticPr fontId="14" type="noConversion"/>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5</vt:i4>
      </vt:variant>
      <vt:variant>
        <vt:lpstr>Plages nommées</vt:lpstr>
      </vt:variant>
      <vt:variant>
        <vt:i4>6</vt:i4>
      </vt:variant>
    </vt:vector>
  </HeadingPairs>
  <TitlesOfParts>
    <vt:vector size="11" baseType="lpstr">
      <vt:lpstr>Chart Of Accounts</vt:lpstr>
      <vt:lpstr>Écritures</vt:lpstr>
      <vt:lpstr>Transactions</vt:lpstr>
      <vt:lpstr>CalPopUp</vt:lpstr>
      <vt:lpstr>Code</vt:lpstr>
      <vt:lpstr>AcctType</vt:lpstr>
      <vt:lpstr>CalMonths</vt:lpstr>
      <vt:lpstr>CalYear</vt:lpstr>
      <vt:lpstr>Transactions!Criteres</vt:lpstr>
      <vt:lpstr>DebitType</vt:lpstr>
      <vt:lpstr>Transactions!Extraire</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Randy Austin</dc:creator>
  <cp:lastModifiedBy>Robert M. Vigneault</cp:lastModifiedBy>
  <dcterms:created xsi:type="dcterms:W3CDTF">2019-04-19T01:59:50Z</dcterms:created>
  <dcterms:modified xsi:type="dcterms:W3CDTF">2023-09-27T18:54:31Z</dcterms:modified>
</cp:coreProperties>
</file>