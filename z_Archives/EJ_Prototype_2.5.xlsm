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7AFCEE4-4B66-4727-983E-328C179F9A2D}" xr6:coauthVersionLast="47" xr6:coauthVersionMax="47" xr10:uidLastSave="{00000000-0000-0000-0000-000000000000}"/>
  <bookViews>
    <workbookView xWindow="-120" yWindow="-120" windowWidth="29040" windowHeight="15840" activeTab="2" xr2:uid="{8B896088-70BB-4C60-BB21-C1E442DA7D5A}"/>
  </bookViews>
  <sheets>
    <sheet name="EJ" sheetId="1" r:id="rId1"/>
    <sheet name="Transactions" sheetId="3" r:id="rId2"/>
    <sheet name="BV" sheetId="4" r:id="rId3"/>
    <sheet name="PlanComptable" sheetId="2" r:id="rId4"/>
  </sheets>
  <definedNames>
    <definedName name="_xlnm._FilterDatabase" localSheetId="1" hidden="1">Transactions!$C$1:$L$169</definedName>
    <definedName name="AcctType">#REF!</definedName>
    <definedName name="CalMonths">#REF!</definedName>
    <definedName name="CalYear">#REF!</definedName>
    <definedName name="_xlnm.Print_Titles" localSheetId="1">Transactions!$1:$1</definedName>
    <definedName name="_xlnm.Print_Area" localSheetId="1">Transactions!$D$1:$K$159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5" i="1" l="1"/>
  <c r="G25" i="1"/>
</calcChain>
</file>

<file path=xl/sharedStrings.xml><?xml version="1.0" encoding="utf-8"?>
<sst xmlns="http://schemas.openxmlformats.org/spreadsheetml/2006/main" count="876" uniqueCount="205">
  <si>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</si>
  <si>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</si>
  <si>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</si>
  <si>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</si>
  <si>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</si>
  <si>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</si>
  <si>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</si>
  <si>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</si>
  <si>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</si>
  <si>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</si>
  <si>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</si>
  <si>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</si>
  <si>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</si>
  <si>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</si>
  <si>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</si>
  <si>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</si>
  <si>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</si>
  <si>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</si>
  <si>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</si>
  <si>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</si>
  <si>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</si>
  <si>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</si>
  <si>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</si>
  <si>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</si>
  <si>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</si>
  <si>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</si>
  <si>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</si>
  <si>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</si>
  <si>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</si>
  <si>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</si>
  <si>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</si>
  <si>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</si>
  <si>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</si>
  <si>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</si>
  <si>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</si>
  <si>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</si>
  <si>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</si>
  <si>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</si>
  <si>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</si>
  <si>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</si>
  <si>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</si>
  <si>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</si>
  <si>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</si>
  <si>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</si>
  <si>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</si>
  <si>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</si>
  <si>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</si>
  <si>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</si>
  <si>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</si>
  <si>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</si>
  <si>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</si>
  <si>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</si>
  <si>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</si>
  <si>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</si>
  <si>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</si>
  <si>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</si>
  <si>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</si>
  <si>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</si>
  <si>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</si>
  <si>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</si>
  <si>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</si>
  <si>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</si>
  <si>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</si>
  <si>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</si>
  <si>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</si>
  <si>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</si>
  <si>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</si>
  <si>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</si>
  <si>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</si>
  <si>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</si>
  <si>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</si>
  <si>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</si>
  <si>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</si>
  <si>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</si>
  <si>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</si>
  <si>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</si>
  <si>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</si>
  <si>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</si>
  <si>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</si>
  <si>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</si>
  <si>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</si>
  <si>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</si>
  <si>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</si>
  <si>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</si>
  <si>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</si>
  <si>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</si>
  <si>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</si>
  <si>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</si>
  <si>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</si>
  <si>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</si>
  <si>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</si>
  <si>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</si>
  <si>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</si>
  <si>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</si>
  <si>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</si>
  <si>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</si>
  <si>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</si>
  <si>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</si>
  <si>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</si>
  <si>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</si>
  <si>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</si>
  <si>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</si>
  <si>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</si>
  <si>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</si>
  <si>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</si>
  <si>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</si>
  <si>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</si>
  <si>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</si>
  <si>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</si>
  <si>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</si>
  <si>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</si>
  <si>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</si>
  <si>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</si>
  <si>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</si>
  <si>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</si>
  <si>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</si>
  <si>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</si>
  <si>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</si>
  <si>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</si>
  <si>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</si>
  <si>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</si>
  <si>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</si>
  <si>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</si>
  <si>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</si>
  <si>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</si>
  <si>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</si>
  <si>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</si>
  <si>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</si>
  <si>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</si>
  <si>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</si>
  <si>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</si>
  <si>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</si>
  <si>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</si>
  <si>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</si>
  <si>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</si>
  <si>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</si>
  <si>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</si>
  <si>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</si>
  <si>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</si>
  <si>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</si>
  <si>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</si>
  <si>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</si>
  <si>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</si>
  <si>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</si>
  <si>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</si>
  <si>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</si>
  <si>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</si>
  <si>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</si>
  <si>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</si>
  <si>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</si>
  <si>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</si>
  <si>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</si>
  <si>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</si>
  <si>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</si>
  <si>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</si>
  <si>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</si>
  <si>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</si>
  <si>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</si>
  <si>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</si>
  <si>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</si>
  <si>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</si>
  <si>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</si>
  <si>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</si>
  <si>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</si>
  <si>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</si>
  <si>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</si>
  <si>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</si>
  <si>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</si>
  <si>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</si>
  <si>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</si>
  <si>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</si>
  <si>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</si>
  <si>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</si>
  <si>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</si>
  <si>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</si>
  <si>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</si>
  <si>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31/10/2023</t>
  </si>
  <si>
    <t>Frais de non utilisation de la marge</t>
  </si>
  <si>
    <t>Frais pour chèque NSF du client CANPLEX</t>
  </si>
  <si>
    <t>PAYÉS D'AVANCE</t>
  </si>
  <si>
    <t>30/09/2023</t>
  </si>
  <si>
    <t>Assurances Responsabilité (portion mensuelle)</t>
  </si>
  <si>
    <t>FACT-00029</t>
  </si>
  <si>
    <t>12/10/2023</t>
  </si>
  <si>
    <t>No. Compte</t>
  </si>
  <si>
    <t>Balance de vérification</t>
  </si>
  <si>
    <t>Colonne1</t>
  </si>
  <si>
    <t>Colonne2</t>
  </si>
  <si>
    <t>-10 758,83</t>
  </si>
  <si>
    <t>4 715,03</t>
  </si>
  <si>
    <t>- 941,28</t>
  </si>
  <si>
    <t>-1 711,04</t>
  </si>
  <si>
    <t>1 706,01</t>
  </si>
  <si>
    <t>3 404,02</t>
  </si>
  <si>
    <t>4 555,00</t>
  </si>
  <si>
    <t>3 995,99</t>
  </si>
  <si>
    <t>-4 720,15</t>
  </si>
  <si>
    <t>15 000,00</t>
  </si>
  <si>
    <t>-14 800,00</t>
  </si>
  <si>
    <t xml:space="preserve"> 404,95</t>
  </si>
  <si>
    <t>- 164,00</t>
  </si>
  <si>
    <t>- 133,00</t>
  </si>
  <si>
    <t>- 102,00</t>
  </si>
  <si>
    <t xml:space="preserve"> 795,00</t>
  </si>
  <si>
    <t xml:space="preserve"> 2,94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</si>
</sst>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</borders>
  <cellStyleXfs count="1">
    <xf numFmtId="0" fontId="0" fillId="0" borderId="0"/>
  </cellStyleXfs>
  <cellXfs count="211">
    <xf numFmtId="0" fontId="0" fillId="0" borderId="0" xfId="0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24" xfId="0" applyNumberFormat="1" applyBorder="1" applyAlignment="1" applyProtection="1">
      <alignment horizontal="center"/>
      <protection locked="0"/>
    </xf>
    <xf numFmtId="49" fontId="0" fillId="0" borderId="24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5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0" fillId="3" borderId="1" xfId="0" applyFill="1" applyBorder="1" applyProtection="1">
      <protection locked="0"/>
    </xf>
    <xf numFmtId="164" fontId="0" fillId="3" borderId="9" xfId="0" applyNumberFormat="1" applyFill="1" applyBorder="1" applyAlignment="1" applyProtection="1">
      <alignment horizontal="right"/>
      <protection locked="0"/>
    </xf>
    <xf numFmtId="164" fontId="0" fillId="3" borderId="12" xfId="0" applyNumberForma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2" fillId="0" borderId="27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0" fontId="0" fillId="0" borderId="9" xfId="0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0" fontId="8" fillId="9" borderId="19" xfId="0" applyFont="1" applyFill="1" applyBorder="1"/>
    <xf numFmtId="0" fontId="1" fillId="9" borderId="19" xfId="0" applyFont="1" applyFill="1" applyBorder="1"/>
    <xf numFmtId="0" fontId="1" fillId="9" borderId="20" xfId="0" applyFont="1" applyFill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8" fillId="9" borderId="18" xfId="0" applyFont="1" applyFill="1" applyBorder="1"/>
    <xf numFmtId="0" fontId="0" fillId="0" borderId="25" xfId="0" applyBorder="1"/>
    <xf numFmtId="164" fontId="0" fillId="0" borderId="25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164" fontId="0" fillId="9" borderId="19" xfId="0" applyNumberFormat="1" applyFill="1" applyBorder="1"/>
    <xf numFmtId="0" fontId="0" fillId="9" borderId="20" xfId="0" applyFill="1" applyBorder="1"/>
    <xf numFmtId="0" fontId="8" fillId="9" borderId="12" xfId="0" applyFont="1" applyFill="1" applyBorder="1"/>
    <xf numFmtId="164" fontId="0" fillId="9" borderId="12" xfId="0" applyNumberFormat="1" applyFill="1" applyBorder="1"/>
    <xf numFmtId="0" fontId="0" fillId="9" borderId="26" xfId="0" applyFill="1" applyBorder="1"/>
    <xf numFmtId="0" fontId="2" fillId="0" borderId="27" xfId="0" applyFont="1" applyBorder="1" applyAlignment="1">
      <alignment horizontal="center"/>
    </xf>
    <xf numFmtId="0" fontId="2" fillId="0" borderId="27" xfId="0" applyFont="1" applyBorder="1"/>
    <xf numFmtId="0" fontId="0" fillId="0" borderId="27" xfId="0" applyBorder="1"/>
    <xf numFmtId="164" fontId="0" fillId="0" borderId="27" xfId="0" applyNumberFormat="1" applyBorder="1"/>
    <xf numFmtId="0" fontId="0" fillId="3" borderId="2" xfId="0" applyFill="1" applyBorder="1" applyProtection="1">
      <protection locked="0"/>
    </xf>
    <xf numFmtId="0" fontId="0" fillId="3" borderId="28" xfId="0" applyFill="1" applyBorder="1" applyProtection="1">
      <protection locked="0"/>
    </xf>
    <xf numFmtId="0" fontId="0" fillId="3" borderId="30" xfId="0" applyFill="1" applyBorder="1" applyProtection="1">
      <protection locked="0"/>
    </xf>
    <xf numFmtId="0" fontId="0" fillId="3" borderId="16" xfId="0" applyFill="1" applyBorder="1"/>
    <xf numFmtId="0" fontId="0" fillId="3" borderId="29" xfId="0" applyFill="1" applyBorder="1"/>
    <xf numFmtId="0" fontId="0" fillId="3" borderId="19" xfId="0" applyFill="1" applyBorder="1"/>
    <xf numFmtId="0" fontId="0" fillId="3" borderId="31" xfId="0" applyFill="1" applyBorder="1"/>
    <xf numFmtId="49" fontId="0" fillId="3" borderId="15" xfId="0" applyNumberFormat="1" applyFill="1" applyBorder="1" applyProtection="1">
      <protection locked="0"/>
    </xf>
    <xf numFmtId="49" fontId="0" fillId="3" borderId="18" xfId="0" applyNumberFormat="1" applyFill="1" applyBorder="1" applyProtection="1">
      <protection locked="0"/>
    </xf>
    <xf numFmtId="49" fontId="0" fillId="3" borderId="17" xfId="0" applyNumberFormat="1" applyFill="1" applyBorder="1"/>
    <xf numFmtId="49" fontId="0" fillId="3" borderId="20" xfId="0" applyNumberFormat="1" applyFill="1" applyBorder="1"/>
    <xf numFmtId="0" fontId="0" fillId="0" borderId="0" xfId="0" applyAlignment="1">
      <alignment horizontal="right"/>
    </xf>
    <xf numFmtId="0" fontId="0" fillId="3" borderId="3" xfId="0" applyFill="1" applyBorder="1"/>
    <xf numFmtId="0" fontId="0" fillId="3" borderId="4" xfId="0" applyFill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2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33" xfId="0" applyBorder="1"/>
    <xf numFmtId="164" fontId="0" fillId="0" borderId="33" xfId="0" applyNumberFormat="1" applyBorder="1"/>
    <xf numFmtId="0" fontId="0" fillId="0" borderId="34" xfId="0" applyBorder="1"/>
    <xf numFmtId="14" fontId="2" fillId="0" borderId="35" xfId="0" applyNumberFormat="1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36" xfId="0" applyFont="1" applyBorder="1" applyAlignment="1">
      <alignment horizontal="left"/>
    </xf>
    <xf numFmtId="0" fontId="0" fillId="0" borderId="36" xfId="0" applyBorder="1"/>
    <xf numFmtId="164" fontId="0" fillId="0" borderId="36" xfId="0" applyNumberFormat="1" applyBorder="1"/>
    <xf numFmtId="0" fontId="0" fillId="0" borderId="37" xfId="0" applyBorder="1"/>
    <xf numFmtId="14" fontId="2" fillId="0" borderId="38" xfId="0" applyNumberFormat="1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39" xfId="0" applyFont="1" applyBorder="1" applyAlignment="1">
      <alignment horizontal="left"/>
    </xf>
    <xf numFmtId="0" fontId="0" fillId="2" borderId="40" xfId="0" applyFill="1" applyBorder="1" applyAlignment="1">
      <alignment horizontal="right"/>
    </xf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 applyAlignment="1">
      <alignment horizontal="right"/>
    </xf>
    <xf numFmtId="0" fontId="0" fillId="2" borderId="44" xfId="0" applyFill="1" applyBorder="1"/>
    <xf numFmtId="0" fontId="0" fillId="2" borderId="45" xfId="0" applyFill="1" applyBorder="1"/>
    <xf numFmtId="0" fontId="9" fillId="2" borderId="0" xfId="0" applyFont="1" applyFill="1" applyAlignment="1">
      <alignment horizontal="right"/>
    </xf>
    <xf numFmtId="0" fontId="0" fillId="2" borderId="46" xfId="0" applyFill="1" applyBorder="1" applyAlignment="1">
      <alignment horizontal="right"/>
    </xf>
    <xf numFmtId="0" fontId="0" fillId="2" borderId="47" xfId="0" applyFill="1" applyBorder="1"/>
    <xf numFmtId="0" fontId="0" fillId="2" borderId="48" xfId="0" applyFill="1" applyBorder="1"/>
    <xf numFmtId="14" fontId="10" fillId="0" borderId="35" xfId="0" applyNumberFormat="1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0" fillId="0" borderId="36" xfId="0" applyFont="1" applyBorder="1" applyAlignment="1">
      <alignment horizontal="left"/>
    </xf>
    <xf numFmtId="14" fontId="10" fillId="0" borderId="38" xfId="0" applyNumberFormat="1" applyFont="1" applyBorder="1" applyAlignment="1">
      <alignment horizontal="center"/>
    </xf>
    <xf numFmtId="0" fontId="10" fillId="0" borderId="39" xfId="0" applyFont="1" applyBorder="1" applyAlignment="1">
      <alignment horizontal="center"/>
    </xf>
    <xf numFmtId="0" fontId="10" fillId="0" borderId="39" xfId="0" applyFont="1" applyBorder="1" applyAlignment="1">
      <alignment horizontal="left"/>
    </xf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11" borderId="28" xfId="0" applyFill="1" applyBorder="1" applyProtection="1">
      <protection locked="0"/>
    </xf>
    <xf numFmtId="0" fontId="0" fillId="11" borderId="16" xfId="0" applyFill="1" applyBorder="1"/>
    <xf numFmtId="0" fontId="0" fillId="11" borderId="29" xfId="0" applyFill="1" applyBorder="1"/>
    <xf numFmtId="164" fontId="0" fillId="11" borderId="9" xfId="0" applyNumberFormat="1" applyFill="1" applyBorder="1" applyAlignment="1" applyProtection="1">
      <alignment horizontal="right"/>
      <protection locked="0"/>
    </xf>
    <xf numFmtId="49" fontId="0" fillId="11" borderId="15" xfId="0" applyNumberFormat="1" applyFill="1" applyBorder="1" applyProtection="1">
      <protection locked="0"/>
    </xf>
    <xf numFmtId="49" fontId="0" fillId="11" borderId="17" xfId="0" applyNumberFormat="1" applyFill="1" applyBorder="1"/>
    <xf numFmtId="7" fontId="0" fillId="2" borderId="0" xfId="0" applyNumberFormat="1" applyFill="1"/>
    <xf numFmtId="4" fontId="0" fillId="0" borderId="0" xfId="0" applyNumberFormat="1" applyAlignment="1">
      <alignment horizontal="right"/>
    </xf>
    <xf numFmtId="0" fontId="10" fillId="0" borderId="49" xfId="0" applyFont="1" applyBorder="1" applyAlignment="1">
      <alignment horizontal="center"/>
    </xf>
    <xf numFmtId="0" fontId="10" fillId="0" borderId="49" xfId="0" applyFont="1" applyBorder="1" applyAlignment="1">
      <alignment horizontal="left"/>
    </xf>
    <xf numFmtId="0" fontId="8" fillId="9" borderId="39" xfId="0" applyFont="1" applyFill="1" applyBorder="1"/>
    <xf numFmtId="0" fontId="0" fillId="9" borderId="50" xfId="0" applyFill="1" applyBorder="1"/>
    <xf numFmtId="0" fontId="0" fillId="2" borderId="51" xfId="0" applyFill="1" applyBorder="1" applyAlignment="1">
      <alignment horizontal="right"/>
    </xf>
    <xf numFmtId="0" fontId="0" fillId="0" borderId="32" xfId="0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14" fontId="0" fillId="0" borderId="52" xfId="0" applyNumberFormat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Border="1" applyAlignment="1">
      <alignment horizontal="left"/>
    </xf>
    <xf numFmtId="0" fontId="0" fillId="0" borderId="53" xfId="0" applyBorder="1"/>
    <xf numFmtId="164" fontId="0" fillId="0" borderId="53" xfId="0" applyNumberFormat="1" applyBorder="1"/>
    <xf numFmtId="0" fontId="0" fillId="0" borderId="54" xfId="0" applyBorder="1"/>
    <xf numFmtId="14" fontId="10" fillId="0" borderId="55" xfId="0" applyNumberFormat="1" applyFont="1" applyBorder="1" applyAlignment="1">
      <alignment horizontal="center"/>
    </xf>
    <xf numFmtId="0" fontId="0" fillId="0" borderId="49" xfId="0" applyBorder="1"/>
    <xf numFmtId="164" fontId="0" fillId="0" borderId="49" xfId="0" applyNumberFormat="1" applyBorder="1"/>
    <xf numFmtId="0" fontId="0" fillId="0" borderId="56" xfId="0" applyBorder="1"/>
    <xf numFmtId="14" fontId="2" fillId="0" borderId="55" xfId="0" applyNumberFormat="1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0" borderId="49" xfId="0" applyFont="1" applyBorder="1" applyAlignment="1">
      <alignment horizontal="left"/>
    </xf>
    <xf numFmtId="14" fontId="2" fillId="0" borderId="57" xfId="0" applyNumberFormat="1" applyFont="1" applyBorder="1" applyAlignment="1">
      <alignment horizontal="center"/>
    </xf>
    <xf numFmtId="0" fontId="2" fillId="0" borderId="58" xfId="0" applyFont="1" applyBorder="1" applyAlignment="1">
      <alignment horizontal="center"/>
    </xf>
    <xf numFmtId="0" fontId="2" fillId="0" borderId="58" xfId="0" applyFont="1" applyBorder="1" applyAlignment="1">
      <alignment horizontal="left"/>
    </xf>
    <xf numFmtId="0" fontId="8" fillId="9" borderId="58" xfId="0" applyFont="1" applyFill="1" applyBorder="1"/>
    <xf numFmtId="0" fontId="0" fillId="9" borderId="59" xfId="0" applyFill="1" applyBorder="1"/>
    <xf numFmtId="14" fontId="2" fillId="0" borderId="60" xfId="0" applyNumberFormat="1" applyFont="1" applyBorder="1" applyAlignment="1">
      <alignment horizontal="center"/>
    </xf>
    <xf numFmtId="0" fontId="2" fillId="0" borderId="60" xfId="0" applyFont="1" applyBorder="1" applyAlignment="1">
      <alignment horizontal="center"/>
    </xf>
    <xf numFmtId="0" fontId="2" fillId="0" borderId="60" xfId="0" applyFont="1" applyBorder="1" applyAlignment="1">
      <alignment horizontal="left"/>
    </xf>
    <xf numFmtId="0" fontId="0" fillId="0" borderId="60" xfId="0" applyBorder="1"/>
    <xf numFmtId="164" fontId="0" fillId="0" borderId="60" xfId="0" applyNumberFormat="1" applyBorder="1"/>
    <xf numFmtId="0" fontId="4" fillId="10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164" fontId="0" fillId="0" borderId="9" xfId="0" applyNumberFormat="1" applyFill="1" applyBorder="1" applyAlignment="1" applyProtection="1">
      <alignment horizontal="right"/>
      <protection locked="0"/>
    </xf>
    <xf numFmtId="164" fontId="1" fillId="0" borderId="0" xfId="0" applyNumberFormat="1" applyFont="1" applyFill="1"/>
    <xf numFmtId="49" fontId="0" fillId="0" borderId="6" xfId="0" applyNumberFormat="1" applyFont="1" applyBorder="1" applyAlignment="1">
      <alignment horizontal="center"/>
    </xf>
    <xf numFmtId="49" fontId="0" fillId="0" borderId="9" xfId="0" applyNumberFormat="1" applyFon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18" xfId="0" applyNumberFormat="1" applyFont="1" applyBorder="1" applyAlignment="1">
      <alignment horizontal="center"/>
    </xf>
    <xf numFmtId="49" fontId="0" fillId="0" borderId="25" xfId="0" applyNumberFormat="1" applyFont="1" applyBorder="1" applyAlignment="1">
      <alignment horizontal="center"/>
    </xf>
    <xf numFmtId="49" fontId="0" fillId="0" borderId="12" xfId="0" applyNumberFormat="1" applyFont="1" applyBorder="1" applyAlignment="1">
      <alignment horizontal="center"/>
    </xf>
    <xf numFmtId="49" fontId="0" fillId="0" borderId="27" xfId="0" applyNumberFormat="1" applyFont="1" applyBorder="1" applyAlignment="1">
      <alignment horizontal="center"/>
    </xf>
    <xf numFmtId="49" fontId="0" fillId="0" borderId="33" xfId="0" applyNumberFormat="1" applyFont="1" applyBorder="1" applyAlignment="1">
      <alignment horizontal="center"/>
    </xf>
    <xf numFmtId="49" fontId="0" fillId="0" borderId="36" xfId="0" applyNumberFormat="1" applyFont="1" applyBorder="1" applyAlignment="1">
      <alignment horizontal="center"/>
    </xf>
    <xf numFmtId="49" fontId="0" fillId="0" borderId="39" xfId="0" applyNumberFormat="1" applyFont="1" applyBorder="1" applyAlignment="1">
      <alignment horizontal="center"/>
    </xf>
    <xf numFmtId="49" fontId="0" fillId="0" borderId="53" xfId="0" applyNumberFormat="1" applyFont="1" applyBorder="1" applyAlignment="1">
      <alignment horizontal="center"/>
    </xf>
    <xf numFmtId="49" fontId="0" fillId="0" borderId="49" xfId="0" applyNumberFormat="1" applyFont="1" applyBorder="1" applyAlignment="1">
      <alignment horizontal="center"/>
    </xf>
    <xf numFmtId="49" fontId="0" fillId="0" borderId="58" xfId="0" applyNumberFormat="1" applyFont="1" applyBorder="1" applyAlignment="1">
      <alignment horizontal="center"/>
    </xf>
    <xf numFmtId="49" fontId="0" fillId="0" borderId="60" xfId="0" applyNumberFormat="1" applyFon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49" fontId="3" fillId="7" borderId="0" xfId="0" applyNumberFormat="1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center"/>
    </xf>
    <xf numFmtId="0" fontId="14" fillId="0" borderId="0" xfId="0" applyFont="1"/>
    <xf numFmtId="0" fontId="13" fillId="12" borderId="0" xfId="0" applyFont="1" applyFill="1" applyAlignment="1">
      <alignment horizontal="center"/>
    </xf>
    <xf numFmtId="0" fontId="0" fillId="0" borderId="0" xfId="0" applyFont="1" applyAlignment="1">
      <alignment horizontal="right" vertical="center"/>
    </xf>
    <xf numFmtId="14" fontId="0" fillId="0" borderId="0" xfId="0" applyNumberFormat="1" applyFont="1" applyAlignment="1">
      <alignment horizontal="center" vertical="center"/>
    </xf>
    <xf numFmtId="0" fontId="0" fillId="13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61" xfId="0" applyFont="1" applyFill="1" applyBorder="1" applyAlignment="1">
      <alignment horizontal="center"/>
    </xf>
    <xf numFmtId="0" fontId="0" fillId="0" borderId="62" xfId="0" applyBorder="1" applyAlignment="1" applyProtection="1">
      <alignment horizontal="left"/>
      <protection locked="0"/>
    </xf>
    <xf numFmtId="49" fontId="0" fillId="0" borderId="62" xfId="0" applyNumberFormat="1" applyBorder="1" applyAlignment="1" applyProtection="1">
      <alignment horizontal="center"/>
      <protection locked="0"/>
    </xf>
    <xf numFmtId="49" fontId="0" fillId="0" borderId="62" xfId="0" applyNumberFormat="1" applyBorder="1" applyAlignment="1" applyProtection="1">
      <alignment horizontal="left"/>
      <protection locked="0"/>
    </xf>
    <xf numFmtId="164" fontId="13" fillId="12" borderId="0" xfId="0" applyNumberFormat="1" applyFont="1" applyFill="1" applyAlignment="1">
      <alignment horizontal="right"/>
    </xf>
    <xf numFmtId="164" fontId="12" fillId="12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</cellXfs>
  <cellStyles count="1">
    <cellStyle name="Normal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bottom style="thin">
          <color theme="6" tint="-0.499984740745262"/>
        </bottom>
      </border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863A81-7846-6996-4D69-9D3F7D3D7DE1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2" totalsRowShown="0" headerRowDxfId="0" headerRowBorderDxfId="4" tableBorderDxfId="5">
  <autoFilter ref="D1:F62" xr:uid="{14C329C6-94DF-42A8-8109-86AAE4155542}"/>
  <tableColumns count="3">
    <tableColumn id="1" xr3:uid="{2BCE0A9E-D1F1-433B-A4C2-C16E4ED5F5E4}" name="Plan Comptable" dataDxfId="3"/>
    <tableColumn id="2" xr3:uid="{4E36B198-8028-4579-8C2C-2E84B10968B2}" name="Colonne1" dataDxfId="2"/>
    <tableColumn id="3" xr3:uid="{0F108B7D-E7FE-4F3B-8C2C-2AE9049BAF19}" name="Colonne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J145"/>
  <sheetViews>
    <sheetView showGridLines="0" workbookViewId="0">
      <selection activeCell="D12" sqref="D12"/>
    </sheetView>
  </sheetViews>
  <sheetFormatPr baseColWidth="10" defaultRowHeight="15" x14ac:dyDescent="0.25"/>
  <cols>
    <col min="1" max="1" width="17" style="72" bestFit="1" customWidth="1"/>
    <col min="2" max="2" width="11.42578125" style="14"/>
    <col min="3" max="3" width="5.7109375" style="2" customWidth="1"/>
    <col min="4" max="4" width="13" style="3" customWidth="1"/>
    <col min="5" max="5" width="16.7109375" style="2" customWidth="1"/>
    <col min="6" max="6" width="5.7109375" style="2" customWidth="1"/>
    <col min="7" max="8" width="14.7109375" style="2" customWidth="1"/>
    <col min="9" max="9" width="25.7109375" style="2" customWidth="1"/>
    <col min="10" max="10" width="14.140625" style="2" customWidth="1"/>
    <col min="11" max="11" width="5.7109375" style="2" customWidth="1"/>
    <col min="12" max="16384" width="11.42578125" style="2"/>
  </cols>
  <sheetData>
    <row r="1" spans="1:10" x14ac:dyDescent="0.25">
      <c r="A1" s="72" t="s">
        <v>144</v>
      </c>
      <c r="B1" s="27">
        <v>30</v>
      </c>
      <c r="D1" s="167" t="s">
        <v>8</v>
      </c>
      <c r="E1" s="167"/>
      <c r="F1" s="167"/>
      <c r="G1" s="167"/>
      <c r="H1" s="167"/>
      <c r="I1" s="167"/>
      <c r="J1" s="167"/>
    </row>
    <row r="2" spans="1:10" x14ac:dyDescent="0.25">
      <c r="B2" s="119"/>
      <c r="C2" s="118"/>
      <c r="D2" s="167"/>
      <c r="E2" s="167"/>
      <c r="F2" s="167"/>
      <c r="G2" s="167"/>
      <c r="H2" s="167"/>
      <c r="I2" s="167"/>
      <c r="J2" s="167"/>
    </row>
    <row r="3" spans="1:10" x14ac:dyDescent="0.25">
      <c r="B3" s="119"/>
    </row>
    <row r="4" spans="1:10" x14ac:dyDescent="0.25">
      <c r="D4" s="101" t="s">
        <v>4</v>
      </c>
      <c r="E4" s="24" t="s">
        <v>172</v>
      </c>
      <c r="I4" s="101" t="s">
        <v>7</v>
      </c>
      <c r="J4" s="111" t="s">
        <v>183</v>
      </c>
    </row>
    <row r="6" spans="1:10" x14ac:dyDescent="0.25">
      <c r="D6" s="101" t="s">
        <v>5</v>
      </c>
      <c r="E6" s="61" t="s">
        <v>173</v>
      </c>
      <c r="F6" s="73"/>
      <c r="G6" s="73"/>
      <c r="H6" s="73"/>
      <c r="I6" s="73"/>
      <c r="J6" s="74"/>
    </row>
    <row r="7" spans="1:10" ht="15.75" thickBot="1" x14ac:dyDescent="0.3"/>
    <row r="8" spans="1:10" x14ac:dyDescent="0.25">
      <c r="D8" s="168" t="s">
        <v>1</v>
      </c>
      <c r="E8" s="169"/>
      <c r="F8" s="169"/>
      <c r="G8" s="4" t="s">
        <v>2</v>
      </c>
      <c r="H8" s="4" t="s">
        <v>3</v>
      </c>
      <c r="I8" s="170" t="s">
        <v>6</v>
      </c>
      <c r="J8" s="171"/>
    </row>
    <row r="9" spans="1:10" x14ac:dyDescent="0.25">
      <c r="D9" s="62" t="s">
        <v>13</v>
      </c>
      <c r="E9" s="64"/>
      <c r="F9" s="65"/>
      <c r="G9" s="172">
        <v>199.56</v>
      </c>
      <c r="H9" s="172"/>
      <c r="I9" s="68"/>
      <c r="J9" s="70"/>
    </row>
    <row r="10" spans="1:10" x14ac:dyDescent="0.25">
      <c r="D10" s="112" t="s">
        <v>15</v>
      </c>
      <c r="E10" s="113"/>
      <c r="F10" s="114"/>
      <c r="G10" s="115"/>
      <c r="H10" s="115">
        <v>199.55</v>
      </c>
      <c r="I10" s="116"/>
      <c r="J10" s="117"/>
    </row>
    <row r="11" spans="1:10" x14ac:dyDescent="0.25">
      <c r="D11" s="62" t="s">
        <v>19</v>
      </c>
      <c r="E11" s="64"/>
      <c r="F11" s="65"/>
      <c r="G11" s="25"/>
      <c r="H11" s="25">
        <v>0.01</v>
      </c>
      <c r="I11" s="68"/>
      <c r="J11" s="70"/>
    </row>
    <row r="12" spans="1:10" x14ac:dyDescent="0.25">
      <c r="D12" s="112"/>
      <c r="E12" s="113"/>
      <c r="F12" s="114"/>
      <c r="G12" s="115"/>
      <c r="H12" s="115"/>
      <c r="I12" s="116"/>
      <c r="J12" s="117"/>
    </row>
    <row r="13" spans="1:10" x14ac:dyDescent="0.25">
      <c r="D13" s="62"/>
      <c r="E13" s="64"/>
      <c r="F13" s="65"/>
      <c r="G13" s="25"/>
      <c r="H13" s="25"/>
      <c r="I13" s="68"/>
      <c r="J13" s="70"/>
    </row>
    <row r="14" spans="1:10" x14ac:dyDescent="0.25">
      <c r="D14" s="112"/>
      <c r="E14" s="113"/>
      <c r="F14" s="114"/>
      <c r="G14" s="115"/>
      <c r="H14" s="115"/>
      <c r="I14" s="116"/>
      <c r="J14" s="117"/>
    </row>
    <row r="15" spans="1:10" x14ac:dyDescent="0.25">
      <c r="D15" s="62"/>
      <c r="E15" s="64"/>
      <c r="F15" s="65"/>
      <c r="G15" s="25"/>
      <c r="H15" s="25"/>
      <c r="I15" s="68"/>
      <c r="J15" s="70"/>
    </row>
    <row r="16" spans="1:10" x14ac:dyDescent="0.25">
      <c r="D16" s="112"/>
      <c r="E16" s="113"/>
      <c r="F16" s="114"/>
      <c r="G16" s="115"/>
      <c r="H16" s="115"/>
      <c r="I16" s="116"/>
      <c r="J16" s="117"/>
    </row>
    <row r="17" spans="4:10" x14ac:dyDescent="0.25">
      <c r="D17" s="62"/>
      <c r="E17" s="64"/>
      <c r="F17" s="65"/>
      <c r="G17" s="25"/>
      <c r="H17" s="25"/>
      <c r="I17" s="68"/>
      <c r="J17" s="70"/>
    </row>
    <row r="18" spans="4:10" x14ac:dyDescent="0.25">
      <c r="D18" s="112"/>
      <c r="E18" s="113"/>
      <c r="F18" s="114"/>
      <c r="G18" s="115"/>
      <c r="H18" s="115"/>
      <c r="I18" s="116"/>
      <c r="J18" s="117"/>
    </row>
    <row r="19" spans="4:10" x14ac:dyDescent="0.25">
      <c r="D19" s="62"/>
      <c r="E19" s="64"/>
      <c r="F19" s="65"/>
      <c r="G19" s="25"/>
      <c r="H19" s="25"/>
      <c r="I19" s="68"/>
      <c r="J19" s="70"/>
    </row>
    <row r="20" spans="4:10" x14ac:dyDescent="0.25">
      <c r="D20" s="112"/>
      <c r="E20" s="113"/>
      <c r="F20" s="114"/>
      <c r="G20" s="115"/>
      <c r="H20" s="115"/>
      <c r="I20" s="116"/>
      <c r="J20" s="117"/>
    </row>
    <row r="21" spans="4:10" x14ac:dyDescent="0.25">
      <c r="D21" s="62"/>
      <c r="E21" s="64"/>
      <c r="F21" s="65"/>
      <c r="G21" s="25"/>
      <c r="H21" s="25"/>
      <c r="I21" s="68"/>
      <c r="J21" s="70"/>
    </row>
    <row r="22" spans="4:10" x14ac:dyDescent="0.25">
      <c r="D22" s="112"/>
      <c r="E22" s="113"/>
      <c r="F22" s="114"/>
      <c r="G22" s="115"/>
      <c r="H22" s="115"/>
      <c r="I22" s="116"/>
      <c r="J22" s="117"/>
    </row>
    <row r="23" spans="4:10" ht="15.75" thickBot="1" x14ac:dyDescent="0.3">
      <c r="D23" s="63"/>
      <c r="E23" s="66"/>
      <c r="F23" s="67"/>
      <c r="G23" s="26"/>
      <c r="H23" s="26"/>
      <c r="I23" s="69"/>
      <c r="J23" s="71"/>
    </row>
    <row r="25" spans="4:10" x14ac:dyDescent="0.25">
      <c r="G25" s="173">
        <f>SUM(G9:G23)</f>
        <v>199.56</v>
      </c>
      <c r="H25" s="173">
        <f>SUM(H9:H23)</f>
        <v>199.56</v>
      </c>
    </row>
    <row r="117" spans="4:10" ht="15.75" thickBot="1" x14ac:dyDescent="0.3"/>
    <row r="118" spans="4:10" ht="16.5" thickTop="1" thickBot="1" x14ac:dyDescent="0.3">
      <c r="D118" s="102"/>
      <c r="E118" s="103"/>
      <c r="F118" s="103"/>
      <c r="G118" s="103"/>
      <c r="H118" s="103"/>
      <c r="I118" s="103"/>
      <c r="J118" s="104"/>
    </row>
    <row r="119" spans="4:10" ht="15.75" thickTop="1" x14ac:dyDescent="0.25">
      <c r="D119" s="95"/>
      <c r="E119" s="96"/>
      <c r="F119" s="96"/>
      <c r="G119" s="96"/>
      <c r="H119" s="96"/>
      <c r="I119" s="96"/>
      <c r="J119" s="97"/>
    </row>
    <row r="120" spans="4:10" ht="15.75" thickBot="1" x14ac:dyDescent="0.3">
      <c r="D120" s="98"/>
      <c r="E120" s="99"/>
      <c r="F120" s="99"/>
      <c r="G120" s="99"/>
      <c r="H120" s="99"/>
      <c r="I120" s="99"/>
      <c r="J120" s="100"/>
    </row>
    <row r="121" spans="4:10" ht="16.5" thickTop="1" thickBot="1" x14ac:dyDescent="0.3">
      <c r="D121" s="98"/>
      <c r="E121" s="99"/>
      <c r="F121" s="99"/>
      <c r="G121" s="99"/>
      <c r="H121" s="99"/>
      <c r="I121" s="99"/>
      <c r="J121" s="100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24"/>
    </row>
    <row r="145" ht="15.75" thickTop="1" x14ac:dyDescent="0.25"/>
  </sheetData>
  <sheetProtection algorithmName="SHA-512" hashValue="me77fmhv0Gnmvmy/JTutplil+iU4AB7bYZj4kdp9hmmbwJOTa0K2A7axIFfIpCBDLr/OscqBKUYQtGbvc2L0Yw==" saltValue="PZSfWceaDLZ5LRGaa1gSmA==" spinCount="100000" sheet="1" formatCells="0" selectLockedCells="1" sort="0" autoFilter="0" pivotTables="0"/>
  <mergeCells count="3">
    <mergeCell ref="D1:J2"/>
    <mergeCell ref="D8:F8"/>
    <mergeCell ref="I8:J8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Line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C1:O169"/>
  <sheetViews>
    <sheetView workbookViewId="0">
      <pane ySplit="1" topLeftCell="A2" activePane="bottomLeft" state="frozen"/>
      <selection pane="bottomLeft" activeCell="D169" sqref="D169"/>
    </sheetView>
  </sheetViews>
  <sheetFormatPr baseColWidth="10" defaultRowHeight="15" x14ac:dyDescent="0.25"/>
  <cols>
    <col min="3" max="3" width="5.7109375" style="13" customWidth="1"/>
    <col min="4" max="4" width="12.7109375" style="14" customWidth="1"/>
    <col min="5" max="5" width="8.7109375" style="14" customWidth="1"/>
    <col min="6" max="6" width="16.140625" style="78" bestFit="1" customWidth="1"/>
    <col min="7" max="7" width="8.7109375" style="177" customWidth="1"/>
    <col min="8" max="8" width="37.5703125" customWidth="1"/>
    <col min="9" max="10" width="13.7109375" style="41" customWidth="1"/>
    <col min="11" max="11" width="30.28515625" customWidth="1"/>
    <col min="12" max="12" width="5.7109375" style="13" customWidth="1"/>
    <col min="15" max="15" width="37.42578125" bestFit="1" customWidth="1"/>
  </cols>
  <sheetData>
    <row r="1" spans="3:15" s="195" customFormat="1" ht="26.25" thickBot="1" x14ac:dyDescent="0.3">
      <c r="C1" s="189" t="s">
        <v>143</v>
      </c>
      <c r="D1" s="190" t="s">
        <v>141</v>
      </c>
      <c r="E1" s="191" t="s">
        <v>140</v>
      </c>
      <c r="F1" s="190" t="s">
        <v>0</v>
      </c>
      <c r="G1" s="192" t="s">
        <v>184</v>
      </c>
      <c r="H1" s="190" t="s">
        <v>1</v>
      </c>
      <c r="I1" s="193" t="s">
        <v>2</v>
      </c>
      <c r="J1" s="193" t="s">
        <v>3</v>
      </c>
      <c r="K1" s="190" t="s">
        <v>142</v>
      </c>
      <c r="L1" s="194"/>
    </row>
    <row r="2" spans="3:15" x14ac:dyDescent="0.25">
      <c r="C2" s="13">
        <v>1</v>
      </c>
      <c r="D2" s="21">
        <v>45204</v>
      </c>
      <c r="E2" s="29">
        <v>1</v>
      </c>
      <c r="F2" s="30" t="s">
        <v>139</v>
      </c>
      <c r="G2" s="174">
        <v>1000</v>
      </c>
      <c r="H2" s="30" t="str">
        <f>EJ!D9</f>
        <v>Encaisse</v>
      </c>
      <c r="I2" s="31">
        <f>EJ!G9</f>
        <v>199.56</v>
      </c>
      <c r="J2" s="31"/>
      <c r="K2" s="12"/>
      <c r="L2" s="13">
        <f>ROW()</f>
        <v>2</v>
      </c>
      <c r="N2" s="7" t="s">
        <v>12</v>
      </c>
      <c r="O2" s="8" t="s">
        <v>13</v>
      </c>
    </row>
    <row r="3" spans="3:15" ht="15.75" x14ac:dyDescent="0.25">
      <c r="C3" s="13">
        <v>1</v>
      </c>
      <c r="D3" s="22">
        <v>45204</v>
      </c>
      <c r="E3" s="32">
        <v>1</v>
      </c>
      <c r="F3" s="33" t="s">
        <v>139</v>
      </c>
      <c r="G3" s="175">
        <v>1100</v>
      </c>
      <c r="H3" s="34" t="str">
        <f>EJ!D10</f>
        <v>Comptes Clients</v>
      </c>
      <c r="I3" s="35"/>
      <c r="J3" s="35">
        <f>EJ!H10</f>
        <v>199.55</v>
      </c>
      <c r="K3" s="1"/>
      <c r="L3" s="13">
        <f>ROW()</f>
        <v>3</v>
      </c>
      <c r="N3" s="7" t="s">
        <v>14</v>
      </c>
      <c r="O3" s="8" t="s">
        <v>15</v>
      </c>
    </row>
    <row r="4" spans="3:15" ht="16.5" thickBot="1" x14ac:dyDescent="0.3">
      <c r="C4" s="13">
        <v>1</v>
      </c>
      <c r="D4" s="23">
        <v>45204</v>
      </c>
      <c r="E4" s="36">
        <v>1</v>
      </c>
      <c r="F4" s="37"/>
      <c r="G4" s="176"/>
      <c r="H4" s="38" t="s">
        <v>145</v>
      </c>
      <c r="I4" s="39"/>
      <c r="J4" s="39"/>
      <c r="K4" s="40"/>
      <c r="L4" s="13">
        <f>ROW()</f>
        <v>4</v>
      </c>
      <c r="N4" s="7" t="s">
        <v>16</v>
      </c>
      <c r="O4" s="8" t="s">
        <v>17</v>
      </c>
    </row>
    <row r="5" spans="3:15" ht="15.75" thickBot="1" x14ac:dyDescent="0.3">
      <c r="C5" s="13">
        <v>1</v>
      </c>
      <c r="D5" s="15">
        <v>45204</v>
      </c>
      <c r="E5" s="134">
        <v>1</v>
      </c>
      <c r="F5"/>
      <c r="L5" s="13">
        <f>ROW()</f>
        <v>5</v>
      </c>
      <c r="N5" s="7" t="s">
        <v>18</v>
      </c>
      <c r="O5" s="8" t="s">
        <v>19</v>
      </c>
    </row>
    <row r="6" spans="3:15" x14ac:dyDescent="0.25">
      <c r="C6" s="13">
        <v>2</v>
      </c>
      <c r="D6" s="16">
        <v>45204</v>
      </c>
      <c r="E6" s="29">
        <v>2</v>
      </c>
      <c r="F6" s="30" t="s">
        <v>139</v>
      </c>
      <c r="G6" s="174" t="s">
        <v>106</v>
      </c>
      <c r="H6" s="30" t="s">
        <v>107</v>
      </c>
      <c r="I6" s="31">
        <v>250</v>
      </c>
      <c r="J6" s="31"/>
      <c r="K6" s="42"/>
      <c r="L6" s="13">
        <f>ROW()</f>
        <v>6</v>
      </c>
      <c r="N6" s="7" t="s">
        <v>20</v>
      </c>
      <c r="O6" s="8" t="s">
        <v>21</v>
      </c>
    </row>
    <row r="7" spans="3:15" x14ac:dyDescent="0.25">
      <c r="C7" s="13">
        <v>2</v>
      </c>
      <c r="D7" s="18">
        <v>45204</v>
      </c>
      <c r="E7" s="43">
        <v>2</v>
      </c>
      <c r="F7" s="33" t="s">
        <v>139</v>
      </c>
      <c r="G7" s="175" t="s">
        <v>12</v>
      </c>
      <c r="H7" s="34" t="s">
        <v>13</v>
      </c>
      <c r="I7" s="35"/>
      <c r="J7" s="35">
        <v>250</v>
      </c>
      <c r="K7" s="44"/>
      <c r="L7" s="13">
        <f>ROW()</f>
        <v>7</v>
      </c>
      <c r="N7" s="7" t="s">
        <v>22</v>
      </c>
      <c r="O7" s="8" t="s">
        <v>23</v>
      </c>
    </row>
    <row r="8" spans="3:15" ht="15.75" thickBot="1" x14ac:dyDescent="0.3">
      <c r="C8" s="13">
        <v>2</v>
      </c>
      <c r="D8" s="17"/>
      <c r="E8" s="45"/>
      <c r="F8" s="46"/>
      <c r="G8" s="178"/>
      <c r="H8" s="47" t="s">
        <v>145</v>
      </c>
      <c r="I8" s="39"/>
      <c r="J8" s="39"/>
      <c r="K8" s="40"/>
      <c r="L8" s="13">
        <f>ROW()</f>
        <v>8</v>
      </c>
      <c r="N8" s="7" t="s">
        <v>24</v>
      </c>
      <c r="O8" s="8" t="s">
        <v>25</v>
      </c>
    </row>
    <row r="9" spans="3:15" ht="15.75" thickBot="1" x14ac:dyDescent="0.3">
      <c r="C9" s="13">
        <v>2</v>
      </c>
      <c r="D9" s="19"/>
      <c r="E9" s="19"/>
      <c r="F9" s="48"/>
      <c r="G9" s="179"/>
      <c r="H9" s="48"/>
      <c r="I9" s="49"/>
      <c r="J9" s="49"/>
      <c r="K9" s="48"/>
      <c r="L9" s="13">
        <f>ROW()</f>
        <v>9</v>
      </c>
      <c r="N9" s="7" t="s">
        <v>26</v>
      </c>
      <c r="O9" s="8" t="s">
        <v>27</v>
      </c>
    </row>
    <row r="10" spans="3:15" x14ac:dyDescent="0.25">
      <c r="C10" s="13">
        <v>3</v>
      </c>
      <c r="D10" s="16">
        <v>45204</v>
      </c>
      <c r="E10" s="29">
        <v>3</v>
      </c>
      <c r="F10" s="30" t="s">
        <v>139</v>
      </c>
      <c r="G10" s="174" t="s">
        <v>106</v>
      </c>
      <c r="H10" s="30" t="s">
        <v>107</v>
      </c>
      <c r="I10" s="31">
        <v>49.95</v>
      </c>
      <c r="J10" s="31"/>
      <c r="K10" s="42"/>
      <c r="L10" s="13">
        <f>ROW()</f>
        <v>10</v>
      </c>
      <c r="N10" s="7" t="s">
        <v>28</v>
      </c>
      <c r="O10" s="8" t="s">
        <v>29</v>
      </c>
    </row>
    <row r="11" spans="3:15" x14ac:dyDescent="0.25">
      <c r="C11" s="13">
        <v>3</v>
      </c>
      <c r="D11" s="18">
        <v>45204</v>
      </c>
      <c r="E11" s="43">
        <v>2</v>
      </c>
      <c r="F11" s="33" t="s">
        <v>139</v>
      </c>
      <c r="G11" s="175" t="s">
        <v>12</v>
      </c>
      <c r="H11" s="34" t="s">
        <v>13</v>
      </c>
      <c r="I11" s="35"/>
      <c r="J11" s="35">
        <v>49.95</v>
      </c>
      <c r="K11" s="44"/>
      <c r="L11" s="13">
        <f>ROW()</f>
        <v>11</v>
      </c>
      <c r="N11" s="7" t="s">
        <v>30</v>
      </c>
      <c r="O11" s="8" t="s">
        <v>31</v>
      </c>
    </row>
    <row r="12" spans="3:15" ht="15.75" thickBot="1" x14ac:dyDescent="0.3">
      <c r="C12" s="13">
        <v>3</v>
      </c>
      <c r="D12" s="20">
        <v>45204</v>
      </c>
      <c r="E12" s="50">
        <v>2</v>
      </c>
      <c r="F12" s="51" t="s">
        <v>139</v>
      </c>
      <c r="G12" s="178"/>
      <c r="H12" s="47" t="s">
        <v>145</v>
      </c>
      <c r="I12" s="52"/>
      <c r="J12" s="52"/>
      <c r="K12" s="53"/>
      <c r="L12" s="13">
        <f>ROW()</f>
        <v>12</v>
      </c>
      <c r="N12" s="7" t="s">
        <v>32</v>
      </c>
      <c r="O12" s="8" t="s">
        <v>33</v>
      </c>
    </row>
    <row r="13" spans="3:15" ht="15.75" thickBot="1" x14ac:dyDescent="0.3">
      <c r="C13" s="13">
        <v>3</v>
      </c>
      <c r="D13" s="135"/>
      <c r="E13" s="134"/>
      <c r="F13" s="136"/>
      <c r="L13" s="13">
        <f>ROW()</f>
        <v>13</v>
      </c>
      <c r="N13" s="7" t="s">
        <v>34</v>
      </c>
      <c r="O13" s="8" t="s">
        <v>35</v>
      </c>
    </row>
    <row r="14" spans="3:15" x14ac:dyDescent="0.25">
      <c r="C14" s="13">
        <v>4</v>
      </c>
      <c r="D14" s="16">
        <v>45203</v>
      </c>
      <c r="E14" s="29">
        <v>4</v>
      </c>
      <c r="F14" s="30" t="s">
        <v>146</v>
      </c>
      <c r="G14" s="174" t="s">
        <v>22</v>
      </c>
      <c r="H14" s="30" t="s">
        <v>23</v>
      </c>
      <c r="I14" s="31">
        <v>2300</v>
      </c>
      <c r="J14" s="31"/>
      <c r="K14" s="42"/>
      <c r="L14" s="13">
        <f>ROW()</f>
        <v>14</v>
      </c>
      <c r="N14" s="7" t="s">
        <v>36</v>
      </c>
      <c r="O14" s="8" t="s">
        <v>37</v>
      </c>
    </row>
    <row r="15" spans="3:15" x14ac:dyDescent="0.25">
      <c r="C15" s="13">
        <v>4</v>
      </c>
      <c r="D15" s="18">
        <v>45203</v>
      </c>
      <c r="E15" s="43">
        <v>4</v>
      </c>
      <c r="F15" s="33" t="s">
        <v>146</v>
      </c>
      <c r="G15" s="175" t="s">
        <v>18</v>
      </c>
      <c r="H15" s="34" t="s">
        <v>19</v>
      </c>
      <c r="I15" s="35"/>
      <c r="J15" s="35">
        <v>985.45</v>
      </c>
      <c r="K15" s="44"/>
      <c r="L15" s="13">
        <f>ROW()</f>
        <v>15</v>
      </c>
      <c r="N15" s="7" t="s">
        <v>38</v>
      </c>
      <c r="O15" s="8" t="s">
        <v>39</v>
      </c>
    </row>
    <row r="16" spans="3:15" x14ac:dyDescent="0.25">
      <c r="C16" s="13">
        <v>4</v>
      </c>
      <c r="D16" s="18">
        <v>45203</v>
      </c>
      <c r="E16" s="43">
        <v>4</v>
      </c>
      <c r="F16" s="33" t="s">
        <v>146</v>
      </c>
      <c r="G16" s="175" t="s">
        <v>24</v>
      </c>
      <c r="H16" s="34" t="s">
        <v>25</v>
      </c>
      <c r="I16" s="35">
        <v>4589</v>
      </c>
      <c r="J16" s="35"/>
      <c r="K16" s="44"/>
      <c r="L16" s="13">
        <f>ROW()</f>
        <v>16</v>
      </c>
      <c r="N16" s="7" t="s">
        <v>40</v>
      </c>
      <c r="O16" s="8" t="s">
        <v>41</v>
      </c>
    </row>
    <row r="17" spans="3:15" x14ac:dyDescent="0.25">
      <c r="C17" s="13">
        <v>4</v>
      </c>
      <c r="D17" s="18">
        <v>45203</v>
      </c>
      <c r="E17" s="43">
        <v>4</v>
      </c>
      <c r="F17" s="33" t="s">
        <v>146</v>
      </c>
      <c r="G17" s="175" t="s">
        <v>20</v>
      </c>
      <c r="H17" s="34" t="s">
        <v>21</v>
      </c>
      <c r="I17" s="35"/>
      <c r="J17" s="35">
        <v>1750</v>
      </c>
      <c r="K17" s="44"/>
      <c r="L17" s="13">
        <f>ROW()</f>
        <v>17</v>
      </c>
      <c r="N17" s="7" t="s">
        <v>42</v>
      </c>
      <c r="O17" s="8" t="s">
        <v>43</v>
      </c>
    </row>
    <row r="18" spans="3:15" x14ac:dyDescent="0.25">
      <c r="C18" s="13">
        <v>4</v>
      </c>
      <c r="D18" s="18">
        <v>45203</v>
      </c>
      <c r="E18" s="43">
        <v>4</v>
      </c>
      <c r="F18" s="33" t="s">
        <v>146</v>
      </c>
      <c r="G18" s="175" t="s">
        <v>12</v>
      </c>
      <c r="H18" s="34" t="s">
        <v>13</v>
      </c>
      <c r="I18" s="35"/>
      <c r="J18" s="35">
        <v>4153.55</v>
      </c>
      <c r="K18" s="44"/>
      <c r="L18" s="13">
        <f>ROW()</f>
        <v>18</v>
      </c>
      <c r="N18" s="7" t="s">
        <v>44</v>
      </c>
      <c r="O18" s="8" t="s">
        <v>45</v>
      </c>
    </row>
    <row r="19" spans="3:15" ht="15.75" thickBot="1" x14ac:dyDescent="0.3">
      <c r="C19" s="13">
        <v>4</v>
      </c>
      <c r="D19" s="20">
        <v>45203</v>
      </c>
      <c r="E19" s="50">
        <v>4</v>
      </c>
      <c r="F19" s="51" t="s">
        <v>146</v>
      </c>
      <c r="G19" s="178"/>
      <c r="H19" s="47" t="s">
        <v>147</v>
      </c>
      <c r="I19" s="52"/>
      <c r="J19" s="52"/>
      <c r="K19" s="53"/>
      <c r="L19" s="13">
        <f>ROW()</f>
        <v>19</v>
      </c>
      <c r="N19" s="7" t="s">
        <v>46</v>
      </c>
      <c r="O19" s="8" t="s">
        <v>47</v>
      </c>
    </row>
    <row r="20" spans="3:15" ht="15.75" thickBot="1" x14ac:dyDescent="0.3">
      <c r="C20" s="13">
        <v>4</v>
      </c>
      <c r="D20" s="135">
        <v>45203</v>
      </c>
      <c r="E20" s="134">
        <v>4</v>
      </c>
      <c r="F20" s="136" t="s">
        <v>146</v>
      </c>
      <c r="L20" s="13">
        <f>ROW()</f>
        <v>20</v>
      </c>
      <c r="N20" s="7" t="s">
        <v>48</v>
      </c>
      <c r="O20" s="8" t="s">
        <v>49</v>
      </c>
    </row>
    <row r="21" spans="3:15" x14ac:dyDescent="0.25">
      <c r="C21" s="13">
        <v>5</v>
      </c>
      <c r="D21" s="16">
        <v>45204</v>
      </c>
      <c r="E21" s="29">
        <v>5</v>
      </c>
      <c r="F21" s="30" t="s">
        <v>148</v>
      </c>
      <c r="G21" s="174">
        <v>1100</v>
      </c>
      <c r="H21" s="30" t="s">
        <v>15</v>
      </c>
      <c r="I21" s="31">
        <v>1228.72</v>
      </c>
      <c r="J21" s="31"/>
      <c r="K21" s="42"/>
      <c r="L21" s="13">
        <f>ROW()</f>
        <v>21</v>
      </c>
      <c r="N21" s="7" t="s">
        <v>50</v>
      </c>
      <c r="O21" s="8" t="s">
        <v>51</v>
      </c>
    </row>
    <row r="22" spans="3:15" x14ac:dyDescent="0.25">
      <c r="C22" s="13">
        <v>5</v>
      </c>
      <c r="D22" s="18">
        <v>45204</v>
      </c>
      <c r="E22" s="43">
        <v>5</v>
      </c>
      <c r="F22" s="33" t="s">
        <v>148</v>
      </c>
      <c r="G22" s="175" t="s">
        <v>87</v>
      </c>
      <c r="H22" s="34" t="s">
        <v>88</v>
      </c>
      <c r="I22" s="35"/>
      <c r="J22" s="35">
        <v>1625</v>
      </c>
      <c r="K22" s="44"/>
      <c r="L22" s="13">
        <f>ROW()</f>
        <v>22</v>
      </c>
      <c r="N22" s="7" t="s">
        <v>53</v>
      </c>
      <c r="O22" s="8" t="s">
        <v>54</v>
      </c>
    </row>
    <row r="23" spans="3:15" x14ac:dyDescent="0.25">
      <c r="C23" s="13">
        <v>5</v>
      </c>
      <c r="D23" s="18">
        <v>45204</v>
      </c>
      <c r="E23" s="43">
        <v>5</v>
      </c>
      <c r="F23" s="33" t="s">
        <v>148</v>
      </c>
      <c r="G23" s="175" t="s">
        <v>120</v>
      </c>
      <c r="H23" s="34" t="s">
        <v>121</v>
      </c>
      <c r="I23" s="35"/>
      <c r="J23" s="35">
        <v>31</v>
      </c>
      <c r="K23" s="44"/>
      <c r="L23" s="13">
        <f>ROW()</f>
        <v>23</v>
      </c>
      <c r="N23" s="7" t="s">
        <v>55</v>
      </c>
      <c r="O23" s="8" t="s">
        <v>56</v>
      </c>
    </row>
    <row r="24" spans="3:15" x14ac:dyDescent="0.25">
      <c r="C24" s="13">
        <v>5</v>
      </c>
      <c r="D24" s="18">
        <v>45204</v>
      </c>
      <c r="E24" s="43">
        <v>5</v>
      </c>
      <c r="F24" s="33" t="s">
        <v>148</v>
      </c>
      <c r="G24" s="175" t="s">
        <v>118</v>
      </c>
      <c r="H24" s="34" t="s">
        <v>119</v>
      </c>
      <c r="I24" s="35"/>
      <c r="J24" s="35">
        <v>32</v>
      </c>
      <c r="K24" s="44"/>
      <c r="L24" s="13">
        <f>ROW()</f>
        <v>24</v>
      </c>
      <c r="N24" s="7" t="s">
        <v>57</v>
      </c>
      <c r="O24" s="8" t="s">
        <v>58</v>
      </c>
    </row>
    <row r="25" spans="3:15" x14ac:dyDescent="0.25">
      <c r="C25" s="13">
        <v>5</v>
      </c>
      <c r="D25" s="18">
        <v>45204</v>
      </c>
      <c r="E25" s="43">
        <v>5</v>
      </c>
      <c r="F25" s="33" t="s">
        <v>148</v>
      </c>
      <c r="G25" s="175" t="s">
        <v>122</v>
      </c>
      <c r="H25" s="34" t="s">
        <v>123</v>
      </c>
      <c r="I25" s="35"/>
      <c r="J25" s="35">
        <v>33</v>
      </c>
      <c r="K25" s="44"/>
      <c r="L25" s="13">
        <f>ROW()</f>
        <v>25</v>
      </c>
      <c r="N25" s="7" t="s">
        <v>59</v>
      </c>
      <c r="O25" s="8" t="s">
        <v>60</v>
      </c>
    </row>
    <row r="26" spans="3:15" x14ac:dyDescent="0.25">
      <c r="C26" s="13">
        <v>5</v>
      </c>
      <c r="D26" s="18">
        <v>45204</v>
      </c>
      <c r="E26" s="43">
        <v>5</v>
      </c>
      <c r="F26" s="33" t="s">
        <v>148</v>
      </c>
      <c r="G26" s="175" t="s">
        <v>22</v>
      </c>
      <c r="H26" s="34" t="s">
        <v>23</v>
      </c>
      <c r="I26" s="35"/>
      <c r="J26" s="35">
        <v>86.05</v>
      </c>
      <c r="K26" s="44"/>
      <c r="L26" s="13">
        <f>ROW()</f>
        <v>26</v>
      </c>
      <c r="N26" s="7" t="s">
        <v>61</v>
      </c>
      <c r="O26" s="8" t="s">
        <v>62</v>
      </c>
    </row>
    <row r="27" spans="3:15" x14ac:dyDescent="0.25">
      <c r="C27" s="13">
        <v>5</v>
      </c>
      <c r="D27" s="18">
        <v>45204</v>
      </c>
      <c r="E27" s="43">
        <v>5</v>
      </c>
      <c r="F27" s="33" t="s">
        <v>148</v>
      </c>
      <c r="G27" s="175" t="s">
        <v>24</v>
      </c>
      <c r="H27" s="34" t="s">
        <v>25</v>
      </c>
      <c r="I27" s="35"/>
      <c r="J27" s="35">
        <v>171.67</v>
      </c>
      <c r="K27" s="44"/>
      <c r="L27" s="13">
        <f>ROW()</f>
        <v>27</v>
      </c>
      <c r="N27" s="7" t="s">
        <v>63</v>
      </c>
      <c r="O27" s="8" t="s">
        <v>64</v>
      </c>
    </row>
    <row r="28" spans="3:15" x14ac:dyDescent="0.25">
      <c r="C28" s="13">
        <v>5</v>
      </c>
      <c r="D28" s="18">
        <v>45204</v>
      </c>
      <c r="E28" s="43">
        <v>5</v>
      </c>
      <c r="F28" s="33" t="s">
        <v>148</v>
      </c>
      <c r="G28" s="175" t="s">
        <v>32</v>
      </c>
      <c r="H28" s="34" t="s">
        <v>33</v>
      </c>
      <c r="I28" s="35">
        <v>750</v>
      </c>
      <c r="J28" s="35"/>
      <c r="K28" s="44"/>
      <c r="L28" s="13">
        <f>ROW()</f>
        <v>28</v>
      </c>
      <c r="N28" s="7" t="s">
        <v>65</v>
      </c>
      <c r="O28" s="8" t="s">
        <v>66</v>
      </c>
    </row>
    <row r="29" spans="3:15" ht="15.75" thickBot="1" x14ac:dyDescent="0.3">
      <c r="C29" s="13">
        <v>5</v>
      </c>
      <c r="D29" s="20">
        <v>45204</v>
      </c>
      <c r="E29" s="50">
        <v>5</v>
      </c>
      <c r="F29" s="51" t="s">
        <v>148</v>
      </c>
      <c r="G29" s="180"/>
      <c r="H29" s="54" t="s">
        <v>149</v>
      </c>
      <c r="I29" s="55"/>
      <c r="J29" s="55"/>
      <c r="K29" s="56"/>
      <c r="L29" s="13">
        <f>ROW()</f>
        <v>29</v>
      </c>
      <c r="N29" s="7" t="s">
        <v>67</v>
      </c>
      <c r="O29" s="8" t="s">
        <v>68</v>
      </c>
    </row>
    <row r="30" spans="3:15" ht="15.75" thickBot="1" x14ac:dyDescent="0.3">
      <c r="C30" s="13">
        <v>5</v>
      </c>
      <c r="D30" s="28">
        <v>45204</v>
      </c>
      <c r="E30" s="57">
        <v>5</v>
      </c>
      <c r="F30" s="58" t="s">
        <v>148</v>
      </c>
      <c r="G30" s="181"/>
      <c r="H30" s="59"/>
      <c r="I30" s="60"/>
      <c r="J30" s="60"/>
      <c r="K30" s="59"/>
      <c r="L30" s="13">
        <f>ROW()</f>
        <v>30</v>
      </c>
      <c r="N30" s="7" t="s">
        <v>69</v>
      </c>
      <c r="O30" s="8" t="s">
        <v>70</v>
      </c>
    </row>
    <row r="31" spans="3:15" x14ac:dyDescent="0.25">
      <c r="C31" s="13">
        <v>6</v>
      </c>
      <c r="D31" s="16">
        <v>45204</v>
      </c>
      <c r="E31" s="29">
        <v>6</v>
      </c>
      <c r="F31" s="30" t="s">
        <v>148</v>
      </c>
      <c r="G31" s="174">
        <v>1100</v>
      </c>
      <c r="H31" s="30" t="s">
        <v>15</v>
      </c>
      <c r="I31" s="31">
        <v>1228.72</v>
      </c>
      <c r="J31" s="31"/>
      <c r="K31" s="42"/>
      <c r="L31" s="13">
        <f>ROW()</f>
        <v>31</v>
      </c>
      <c r="N31" s="7" t="s">
        <v>71</v>
      </c>
      <c r="O31" s="8" t="s">
        <v>72</v>
      </c>
    </row>
    <row r="32" spans="3:15" x14ac:dyDescent="0.25">
      <c r="C32" s="13">
        <v>6</v>
      </c>
      <c r="D32" s="18">
        <v>45204</v>
      </c>
      <c r="E32" s="43">
        <v>6</v>
      </c>
      <c r="F32" s="33" t="s">
        <v>148</v>
      </c>
      <c r="G32" s="175" t="s">
        <v>87</v>
      </c>
      <c r="H32" s="34" t="s">
        <v>88</v>
      </c>
      <c r="I32" s="35"/>
      <c r="J32" s="35">
        <v>1625</v>
      </c>
      <c r="K32" s="44"/>
      <c r="L32" s="13">
        <f>ROW()</f>
        <v>32</v>
      </c>
      <c r="N32" s="7" t="s">
        <v>73</v>
      </c>
      <c r="O32" s="8" t="s">
        <v>74</v>
      </c>
    </row>
    <row r="33" spans="3:15" x14ac:dyDescent="0.25">
      <c r="C33" s="13">
        <v>6</v>
      </c>
      <c r="D33" s="18">
        <v>45204</v>
      </c>
      <c r="E33" s="43">
        <v>6</v>
      </c>
      <c r="F33" s="33" t="s">
        <v>148</v>
      </c>
      <c r="G33" s="175" t="s">
        <v>120</v>
      </c>
      <c r="H33" s="34" t="s">
        <v>121</v>
      </c>
      <c r="I33" s="35"/>
      <c r="J33" s="35">
        <v>31</v>
      </c>
      <c r="K33" s="44"/>
      <c r="L33" s="13">
        <f>ROW()</f>
        <v>33</v>
      </c>
      <c r="N33" s="7" t="s">
        <v>75</v>
      </c>
      <c r="O33" s="8" t="s">
        <v>76</v>
      </c>
    </row>
    <row r="34" spans="3:15" x14ac:dyDescent="0.25">
      <c r="C34" s="13">
        <v>6</v>
      </c>
      <c r="D34" s="18">
        <v>45204</v>
      </c>
      <c r="E34" s="43">
        <v>6</v>
      </c>
      <c r="F34" s="33" t="s">
        <v>148</v>
      </c>
      <c r="G34" s="175" t="s">
        <v>118</v>
      </c>
      <c r="H34" s="34" t="s">
        <v>119</v>
      </c>
      <c r="I34" s="35"/>
      <c r="J34" s="35">
        <v>32</v>
      </c>
      <c r="K34" s="44"/>
      <c r="L34" s="13">
        <f>ROW()</f>
        <v>34</v>
      </c>
      <c r="N34" s="7" t="s">
        <v>78</v>
      </c>
      <c r="O34" s="8" t="s">
        <v>79</v>
      </c>
    </row>
    <row r="35" spans="3:15" x14ac:dyDescent="0.25">
      <c r="C35" s="13">
        <v>6</v>
      </c>
      <c r="D35" s="18">
        <v>45204</v>
      </c>
      <c r="E35" s="43">
        <v>6</v>
      </c>
      <c r="F35" s="33" t="s">
        <v>148</v>
      </c>
      <c r="G35" s="175" t="s">
        <v>122</v>
      </c>
      <c r="H35" s="34" t="s">
        <v>123</v>
      </c>
      <c r="I35" s="35"/>
      <c r="J35" s="35">
        <v>33</v>
      </c>
      <c r="K35" s="44"/>
      <c r="L35" s="13">
        <f>ROW()</f>
        <v>35</v>
      </c>
      <c r="N35" s="7" t="s">
        <v>80</v>
      </c>
      <c r="O35" s="8" t="s">
        <v>81</v>
      </c>
    </row>
    <row r="36" spans="3:15" x14ac:dyDescent="0.25">
      <c r="C36" s="13">
        <v>6</v>
      </c>
      <c r="D36" s="18">
        <v>45204</v>
      </c>
      <c r="E36" s="43">
        <v>6</v>
      </c>
      <c r="F36" s="33" t="s">
        <v>148</v>
      </c>
      <c r="G36" s="175" t="s">
        <v>22</v>
      </c>
      <c r="H36" s="34" t="s">
        <v>23</v>
      </c>
      <c r="I36" s="35"/>
      <c r="J36" s="35">
        <v>86.05</v>
      </c>
      <c r="K36" s="44"/>
      <c r="L36" s="13">
        <f>ROW()</f>
        <v>36</v>
      </c>
      <c r="N36" s="7" t="s">
        <v>82</v>
      </c>
      <c r="O36" s="8" t="s">
        <v>83</v>
      </c>
    </row>
    <row r="37" spans="3:15" x14ac:dyDescent="0.25">
      <c r="C37" s="13">
        <v>6</v>
      </c>
      <c r="D37" s="18">
        <v>45204</v>
      </c>
      <c r="E37" s="43">
        <v>6</v>
      </c>
      <c r="F37" s="33" t="s">
        <v>148</v>
      </c>
      <c r="G37" s="175" t="s">
        <v>24</v>
      </c>
      <c r="H37" s="34" t="s">
        <v>25</v>
      </c>
      <c r="I37" s="35"/>
      <c r="J37" s="35">
        <v>171.67</v>
      </c>
      <c r="K37" s="44"/>
      <c r="L37" s="13">
        <f>ROW()</f>
        <v>37</v>
      </c>
      <c r="N37" s="7" t="s">
        <v>84</v>
      </c>
      <c r="O37" s="8" t="s">
        <v>85</v>
      </c>
    </row>
    <row r="38" spans="3:15" x14ac:dyDescent="0.25">
      <c r="C38" s="13">
        <v>6</v>
      </c>
      <c r="D38" s="18">
        <v>45204</v>
      </c>
      <c r="E38" s="43">
        <v>6</v>
      </c>
      <c r="F38" s="33" t="s">
        <v>148</v>
      </c>
      <c r="G38" s="175" t="s">
        <v>32</v>
      </c>
      <c r="H38" s="34" t="s">
        <v>33</v>
      </c>
      <c r="I38" s="35">
        <v>750</v>
      </c>
      <c r="J38" s="35"/>
      <c r="K38" s="44"/>
      <c r="L38" s="13">
        <f>ROW()</f>
        <v>38</v>
      </c>
      <c r="N38" s="7" t="s">
        <v>87</v>
      </c>
      <c r="O38" s="8" t="s">
        <v>88</v>
      </c>
    </row>
    <row r="39" spans="3:15" ht="15.75" thickBot="1" x14ac:dyDescent="0.3">
      <c r="C39" s="13">
        <v>6</v>
      </c>
      <c r="D39" s="20">
        <v>45204</v>
      </c>
      <c r="E39" s="50">
        <v>6</v>
      </c>
      <c r="F39" s="51" t="s">
        <v>148</v>
      </c>
      <c r="G39" s="178"/>
      <c r="H39" s="47" t="s">
        <v>149</v>
      </c>
      <c r="I39" s="52"/>
      <c r="J39" s="52"/>
      <c r="K39" s="53"/>
      <c r="L39" s="13">
        <f>ROW()</f>
        <v>39</v>
      </c>
      <c r="N39" s="7" t="s">
        <v>89</v>
      </c>
      <c r="O39" s="8" t="s">
        <v>90</v>
      </c>
    </row>
    <row r="40" spans="3:15" ht="15.75" thickBot="1" x14ac:dyDescent="0.3">
      <c r="C40" s="13">
        <v>6</v>
      </c>
      <c r="D40" s="135">
        <v>45204</v>
      </c>
      <c r="E40" s="134">
        <v>6</v>
      </c>
      <c r="F40" s="136" t="s">
        <v>148</v>
      </c>
      <c r="N40" s="7" t="s">
        <v>91</v>
      </c>
      <c r="O40" s="8" t="s">
        <v>92</v>
      </c>
    </row>
    <row r="41" spans="3:15" x14ac:dyDescent="0.25">
      <c r="C41" s="13">
        <v>7</v>
      </c>
      <c r="D41" s="16">
        <v>45203</v>
      </c>
      <c r="E41" s="29">
        <v>7</v>
      </c>
      <c r="F41" s="30" t="s">
        <v>150</v>
      </c>
      <c r="G41" s="174">
        <v>1100</v>
      </c>
      <c r="H41" s="30" t="s">
        <v>15</v>
      </c>
      <c r="I41" s="31">
        <v>430.11</v>
      </c>
      <c r="J41" s="31"/>
      <c r="K41" s="42"/>
      <c r="L41" s="13">
        <f>ROW()</f>
        <v>41</v>
      </c>
      <c r="N41" s="7" t="s">
        <v>93</v>
      </c>
      <c r="O41" s="8" t="s">
        <v>94</v>
      </c>
    </row>
    <row r="42" spans="3:15" x14ac:dyDescent="0.25">
      <c r="C42" s="13">
        <v>7</v>
      </c>
      <c r="D42" s="18">
        <v>45203</v>
      </c>
      <c r="E42" s="43">
        <v>7</v>
      </c>
      <c r="F42" s="33" t="s">
        <v>150</v>
      </c>
      <c r="G42" s="175" t="s">
        <v>87</v>
      </c>
      <c r="H42" s="34" t="s">
        <v>88</v>
      </c>
      <c r="I42" s="35"/>
      <c r="J42" s="35">
        <v>612.5</v>
      </c>
      <c r="K42" s="44"/>
      <c r="L42" s="13">
        <f>ROW()</f>
        <v>42</v>
      </c>
      <c r="N42" s="7" t="s">
        <v>95</v>
      </c>
      <c r="O42" s="8" t="s">
        <v>96</v>
      </c>
    </row>
    <row r="43" spans="3:15" x14ac:dyDescent="0.25">
      <c r="C43" s="13">
        <v>7</v>
      </c>
      <c r="D43" s="18">
        <v>45203</v>
      </c>
      <c r="E43" s="43">
        <v>7</v>
      </c>
      <c r="F43" s="33" t="s">
        <v>150</v>
      </c>
      <c r="G43" s="175" t="s">
        <v>120</v>
      </c>
      <c r="H43" s="34" t="s">
        <v>121</v>
      </c>
      <c r="I43" s="35"/>
      <c r="J43" s="35">
        <v>21</v>
      </c>
      <c r="K43" s="44"/>
      <c r="L43" s="13">
        <f>ROW()</f>
        <v>43</v>
      </c>
      <c r="N43" s="7" t="s">
        <v>97</v>
      </c>
      <c r="O43" s="7" t="s">
        <v>98</v>
      </c>
    </row>
    <row r="44" spans="3:15" x14ac:dyDescent="0.25">
      <c r="C44" s="13">
        <v>7</v>
      </c>
      <c r="D44" s="18">
        <v>45203</v>
      </c>
      <c r="E44" s="43">
        <v>7</v>
      </c>
      <c r="F44" s="33" t="s">
        <v>150</v>
      </c>
      <c r="G44" s="175" t="s">
        <v>118</v>
      </c>
      <c r="H44" s="34" t="s">
        <v>119</v>
      </c>
      <c r="I44" s="35"/>
      <c r="J44" s="35">
        <v>22</v>
      </c>
      <c r="K44" s="44"/>
      <c r="L44" s="13">
        <f>ROW()</f>
        <v>44</v>
      </c>
      <c r="N44" s="7" t="s">
        <v>100</v>
      </c>
      <c r="O44" s="8" t="s">
        <v>101</v>
      </c>
    </row>
    <row r="45" spans="3:15" x14ac:dyDescent="0.25">
      <c r="C45" s="13">
        <v>7</v>
      </c>
      <c r="D45" s="18">
        <v>45203</v>
      </c>
      <c r="E45" s="43">
        <v>7</v>
      </c>
      <c r="F45" s="33" t="s">
        <v>150</v>
      </c>
      <c r="G45" s="175" t="s">
        <v>122</v>
      </c>
      <c r="H45" s="34" t="s">
        <v>123</v>
      </c>
      <c r="I45" s="35"/>
      <c r="J45" s="35">
        <v>23</v>
      </c>
      <c r="K45" s="44"/>
      <c r="L45" s="13">
        <f>ROW()</f>
        <v>45</v>
      </c>
      <c r="N45" s="7" t="s">
        <v>102</v>
      </c>
      <c r="O45" s="8" t="s">
        <v>103</v>
      </c>
    </row>
    <row r="46" spans="3:15" x14ac:dyDescent="0.25">
      <c r="C46" s="13">
        <v>7</v>
      </c>
      <c r="D46" s="18">
        <v>45203</v>
      </c>
      <c r="E46" s="43">
        <v>7</v>
      </c>
      <c r="F46" s="33" t="s">
        <v>150</v>
      </c>
      <c r="G46" s="175" t="s">
        <v>22</v>
      </c>
      <c r="H46" s="34" t="s">
        <v>23</v>
      </c>
      <c r="I46" s="35"/>
      <c r="J46" s="35">
        <v>33.93</v>
      </c>
      <c r="K46" s="44"/>
      <c r="L46" s="13">
        <f>ROW()</f>
        <v>46</v>
      </c>
      <c r="N46" s="7" t="s">
        <v>104</v>
      </c>
      <c r="O46" s="8" t="s">
        <v>105</v>
      </c>
    </row>
    <row r="47" spans="3:15" x14ac:dyDescent="0.25">
      <c r="C47" s="13">
        <v>7</v>
      </c>
      <c r="D47" s="18">
        <v>45203</v>
      </c>
      <c r="E47" s="43">
        <v>7</v>
      </c>
      <c r="F47" s="33" t="s">
        <v>150</v>
      </c>
      <c r="G47" s="175" t="s">
        <v>24</v>
      </c>
      <c r="H47" s="34" t="s">
        <v>25</v>
      </c>
      <c r="I47" s="35"/>
      <c r="J47" s="35">
        <v>67.680000000000007</v>
      </c>
      <c r="K47" s="44"/>
      <c r="L47" s="13">
        <f>ROW()</f>
        <v>47</v>
      </c>
      <c r="N47" s="7" t="s">
        <v>106</v>
      </c>
      <c r="O47" s="8" t="s">
        <v>107</v>
      </c>
    </row>
    <row r="48" spans="3:15" x14ac:dyDescent="0.25">
      <c r="C48" s="13">
        <v>7</v>
      </c>
      <c r="D48" s="18">
        <v>45203</v>
      </c>
      <c r="E48" s="43">
        <v>7</v>
      </c>
      <c r="F48" s="33" t="s">
        <v>150</v>
      </c>
      <c r="G48" s="175" t="s">
        <v>32</v>
      </c>
      <c r="H48" s="34" t="s">
        <v>33</v>
      </c>
      <c r="I48" s="35">
        <v>350</v>
      </c>
      <c r="J48" s="35"/>
      <c r="K48" s="44"/>
      <c r="L48" s="13">
        <f>ROW()</f>
        <v>48</v>
      </c>
      <c r="N48" s="7" t="s">
        <v>108</v>
      </c>
      <c r="O48" s="8" t="s">
        <v>109</v>
      </c>
    </row>
    <row r="49" spans="3:15" ht="15.75" thickBot="1" x14ac:dyDescent="0.3">
      <c r="C49" s="13">
        <v>7</v>
      </c>
      <c r="D49" s="20">
        <v>45203</v>
      </c>
      <c r="E49" s="50">
        <v>7</v>
      </c>
      <c r="F49" s="51" t="s">
        <v>150</v>
      </c>
      <c r="G49" s="178"/>
      <c r="H49" s="47" t="s">
        <v>151</v>
      </c>
      <c r="I49" s="52"/>
      <c r="J49" s="52"/>
      <c r="K49" s="53"/>
      <c r="L49" s="13">
        <f>ROW()</f>
        <v>49</v>
      </c>
      <c r="N49" s="7" t="s">
        <v>110</v>
      </c>
      <c r="O49" s="8" t="s">
        <v>111</v>
      </c>
    </row>
    <row r="50" spans="3:15" ht="15.75" thickBot="1" x14ac:dyDescent="0.3">
      <c r="C50" s="13">
        <v>7</v>
      </c>
      <c r="D50" s="135">
        <v>45203</v>
      </c>
      <c r="E50" s="134">
        <v>7</v>
      </c>
      <c r="F50" s="136" t="s">
        <v>150</v>
      </c>
      <c r="L50" s="13">
        <f>ROW()</f>
        <v>50</v>
      </c>
      <c r="N50" s="7" t="s">
        <v>112</v>
      </c>
      <c r="O50" s="8" t="s">
        <v>113</v>
      </c>
    </row>
    <row r="51" spans="3:15" x14ac:dyDescent="0.25">
      <c r="C51" s="13">
        <v>8</v>
      </c>
      <c r="D51" s="16">
        <v>45204</v>
      </c>
      <c r="E51" s="29">
        <v>8</v>
      </c>
      <c r="F51" s="30" t="s">
        <v>152</v>
      </c>
      <c r="G51" s="174">
        <v>1100</v>
      </c>
      <c r="H51" s="30" t="s">
        <v>15</v>
      </c>
      <c r="I51" s="31">
        <v>1248.6300000000001</v>
      </c>
      <c r="J51" s="31"/>
      <c r="K51" s="42"/>
      <c r="L51" s="13">
        <f>ROW()</f>
        <v>51</v>
      </c>
      <c r="N51" s="7" t="s">
        <v>114</v>
      </c>
      <c r="O51" s="8" t="s">
        <v>115</v>
      </c>
    </row>
    <row r="52" spans="3:15" x14ac:dyDescent="0.25">
      <c r="C52" s="13">
        <v>8</v>
      </c>
      <c r="D52" s="18">
        <v>45204</v>
      </c>
      <c r="E52" s="43">
        <v>8</v>
      </c>
      <c r="F52" s="33" t="s">
        <v>152</v>
      </c>
      <c r="G52" s="175" t="s">
        <v>87</v>
      </c>
      <c r="H52" s="34" t="s">
        <v>88</v>
      </c>
      <c r="I52" s="35"/>
      <c r="J52" s="35">
        <v>1050</v>
      </c>
      <c r="K52" s="44"/>
      <c r="L52" s="13">
        <f>ROW()</f>
        <v>52</v>
      </c>
      <c r="N52" s="7" t="s">
        <v>116</v>
      </c>
      <c r="O52" s="8" t="s">
        <v>117</v>
      </c>
    </row>
    <row r="53" spans="3:15" x14ac:dyDescent="0.25">
      <c r="C53" s="13">
        <v>8</v>
      </c>
      <c r="D53" s="18">
        <v>45204</v>
      </c>
      <c r="E53" s="43">
        <v>8</v>
      </c>
      <c r="F53" s="33" t="s">
        <v>152</v>
      </c>
      <c r="G53" s="175" t="s">
        <v>120</v>
      </c>
      <c r="H53" s="34" t="s">
        <v>121</v>
      </c>
      <c r="I53" s="35"/>
      <c r="J53" s="35">
        <v>11</v>
      </c>
      <c r="K53" s="44"/>
      <c r="L53" s="13">
        <f>ROW()</f>
        <v>53</v>
      </c>
      <c r="N53" s="7" t="s">
        <v>118</v>
      </c>
      <c r="O53" s="8" t="s">
        <v>119</v>
      </c>
    </row>
    <row r="54" spans="3:15" x14ac:dyDescent="0.25">
      <c r="C54" s="13">
        <v>8</v>
      </c>
      <c r="D54" s="18">
        <v>45204</v>
      </c>
      <c r="E54" s="43">
        <v>8</v>
      </c>
      <c r="F54" s="33" t="s">
        <v>152</v>
      </c>
      <c r="G54" s="175" t="s">
        <v>118</v>
      </c>
      <c r="H54" s="34" t="s">
        <v>119</v>
      </c>
      <c r="I54" s="35"/>
      <c r="J54" s="35">
        <v>12</v>
      </c>
      <c r="K54" s="44"/>
      <c r="L54" s="13">
        <f>ROW()</f>
        <v>54</v>
      </c>
      <c r="N54" s="7" t="s">
        <v>120</v>
      </c>
      <c r="O54" s="8" t="s">
        <v>121</v>
      </c>
    </row>
    <row r="55" spans="3:15" x14ac:dyDescent="0.25">
      <c r="C55" s="13">
        <v>8</v>
      </c>
      <c r="D55" s="18">
        <v>45204</v>
      </c>
      <c r="E55" s="43">
        <v>8</v>
      </c>
      <c r="F55" s="33" t="s">
        <v>152</v>
      </c>
      <c r="G55" s="175" t="s">
        <v>122</v>
      </c>
      <c r="H55" s="34" t="s">
        <v>123</v>
      </c>
      <c r="I55" s="35"/>
      <c r="J55" s="35">
        <v>13</v>
      </c>
      <c r="K55" s="44"/>
      <c r="L55" s="13">
        <f>ROW()</f>
        <v>55</v>
      </c>
      <c r="N55" s="7" t="s">
        <v>122</v>
      </c>
      <c r="O55" s="8" t="s">
        <v>123</v>
      </c>
    </row>
    <row r="56" spans="3:15" x14ac:dyDescent="0.25">
      <c r="C56" s="13">
        <v>8</v>
      </c>
      <c r="D56" s="18">
        <v>45204</v>
      </c>
      <c r="E56" s="43">
        <v>8</v>
      </c>
      <c r="F56" s="33" t="s">
        <v>152</v>
      </c>
      <c r="G56" s="175" t="s">
        <v>22</v>
      </c>
      <c r="H56" s="34" t="s">
        <v>23</v>
      </c>
      <c r="I56" s="35"/>
      <c r="J56" s="35">
        <v>54.3</v>
      </c>
      <c r="K56" s="44"/>
      <c r="L56" s="13">
        <f>ROW()</f>
        <v>56</v>
      </c>
      <c r="N56" s="7" t="s">
        <v>124</v>
      </c>
      <c r="O56" s="8" t="s">
        <v>125</v>
      </c>
    </row>
    <row r="57" spans="3:15" x14ac:dyDescent="0.25">
      <c r="C57" s="13">
        <v>8</v>
      </c>
      <c r="D57" s="18">
        <v>45204</v>
      </c>
      <c r="E57" s="43">
        <v>8</v>
      </c>
      <c r="F57" s="33" t="s">
        <v>152</v>
      </c>
      <c r="G57" s="175" t="s">
        <v>24</v>
      </c>
      <c r="H57" s="34" t="s">
        <v>25</v>
      </c>
      <c r="I57" s="35"/>
      <c r="J57" s="35">
        <v>108.33</v>
      </c>
      <c r="K57" s="44"/>
      <c r="L57" s="13">
        <f>ROW()</f>
        <v>57</v>
      </c>
      <c r="N57" s="7" t="s">
        <v>126</v>
      </c>
      <c r="O57" s="8" t="s">
        <v>127</v>
      </c>
    </row>
    <row r="58" spans="3:15" ht="15.75" thickBot="1" x14ac:dyDescent="0.3">
      <c r="C58" s="13">
        <v>8</v>
      </c>
      <c r="D58" s="20">
        <v>45204</v>
      </c>
      <c r="E58" s="50">
        <v>8</v>
      </c>
      <c r="F58" s="51" t="s">
        <v>152</v>
      </c>
      <c r="G58" s="178"/>
      <c r="H58" s="47" t="s">
        <v>153</v>
      </c>
      <c r="I58" s="52"/>
      <c r="J58" s="52"/>
      <c r="K58" s="53"/>
      <c r="L58" s="13">
        <f>ROW()</f>
        <v>58</v>
      </c>
      <c r="N58" s="7" t="s">
        <v>128</v>
      </c>
      <c r="O58" s="8" t="s">
        <v>129</v>
      </c>
    </row>
    <row r="59" spans="3:15" ht="15.75" thickBot="1" x14ac:dyDescent="0.3">
      <c r="C59" s="13">
        <v>8</v>
      </c>
      <c r="D59" s="135">
        <v>45204</v>
      </c>
      <c r="E59" s="134">
        <v>8</v>
      </c>
      <c r="F59" s="136" t="s">
        <v>152</v>
      </c>
      <c r="L59" s="13">
        <f>ROW()</f>
        <v>59</v>
      </c>
      <c r="N59" s="7" t="s">
        <v>130</v>
      </c>
      <c r="O59" s="8" t="s">
        <v>131</v>
      </c>
    </row>
    <row r="60" spans="3:15" x14ac:dyDescent="0.25">
      <c r="C60" s="13">
        <v>9</v>
      </c>
      <c r="D60" s="16">
        <v>45205</v>
      </c>
      <c r="E60" s="29">
        <v>9</v>
      </c>
      <c r="F60" s="30" t="s">
        <v>154</v>
      </c>
      <c r="G60" s="174" t="s">
        <v>12</v>
      </c>
      <c r="H60" s="30" t="s">
        <v>13</v>
      </c>
      <c r="I60" s="31">
        <v>1248.6300000000001</v>
      </c>
      <c r="J60" s="31"/>
      <c r="K60" s="42"/>
      <c r="L60" s="13">
        <f>ROW()</f>
        <v>60</v>
      </c>
      <c r="N60" s="7" t="s">
        <v>132</v>
      </c>
      <c r="O60" s="8" t="s">
        <v>133</v>
      </c>
    </row>
    <row r="61" spans="3:15" ht="15.75" thickBot="1" x14ac:dyDescent="0.3">
      <c r="C61" s="13">
        <v>9</v>
      </c>
      <c r="D61" s="18">
        <v>45205</v>
      </c>
      <c r="E61" s="43">
        <v>9</v>
      </c>
      <c r="F61" s="33" t="s">
        <v>154</v>
      </c>
      <c r="G61" s="175">
        <v>11000</v>
      </c>
      <c r="H61" s="34" t="s">
        <v>15</v>
      </c>
      <c r="I61" s="35"/>
      <c r="J61" s="35">
        <v>1248.6300000000001</v>
      </c>
      <c r="K61" s="44"/>
      <c r="L61" s="13">
        <f>ROW()</f>
        <v>61</v>
      </c>
      <c r="N61" s="9" t="s">
        <v>134</v>
      </c>
      <c r="O61" s="10" t="s">
        <v>135</v>
      </c>
    </row>
    <row r="62" spans="3:15" ht="15.75" thickBot="1" x14ac:dyDescent="0.3">
      <c r="C62" s="13">
        <v>9</v>
      </c>
      <c r="D62" s="20">
        <v>45205</v>
      </c>
      <c r="E62" s="50">
        <v>9</v>
      </c>
      <c r="F62" s="51" t="s">
        <v>154</v>
      </c>
      <c r="G62" s="178"/>
      <c r="H62" s="47" t="s">
        <v>155</v>
      </c>
      <c r="I62" s="52"/>
      <c r="J62" s="52"/>
      <c r="K62" s="53"/>
      <c r="L62" s="13">
        <f>ROW()</f>
        <v>62</v>
      </c>
    </row>
    <row r="63" spans="3:15" ht="15.75" thickBot="1" x14ac:dyDescent="0.3">
      <c r="C63" s="13">
        <v>9</v>
      </c>
      <c r="D63" s="135">
        <v>45205</v>
      </c>
      <c r="E63" s="134">
        <v>9</v>
      </c>
      <c r="F63" s="136" t="s">
        <v>154</v>
      </c>
      <c r="L63" s="13">
        <f>ROW()</f>
        <v>63</v>
      </c>
    </row>
    <row r="64" spans="3:15" x14ac:dyDescent="0.25">
      <c r="C64" s="13">
        <v>10</v>
      </c>
      <c r="D64" s="16">
        <v>45205</v>
      </c>
      <c r="E64" s="29">
        <v>10</v>
      </c>
      <c r="F64" s="30" t="s">
        <v>154</v>
      </c>
      <c r="G64" s="174" t="s">
        <v>12</v>
      </c>
      <c r="H64" s="30" t="s">
        <v>13</v>
      </c>
      <c r="I64" s="31">
        <v>1228.72</v>
      </c>
      <c r="J64" s="31"/>
      <c r="K64" s="42"/>
      <c r="L64" s="13">
        <f>ROW()</f>
        <v>64</v>
      </c>
    </row>
    <row r="65" spans="3:12" x14ac:dyDescent="0.25">
      <c r="C65" s="13">
        <v>10</v>
      </c>
      <c r="D65" s="18">
        <v>45205</v>
      </c>
      <c r="E65" s="43">
        <v>10</v>
      </c>
      <c r="F65" s="33" t="s">
        <v>154</v>
      </c>
      <c r="G65" s="175">
        <v>1100</v>
      </c>
      <c r="H65" s="34" t="s">
        <v>15</v>
      </c>
      <c r="I65" s="35"/>
      <c r="J65" s="35">
        <v>1228.72</v>
      </c>
      <c r="K65" s="44"/>
      <c r="L65" s="13">
        <f>ROW()</f>
        <v>65</v>
      </c>
    </row>
    <row r="66" spans="3:12" ht="15.75" thickBot="1" x14ac:dyDescent="0.3">
      <c r="C66" s="13">
        <v>10</v>
      </c>
      <c r="D66" s="20">
        <v>45205</v>
      </c>
      <c r="E66" s="50">
        <v>10</v>
      </c>
      <c r="F66" s="51" t="s">
        <v>154</v>
      </c>
      <c r="G66" s="178"/>
      <c r="H66" s="47" t="s">
        <v>149</v>
      </c>
      <c r="I66" s="52"/>
      <c r="J66" s="52"/>
      <c r="K66" s="53"/>
      <c r="L66" s="13">
        <f>ROW()</f>
        <v>66</v>
      </c>
    </row>
    <row r="67" spans="3:12" ht="15.75" thickBot="1" x14ac:dyDescent="0.3">
      <c r="C67" s="13">
        <v>10</v>
      </c>
      <c r="F67"/>
      <c r="L67" s="13">
        <v>67</v>
      </c>
    </row>
    <row r="68" spans="3:12" x14ac:dyDescent="0.25">
      <c r="C68" s="13">
        <v>11</v>
      </c>
      <c r="D68" s="16">
        <v>45205</v>
      </c>
      <c r="E68" s="29">
        <v>11</v>
      </c>
      <c r="F68" s="30" t="s">
        <v>156</v>
      </c>
      <c r="G68" s="174" t="s">
        <v>84</v>
      </c>
      <c r="H68" s="30" t="s">
        <v>85</v>
      </c>
      <c r="I68" s="31">
        <v>5000</v>
      </c>
      <c r="J68" s="31"/>
      <c r="K68" s="42"/>
      <c r="L68" s="13">
        <f>ROW()</f>
        <v>68</v>
      </c>
    </row>
    <row r="69" spans="3:12" x14ac:dyDescent="0.25">
      <c r="C69" s="13">
        <v>11</v>
      </c>
      <c r="D69" s="18">
        <v>45205</v>
      </c>
      <c r="E69" s="43">
        <v>11</v>
      </c>
      <c r="F69" s="33" t="s">
        <v>156</v>
      </c>
      <c r="G69" s="175" t="s">
        <v>12</v>
      </c>
      <c r="H69" s="34" t="s">
        <v>13</v>
      </c>
      <c r="I69" s="35"/>
      <c r="J69" s="35">
        <v>5000</v>
      </c>
      <c r="K69" s="44"/>
      <c r="L69" s="13">
        <f>ROW()</f>
        <v>69</v>
      </c>
    </row>
    <row r="70" spans="3:12" ht="15.75" thickBot="1" x14ac:dyDescent="0.3">
      <c r="C70" s="13">
        <v>11</v>
      </c>
      <c r="D70" s="20">
        <v>45205</v>
      </c>
      <c r="E70" s="50">
        <v>11</v>
      </c>
      <c r="F70" s="51" t="s">
        <v>156</v>
      </c>
      <c r="G70" s="178"/>
      <c r="H70" s="47" t="s">
        <v>157</v>
      </c>
      <c r="I70" s="52"/>
      <c r="J70" s="52"/>
      <c r="K70" s="53"/>
      <c r="L70" s="13">
        <f>ROW()</f>
        <v>70</v>
      </c>
    </row>
    <row r="71" spans="3:12" ht="15.75" thickBot="1" x14ac:dyDescent="0.3">
      <c r="C71" s="13">
        <v>11</v>
      </c>
      <c r="D71" s="135">
        <v>45205</v>
      </c>
      <c r="E71" s="134">
        <v>11</v>
      </c>
      <c r="F71" s="136" t="s">
        <v>156</v>
      </c>
      <c r="L71" s="13">
        <f>ROW()</f>
        <v>71</v>
      </c>
    </row>
    <row r="72" spans="3:12" x14ac:dyDescent="0.25">
      <c r="C72" s="13">
        <v>12</v>
      </c>
      <c r="D72" s="16">
        <v>45205</v>
      </c>
      <c r="E72" s="29">
        <v>12</v>
      </c>
      <c r="F72" s="30"/>
      <c r="G72" s="174" t="s">
        <v>34</v>
      </c>
      <c r="H72" s="30" t="s">
        <v>35</v>
      </c>
      <c r="I72" s="31">
        <v>3995.99</v>
      </c>
      <c r="J72" s="31"/>
      <c r="K72" s="42"/>
      <c r="L72" s="13">
        <f>ROW()</f>
        <v>72</v>
      </c>
    </row>
    <row r="73" spans="3:12" x14ac:dyDescent="0.25">
      <c r="C73" s="13">
        <v>12</v>
      </c>
      <c r="D73" s="18">
        <v>45205</v>
      </c>
      <c r="E73" s="43">
        <v>12</v>
      </c>
      <c r="F73" s="33"/>
      <c r="G73" s="175" t="s">
        <v>18</v>
      </c>
      <c r="H73" s="34" t="s">
        <v>19</v>
      </c>
      <c r="I73" s="35">
        <v>199.8</v>
      </c>
      <c r="J73" s="35"/>
      <c r="K73" s="44"/>
      <c r="L73" s="13">
        <f>ROW()</f>
        <v>73</v>
      </c>
    </row>
    <row r="74" spans="3:12" x14ac:dyDescent="0.25">
      <c r="C74" s="13">
        <v>12</v>
      </c>
      <c r="D74" s="18">
        <v>45205</v>
      </c>
      <c r="E74" s="43">
        <v>12</v>
      </c>
      <c r="F74" s="33"/>
      <c r="G74" s="175" t="s">
        <v>20</v>
      </c>
      <c r="H74" s="34" t="s">
        <v>21</v>
      </c>
      <c r="I74" s="35">
        <v>389.61</v>
      </c>
      <c r="J74" s="35"/>
      <c r="K74" s="44"/>
      <c r="L74" s="13">
        <f>ROW()</f>
        <v>74</v>
      </c>
    </row>
    <row r="75" spans="3:12" x14ac:dyDescent="0.25">
      <c r="C75" s="13">
        <v>12</v>
      </c>
      <c r="D75" s="18">
        <v>45205</v>
      </c>
      <c r="E75" s="43">
        <v>12</v>
      </c>
      <c r="F75" s="33"/>
      <c r="G75" s="175" t="s">
        <v>53</v>
      </c>
      <c r="H75" s="34" t="s">
        <v>54</v>
      </c>
      <c r="I75" s="35"/>
      <c r="J75" s="35">
        <v>4585.3999999999996</v>
      </c>
      <c r="K75" s="44"/>
      <c r="L75" s="13">
        <f>ROW()</f>
        <v>75</v>
      </c>
    </row>
    <row r="76" spans="3:12" ht="15.75" thickBot="1" x14ac:dyDescent="0.3">
      <c r="C76" s="13">
        <v>12</v>
      </c>
      <c r="D76" s="20">
        <v>45205</v>
      </c>
      <c r="E76" s="50">
        <v>12</v>
      </c>
      <c r="F76" s="51"/>
      <c r="G76" s="178"/>
      <c r="H76" s="47" t="s">
        <v>159</v>
      </c>
      <c r="I76" s="52"/>
      <c r="J76" s="52"/>
      <c r="K76" s="53"/>
      <c r="L76" s="13">
        <f>ROW()</f>
        <v>76</v>
      </c>
    </row>
    <row r="77" spans="3:12" ht="15.75" thickBot="1" x14ac:dyDescent="0.3">
      <c r="C77" s="13">
        <v>12</v>
      </c>
      <c r="D77" s="135">
        <v>45205</v>
      </c>
      <c r="E77" s="134">
        <v>12</v>
      </c>
      <c r="F77" s="136"/>
      <c r="L77" s="13">
        <f>ROW()</f>
        <v>77</v>
      </c>
    </row>
    <row r="78" spans="3:12" x14ac:dyDescent="0.25">
      <c r="C78" s="13">
        <v>13</v>
      </c>
      <c r="D78" s="16">
        <v>45205</v>
      </c>
      <c r="E78" s="29">
        <v>13</v>
      </c>
      <c r="F78" s="30" t="s">
        <v>158</v>
      </c>
      <c r="G78" s="174" t="s">
        <v>106</v>
      </c>
      <c r="H78" s="30" t="s">
        <v>107</v>
      </c>
      <c r="I78" s="31">
        <v>120</v>
      </c>
      <c r="J78" s="31"/>
      <c r="K78" s="42"/>
      <c r="L78" s="13">
        <f>ROW()</f>
        <v>78</v>
      </c>
    </row>
    <row r="79" spans="3:12" x14ac:dyDescent="0.25">
      <c r="C79" s="13">
        <v>13</v>
      </c>
      <c r="D79" s="18">
        <v>45205</v>
      </c>
      <c r="E79" s="43">
        <v>13</v>
      </c>
      <c r="F79" s="33" t="s">
        <v>158</v>
      </c>
      <c r="G79" s="175" t="s">
        <v>18</v>
      </c>
      <c r="H79" s="34" t="s">
        <v>19</v>
      </c>
      <c r="I79" s="35">
        <v>5</v>
      </c>
      <c r="J79" s="35"/>
      <c r="K79" s="44"/>
      <c r="L79" s="13">
        <f>ROW()</f>
        <v>79</v>
      </c>
    </row>
    <row r="80" spans="3:12" x14ac:dyDescent="0.25">
      <c r="C80" s="13">
        <v>13</v>
      </c>
      <c r="D80" s="18">
        <v>45205</v>
      </c>
      <c r="E80" s="43">
        <v>13</v>
      </c>
      <c r="F80" s="33" t="s">
        <v>158</v>
      </c>
      <c r="G80" s="175" t="s">
        <v>20</v>
      </c>
      <c r="H80" s="34" t="s">
        <v>21</v>
      </c>
      <c r="I80" s="35">
        <v>9.75</v>
      </c>
      <c r="J80" s="35"/>
      <c r="K80" s="44"/>
      <c r="L80" s="13">
        <f>ROW()</f>
        <v>80</v>
      </c>
    </row>
    <row r="81" spans="3:12" x14ac:dyDescent="0.25">
      <c r="C81" s="13">
        <v>13</v>
      </c>
      <c r="D81" s="18">
        <v>45205</v>
      </c>
      <c r="E81" s="43">
        <v>13</v>
      </c>
      <c r="F81" s="33" t="s">
        <v>158</v>
      </c>
      <c r="G81" s="175" t="s">
        <v>53</v>
      </c>
      <c r="H81" s="34" t="s">
        <v>54</v>
      </c>
      <c r="I81" s="35"/>
      <c r="J81" s="35">
        <v>134.75</v>
      </c>
      <c r="K81" s="44"/>
      <c r="L81" s="13">
        <f>ROW()</f>
        <v>81</v>
      </c>
    </row>
    <row r="82" spans="3:12" ht="15.75" thickBot="1" x14ac:dyDescent="0.3">
      <c r="C82" s="13">
        <v>13</v>
      </c>
      <c r="D82" s="20">
        <v>45205</v>
      </c>
      <c r="E82" s="50">
        <v>13</v>
      </c>
      <c r="F82" s="51" t="s">
        <v>158</v>
      </c>
      <c r="G82" s="178"/>
      <c r="H82" s="47" t="s">
        <v>160</v>
      </c>
      <c r="I82" s="52"/>
      <c r="J82" s="52"/>
      <c r="K82" s="53"/>
      <c r="L82" s="13">
        <f>ROW()</f>
        <v>82</v>
      </c>
    </row>
    <row r="83" spans="3:12" ht="15.75" thickBot="1" x14ac:dyDescent="0.3">
      <c r="C83" s="13">
        <v>13</v>
      </c>
      <c r="D83" s="135">
        <v>45205</v>
      </c>
      <c r="E83" s="134">
        <v>13</v>
      </c>
      <c r="F83" s="136" t="s">
        <v>158</v>
      </c>
      <c r="L83" s="13">
        <f>ROW()</f>
        <v>83</v>
      </c>
    </row>
    <row r="84" spans="3:12" x14ac:dyDescent="0.25">
      <c r="C84" s="13">
        <v>14</v>
      </c>
      <c r="D84" s="16">
        <v>45204</v>
      </c>
      <c r="E84" s="29">
        <v>14</v>
      </c>
      <c r="F84" s="30" t="s">
        <v>161</v>
      </c>
      <c r="G84" s="174">
        <v>1100</v>
      </c>
      <c r="H84" s="30" t="s">
        <v>15</v>
      </c>
      <c r="I84" s="31">
        <v>1034.9100000000001</v>
      </c>
      <c r="J84" s="31"/>
      <c r="K84" s="42"/>
      <c r="L84" s="13">
        <f>ROW()</f>
        <v>84</v>
      </c>
    </row>
    <row r="85" spans="3:12" x14ac:dyDescent="0.25">
      <c r="C85" s="13">
        <v>14</v>
      </c>
      <c r="D85" s="18">
        <v>45204</v>
      </c>
      <c r="E85" s="43">
        <v>14</v>
      </c>
      <c r="F85" s="33" t="s">
        <v>161</v>
      </c>
      <c r="G85" s="175" t="s">
        <v>87</v>
      </c>
      <c r="H85" s="34" t="s">
        <v>88</v>
      </c>
      <c r="I85" s="35"/>
      <c r="J85" s="35">
        <v>3062.5</v>
      </c>
      <c r="K85" s="44"/>
      <c r="L85" s="13">
        <f>ROW()</f>
        <v>85</v>
      </c>
    </row>
    <row r="86" spans="3:12" x14ac:dyDescent="0.25">
      <c r="C86" s="13">
        <v>14</v>
      </c>
      <c r="D86" s="18">
        <v>45204</v>
      </c>
      <c r="E86" s="43">
        <v>14</v>
      </c>
      <c r="F86" s="33" t="s">
        <v>161</v>
      </c>
      <c r="G86" s="175" t="s">
        <v>22</v>
      </c>
      <c r="H86" s="34" t="s">
        <v>23</v>
      </c>
      <c r="I86" s="35"/>
      <c r="J86" s="35">
        <v>153.72999999999999</v>
      </c>
      <c r="K86" s="44"/>
      <c r="L86" s="13">
        <f>ROW()</f>
        <v>86</v>
      </c>
    </row>
    <row r="87" spans="3:12" x14ac:dyDescent="0.25">
      <c r="C87" s="13">
        <v>14</v>
      </c>
      <c r="D87" s="18">
        <v>45204</v>
      </c>
      <c r="E87" s="43">
        <v>14</v>
      </c>
      <c r="F87" s="33" t="s">
        <v>161</v>
      </c>
      <c r="G87" s="175" t="s">
        <v>24</v>
      </c>
      <c r="H87" s="34" t="s">
        <v>25</v>
      </c>
      <c r="I87" s="35"/>
      <c r="J87" s="35">
        <v>306.68</v>
      </c>
      <c r="K87" s="44"/>
      <c r="L87" s="13">
        <f>ROW()</f>
        <v>87</v>
      </c>
    </row>
    <row r="88" spans="3:12" x14ac:dyDescent="0.25">
      <c r="C88" s="13">
        <v>14</v>
      </c>
      <c r="D88" s="18">
        <v>45204</v>
      </c>
      <c r="E88" s="43">
        <v>14</v>
      </c>
      <c r="F88" s="33" t="s">
        <v>161</v>
      </c>
      <c r="G88" s="175" t="s">
        <v>120</v>
      </c>
      <c r="H88" s="34" t="s">
        <v>121</v>
      </c>
      <c r="I88" s="35"/>
      <c r="J88" s="35">
        <v>3</v>
      </c>
      <c r="K88" s="44"/>
      <c r="L88" s="13">
        <f>ROW()</f>
        <v>88</v>
      </c>
    </row>
    <row r="89" spans="3:12" x14ac:dyDescent="0.25">
      <c r="C89" s="13">
        <v>14</v>
      </c>
      <c r="D89" s="18">
        <v>45204</v>
      </c>
      <c r="E89" s="43">
        <v>14</v>
      </c>
      <c r="F89" s="33" t="s">
        <v>161</v>
      </c>
      <c r="G89" s="175" t="s">
        <v>118</v>
      </c>
      <c r="H89" s="34" t="s">
        <v>119</v>
      </c>
      <c r="I89" s="35"/>
      <c r="J89" s="35">
        <v>4</v>
      </c>
      <c r="K89" s="44"/>
      <c r="L89" s="13">
        <f>ROW()</f>
        <v>89</v>
      </c>
    </row>
    <row r="90" spans="3:12" x14ac:dyDescent="0.25">
      <c r="C90" s="13">
        <v>14</v>
      </c>
      <c r="D90" s="18">
        <v>45204</v>
      </c>
      <c r="E90" s="43">
        <v>14</v>
      </c>
      <c r="F90" s="33" t="s">
        <v>161</v>
      </c>
      <c r="G90" s="175" t="s">
        <v>126</v>
      </c>
      <c r="H90" s="34" t="s">
        <v>127</v>
      </c>
      <c r="I90" s="35"/>
      <c r="J90" s="35">
        <v>5</v>
      </c>
      <c r="K90" s="44"/>
      <c r="L90" s="13">
        <f>ROW()</f>
        <v>90</v>
      </c>
    </row>
    <row r="91" spans="3:12" x14ac:dyDescent="0.25">
      <c r="C91" s="13">
        <v>14</v>
      </c>
      <c r="D91" s="18">
        <v>45204</v>
      </c>
      <c r="E91" s="43">
        <v>14</v>
      </c>
      <c r="F91" s="33" t="s">
        <v>161</v>
      </c>
      <c r="G91" s="175" t="s">
        <v>32</v>
      </c>
      <c r="H91" s="34" t="s">
        <v>33</v>
      </c>
      <c r="I91" s="35">
        <v>2500</v>
      </c>
      <c r="J91" s="35"/>
      <c r="K91" s="44"/>
      <c r="L91" s="13">
        <f>ROW()</f>
        <v>91</v>
      </c>
    </row>
    <row r="92" spans="3:12" ht="15.75" thickBot="1" x14ac:dyDescent="0.3">
      <c r="C92" s="13">
        <v>14</v>
      </c>
      <c r="D92" s="20">
        <v>45204</v>
      </c>
      <c r="E92" s="50">
        <v>14</v>
      </c>
      <c r="F92" s="51" t="s">
        <v>161</v>
      </c>
      <c r="G92" s="178"/>
      <c r="H92" s="47" t="s">
        <v>149</v>
      </c>
      <c r="I92" s="52"/>
      <c r="J92" s="52"/>
      <c r="K92" s="53"/>
      <c r="L92" s="13">
        <f>ROW()</f>
        <v>92</v>
      </c>
    </row>
    <row r="93" spans="3:12" ht="15.75" thickBot="1" x14ac:dyDescent="0.3">
      <c r="C93" s="13">
        <v>14</v>
      </c>
      <c r="D93" s="135">
        <v>45204</v>
      </c>
      <c r="E93" s="134">
        <v>14</v>
      </c>
      <c r="F93" s="136" t="s">
        <v>161</v>
      </c>
      <c r="L93" s="13">
        <f>ROW()</f>
        <v>93</v>
      </c>
    </row>
    <row r="94" spans="3:12" x14ac:dyDescent="0.25">
      <c r="C94" s="13">
        <v>15</v>
      </c>
      <c r="D94" s="16">
        <v>45203</v>
      </c>
      <c r="E94" s="29">
        <v>15</v>
      </c>
      <c r="F94" s="30" t="s">
        <v>162</v>
      </c>
      <c r="G94" s="174">
        <v>1100</v>
      </c>
      <c r="H94" s="30" t="s">
        <v>15</v>
      </c>
      <c r="I94" s="31">
        <v>980.31</v>
      </c>
      <c r="J94" s="31"/>
      <c r="K94" s="42"/>
      <c r="L94" s="13">
        <f>ROW()</f>
        <v>94</v>
      </c>
    </row>
    <row r="95" spans="3:12" x14ac:dyDescent="0.25">
      <c r="C95" s="13">
        <v>15</v>
      </c>
      <c r="D95" s="18">
        <v>45203</v>
      </c>
      <c r="E95" s="43">
        <v>15</v>
      </c>
      <c r="F95" s="33" t="s">
        <v>162</v>
      </c>
      <c r="G95" s="175" t="s">
        <v>87</v>
      </c>
      <c r="H95" s="34" t="s">
        <v>88</v>
      </c>
      <c r="I95" s="35"/>
      <c r="J95" s="35">
        <v>1137.5</v>
      </c>
      <c r="K95" s="44"/>
      <c r="L95" s="13">
        <f>ROW()</f>
        <v>95</v>
      </c>
    </row>
    <row r="96" spans="3:12" x14ac:dyDescent="0.25">
      <c r="C96" s="13">
        <v>15</v>
      </c>
      <c r="D96" s="18">
        <v>45203</v>
      </c>
      <c r="E96" s="43">
        <v>15</v>
      </c>
      <c r="F96" s="33" t="s">
        <v>162</v>
      </c>
      <c r="G96" s="175" t="s">
        <v>22</v>
      </c>
      <c r="H96" s="34" t="s">
        <v>23</v>
      </c>
      <c r="I96" s="35"/>
      <c r="J96" s="35">
        <v>64.38</v>
      </c>
      <c r="K96" s="44"/>
      <c r="L96" s="13">
        <f>ROW()</f>
        <v>96</v>
      </c>
    </row>
    <row r="97" spans="3:12" x14ac:dyDescent="0.25">
      <c r="C97" s="13">
        <v>15</v>
      </c>
      <c r="D97" s="18">
        <v>45203</v>
      </c>
      <c r="E97" s="43">
        <v>15</v>
      </c>
      <c r="F97" s="33" t="s">
        <v>162</v>
      </c>
      <c r="G97" s="175" t="s">
        <v>24</v>
      </c>
      <c r="H97" s="34" t="s">
        <v>25</v>
      </c>
      <c r="I97" s="35"/>
      <c r="J97" s="35">
        <v>128.43</v>
      </c>
      <c r="K97" s="44"/>
      <c r="L97" s="13">
        <f>ROW()</f>
        <v>97</v>
      </c>
    </row>
    <row r="98" spans="3:12" x14ac:dyDescent="0.25">
      <c r="C98" s="13">
        <v>15</v>
      </c>
      <c r="D98" s="18">
        <v>45203</v>
      </c>
      <c r="E98" s="43">
        <v>15</v>
      </c>
      <c r="F98" s="33" t="s">
        <v>162</v>
      </c>
      <c r="G98" s="175" t="s">
        <v>120</v>
      </c>
      <c r="H98" s="34" t="s">
        <v>121</v>
      </c>
      <c r="I98" s="35"/>
      <c r="J98" s="35">
        <v>25</v>
      </c>
      <c r="K98" s="44"/>
      <c r="L98" s="13">
        <f>ROW()</f>
        <v>98</v>
      </c>
    </row>
    <row r="99" spans="3:12" x14ac:dyDescent="0.25">
      <c r="C99" s="13">
        <v>15</v>
      </c>
      <c r="D99" s="18">
        <v>45203</v>
      </c>
      <c r="E99" s="43">
        <v>15</v>
      </c>
      <c r="F99" s="33" t="s">
        <v>162</v>
      </c>
      <c r="G99" s="175" t="s">
        <v>118</v>
      </c>
      <c r="H99" s="34" t="s">
        <v>119</v>
      </c>
      <c r="I99" s="35"/>
      <c r="J99" s="35">
        <v>50</v>
      </c>
      <c r="K99" s="44"/>
      <c r="L99" s="13">
        <f>ROW()</f>
        <v>99</v>
      </c>
    </row>
    <row r="100" spans="3:12" x14ac:dyDescent="0.25">
      <c r="C100" s="13">
        <v>15</v>
      </c>
      <c r="D100" s="18">
        <v>45203</v>
      </c>
      <c r="E100" s="43">
        <v>15</v>
      </c>
      <c r="F100" s="33" t="s">
        <v>162</v>
      </c>
      <c r="G100" s="175" t="s">
        <v>126</v>
      </c>
      <c r="H100" s="34" t="s">
        <v>127</v>
      </c>
      <c r="I100" s="35"/>
      <c r="J100" s="35">
        <v>75</v>
      </c>
      <c r="K100" s="44"/>
      <c r="L100" s="13">
        <f>ROW()</f>
        <v>100</v>
      </c>
    </row>
    <row r="101" spans="3:12" x14ac:dyDescent="0.25">
      <c r="C101" s="13">
        <v>15</v>
      </c>
      <c r="D101" s="18">
        <v>45203</v>
      </c>
      <c r="E101" s="43">
        <v>15</v>
      </c>
      <c r="F101" s="33" t="s">
        <v>162</v>
      </c>
      <c r="G101" s="175" t="s">
        <v>32</v>
      </c>
      <c r="H101" s="34" t="s">
        <v>33</v>
      </c>
      <c r="I101" s="35">
        <v>500</v>
      </c>
      <c r="J101" s="35"/>
      <c r="K101" s="44" t="s">
        <v>163</v>
      </c>
      <c r="L101" s="13">
        <f>ROW()</f>
        <v>101</v>
      </c>
    </row>
    <row r="102" spans="3:12" ht="15.75" thickBot="1" x14ac:dyDescent="0.3">
      <c r="C102" s="13">
        <v>15</v>
      </c>
      <c r="D102" s="20">
        <v>45203</v>
      </c>
      <c r="E102" s="50">
        <v>15</v>
      </c>
      <c r="F102" s="51" t="s">
        <v>162</v>
      </c>
      <c r="G102" s="178"/>
      <c r="H102" s="47" t="s">
        <v>149</v>
      </c>
      <c r="I102" s="52"/>
      <c r="J102" s="52"/>
      <c r="K102" s="53"/>
      <c r="L102" s="13">
        <f>ROW()</f>
        <v>102</v>
      </c>
    </row>
    <row r="103" spans="3:12" ht="15.75" thickBot="1" x14ac:dyDescent="0.3">
      <c r="C103" s="13">
        <v>15</v>
      </c>
      <c r="D103" s="135">
        <v>45203</v>
      </c>
      <c r="E103" s="134">
        <v>15</v>
      </c>
      <c r="F103" s="136" t="s">
        <v>162</v>
      </c>
      <c r="L103" s="13">
        <f>ROW()</f>
        <v>103</v>
      </c>
    </row>
    <row r="104" spans="3:12" x14ac:dyDescent="0.25">
      <c r="C104" s="13">
        <v>16</v>
      </c>
      <c r="D104" s="16">
        <v>45205</v>
      </c>
      <c r="E104" s="29">
        <v>16</v>
      </c>
      <c r="F104" s="30" t="s">
        <v>154</v>
      </c>
      <c r="G104" s="174" t="s">
        <v>12</v>
      </c>
      <c r="H104" s="30" t="s">
        <v>13</v>
      </c>
      <c r="I104" s="31">
        <v>1034.9100000000001</v>
      </c>
      <c r="J104" s="31"/>
      <c r="K104" s="42"/>
      <c r="L104" s="13">
        <f>ROW()</f>
        <v>104</v>
      </c>
    </row>
    <row r="105" spans="3:12" x14ac:dyDescent="0.25">
      <c r="C105" s="13">
        <v>16</v>
      </c>
      <c r="D105" s="18">
        <v>45205</v>
      </c>
      <c r="E105" s="43">
        <v>16</v>
      </c>
      <c r="F105" s="33" t="s">
        <v>154</v>
      </c>
      <c r="G105" s="175">
        <v>1100</v>
      </c>
      <c r="H105" s="34" t="s">
        <v>15</v>
      </c>
      <c r="I105" s="35"/>
      <c r="J105" s="35">
        <v>1034.9100000000001</v>
      </c>
      <c r="K105" s="44"/>
      <c r="L105" s="13">
        <f>ROW()</f>
        <v>105</v>
      </c>
    </row>
    <row r="106" spans="3:12" ht="15.75" thickBot="1" x14ac:dyDescent="0.3">
      <c r="C106" s="13">
        <v>16</v>
      </c>
      <c r="D106" s="20">
        <v>45205</v>
      </c>
      <c r="E106" s="50">
        <v>16</v>
      </c>
      <c r="F106" s="51" t="s">
        <v>154</v>
      </c>
      <c r="G106" s="178"/>
      <c r="H106" s="47" t="s">
        <v>149</v>
      </c>
      <c r="I106" s="52"/>
      <c r="J106" s="52"/>
      <c r="K106" s="53"/>
      <c r="L106" s="13">
        <f>ROW()</f>
        <v>106</v>
      </c>
    </row>
    <row r="107" spans="3:12" ht="15.75" thickBot="1" x14ac:dyDescent="0.3">
      <c r="C107" s="13">
        <v>16</v>
      </c>
      <c r="D107" s="135">
        <v>45205</v>
      </c>
      <c r="E107" s="134">
        <v>16</v>
      </c>
      <c r="F107" s="136" t="s">
        <v>154</v>
      </c>
      <c r="L107" s="13">
        <f>ROW()</f>
        <v>107</v>
      </c>
    </row>
    <row r="108" spans="3:12" x14ac:dyDescent="0.25">
      <c r="C108" s="13">
        <v>17</v>
      </c>
      <c r="D108" s="16">
        <v>45205</v>
      </c>
      <c r="E108" s="29">
        <v>17</v>
      </c>
      <c r="F108" s="30" t="s">
        <v>154</v>
      </c>
      <c r="G108" s="174" t="s">
        <v>12</v>
      </c>
      <c r="H108" s="30" t="s">
        <v>13</v>
      </c>
      <c r="I108" s="31">
        <v>980.31</v>
      </c>
      <c r="J108" s="31"/>
      <c r="K108" s="42" t="s">
        <v>164</v>
      </c>
      <c r="L108" s="13">
        <f>ROW()</f>
        <v>108</v>
      </c>
    </row>
    <row r="109" spans="3:12" x14ac:dyDescent="0.25">
      <c r="C109" s="13">
        <v>17</v>
      </c>
      <c r="D109" s="18">
        <v>45205</v>
      </c>
      <c r="E109" s="43">
        <v>17</v>
      </c>
      <c r="F109" s="33" t="s">
        <v>154</v>
      </c>
      <c r="G109" s="175">
        <v>1100</v>
      </c>
      <c r="H109" s="34" t="s">
        <v>15</v>
      </c>
      <c r="I109" s="35"/>
      <c r="J109" s="35">
        <v>980.31</v>
      </c>
      <c r="K109" s="44" t="s">
        <v>165</v>
      </c>
      <c r="L109" s="13">
        <f>ROW()</f>
        <v>109</v>
      </c>
    </row>
    <row r="110" spans="3:12" ht="15.75" thickBot="1" x14ac:dyDescent="0.3">
      <c r="C110" s="13">
        <v>17</v>
      </c>
      <c r="D110" s="20">
        <v>45205</v>
      </c>
      <c r="E110" s="50">
        <v>17</v>
      </c>
      <c r="F110" s="51" t="s">
        <v>154</v>
      </c>
      <c r="G110" s="178"/>
      <c r="H110" s="47" t="s">
        <v>149</v>
      </c>
      <c r="I110" s="52"/>
      <c r="J110" s="52"/>
      <c r="K110" s="53"/>
      <c r="L110" s="13">
        <f>ROW()</f>
        <v>110</v>
      </c>
    </row>
    <row r="111" spans="3:12" ht="15.75" thickBot="1" x14ac:dyDescent="0.3">
      <c r="C111" s="13">
        <v>17</v>
      </c>
      <c r="D111" s="135">
        <v>45205</v>
      </c>
      <c r="E111" s="134">
        <v>17</v>
      </c>
      <c r="F111" s="136" t="s">
        <v>154</v>
      </c>
      <c r="L111" s="13">
        <f>ROW()</f>
        <v>111</v>
      </c>
    </row>
    <row r="112" spans="3:12" x14ac:dyDescent="0.25">
      <c r="C112" s="13">
        <v>18</v>
      </c>
      <c r="D112" s="16">
        <v>44927</v>
      </c>
      <c r="E112" s="29">
        <v>18</v>
      </c>
      <c r="F112" s="75" t="s">
        <v>166</v>
      </c>
      <c r="G112" s="174">
        <v>1100</v>
      </c>
      <c r="H112" s="30" t="s">
        <v>15</v>
      </c>
      <c r="I112" s="31">
        <v>3923.53</v>
      </c>
      <c r="J112" s="31"/>
      <c r="K112" s="42"/>
      <c r="L112" s="13">
        <f>ROW()</f>
        <v>112</v>
      </c>
    </row>
    <row r="113" spans="3:12" x14ac:dyDescent="0.25">
      <c r="C113" s="13">
        <v>18</v>
      </c>
      <c r="D113" s="18">
        <v>44927</v>
      </c>
      <c r="E113" s="43">
        <v>18</v>
      </c>
      <c r="F113" s="76" t="s">
        <v>166</v>
      </c>
      <c r="G113" s="175" t="s">
        <v>87</v>
      </c>
      <c r="H113" s="34" t="s">
        <v>88</v>
      </c>
      <c r="I113" s="35"/>
      <c r="J113" s="35">
        <v>3412.5</v>
      </c>
      <c r="K113" s="44"/>
      <c r="L113" s="13">
        <f>ROW()</f>
        <v>113</v>
      </c>
    </row>
    <row r="114" spans="3:12" x14ac:dyDescent="0.25">
      <c r="C114" s="13">
        <v>18</v>
      </c>
      <c r="D114" s="18">
        <v>44927</v>
      </c>
      <c r="E114" s="43">
        <v>18</v>
      </c>
      <c r="F114" s="76" t="s">
        <v>166</v>
      </c>
      <c r="G114" s="175" t="s">
        <v>18</v>
      </c>
      <c r="H114" s="34" t="s">
        <v>19</v>
      </c>
      <c r="I114" s="35"/>
      <c r="J114" s="35">
        <v>170.63</v>
      </c>
      <c r="K114" s="44"/>
      <c r="L114" s="13">
        <f>ROW()</f>
        <v>114</v>
      </c>
    </row>
    <row r="115" spans="3:12" x14ac:dyDescent="0.25">
      <c r="C115" s="13">
        <v>18</v>
      </c>
      <c r="D115" s="18">
        <v>44927</v>
      </c>
      <c r="E115" s="43">
        <v>18</v>
      </c>
      <c r="F115" s="76" t="s">
        <v>166</v>
      </c>
      <c r="G115" s="175" t="s">
        <v>20</v>
      </c>
      <c r="H115" s="34" t="s">
        <v>21</v>
      </c>
      <c r="I115" s="35"/>
      <c r="J115" s="35">
        <v>340.4</v>
      </c>
      <c r="K115" s="44"/>
      <c r="L115" s="13">
        <f>ROW()</f>
        <v>115</v>
      </c>
    </row>
    <row r="116" spans="3:12" ht="15.75" thickBot="1" x14ac:dyDescent="0.3">
      <c r="C116" s="13">
        <v>18</v>
      </c>
      <c r="D116" s="20">
        <v>44927</v>
      </c>
      <c r="E116" s="50">
        <v>18</v>
      </c>
      <c r="F116" s="77" t="s">
        <v>166</v>
      </c>
      <c r="G116" s="178"/>
      <c r="H116" s="47" t="s">
        <v>167</v>
      </c>
      <c r="I116" s="52"/>
      <c r="J116" s="52"/>
      <c r="K116" s="53"/>
      <c r="L116" s="13">
        <f>ROW()</f>
        <v>116</v>
      </c>
    </row>
    <row r="117" spans="3:12" ht="15.75" thickBot="1" x14ac:dyDescent="0.3">
      <c r="C117" s="13">
        <v>18</v>
      </c>
      <c r="D117" s="135">
        <v>44927</v>
      </c>
      <c r="E117" s="134">
        <v>18</v>
      </c>
      <c r="F117" s="137" t="s">
        <v>166</v>
      </c>
      <c r="L117" s="13">
        <f>ROW()</f>
        <v>117</v>
      </c>
    </row>
    <row r="118" spans="3:12" x14ac:dyDescent="0.25">
      <c r="C118" s="13">
        <v>19</v>
      </c>
      <c r="D118" s="16">
        <v>45205</v>
      </c>
      <c r="E118" s="29">
        <v>19</v>
      </c>
      <c r="F118" s="79" t="s">
        <v>154</v>
      </c>
      <c r="G118" s="174" t="s">
        <v>12</v>
      </c>
      <c r="H118" s="30" t="s">
        <v>13</v>
      </c>
      <c r="I118" s="31">
        <v>3923.53</v>
      </c>
      <c r="J118" s="31"/>
      <c r="K118" s="42"/>
      <c r="L118" s="13">
        <f>ROW()</f>
        <v>118</v>
      </c>
    </row>
    <row r="119" spans="3:12" x14ac:dyDescent="0.25">
      <c r="C119" s="13">
        <v>19</v>
      </c>
      <c r="D119" s="18">
        <v>45205</v>
      </c>
      <c r="E119" s="43">
        <v>19</v>
      </c>
      <c r="F119" s="76" t="s">
        <v>154</v>
      </c>
      <c r="G119" s="175" t="s">
        <v>14</v>
      </c>
      <c r="H119" s="34" t="s">
        <v>15</v>
      </c>
      <c r="I119" s="35"/>
      <c r="J119" s="35">
        <v>3923.53</v>
      </c>
      <c r="K119" s="44"/>
      <c r="L119" s="13">
        <f>ROW()</f>
        <v>119</v>
      </c>
    </row>
    <row r="120" spans="3:12" ht="15.75" thickBot="1" x14ac:dyDescent="0.3">
      <c r="C120" s="13">
        <v>19</v>
      </c>
      <c r="D120" s="20">
        <v>45205</v>
      </c>
      <c r="E120" s="50">
        <v>19</v>
      </c>
      <c r="F120" s="77" t="s">
        <v>154</v>
      </c>
      <c r="G120" s="178"/>
      <c r="H120" s="47" t="s">
        <v>167</v>
      </c>
      <c r="I120" s="52"/>
      <c r="J120" s="52"/>
      <c r="K120" s="53"/>
      <c r="L120" s="13">
        <f>ROW()</f>
        <v>120</v>
      </c>
    </row>
    <row r="121" spans="3:12" ht="15.75" thickBot="1" x14ac:dyDescent="0.3">
      <c r="C121" s="13">
        <v>19</v>
      </c>
      <c r="D121" s="135">
        <v>45205</v>
      </c>
      <c r="E121" s="134">
        <v>19</v>
      </c>
      <c r="F121" s="137" t="s">
        <v>154</v>
      </c>
      <c r="L121" s="13">
        <f>ROW()</f>
        <v>121</v>
      </c>
    </row>
    <row r="122" spans="3:12" x14ac:dyDescent="0.25">
      <c r="C122" s="13">
        <v>20</v>
      </c>
      <c r="D122" s="80">
        <v>45212</v>
      </c>
      <c r="E122" s="81">
        <v>20</v>
      </c>
      <c r="F122" s="82" t="s">
        <v>156</v>
      </c>
      <c r="G122" s="182" t="s">
        <v>84</v>
      </c>
      <c r="H122" s="83" t="s">
        <v>85</v>
      </c>
      <c r="I122" s="84">
        <v>5000</v>
      </c>
      <c r="J122" s="84"/>
      <c r="K122" s="85"/>
      <c r="L122" s="13">
        <f>ROW()</f>
        <v>122</v>
      </c>
    </row>
    <row r="123" spans="3:12" x14ac:dyDescent="0.25">
      <c r="C123" s="13">
        <v>20</v>
      </c>
      <c r="D123" s="86">
        <v>45212</v>
      </c>
      <c r="E123" s="87">
        <v>20</v>
      </c>
      <c r="F123" s="88" t="s">
        <v>156</v>
      </c>
      <c r="G123" s="183" t="s">
        <v>12</v>
      </c>
      <c r="H123" s="89" t="s">
        <v>13</v>
      </c>
      <c r="I123" s="90"/>
      <c r="J123" s="90">
        <v>5000</v>
      </c>
      <c r="K123" s="91"/>
      <c r="L123" s="13">
        <f>ROW()</f>
        <v>123</v>
      </c>
    </row>
    <row r="124" spans="3:12" ht="15.75" thickBot="1" x14ac:dyDescent="0.3">
      <c r="C124" s="13">
        <v>20</v>
      </c>
      <c r="D124" s="92">
        <v>45212</v>
      </c>
      <c r="E124" s="93">
        <v>20</v>
      </c>
      <c r="F124" s="94" t="s">
        <v>156</v>
      </c>
      <c r="G124" s="178"/>
      <c r="H124" s="47" t="s">
        <v>157</v>
      </c>
      <c r="I124" s="52"/>
      <c r="J124" s="52"/>
      <c r="K124" s="53"/>
      <c r="L124" s="13">
        <f>ROW()</f>
        <v>124</v>
      </c>
    </row>
    <row r="125" spans="3:12" ht="15.75" thickBot="1" x14ac:dyDescent="0.3">
      <c r="C125" s="13">
        <v>20</v>
      </c>
      <c r="D125" s="135">
        <v>45212</v>
      </c>
      <c r="E125" s="134">
        <v>20</v>
      </c>
      <c r="F125" s="137" t="s">
        <v>156</v>
      </c>
      <c r="L125" s="13">
        <f>ROW()</f>
        <v>125</v>
      </c>
    </row>
    <row r="126" spans="3:12" x14ac:dyDescent="0.25">
      <c r="C126" s="13">
        <v>21</v>
      </c>
      <c r="D126" s="80">
        <v>45219</v>
      </c>
      <c r="E126" s="81">
        <v>21</v>
      </c>
      <c r="F126" s="82" t="s">
        <v>156</v>
      </c>
      <c r="G126" s="182" t="s">
        <v>84</v>
      </c>
      <c r="H126" s="83" t="s">
        <v>85</v>
      </c>
      <c r="I126" s="84">
        <v>5000</v>
      </c>
      <c r="J126" s="84"/>
      <c r="K126" s="85"/>
      <c r="L126" s="13">
        <f>ROW()</f>
        <v>126</v>
      </c>
    </row>
    <row r="127" spans="3:12" x14ac:dyDescent="0.25">
      <c r="C127" s="13">
        <v>21</v>
      </c>
      <c r="D127" s="86">
        <v>45219</v>
      </c>
      <c r="E127" s="87">
        <v>21</v>
      </c>
      <c r="F127" s="88" t="s">
        <v>156</v>
      </c>
      <c r="G127" s="183" t="s">
        <v>12</v>
      </c>
      <c r="H127" s="89" t="s">
        <v>13</v>
      </c>
      <c r="I127" s="90"/>
      <c r="J127" s="90">
        <v>5000</v>
      </c>
      <c r="K127" s="91"/>
      <c r="L127" s="13">
        <f>ROW()</f>
        <v>127</v>
      </c>
    </row>
    <row r="128" spans="3:12" ht="15.75" thickBot="1" x14ac:dyDescent="0.3">
      <c r="C128" s="13">
        <v>21</v>
      </c>
      <c r="D128" s="92">
        <v>45219</v>
      </c>
      <c r="E128" s="93">
        <v>21</v>
      </c>
      <c r="F128" s="94" t="s">
        <v>156</v>
      </c>
      <c r="G128" s="178"/>
      <c r="H128" s="47" t="s">
        <v>168</v>
      </c>
      <c r="I128" s="52"/>
      <c r="J128" s="52"/>
      <c r="K128" s="53"/>
      <c r="L128" s="13">
        <f>ROW()</f>
        <v>128</v>
      </c>
    </row>
    <row r="129" spans="3:12" ht="15.75" thickBot="1" x14ac:dyDescent="0.3">
      <c r="C129" s="13">
        <v>21</v>
      </c>
      <c r="D129" s="135">
        <v>45219</v>
      </c>
      <c r="E129" s="134">
        <v>21</v>
      </c>
      <c r="F129" s="137" t="s">
        <v>156</v>
      </c>
      <c r="L129" s="13">
        <f>ROW()</f>
        <v>129</v>
      </c>
    </row>
    <row r="130" spans="3:12" x14ac:dyDescent="0.25">
      <c r="C130" s="13">
        <v>22</v>
      </c>
      <c r="D130" s="16">
        <v>45230</v>
      </c>
      <c r="E130" s="29">
        <v>22</v>
      </c>
      <c r="F130" s="79" t="s">
        <v>169</v>
      </c>
      <c r="G130" s="174" t="s">
        <v>126</v>
      </c>
      <c r="H130" s="30" t="s">
        <v>127</v>
      </c>
      <c r="I130" s="31">
        <v>25.99</v>
      </c>
      <c r="J130" s="31"/>
      <c r="K130" s="42" t="s">
        <v>171</v>
      </c>
      <c r="L130" s="13">
        <f>ROW()</f>
        <v>130</v>
      </c>
    </row>
    <row r="131" spans="3:12" x14ac:dyDescent="0.25">
      <c r="C131" s="13">
        <v>22</v>
      </c>
      <c r="D131" s="18">
        <v>45230</v>
      </c>
      <c r="E131" s="43">
        <v>22</v>
      </c>
      <c r="F131" s="76" t="s">
        <v>169</v>
      </c>
      <c r="G131" s="175" t="s">
        <v>12</v>
      </c>
      <c r="H131" s="34" t="s">
        <v>13</v>
      </c>
      <c r="I131" s="35"/>
      <c r="J131" s="35">
        <v>25.99</v>
      </c>
      <c r="K131" s="44"/>
      <c r="L131" s="13">
        <f>ROW()</f>
        <v>131</v>
      </c>
    </row>
    <row r="132" spans="3:12" ht="15.75" thickBot="1" x14ac:dyDescent="0.3">
      <c r="C132" s="13">
        <v>22</v>
      </c>
      <c r="D132" s="20">
        <v>45230</v>
      </c>
      <c r="E132" s="50">
        <v>22</v>
      </c>
      <c r="F132" s="77" t="s">
        <v>169</v>
      </c>
      <c r="G132" s="178"/>
      <c r="H132" s="47" t="s">
        <v>170</v>
      </c>
      <c r="I132" s="52"/>
      <c r="J132" s="52"/>
      <c r="K132" s="53"/>
      <c r="L132" s="13">
        <f>ROW()</f>
        <v>132</v>
      </c>
    </row>
    <row r="133" spans="3:12" ht="15.75" thickBot="1" x14ac:dyDescent="0.3">
      <c r="C133" s="13">
        <v>22</v>
      </c>
      <c r="D133" s="135">
        <v>45230</v>
      </c>
      <c r="E133" s="134">
        <v>22</v>
      </c>
      <c r="F133" s="137" t="s">
        <v>169</v>
      </c>
      <c r="L133" s="13">
        <f>ROW()</f>
        <v>133</v>
      </c>
    </row>
    <row r="134" spans="3:12" x14ac:dyDescent="0.25">
      <c r="C134" s="13">
        <v>23</v>
      </c>
      <c r="D134" s="80">
        <v>45206</v>
      </c>
      <c r="E134" s="81">
        <v>23</v>
      </c>
      <c r="F134" s="82" t="s">
        <v>172</v>
      </c>
      <c r="G134" s="182" t="s">
        <v>12</v>
      </c>
      <c r="H134" s="83" t="s">
        <v>13</v>
      </c>
      <c r="I134" s="84">
        <v>159.94999999999999</v>
      </c>
      <c r="J134" s="84"/>
      <c r="K134" s="85"/>
      <c r="L134" s="13">
        <f>ROW()</f>
        <v>134</v>
      </c>
    </row>
    <row r="135" spans="3:12" x14ac:dyDescent="0.25">
      <c r="C135" s="13">
        <v>23</v>
      </c>
      <c r="D135" s="105">
        <v>45206</v>
      </c>
      <c r="E135" s="106">
        <v>23</v>
      </c>
      <c r="F135" s="107" t="s">
        <v>172</v>
      </c>
      <c r="G135" s="183" t="s">
        <v>14</v>
      </c>
      <c r="H135" s="89" t="s">
        <v>15</v>
      </c>
      <c r="I135" s="90"/>
      <c r="J135" s="90">
        <v>149.94999999999999</v>
      </c>
      <c r="K135" s="91"/>
      <c r="L135" s="13">
        <f>ROW()</f>
        <v>135</v>
      </c>
    </row>
    <row r="136" spans="3:12" x14ac:dyDescent="0.25">
      <c r="C136" s="13">
        <v>23</v>
      </c>
      <c r="D136" s="105">
        <v>45206</v>
      </c>
      <c r="E136" s="106">
        <v>23</v>
      </c>
      <c r="F136" s="107" t="s">
        <v>172</v>
      </c>
      <c r="G136" s="183" t="s">
        <v>18</v>
      </c>
      <c r="H136" s="89" t="s">
        <v>19</v>
      </c>
      <c r="I136" s="90">
        <v>10</v>
      </c>
      <c r="J136" s="90"/>
      <c r="K136" s="91"/>
      <c r="L136" s="13">
        <f>ROW()</f>
        <v>136</v>
      </c>
    </row>
    <row r="137" spans="3:12" x14ac:dyDescent="0.25">
      <c r="C137" s="13">
        <v>23</v>
      </c>
      <c r="D137" s="105">
        <v>45206</v>
      </c>
      <c r="E137" s="106">
        <v>23</v>
      </c>
      <c r="F137" s="107" t="s">
        <v>172</v>
      </c>
      <c r="G137" s="183" t="s">
        <v>20</v>
      </c>
      <c r="H137" s="89" t="s">
        <v>21</v>
      </c>
      <c r="I137" s="90"/>
      <c r="J137" s="90">
        <v>20</v>
      </c>
      <c r="K137" s="91"/>
      <c r="L137" s="13">
        <f>ROW()</f>
        <v>137</v>
      </c>
    </row>
    <row r="138" spans="3:12" ht="15.75" thickBot="1" x14ac:dyDescent="0.3">
      <c r="C138" s="13">
        <v>23</v>
      </c>
      <c r="D138" s="108">
        <v>45206</v>
      </c>
      <c r="E138" s="109">
        <v>23</v>
      </c>
      <c r="F138" s="110" t="s">
        <v>172</v>
      </c>
      <c r="G138" s="178"/>
      <c r="H138" s="47" t="s">
        <v>173</v>
      </c>
      <c r="I138" s="47"/>
      <c r="J138" s="47"/>
      <c r="K138" s="53"/>
      <c r="L138" s="13">
        <f>ROW()</f>
        <v>138</v>
      </c>
    </row>
    <row r="139" spans="3:12" ht="15.75" thickBot="1" x14ac:dyDescent="0.3">
      <c r="C139" s="13">
        <v>23</v>
      </c>
      <c r="D139" s="138">
        <v>45206</v>
      </c>
      <c r="E139" s="139">
        <v>23</v>
      </c>
      <c r="F139" s="140" t="s">
        <v>172</v>
      </c>
      <c r="L139" s="13">
        <f>ROW()</f>
        <v>139</v>
      </c>
    </row>
    <row r="140" spans="3:12" x14ac:dyDescent="0.25">
      <c r="C140" s="13">
        <v>24</v>
      </c>
      <c r="D140" s="80">
        <v>45179</v>
      </c>
      <c r="E140" s="81">
        <v>24</v>
      </c>
      <c r="F140" s="82" t="s">
        <v>172</v>
      </c>
      <c r="G140" s="182" t="s">
        <v>12</v>
      </c>
      <c r="H140" s="83" t="s">
        <v>13</v>
      </c>
      <c r="I140" s="84">
        <v>15</v>
      </c>
      <c r="J140" s="84"/>
      <c r="K140" s="85"/>
      <c r="L140" s="13">
        <f>ROW()</f>
        <v>140</v>
      </c>
    </row>
    <row r="141" spans="3:12" x14ac:dyDescent="0.25">
      <c r="C141" s="13">
        <v>24</v>
      </c>
      <c r="D141" s="105">
        <v>45179</v>
      </c>
      <c r="E141" s="106">
        <v>24</v>
      </c>
      <c r="F141" s="107" t="s">
        <v>172</v>
      </c>
      <c r="G141" s="183" t="s">
        <v>106</v>
      </c>
      <c r="H141" s="89" t="s">
        <v>107</v>
      </c>
      <c r="I141" s="90"/>
      <c r="J141" s="90">
        <v>15</v>
      </c>
      <c r="K141" s="91"/>
      <c r="L141" s="13">
        <f>ROW()</f>
        <v>141</v>
      </c>
    </row>
    <row r="142" spans="3:12" ht="15.75" thickBot="1" x14ac:dyDescent="0.3">
      <c r="C142" s="13">
        <v>24</v>
      </c>
      <c r="D142" s="108">
        <v>45179</v>
      </c>
      <c r="E142" s="109">
        <v>24</v>
      </c>
      <c r="F142" s="110" t="s">
        <v>172</v>
      </c>
      <c r="G142" s="184"/>
      <c r="H142" s="122" t="s">
        <v>174</v>
      </c>
      <c r="I142" s="122"/>
      <c r="J142" s="122"/>
      <c r="K142" s="123"/>
      <c r="L142" s="13">
        <f>ROW()</f>
        <v>142</v>
      </c>
    </row>
    <row r="143" spans="3:12" ht="15.75" thickBot="1" x14ac:dyDescent="0.3">
      <c r="C143" s="13">
        <v>24</v>
      </c>
      <c r="D143" s="138">
        <v>45179</v>
      </c>
      <c r="E143" s="139">
        <v>24</v>
      </c>
      <c r="F143" s="140" t="s">
        <v>172</v>
      </c>
      <c r="L143" s="13">
        <f>ROW()</f>
        <v>143</v>
      </c>
    </row>
    <row r="144" spans="3:12" x14ac:dyDescent="0.25">
      <c r="C144" s="13">
        <v>25</v>
      </c>
      <c r="D144" s="125" t="s">
        <v>176</v>
      </c>
      <c r="E144" s="81">
        <v>25</v>
      </c>
      <c r="F144" s="82" t="s">
        <v>175</v>
      </c>
      <c r="G144" s="182" t="s">
        <v>126</v>
      </c>
      <c r="H144" s="83" t="s">
        <v>127</v>
      </c>
      <c r="I144" s="84">
        <v>19.95</v>
      </c>
      <c r="J144" s="84"/>
      <c r="K144" s="85"/>
      <c r="L144" s="13">
        <f>ROW()</f>
        <v>144</v>
      </c>
    </row>
    <row r="145" spans="3:12" x14ac:dyDescent="0.25">
      <c r="C145" s="13">
        <v>25</v>
      </c>
      <c r="D145" s="126" t="s">
        <v>176</v>
      </c>
      <c r="E145" s="106">
        <v>25</v>
      </c>
      <c r="F145" s="107" t="s">
        <v>175</v>
      </c>
      <c r="G145" s="183" t="s">
        <v>12</v>
      </c>
      <c r="H145" s="89" t="s">
        <v>13</v>
      </c>
      <c r="I145" s="90"/>
      <c r="J145" s="90">
        <v>19.95</v>
      </c>
      <c r="K145" s="91"/>
      <c r="L145" s="13">
        <f>ROW()</f>
        <v>145</v>
      </c>
    </row>
    <row r="146" spans="3:12" ht="15.75" thickBot="1" x14ac:dyDescent="0.3">
      <c r="C146" s="13">
        <v>25</v>
      </c>
      <c r="D146" s="127" t="s">
        <v>176</v>
      </c>
      <c r="E146" s="109">
        <v>25</v>
      </c>
      <c r="F146" s="110" t="s">
        <v>175</v>
      </c>
      <c r="G146" s="184"/>
      <c r="H146" s="122" t="s">
        <v>177</v>
      </c>
      <c r="I146" s="122"/>
      <c r="J146" s="122"/>
      <c r="K146" s="123"/>
      <c r="L146" s="13">
        <f>ROW()</f>
        <v>146</v>
      </c>
    </row>
    <row r="147" spans="3:12" ht="15.75" thickBot="1" x14ac:dyDescent="0.3">
      <c r="C147" s="13">
        <v>25</v>
      </c>
      <c r="D147" s="139" t="s">
        <v>176</v>
      </c>
      <c r="E147" s="139">
        <v>25</v>
      </c>
      <c r="F147" s="140" t="s">
        <v>175</v>
      </c>
      <c r="L147" s="13">
        <f>ROW()</f>
        <v>147</v>
      </c>
    </row>
    <row r="148" spans="3:12" x14ac:dyDescent="0.25">
      <c r="C148" s="13">
        <v>26</v>
      </c>
      <c r="D148" s="80">
        <v>45207</v>
      </c>
      <c r="E148" s="81">
        <v>26</v>
      </c>
      <c r="F148" s="82" t="s">
        <v>175</v>
      </c>
      <c r="G148" s="182" t="s">
        <v>126</v>
      </c>
      <c r="H148" s="83" t="s">
        <v>127</v>
      </c>
      <c r="I148" s="84">
        <v>25</v>
      </c>
      <c r="J148" s="84"/>
      <c r="K148" s="85"/>
      <c r="L148" s="13">
        <f>ROW()</f>
        <v>148</v>
      </c>
    </row>
    <row r="149" spans="3:12" x14ac:dyDescent="0.25">
      <c r="C149" s="13">
        <v>26</v>
      </c>
      <c r="D149" s="126">
        <v>45148</v>
      </c>
      <c r="E149" s="106">
        <v>26</v>
      </c>
      <c r="F149" s="107" t="s">
        <v>175</v>
      </c>
      <c r="G149" s="183" t="s">
        <v>12</v>
      </c>
      <c r="H149" s="89" t="s">
        <v>13</v>
      </c>
      <c r="I149" s="90"/>
      <c r="J149" s="90">
        <v>25</v>
      </c>
      <c r="K149" s="91"/>
      <c r="L149" s="13">
        <f>ROW()</f>
        <v>149</v>
      </c>
    </row>
    <row r="150" spans="3:12" ht="15.75" thickBot="1" x14ac:dyDescent="0.3">
      <c r="C150" s="13">
        <v>26</v>
      </c>
      <c r="D150" s="127">
        <v>45148</v>
      </c>
      <c r="E150" s="109">
        <v>26</v>
      </c>
      <c r="F150" s="110" t="s">
        <v>175</v>
      </c>
      <c r="G150" s="184"/>
      <c r="H150" s="122" t="s">
        <v>178</v>
      </c>
      <c r="I150" s="122"/>
      <c r="J150" s="122"/>
      <c r="K150" s="123"/>
      <c r="L150" s="13">
        <f>ROW()</f>
        <v>150</v>
      </c>
    </row>
    <row r="151" spans="3:12" ht="15.75" thickBot="1" x14ac:dyDescent="0.3">
      <c r="C151" s="13">
        <v>26</v>
      </c>
      <c r="D151" s="135">
        <v>45148</v>
      </c>
      <c r="E151" s="134">
        <v>26</v>
      </c>
      <c r="F151" s="137" t="s">
        <v>175</v>
      </c>
      <c r="L151" s="13">
        <f>ROW()</f>
        <v>151</v>
      </c>
    </row>
    <row r="152" spans="3:12" x14ac:dyDescent="0.25">
      <c r="C152" s="13">
        <v>27</v>
      </c>
      <c r="D152" s="16">
        <v>45148</v>
      </c>
      <c r="E152" s="29">
        <v>27</v>
      </c>
      <c r="F152" s="79" t="s">
        <v>175</v>
      </c>
      <c r="G152" s="174" t="s">
        <v>126</v>
      </c>
      <c r="H152" s="30" t="s">
        <v>127</v>
      </c>
      <c r="I152" s="31">
        <v>25</v>
      </c>
      <c r="J152" s="31"/>
      <c r="K152" s="42"/>
      <c r="L152" s="13">
        <f>ROW()</f>
        <v>152</v>
      </c>
    </row>
    <row r="153" spans="3:12" x14ac:dyDescent="0.25">
      <c r="C153" s="13">
        <v>27</v>
      </c>
      <c r="D153" s="128">
        <v>45148</v>
      </c>
      <c r="E153" s="129">
        <v>26</v>
      </c>
      <c r="F153" s="130" t="s">
        <v>175</v>
      </c>
      <c r="G153" s="175" t="s">
        <v>12</v>
      </c>
      <c r="H153" s="34" t="s">
        <v>13</v>
      </c>
      <c r="I153" s="35"/>
      <c r="J153" s="35">
        <v>25</v>
      </c>
      <c r="K153" s="44"/>
      <c r="L153" s="13">
        <f>ROW()</f>
        <v>153</v>
      </c>
    </row>
    <row r="154" spans="3:12" ht="15.75" thickBot="1" x14ac:dyDescent="0.3">
      <c r="C154" s="13">
        <v>27</v>
      </c>
      <c r="D154" s="131">
        <v>45148</v>
      </c>
      <c r="E154" s="132">
        <v>26</v>
      </c>
      <c r="F154" s="133" t="s">
        <v>175</v>
      </c>
      <c r="G154" s="178"/>
      <c r="H154" s="122" t="s">
        <v>178</v>
      </c>
      <c r="I154" s="122"/>
      <c r="J154" s="122"/>
      <c r="K154" s="123"/>
      <c r="L154" s="13">
        <f>ROW()</f>
        <v>154</v>
      </c>
    </row>
    <row r="155" spans="3:12" ht="15.75" thickBot="1" x14ac:dyDescent="0.3">
      <c r="C155" s="13">
        <v>27</v>
      </c>
      <c r="D155" s="138">
        <v>45148</v>
      </c>
      <c r="E155" s="139">
        <v>26</v>
      </c>
      <c r="F155" s="140" t="s">
        <v>175</v>
      </c>
      <c r="L155" s="13">
        <f>ROW()</f>
        <v>155</v>
      </c>
    </row>
    <row r="156" spans="3:12" x14ac:dyDescent="0.25">
      <c r="C156" s="13">
        <v>28</v>
      </c>
      <c r="D156" s="141" t="s">
        <v>180</v>
      </c>
      <c r="E156" s="29">
        <v>28</v>
      </c>
      <c r="F156" s="79" t="s">
        <v>179</v>
      </c>
      <c r="G156" s="174" t="s">
        <v>124</v>
      </c>
      <c r="H156" s="30" t="s">
        <v>125</v>
      </c>
      <c r="I156" s="31">
        <v>795</v>
      </c>
      <c r="J156" s="31"/>
      <c r="K156" s="42"/>
      <c r="L156" s="13">
        <f>ROW()</f>
        <v>156</v>
      </c>
    </row>
    <row r="157" spans="3:12" x14ac:dyDescent="0.25">
      <c r="C157" s="13">
        <v>28</v>
      </c>
      <c r="D157" s="142" t="s">
        <v>180</v>
      </c>
      <c r="E157" s="129">
        <v>28</v>
      </c>
      <c r="F157" s="130" t="s">
        <v>179</v>
      </c>
      <c r="G157" s="175" t="s">
        <v>32</v>
      </c>
      <c r="H157" s="34" t="s">
        <v>33</v>
      </c>
      <c r="I157" s="35"/>
      <c r="J157" s="35">
        <v>795</v>
      </c>
      <c r="K157" s="44"/>
      <c r="L157" s="13">
        <f>ROW()</f>
        <v>157</v>
      </c>
    </row>
    <row r="158" spans="3:12" ht="15.75" thickBot="1" x14ac:dyDescent="0.3">
      <c r="C158" s="13">
        <v>28</v>
      </c>
      <c r="D158" s="143" t="s">
        <v>180</v>
      </c>
      <c r="E158" s="132">
        <v>28</v>
      </c>
      <c r="F158" s="133" t="s">
        <v>179</v>
      </c>
      <c r="G158" s="180"/>
      <c r="H158" s="54" t="s">
        <v>181</v>
      </c>
      <c r="I158" s="54"/>
      <c r="J158" s="54"/>
      <c r="K158" s="56"/>
      <c r="L158" s="13">
        <f>ROW()</f>
        <v>158</v>
      </c>
    </row>
    <row r="159" spans="3:12" ht="15.75" thickBot="1" x14ac:dyDescent="0.3">
      <c r="C159" s="13">
        <v>28</v>
      </c>
      <c r="D159" s="139" t="s">
        <v>180</v>
      </c>
      <c r="E159" s="139">
        <v>28</v>
      </c>
      <c r="F159" s="140" t="s">
        <v>179</v>
      </c>
      <c r="L159" s="13">
        <f>ROW()</f>
        <v>159</v>
      </c>
    </row>
    <row r="160" spans="3:12" x14ac:dyDescent="0.25">
      <c r="C160" s="13">
        <v>29</v>
      </c>
      <c r="D160" s="144">
        <v>45087</v>
      </c>
      <c r="E160" s="145">
        <v>29</v>
      </c>
      <c r="F160" s="146" t="s">
        <v>182</v>
      </c>
      <c r="G160" s="185" t="s">
        <v>14</v>
      </c>
      <c r="H160" s="147" t="s">
        <v>15</v>
      </c>
      <c r="I160" s="148">
        <v>2157.0700000000002</v>
      </c>
      <c r="J160" s="148"/>
      <c r="K160" s="149"/>
      <c r="L160" s="13">
        <f>ROW()</f>
        <v>160</v>
      </c>
    </row>
    <row r="161" spans="3:12" x14ac:dyDescent="0.25">
      <c r="C161" s="13">
        <v>29</v>
      </c>
      <c r="D161" s="150">
        <v>45087</v>
      </c>
      <c r="E161" s="120">
        <v>29</v>
      </c>
      <c r="F161" s="121" t="s">
        <v>182</v>
      </c>
      <c r="G161" s="186" t="s">
        <v>87</v>
      </c>
      <c r="H161" s="151" t="s">
        <v>88</v>
      </c>
      <c r="I161" s="152"/>
      <c r="J161" s="152">
        <v>2275</v>
      </c>
      <c r="K161" s="153"/>
      <c r="L161" s="13">
        <f>ROW()</f>
        <v>161</v>
      </c>
    </row>
    <row r="162" spans="3:12" x14ac:dyDescent="0.25">
      <c r="C162" s="13">
        <v>29</v>
      </c>
      <c r="D162" s="150">
        <v>45087</v>
      </c>
      <c r="E162" s="120">
        <v>29</v>
      </c>
      <c r="F162" s="121" t="s">
        <v>182</v>
      </c>
      <c r="G162" s="186" t="s">
        <v>120</v>
      </c>
      <c r="H162" s="151" t="s">
        <v>121</v>
      </c>
      <c r="I162" s="152"/>
      <c r="J162" s="152">
        <v>11</v>
      </c>
      <c r="K162" s="153"/>
      <c r="L162" s="13">
        <f>ROW()</f>
        <v>162</v>
      </c>
    </row>
    <row r="163" spans="3:12" x14ac:dyDescent="0.25">
      <c r="C163" s="13">
        <v>29</v>
      </c>
      <c r="D163" s="150">
        <v>45087</v>
      </c>
      <c r="E163" s="120">
        <v>29</v>
      </c>
      <c r="F163" s="121" t="s">
        <v>182</v>
      </c>
      <c r="G163" s="186" t="s">
        <v>118</v>
      </c>
      <c r="H163" s="151" t="s">
        <v>119</v>
      </c>
      <c r="I163" s="152"/>
      <c r="J163" s="152">
        <v>12</v>
      </c>
      <c r="K163" s="153"/>
      <c r="L163" s="13">
        <f>ROW()</f>
        <v>163</v>
      </c>
    </row>
    <row r="164" spans="3:12" x14ac:dyDescent="0.25">
      <c r="C164" s="13">
        <v>29</v>
      </c>
      <c r="D164" s="150">
        <v>45087</v>
      </c>
      <c r="E164" s="120">
        <v>29</v>
      </c>
      <c r="F164" s="121" t="s">
        <v>182</v>
      </c>
      <c r="G164" s="186" t="s">
        <v>126</v>
      </c>
      <c r="H164" s="151" t="s">
        <v>127</v>
      </c>
      <c r="I164" s="152"/>
      <c r="J164" s="152">
        <v>13</v>
      </c>
      <c r="K164" s="153"/>
      <c r="L164" s="13">
        <f>ROW()</f>
        <v>164</v>
      </c>
    </row>
    <row r="165" spans="3:12" x14ac:dyDescent="0.25">
      <c r="C165" s="13">
        <v>29</v>
      </c>
      <c r="D165" s="150">
        <v>45087</v>
      </c>
      <c r="E165" s="120">
        <v>29</v>
      </c>
      <c r="F165" s="121" t="s">
        <v>182</v>
      </c>
      <c r="G165" s="186" t="s">
        <v>22</v>
      </c>
      <c r="H165" s="151" t="s">
        <v>23</v>
      </c>
      <c r="I165" s="152"/>
      <c r="J165" s="152">
        <v>115.55</v>
      </c>
      <c r="K165" s="153"/>
      <c r="L165" s="13">
        <f>ROW()</f>
        <v>165</v>
      </c>
    </row>
    <row r="166" spans="3:12" x14ac:dyDescent="0.25">
      <c r="C166" s="13">
        <v>29</v>
      </c>
      <c r="D166" s="154">
        <v>45087</v>
      </c>
      <c r="E166" s="155">
        <v>29</v>
      </c>
      <c r="F166" s="156" t="s">
        <v>182</v>
      </c>
      <c r="G166" s="186" t="s">
        <v>24</v>
      </c>
      <c r="H166" s="151" t="s">
        <v>25</v>
      </c>
      <c r="I166" s="152"/>
      <c r="J166" s="152">
        <v>230.52</v>
      </c>
      <c r="K166" s="153"/>
      <c r="L166" s="13">
        <f>ROW()</f>
        <v>166</v>
      </c>
    </row>
    <row r="167" spans="3:12" x14ac:dyDescent="0.25">
      <c r="C167" s="13">
        <v>29</v>
      </c>
      <c r="D167" s="154">
        <v>45087</v>
      </c>
      <c r="E167" s="155">
        <v>29</v>
      </c>
      <c r="F167" s="156" t="s">
        <v>182</v>
      </c>
      <c r="G167" s="186" t="s">
        <v>32</v>
      </c>
      <c r="H167" s="151" t="s">
        <v>33</v>
      </c>
      <c r="I167" s="152">
        <v>500</v>
      </c>
      <c r="J167" s="152"/>
      <c r="K167" s="153"/>
      <c r="L167" s="13">
        <f>ROW()</f>
        <v>167</v>
      </c>
    </row>
    <row r="168" spans="3:12" ht="15.75" thickBot="1" x14ac:dyDescent="0.3">
      <c r="C168" s="13">
        <v>29</v>
      </c>
      <c r="D168" s="157">
        <v>45087</v>
      </c>
      <c r="E168" s="158">
        <v>29</v>
      </c>
      <c r="F168" s="159" t="s">
        <v>182</v>
      </c>
      <c r="G168" s="187"/>
      <c r="H168" s="160" t="s">
        <v>149</v>
      </c>
      <c r="I168" s="160"/>
      <c r="J168" s="160"/>
      <c r="K168" s="161"/>
      <c r="L168" s="13">
        <f>ROW()</f>
        <v>168</v>
      </c>
    </row>
    <row r="169" spans="3:12" x14ac:dyDescent="0.25">
      <c r="C169" s="13">
        <v>29</v>
      </c>
      <c r="D169" s="162">
        <v>45087</v>
      </c>
      <c r="E169" s="163">
        <v>29</v>
      </c>
      <c r="F169" s="164" t="s">
        <v>182</v>
      </c>
      <c r="G169" s="188"/>
      <c r="H169" s="165"/>
      <c r="I169" s="166"/>
      <c r="J169" s="166"/>
      <c r="K169" s="165"/>
      <c r="L169" s="13">
        <f>ROW()</f>
        <v>169</v>
      </c>
    </row>
  </sheetData>
  <autoFilter ref="C1:L169" xr:uid="{B3130BA5-8169-47C8-81D7-14B9EE8F6463}"/>
  <conditionalFormatting sqref="N2:O21">
    <cfRule type="expression" dxfId="42" priority="3">
      <formula>#REF!=ROW()</formula>
    </cfRule>
  </conditionalFormatting>
  <conditionalFormatting sqref="N2:O8">
    <cfRule type="expression" dxfId="41" priority="4">
      <formula>AND($K1048576&lt;&gt;"",MOD(ROW(),2)=0)</formula>
    </cfRule>
  </conditionalFormatting>
  <conditionalFormatting sqref="N2:O61">
    <cfRule type="expression" dxfId="40" priority="2">
      <formula>MOD(ROW(),2)=0</formula>
    </cfRule>
  </conditionalFormatting>
  <conditionalFormatting sqref="N4:O41 N55:O56">
    <cfRule type="expression" dxfId="39" priority="5">
      <formula>AND($K1048576&lt;&gt;"",MOD(ROW(),2)=0)</formula>
    </cfRule>
  </conditionalFormatting>
  <conditionalFormatting sqref="N7:O8 N2:O2">
    <cfRule type="expression" dxfId="38" priority="1">
      <formula>AND($K1048575&lt;&gt;"",MOD(ROW(),2)=0)</formula>
    </cfRule>
  </conditionalFormatting>
  <conditionalFormatting sqref="N45:O45">
    <cfRule type="expression" dxfId="37" priority="6">
      <formula>AND(#REF!&lt;&gt;"",MOD(ROW(),2)=0)</formula>
    </cfRule>
  </conditionalFormatting>
  <conditionalFormatting sqref="N49:O61">
    <cfRule type="expression" dxfId="36" priority="7">
      <formula>AND($K83&lt;&gt;"",MOD(ROW(),2)=0)</formula>
    </cfRule>
  </conditionalFormatting>
  <conditionalFormatting sqref="N57:O57">
    <cfRule type="expression" dxfId="35" priority="8">
      <formula>AND(#REF!&lt;&gt;"",MOD(ROW(),2)=0)</formula>
    </cfRule>
  </conditionalFormatting>
  <conditionalFormatting sqref="N61:O61">
    <cfRule type="expression" dxfId="34" priority="9">
      <formula>AND($K83&lt;&gt;"",MOD(ROW(),2)=0)</formula>
    </cfRule>
  </conditionalFormatting>
  <conditionalFormatting sqref="N46:O48">
    <cfRule type="expression" dxfId="33" priority="10">
      <formula>AND($K78&lt;&gt;"",MOD(ROW(),2)=0)</formula>
    </cfRule>
  </conditionalFormatting>
  <conditionalFormatting sqref="N58:O60">
    <cfRule type="expression" dxfId="32" priority="11">
      <formula>AND($K78&lt;&gt;"",MOD(ROW(),2)=0)</formula>
    </cfRule>
  </conditionalFormatting>
  <conditionalFormatting sqref="N3:O3">
    <cfRule type="expression" dxfId="31" priority="12">
      <formula>AND(#REF!&lt;&gt;"",MOD(ROW(),2)=0)</formula>
    </cfRule>
  </conditionalFormatting>
  <conditionalFormatting sqref="N51:O53">
    <cfRule type="expression" dxfId="30" priority="13">
      <formula>AND($K35&lt;&gt;"",MOD(ROW(),2)=0)</formula>
    </cfRule>
  </conditionalFormatting>
  <conditionalFormatting sqref="N42:O42">
    <cfRule type="expression" dxfId="29" priority="14">
      <formula>AND($K49&lt;&gt;"",MOD(ROW(),2)=0)</formula>
    </cfRule>
  </conditionalFormatting>
  <conditionalFormatting sqref="N54:O54">
    <cfRule type="expression" dxfId="28" priority="15">
      <formula>AND($K49&lt;&gt;"",MOD(ROW(),2)=0)</formula>
    </cfRule>
  </conditionalFormatting>
  <conditionalFormatting sqref="N43:O44">
    <cfRule type="expression" dxfId="27" priority="16">
      <formula>AND($K51&lt;&gt;"",MOD(ROW(),2)=0)</formula>
    </cfRule>
  </conditionalFormatting>
  <pageMargins left="0.19685039370078741" right="0.19685039370078741" top="0.19685039370078741" bottom="0.19685039370078741" header="0.19685039370078741" footer="0.19685039370078741"/>
  <pageSetup scale="77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C1:J63"/>
  <sheetViews>
    <sheetView tabSelected="1" workbookViewId="0">
      <pane ySplit="3" topLeftCell="A4" activePane="bottomLeft" state="frozen"/>
      <selection pane="bottomLeft" activeCell="F2" sqref="F1:G1048576"/>
    </sheetView>
  </sheetViews>
  <sheetFormatPr baseColWidth="10" defaultRowHeight="15" x14ac:dyDescent="0.25"/>
  <cols>
    <col min="3" max="3" width="5.7109375" style="202" customWidth="1"/>
    <col min="4" max="4" width="11.42578125" style="14"/>
    <col min="5" max="5" width="37.42578125" bestFit="1" customWidth="1"/>
    <col min="6" max="7" width="13.7109375" style="210" customWidth="1"/>
    <col min="8" max="8" width="5.7109375" style="202" customWidth="1"/>
    <col min="10" max="10" width="12.7109375" customWidth="1"/>
  </cols>
  <sheetData>
    <row r="1" spans="3:10" s="198" customFormat="1" ht="21" x14ac:dyDescent="0.35">
      <c r="C1" s="197" t="s">
        <v>185</v>
      </c>
      <c r="D1" s="197"/>
      <c r="E1" s="197"/>
      <c r="F1" s="197"/>
      <c r="G1" s="197"/>
      <c r="H1" s="197"/>
    </row>
    <row r="2" spans="3:10" s="198" customFormat="1" ht="15" customHeight="1" x14ac:dyDescent="0.35">
      <c r="C2" s="199"/>
      <c r="D2" s="199"/>
      <c r="E2" s="199"/>
      <c r="F2" s="208"/>
      <c r="G2" s="208"/>
      <c r="H2" s="199"/>
      <c r="I2" s="200" t="s">
        <v>7</v>
      </c>
      <c r="J2" s="201">
        <v>45211</v>
      </c>
    </row>
    <row r="3" spans="3:10" ht="21" x14ac:dyDescent="0.35">
      <c r="C3" s="199"/>
      <c r="D3" s="196" t="s">
        <v>184</v>
      </c>
      <c r="E3" s="196" t="s">
        <v>10</v>
      </c>
      <c r="F3" s="209" t="s">
        <v>2</v>
      </c>
      <c r="G3" s="209" t="s">
        <v>3</v>
      </c>
      <c r="H3" s="199"/>
    </row>
    <row r="4" spans="3:10" x14ac:dyDescent="0.25">
      <c r="D4" s="14" t="s">
        <v>12</v>
      </c>
      <c r="E4" t="s">
        <v>13</v>
      </c>
      <c r="G4" s="210" t="s">
        <v>188</v>
      </c>
    </row>
    <row r="5" spans="3:10" x14ac:dyDescent="0.25">
      <c r="D5" s="14" t="s">
        <v>14</v>
      </c>
      <c r="E5" t="s">
        <v>15</v>
      </c>
      <c r="F5" s="210" t="s">
        <v>189</v>
      </c>
    </row>
    <row r="6" spans="3:10" x14ac:dyDescent="0.25">
      <c r="D6" s="14" t="s">
        <v>16</v>
      </c>
      <c r="E6" t="s">
        <v>17</v>
      </c>
    </row>
    <row r="7" spans="3:10" x14ac:dyDescent="0.25">
      <c r="D7" s="14" t="s">
        <v>18</v>
      </c>
      <c r="E7" t="s">
        <v>19</v>
      </c>
      <c r="G7" s="210" t="s">
        <v>190</v>
      </c>
    </row>
    <row r="8" spans="3:10" x14ac:dyDescent="0.25">
      <c r="D8" s="14" t="s">
        <v>20</v>
      </c>
      <c r="E8" t="s">
        <v>21</v>
      </c>
      <c r="G8" s="210" t="s">
        <v>191</v>
      </c>
    </row>
    <row r="9" spans="3:10" x14ac:dyDescent="0.25">
      <c r="D9" s="14" t="s">
        <v>22</v>
      </c>
      <c r="E9" t="s">
        <v>23</v>
      </c>
      <c r="F9" s="210" t="s">
        <v>192</v>
      </c>
    </row>
    <row r="10" spans="3:10" x14ac:dyDescent="0.25">
      <c r="D10" s="14" t="s">
        <v>24</v>
      </c>
      <c r="E10" t="s">
        <v>25</v>
      </c>
      <c r="F10" s="210" t="s">
        <v>193</v>
      </c>
    </row>
    <row r="11" spans="3:10" x14ac:dyDescent="0.25">
      <c r="D11" s="14" t="s">
        <v>26</v>
      </c>
      <c r="E11" t="s">
        <v>27</v>
      </c>
    </row>
    <row r="12" spans="3:10" x14ac:dyDescent="0.25">
      <c r="D12" s="14" t="s">
        <v>28</v>
      </c>
      <c r="E12" t="s">
        <v>29</v>
      </c>
    </row>
    <row r="13" spans="3:10" x14ac:dyDescent="0.25">
      <c r="D13" s="14" t="s">
        <v>30</v>
      </c>
      <c r="E13" t="s">
        <v>31</v>
      </c>
    </row>
    <row r="14" spans="3:10" x14ac:dyDescent="0.25">
      <c r="D14" s="14" t="s">
        <v>32</v>
      </c>
      <c r="E14" t="s">
        <v>33</v>
      </c>
      <c r="F14" s="210" t="s">
        <v>194</v>
      </c>
    </row>
    <row r="15" spans="3:10" x14ac:dyDescent="0.25">
      <c r="D15" s="14" t="s">
        <v>34</v>
      </c>
      <c r="E15" t="s">
        <v>35</v>
      </c>
      <c r="F15" s="210" t="s">
        <v>195</v>
      </c>
    </row>
    <row r="16" spans="3:10" x14ac:dyDescent="0.25">
      <c r="D16" s="14" t="s">
        <v>36</v>
      </c>
      <c r="E16" t="s">
        <v>37</v>
      </c>
    </row>
    <row r="17" spans="4:7" x14ac:dyDescent="0.25">
      <c r="D17" s="14" t="s">
        <v>38</v>
      </c>
      <c r="E17" t="s">
        <v>39</v>
      </c>
    </row>
    <row r="18" spans="4:7" x14ac:dyDescent="0.25">
      <c r="D18" s="14" t="s">
        <v>40</v>
      </c>
      <c r="E18" t="s">
        <v>41</v>
      </c>
    </row>
    <row r="19" spans="4:7" x14ac:dyDescent="0.25">
      <c r="D19" s="14" t="s">
        <v>42</v>
      </c>
      <c r="E19" t="s">
        <v>43</v>
      </c>
    </row>
    <row r="20" spans="4:7" x14ac:dyDescent="0.25">
      <c r="D20" s="14" t="s">
        <v>44</v>
      </c>
      <c r="E20" t="s">
        <v>45</v>
      </c>
    </row>
    <row r="21" spans="4:7" x14ac:dyDescent="0.25">
      <c r="D21" s="14" t="s">
        <v>46</v>
      </c>
      <c r="E21" t="s">
        <v>47</v>
      </c>
    </row>
    <row r="22" spans="4:7" x14ac:dyDescent="0.25">
      <c r="D22" s="14" t="s">
        <v>48</v>
      </c>
      <c r="E22" t="s">
        <v>49</v>
      </c>
    </row>
    <row r="23" spans="4:7" x14ac:dyDescent="0.25">
      <c r="D23" s="14" t="s">
        <v>50</v>
      </c>
      <c r="E23" t="s">
        <v>51</v>
      </c>
    </row>
    <row r="24" spans="4:7" x14ac:dyDescent="0.25">
      <c r="D24" s="14" t="s">
        <v>53</v>
      </c>
      <c r="E24" t="s">
        <v>54</v>
      </c>
      <c r="G24" s="210" t="s">
        <v>196</v>
      </c>
    </row>
    <row r="25" spans="4:7" x14ac:dyDescent="0.25">
      <c r="D25" s="14" t="s">
        <v>55</v>
      </c>
      <c r="E25" t="s">
        <v>56</v>
      </c>
    </row>
    <row r="26" spans="4:7" x14ac:dyDescent="0.25">
      <c r="D26" s="14" t="s">
        <v>57</v>
      </c>
      <c r="E26" t="s">
        <v>58</v>
      </c>
    </row>
    <row r="27" spans="4:7" x14ac:dyDescent="0.25">
      <c r="D27" s="14" t="s">
        <v>59</v>
      </c>
      <c r="E27" t="s">
        <v>60</v>
      </c>
    </row>
    <row r="28" spans="4:7" x14ac:dyDescent="0.25">
      <c r="D28" s="14" t="s">
        <v>61</v>
      </c>
      <c r="E28" t="s">
        <v>62</v>
      </c>
    </row>
    <row r="29" spans="4:7" x14ac:dyDescent="0.25">
      <c r="D29" s="14" t="s">
        <v>63</v>
      </c>
      <c r="E29" t="s">
        <v>64</v>
      </c>
    </row>
    <row r="30" spans="4:7" x14ac:dyDescent="0.25">
      <c r="D30" s="14" t="s">
        <v>65</v>
      </c>
      <c r="E30" t="s">
        <v>66</v>
      </c>
    </row>
    <row r="31" spans="4:7" x14ac:dyDescent="0.25">
      <c r="D31" s="14" t="s">
        <v>67</v>
      </c>
      <c r="E31" t="s">
        <v>68</v>
      </c>
    </row>
    <row r="32" spans="4:7" x14ac:dyDescent="0.25">
      <c r="D32" s="14" t="s">
        <v>69</v>
      </c>
      <c r="E32" t="s">
        <v>70</v>
      </c>
    </row>
    <row r="33" spans="4:7" x14ac:dyDescent="0.25">
      <c r="D33" s="14" t="s">
        <v>71</v>
      </c>
      <c r="E33" t="s">
        <v>72</v>
      </c>
    </row>
    <row r="34" spans="4:7" x14ac:dyDescent="0.25">
      <c r="D34" s="14" t="s">
        <v>73</v>
      </c>
      <c r="E34" t="s">
        <v>74</v>
      </c>
    </row>
    <row r="35" spans="4:7" x14ac:dyDescent="0.25">
      <c r="D35" s="14" t="s">
        <v>75</v>
      </c>
      <c r="E35" t="s">
        <v>76</v>
      </c>
    </row>
    <row r="36" spans="4:7" x14ac:dyDescent="0.25">
      <c r="D36" s="14" t="s">
        <v>78</v>
      </c>
      <c r="E36" t="s">
        <v>79</v>
      </c>
    </row>
    <row r="37" spans="4:7" x14ac:dyDescent="0.25">
      <c r="D37" s="14" t="s">
        <v>80</v>
      </c>
      <c r="E37" t="s">
        <v>81</v>
      </c>
    </row>
    <row r="38" spans="4:7" x14ac:dyDescent="0.25">
      <c r="D38" s="14" t="s">
        <v>82</v>
      </c>
      <c r="E38" t="s">
        <v>83</v>
      </c>
    </row>
    <row r="39" spans="4:7" x14ac:dyDescent="0.25">
      <c r="D39" s="14" t="s">
        <v>84</v>
      </c>
      <c r="E39" t="s">
        <v>85</v>
      </c>
      <c r="F39" s="210" t="s">
        <v>197</v>
      </c>
    </row>
    <row r="40" spans="4:7" x14ac:dyDescent="0.25">
      <c r="D40" s="14" t="s">
        <v>87</v>
      </c>
      <c r="E40" t="s">
        <v>88</v>
      </c>
      <c r="G40" s="210" t="s">
        <v>198</v>
      </c>
    </row>
    <row r="41" spans="4:7" x14ac:dyDescent="0.25">
      <c r="D41" s="14" t="s">
        <v>89</v>
      </c>
      <c r="E41" t="s">
        <v>90</v>
      </c>
    </row>
    <row r="42" spans="4:7" x14ac:dyDescent="0.25">
      <c r="D42" s="14" t="s">
        <v>91</v>
      </c>
      <c r="E42" t="s">
        <v>92</v>
      </c>
    </row>
    <row r="43" spans="4:7" x14ac:dyDescent="0.25">
      <c r="D43" s="14" t="s">
        <v>93</v>
      </c>
      <c r="E43" t="s">
        <v>94</v>
      </c>
    </row>
    <row r="44" spans="4:7" x14ac:dyDescent="0.25">
      <c r="D44" s="14" t="s">
        <v>95</v>
      </c>
      <c r="E44" t="s">
        <v>96</v>
      </c>
    </row>
    <row r="45" spans="4:7" x14ac:dyDescent="0.25">
      <c r="D45" s="14" t="s">
        <v>97</v>
      </c>
      <c r="E45" t="s">
        <v>98</v>
      </c>
    </row>
    <row r="46" spans="4:7" x14ac:dyDescent="0.25">
      <c r="D46" s="14" t="s">
        <v>100</v>
      </c>
      <c r="E46" t="s">
        <v>101</v>
      </c>
    </row>
    <row r="47" spans="4:7" x14ac:dyDescent="0.25">
      <c r="D47" s="14" t="s">
        <v>102</v>
      </c>
      <c r="E47" t="s">
        <v>103</v>
      </c>
    </row>
    <row r="48" spans="4:7" x14ac:dyDescent="0.25">
      <c r="D48" s="14" t="s">
        <v>104</v>
      </c>
      <c r="E48" t="s">
        <v>105</v>
      </c>
    </row>
    <row r="49" spans="4:7" x14ac:dyDescent="0.25">
      <c r="D49" s="14" t="s">
        <v>106</v>
      </c>
      <c r="E49" t="s">
        <v>107</v>
      </c>
      <c r="F49" s="210" t="s">
        <v>199</v>
      </c>
    </row>
    <row r="50" spans="4:7" x14ac:dyDescent="0.25">
      <c r="D50" s="14" t="s">
        <v>108</v>
      </c>
      <c r="E50" t="s">
        <v>109</v>
      </c>
    </row>
    <row r="51" spans="4:7" x14ac:dyDescent="0.25">
      <c r="D51" s="14" t="s">
        <v>110</v>
      </c>
      <c r="E51" t="s">
        <v>111</v>
      </c>
    </row>
    <row r="52" spans="4:7" x14ac:dyDescent="0.25">
      <c r="D52" s="14" t="s">
        <v>112</v>
      </c>
      <c r="E52" t="s">
        <v>113</v>
      </c>
    </row>
    <row r="53" spans="4:7" x14ac:dyDescent="0.25">
      <c r="D53" s="14" t="s">
        <v>114</v>
      </c>
      <c r="E53" t="s">
        <v>115</v>
      </c>
    </row>
    <row r="54" spans="4:7" x14ac:dyDescent="0.25">
      <c r="D54" s="14" t="s">
        <v>116</v>
      </c>
      <c r="E54" t="s">
        <v>117</v>
      </c>
    </row>
    <row r="55" spans="4:7" x14ac:dyDescent="0.25">
      <c r="D55" s="14" t="s">
        <v>118</v>
      </c>
      <c r="E55" t="s">
        <v>119</v>
      </c>
      <c r="G55" s="210" t="s">
        <v>200</v>
      </c>
    </row>
    <row r="56" spans="4:7" x14ac:dyDescent="0.25">
      <c r="D56" s="14" t="s">
        <v>120</v>
      </c>
      <c r="E56" t="s">
        <v>121</v>
      </c>
      <c r="G56" s="210" t="s">
        <v>201</v>
      </c>
    </row>
    <row r="57" spans="4:7" x14ac:dyDescent="0.25">
      <c r="D57" s="14" t="s">
        <v>122</v>
      </c>
      <c r="E57" t="s">
        <v>123</v>
      </c>
      <c r="G57" s="210" t="s">
        <v>202</v>
      </c>
    </row>
    <row r="58" spans="4:7" x14ac:dyDescent="0.25">
      <c r="D58" s="14" t="s">
        <v>124</v>
      </c>
      <c r="E58" t="s">
        <v>125</v>
      </c>
      <c r="F58" s="210" t="s">
        <v>203</v>
      </c>
    </row>
    <row r="59" spans="4:7" x14ac:dyDescent="0.25">
      <c r="D59" s="14" t="s">
        <v>126</v>
      </c>
      <c r="E59" t="s">
        <v>127</v>
      </c>
      <c r="F59" s="210" t="s">
        <v>204</v>
      </c>
    </row>
    <row r="60" spans="4:7" x14ac:dyDescent="0.25">
      <c r="D60" s="14" t="s">
        <v>128</v>
      </c>
      <c r="E60" t="s">
        <v>129</v>
      </c>
    </row>
    <row r="61" spans="4:7" x14ac:dyDescent="0.25">
      <c r="D61" s="14" t="s">
        <v>130</v>
      </c>
      <c r="E61" t="s">
        <v>131</v>
      </c>
    </row>
    <row r="62" spans="4:7" x14ac:dyDescent="0.25">
      <c r="D62" s="14" t="s">
        <v>132</v>
      </c>
      <c r="E62" t="s">
        <v>133</v>
      </c>
    </row>
    <row r="63" spans="4:7" x14ac:dyDescent="0.25">
      <c r="D63" s="14" t="s">
        <v>134</v>
      </c>
      <c r="E63" t="s">
        <v>135</v>
      </c>
    </row>
  </sheetData>
  <mergeCells count="1">
    <mergeCell ref="C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workbookViewId="0">
      <selection activeCell="E3" sqref="E3"/>
    </sheetView>
  </sheetViews>
  <sheetFormatPr baseColWidth="10" defaultRowHeight="15" x14ac:dyDescent="0.25"/>
  <cols>
    <col min="1" max="1" width="37.42578125" bestFit="1" customWidth="1"/>
    <col min="2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8"/>
      <c r="D1" s="204" t="s">
        <v>136</v>
      </c>
      <c r="E1" s="204" t="s">
        <v>186</v>
      </c>
      <c r="F1" s="204" t="s">
        <v>187</v>
      </c>
    </row>
    <row r="2" spans="1:6" ht="15.75" thickBot="1" x14ac:dyDescent="0.3">
      <c r="A2" t="s">
        <v>138</v>
      </c>
      <c r="C2" s="8"/>
      <c r="D2" s="5" t="s">
        <v>9</v>
      </c>
      <c r="E2" s="5" t="s">
        <v>137</v>
      </c>
      <c r="F2" s="6" t="s">
        <v>10</v>
      </c>
    </row>
    <row r="3" spans="1:6" x14ac:dyDescent="0.25">
      <c r="A3" s="11" t="str">
        <f>F3</f>
        <v>Encaisse</v>
      </c>
      <c r="C3" s="8"/>
      <c r="D3" s="203" t="s">
        <v>11</v>
      </c>
      <c r="E3" s="7" t="s">
        <v>12</v>
      </c>
      <c r="F3" s="8" t="s">
        <v>13</v>
      </c>
    </row>
    <row r="4" spans="1:6" x14ac:dyDescent="0.25">
      <c r="A4" s="11" t="str">
        <f t="shared" ref="A4:A62" si="0">F4</f>
        <v>Comptes Clients</v>
      </c>
      <c r="C4" s="8"/>
      <c r="D4" s="203" t="s">
        <v>11</v>
      </c>
      <c r="E4" s="7" t="s">
        <v>14</v>
      </c>
      <c r="F4" s="8" t="s">
        <v>15</v>
      </c>
    </row>
    <row r="5" spans="1:6" x14ac:dyDescent="0.25">
      <c r="A5" s="11" t="str">
        <f t="shared" si="0"/>
        <v>Provision pour mauvaises créances</v>
      </c>
      <c r="C5" s="8"/>
      <c r="D5" s="203" t="s">
        <v>11</v>
      </c>
      <c r="E5" s="7" t="s">
        <v>16</v>
      </c>
      <c r="F5" s="8" t="s">
        <v>17</v>
      </c>
    </row>
    <row r="6" spans="1:6" x14ac:dyDescent="0.25">
      <c r="A6" s="11" t="str">
        <f t="shared" si="0"/>
        <v>TPS payée</v>
      </c>
      <c r="C6" s="8"/>
      <c r="D6" s="203" t="s">
        <v>11</v>
      </c>
      <c r="E6" s="7" t="s">
        <v>18</v>
      </c>
      <c r="F6" s="8" t="s">
        <v>19</v>
      </c>
    </row>
    <row r="7" spans="1:6" x14ac:dyDescent="0.25">
      <c r="A7" s="11" t="str">
        <f t="shared" si="0"/>
        <v>TVQ payée</v>
      </c>
      <c r="C7" s="8"/>
      <c r="D7" s="203" t="s">
        <v>11</v>
      </c>
      <c r="E7" s="7" t="s">
        <v>20</v>
      </c>
      <c r="F7" s="8" t="s">
        <v>21</v>
      </c>
    </row>
    <row r="8" spans="1:6" x14ac:dyDescent="0.25">
      <c r="A8" s="11" t="str">
        <f t="shared" si="0"/>
        <v>TPS facturée</v>
      </c>
      <c r="C8" s="8"/>
      <c r="D8" s="203" t="s">
        <v>11</v>
      </c>
      <c r="E8" s="7" t="s">
        <v>22</v>
      </c>
      <c r="F8" s="8" t="s">
        <v>23</v>
      </c>
    </row>
    <row r="9" spans="1:6" x14ac:dyDescent="0.25">
      <c r="A9" s="11" t="str">
        <f t="shared" si="0"/>
        <v>TVQ facturée</v>
      </c>
      <c r="C9" s="8"/>
      <c r="D9" s="203" t="s">
        <v>11</v>
      </c>
      <c r="E9" s="7" t="s">
        <v>24</v>
      </c>
      <c r="F9" s="8" t="s">
        <v>25</v>
      </c>
    </row>
    <row r="10" spans="1:6" x14ac:dyDescent="0.25">
      <c r="A10" s="11" t="str">
        <f t="shared" si="0"/>
        <v>Acomptes provisionnels - TPS</v>
      </c>
      <c r="C10" s="8"/>
      <c r="D10" s="203" t="s">
        <v>11</v>
      </c>
      <c r="E10" s="7" t="s">
        <v>26</v>
      </c>
      <c r="F10" s="8" t="s">
        <v>27</v>
      </c>
    </row>
    <row r="11" spans="1:6" x14ac:dyDescent="0.25">
      <c r="A11" s="11" t="str">
        <f t="shared" si="0"/>
        <v>Acomptes provisionnels - TVQ</v>
      </c>
      <c r="D11" s="203" t="s">
        <v>11</v>
      </c>
      <c r="E11" s="7" t="s">
        <v>28</v>
      </c>
      <c r="F11" s="8" t="s">
        <v>29</v>
      </c>
    </row>
    <row r="12" spans="1:6" x14ac:dyDescent="0.25">
      <c r="A12" s="11" t="str">
        <f t="shared" si="0"/>
        <v>Travaux en cours</v>
      </c>
      <c r="D12" s="203" t="s">
        <v>11</v>
      </c>
      <c r="E12" s="7" t="s">
        <v>30</v>
      </c>
      <c r="F12" s="8" t="s">
        <v>31</v>
      </c>
    </row>
    <row r="13" spans="1:6" x14ac:dyDescent="0.25">
      <c r="A13" s="11" t="str">
        <f t="shared" si="0"/>
        <v>Frais payés d'avance</v>
      </c>
      <c r="D13" s="203" t="s">
        <v>11</v>
      </c>
      <c r="E13" s="7" t="s">
        <v>32</v>
      </c>
      <c r="F13" s="8" t="s">
        <v>33</v>
      </c>
    </row>
    <row r="14" spans="1:6" x14ac:dyDescent="0.25">
      <c r="A14" s="11" t="str">
        <f t="shared" si="0"/>
        <v>Mobilier de bureau</v>
      </c>
      <c r="D14" s="203" t="s">
        <v>11</v>
      </c>
      <c r="E14" s="7" t="s">
        <v>34</v>
      </c>
      <c r="F14" s="8" t="s">
        <v>35</v>
      </c>
    </row>
    <row r="15" spans="1:6" x14ac:dyDescent="0.25">
      <c r="A15" s="11" t="str">
        <f t="shared" si="0"/>
        <v>Amort. Cum - mobil. de bureau</v>
      </c>
      <c r="D15" s="203" t="s">
        <v>11</v>
      </c>
      <c r="E15" s="7" t="s">
        <v>36</v>
      </c>
      <c r="F15" s="8" t="s">
        <v>37</v>
      </c>
    </row>
    <row r="16" spans="1:6" x14ac:dyDescent="0.25">
      <c r="A16" s="11" t="str">
        <f t="shared" si="0"/>
        <v>Matériel informatique</v>
      </c>
      <c r="D16" s="203" t="s">
        <v>11</v>
      </c>
      <c r="E16" s="7" t="s">
        <v>38</v>
      </c>
      <c r="F16" s="8" t="s">
        <v>39</v>
      </c>
    </row>
    <row r="17" spans="1:6" x14ac:dyDescent="0.25">
      <c r="A17" s="11" t="str">
        <f t="shared" si="0"/>
        <v>Amort. Cum - mat. Inform.</v>
      </c>
      <c r="D17" s="203" t="s">
        <v>11</v>
      </c>
      <c r="E17" s="7" t="s">
        <v>40</v>
      </c>
      <c r="F17" s="8" t="s">
        <v>41</v>
      </c>
    </row>
    <row r="18" spans="1:6" x14ac:dyDescent="0.25">
      <c r="A18" s="11" t="str">
        <f t="shared" si="0"/>
        <v>Logiciel informatique</v>
      </c>
      <c r="D18" s="203" t="s">
        <v>11</v>
      </c>
      <c r="E18" s="7" t="s">
        <v>42</v>
      </c>
      <c r="F18" s="8" t="s">
        <v>43</v>
      </c>
    </row>
    <row r="19" spans="1:6" x14ac:dyDescent="0.25">
      <c r="A19" s="11" t="str">
        <f t="shared" si="0"/>
        <v>Amort. Cum - logiciels</v>
      </c>
      <c r="D19" s="203" t="s">
        <v>11</v>
      </c>
      <c r="E19" s="7" t="s">
        <v>44</v>
      </c>
      <c r="F19" s="8" t="s">
        <v>45</v>
      </c>
    </row>
    <row r="20" spans="1:6" x14ac:dyDescent="0.25">
      <c r="A20" s="11" t="str">
        <f t="shared" si="0"/>
        <v>Achalandage</v>
      </c>
      <c r="D20" s="203" t="s">
        <v>11</v>
      </c>
      <c r="E20" s="7" t="s">
        <v>46</v>
      </c>
      <c r="F20" s="8" t="s">
        <v>47</v>
      </c>
    </row>
    <row r="21" spans="1:6" x14ac:dyDescent="0.25">
      <c r="A21" s="11" t="str">
        <f t="shared" si="0"/>
        <v>Amort. Cum - Achalandage</v>
      </c>
      <c r="D21" s="203" t="s">
        <v>11</v>
      </c>
      <c r="E21" s="7" t="s">
        <v>48</v>
      </c>
      <c r="F21" s="8" t="s">
        <v>49</v>
      </c>
    </row>
    <row r="22" spans="1:6" x14ac:dyDescent="0.25">
      <c r="A22" s="11" t="str">
        <f t="shared" si="0"/>
        <v>Avance - Prêt GCP</v>
      </c>
      <c r="D22" s="203" t="s">
        <v>11</v>
      </c>
      <c r="E22" s="7" t="s">
        <v>50</v>
      </c>
      <c r="F22" s="8" t="s">
        <v>51</v>
      </c>
    </row>
    <row r="23" spans="1:6" x14ac:dyDescent="0.25">
      <c r="A23" s="11" t="str">
        <f t="shared" si="0"/>
        <v>VISA Odyssey Desjardins</v>
      </c>
      <c r="D23" s="203" t="s">
        <v>52</v>
      </c>
      <c r="E23" s="7" t="s">
        <v>53</v>
      </c>
      <c r="F23" s="8" t="s">
        <v>54</v>
      </c>
    </row>
    <row r="24" spans="1:6" x14ac:dyDescent="0.25">
      <c r="A24" s="11" t="str">
        <f t="shared" si="0"/>
        <v>Avances de Guillaume Charron</v>
      </c>
      <c r="D24" s="203" t="s">
        <v>52</v>
      </c>
      <c r="E24" s="7" t="s">
        <v>55</v>
      </c>
      <c r="F24" s="8" t="s">
        <v>56</v>
      </c>
    </row>
    <row r="25" spans="1:6" x14ac:dyDescent="0.25">
      <c r="A25" s="11" t="str">
        <f t="shared" si="0"/>
        <v>Avances à Fiducie Famille Charron</v>
      </c>
      <c r="D25" s="203" t="s">
        <v>52</v>
      </c>
      <c r="E25" s="7" t="s">
        <v>57</v>
      </c>
      <c r="F25" s="8" t="s">
        <v>58</v>
      </c>
    </row>
    <row r="26" spans="1:6" x14ac:dyDescent="0.25">
      <c r="A26" s="11" t="str">
        <f t="shared" si="0"/>
        <v>Compte fournisseur</v>
      </c>
      <c r="D26" s="203" t="s">
        <v>52</v>
      </c>
      <c r="E26" s="7" t="s">
        <v>59</v>
      </c>
      <c r="F26" s="8" t="s">
        <v>60</v>
      </c>
    </row>
    <row r="27" spans="1:6" x14ac:dyDescent="0.25">
      <c r="A27" s="11" t="str">
        <f t="shared" si="0"/>
        <v>Avances avec 9249-3626 Québec inc.</v>
      </c>
      <c r="D27" s="203" t="s">
        <v>52</v>
      </c>
      <c r="E27" s="7" t="s">
        <v>61</v>
      </c>
      <c r="F27" s="8" t="s">
        <v>62</v>
      </c>
    </row>
    <row r="28" spans="1:6" x14ac:dyDescent="0.25">
      <c r="A28" s="11" t="str">
        <f t="shared" si="0"/>
        <v>Avances avec 9333-4829 Québec inc</v>
      </c>
      <c r="D28" s="203" t="s">
        <v>52</v>
      </c>
      <c r="E28" s="7" t="s">
        <v>63</v>
      </c>
      <c r="F28" s="8" t="s">
        <v>64</v>
      </c>
    </row>
    <row r="29" spans="1:6" x14ac:dyDescent="0.25">
      <c r="A29" s="11" t="str">
        <f t="shared" si="0"/>
        <v>Prêt - Compte d'urgence</v>
      </c>
      <c r="D29" s="203" t="s">
        <v>52</v>
      </c>
      <c r="E29" s="7" t="s">
        <v>65</v>
      </c>
      <c r="F29" s="8" t="s">
        <v>66</v>
      </c>
    </row>
    <row r="30" spans="1:6" x14ac:dyDescent="0.25">
      <c r="A30" s="11" t="str">
        <f t="shared" si="0"/>
        <v>Impôt Fédéral à payer</v>
      </c>
      <c r="D30" s="203" t="s">
        <v>52</v>
      </c>
      <c r="E30" s="7" t="s">
        <v>67</v>
      </c>
      <c r="F30" s="8" t="s">
        <v>68</v>
      </c>
    </row>
    <row r="31" spans="1:6" x14ac:dyDescent="0.25">
      <c r="A31" s="11" t="str">
        <f t="shared" si="0"/>
        <v>Impôt Québec à payer</v>
      </c>
      <c r="D31" s="203" t="s">
        <v>52</v>
      </c>
      <c r="E31" s="7" t="s">
        <v>69</v>
      </c>
      <c r="F31" s="8" t="s">
        <v>70</v>
      </c>
    </row>
    <row r="32" spans="1:6" x14ac:dyDescent="0.25">
      <c r="A32" s="11" t="str">
        <f t="shared" si="0"/>
        <v>Acomptes - Impôt Fédéral</v>
      </c>
      <c r="D32" s="203" t="s">
        <v>52</v>
      </c>
      <c r="E32" s="7" t="s">
        <v>71</v>
      </c>
      <c r="F32" s="8" t="s">
        <v>72</v>
      </c>
    </row>
    <row r="33" spans="1:6" x14ac:dyDescent="0.25">
      <c r="A33" s="11" t="str">
        <f t="shared" si="0"/>
        <v>Acomptes - Impôt Québec</v>
      </c>
      <c r="D33" s="203" t="s">
        <v>52</v>
      </c>
      <c r="E33" s="7" t="s">
        <v>73</v>
      </c>
      <c r="F33" s="8" t="s">
        <v>74</v>
      </c>
    </row>
    <row r="34" spans="1:6" x14ac:dyDescent="0.25">
      <c r="A34" s="11" t="str">
        <f t="shared" si="0"/>
        <v>Produit perçu d'avance</v>
      </c>
      <c r="D34" s="203" t="s">
        <v>52</v>
      </c>
      <c r="E34" s="7" t="s">
        <v>75</v>
      </c>
      <c r="F34" s="8" t="s">
        <v>76</v>
      </c>
    </row>
    <row r="35" spans="1:6" x14ac:dyDescent="0.25">
      <c r="A35" s="11" t="str">
        <f t="shared" si="0"/>
        <v>Actions ordinaires</v>
      </c>
      <c r="D35" s="203" t="s">
        <v>77</v>
      </c>
      <c r="E35" s="7" t="s">
        <v>78</v>
      </c>
      <c r="F35" s="8" t="s">
        <v>79</v>
      </c>
    </row>
    <row r="36" spans="1:6" x14ac:dyDescent="0.25">
      <c r="A36" s="11" t="str">
        <f t="shared" si="0"/>
        <v>Actions privilégiées</v>
      </c>
      <c r="D36" s="203" t="s">
        <v>77</v>
      </c>
      <c r="E36" s="7" t="s">
        <v>80</v>
      </c>
      <c r="F36" s="8" t="s">
        <v>81</v>
      </c>
    </row>
    <row r="37" spans="1:6" x14ac:dyDescent="0.25">
      <c r="A37" s="11" t="str">
        <f t="shared" si="0"/>
        <v>BNR</v>
      </c>
      <c r="D37" s="203" t="s">
        <v>77</v>
      </c>
      <c r="E37" s="7" t="s">
        <v>82</v>
      </c>
      <c r="F37" s="8" t="s">
        <v>83</v>
      </c>
    </row>
    <row r="38" spans="1:6" x14ac:dyDescent="0.25">
      <c r="A38" s="11" t="str">
        <f t="shared" si="0"/>
        <v>Dividendes</v>
      </c>
      <c r="D38" s="203" t="s">
        <v>77</v>
      </c>
      <c r="E38" s="7" t="s">
        <v>84</v>
      </c>
      <c r="F38" s="8" t="s">
        <v>85</v>
      </c>
    </row>
    <row r="39" spans="1:6" x14ac:dyDescent="0.25">
      <c r="A39" s="11" t="str">
        <f t="shared" si="0"/>
        <v>Revenus de consultation</v>
      </c>
      <c r="D39" s="203" t="s">
        <v>86</v>
      </c>
      <c r="E39" s="7" t="s">
        <v>87</v>
      </c>
      <c r="F39" s="8" t="s">
        <v>88</v>
      </c>
    </row>
    <row r="40" spans="1:6" x14ac:dyDescent="0.25">
      <c r="A40" s="11" t="str">
        <f t="shared" si="0"/>
        <v>Revenus - Sociétés apparentées</v>
      </c>
      <c r="D40" s="203" t="s">
        <v>86</v>
      </c>
      <c r="E40" s="7" t="s">
        <v>89</v>
      </c>
      <c r="F40" s="8" t="s">
        <v>90</v>
      </c>
    </row>
    <row r="41" spans="1:6" x14ac:dyDescent="0.25">
      <c r="A41" s="11" t="str">
        <f t="shared" si="0"/>
        <v>Revenus - travaux en cours</v>
      </c>
      <c r="D41" s="203" t="s">
        <v>86</v>
      </c>
      <c r="E41" s="7" t="s">
        <v>91</v>
      </c>
      <c r="F41" s="8" t="s">
        <v>92</v>
      </c>
    </row>
    <row r="42" spans="1:6" x14ac:dyDescent="0.25">
      <c r="A42" s="11" t="str">
        <f t="shared" si="0"/>
        <v>Revenus d'intérêts</v>
      </c>
      <c r="D42" s="203" t="s">
        <v>86</v>
      </c>
      <c r="E42" s="7" t="s">
        <v>93</v>
      </c>
      <c r="F42" s="8" t="s">
        <v>94</v>
      </c>
    </row>
    <row r="43" spans="1:6" x14ac:dyDescent="0.25">
      <c r="A43" s="11" t="str">
        <f t="shared" si="0"/>
        <v>Revenus de dividendes</v>
      </c>
      <c r="D43" s="203" t="s">
        <v>86</v>
      </c>
      <c r="E43" s="7" t="s">
        <v>95</v>
      </c>
      <c r="F43" s="8" t="s">
        <v>96</v>
      </c>
    </row>
    <row r="44" spans="1:6" x14ac:dyDescent="0.25">
      <c r="A44" s="11" t="str">
        <f t="shared" si="0"/>
        <v>Prise de valeur - Valeur de consolidation</v>
      </c>
      <c r="D44" s="203" t="s">
        <v>86</v>
      </c>
      <c r="E44" s="7" t="s">
        <v>97</v>
      </c>
      <c r="F44" s="7" t="s">
        <v>98</v>
      </c>
    </row>
    <row r="45" spans="1:6" x14ac:dyDescent="0.25">
      <c r="A45" s="11" t="str">
        <f t="shared" si="0"/>
        <v>Doc. et outils de recherche</v>
      </c>
      <c r="D45" s="203" t="s">
        <v>99</v>
      </c>
      <c r="E45" s="7" t="s">
        <v>100</v>
      </c>
      <c r="F45" s="8" t="s">
        <v>101</v>
      </c>
    </row>
    <row r="46" spans="1:6" x14ac:dyDescent="0.25">
      <c r="A46" s="11" t="str">
        <f t="shared" si="0"/>
        <v>Formations</v>
      </c>
      <c r="D46" s="203" t="s">
        <v>99</v>
      </c>
      <c r="E46" s="7" t="s">
        <v>102</v>
      </c>
      <c r="F46" s="8" t="s">
        <v>103</v>
      </c>
    </row>
    <row r="47" spans="1:6" x14ac:dyDescent="0.25">
      <c r="A47" s="11" t="str">
        <f t="shared" si="0"/>
        <v>Fournitures de bureau</v>
      </c>
      <c r="D47" s="203" t="s">
        <v>99</v>
      </c>
      <c r="E47" s="7" t="s">
        <v>104</v>
      </c>
      <c r="F47" s="8" t="s">
        <v>105</v>
      </c>
    </row>
    <row r="48" spans="1:6" x14ac:dyDescent="0.25">
      <c r="A48" s="11" t="str">
        <f t="shared" si="0"/>
        <v>Frais de représentation</v>
      </c>
      <c r="D48" s="203" t="s">
        <v>99</v>
      </c>
      <c r="E48" s="7" t="s">
        <v>106</v>
      </c>
      <c r="F48" s="8" t="s">
        <v>107</v>
      </c>
    </row>
    <row r="49" spans="1:6" x14ac:dyDescent="0.25">
      <c r="A49" s="11" t="str">
        <f t="shared" si="0"/>
        <v>Golf / Pourvoirie</v>
      </c>
      <c r="D49" s="203" t="s">
        <v>99</v>
      </c>
      <c r="E49" s="7" t="s">
        <v>108</v>
      </c>
      <c r="F49" s="8" t="s">
        <v>109</v>
      </c>
    </row>
    <row r="50" spans="1:6" x14ac:dyDescent="0.25">
      <c r="A50" s="11" t="str">
        <f t="shared" si="0"/>
        <v>Frais de déplacement</v>
      </c>
      <c r="D50" s="203" t="s">
        <v>99</v>
      </c>
      <c r="E50" s="7" t="s">
        <v>110</v>
      </c>
      <c r="F50" s="8" t="s">
        <v>111</v>
      </c>
    </row>
    <row r="51" spans="1:6" x14ac:dyDescent="0.25">
      <c r="A51" s="11" t="str">
        <f t="shared" si="0"/>
        <v>Frais de publicité</v>
      </c>
      <c r="D51" s="203" t="s">
        <v>99</v>
      </c>
      <c r="E51" s="7" t="s">
        <v>112</v>
      </c>
      <c r="F51" s="8" t="s">
        <v>113</v>
      </c>
    </row>
    <row r="52" spans="1:6" x14ac:dyDescent="0.25">
      <c r="A52" s="11" t="str">
        <f t="shared" si="0"/>
        <v>Fournitures informatiques &amp; Site web</v>
      </c>
      <c r="D52" s="203" t="s">
        <v>99</v>
      </c>
      <c r="E52" s="7" t="s">
        <v>114</v>
      </c>
      <c r="F52" s="8" t="s">
        <v>115</v>
      </c>
    </row>
    <row r="53" spans="1:6" x14ac:dyDescent="0.25">
      <c r="A53" s="11" t="str">
        <f t="shared" si="0"/>
        <v>Loyer</v>
      </c>
      <c r="D53" s="203" t="s">
        <v>99</v>
      </c>
      <c r="E53" s="7" t="s">
        <v>116</v>
      </c>
      <c r="F53" s="8" t="s">
        <v>117</v>
      </c>
    </row>
    <row r="54" spans="1:6" x14ac:dyDescent="0.25">
      <c r="A54" s="11" t="str">
        <f t="shared" si="0"/>
        <v>Frais de communications</v>
      </c>
      <c r="D54" s="203" t="s">
        <v>99</v>
      </c>
      <c r="E54" s="7" t="s">
        <v>118</v>
      </c>
      <c r="F54" s="8" t="s">
        <v>119</v>
      </c>
    </row>
    <row r="55" spans="1:6" x14ac:dyDescent="0.25">
      <c r="A55" s="11" t="str">
        <f t="shared" si="0"/>
        <v>Frais de poste</v>
      </c>
      <c r="D55" s="203" t="s">
        <v>99</v>
      </c>
      <c r="E55" s="7" t="s">
        <v>120</v>
      </c>
      <c r="F55" s="8" t="s">
        <v>121</v>
      </c>
    </row>
    <row r="56" spans="1:6" x14ac:dyDescent="0.25">
      <c r="A56" s="11" t="str">
        <f t="shared" si="0"/>
        <v>Salaires et Sous-traitance</v>
      </c>
      <c r="D56" s="203" t="s">
        <v>99</v>
      </c>
      <c r="E56" s="7" t="s">
        <v>122</v>
      </c>
      <c r="F56" s="8" t="s">
        <v>123</v>
      </c>
    </row>
    <row r="57" spans="1:6" x14ac:dyDescent="0.25">
      <c r="A57" s="11" t="str">
        <f t="shared" si="0"/>
        <v>Assurance &amp; Cotisation professionnelle</v>
      </c>
      <c r="D57" s="203" t="s">
        <v>99</v>
      </c>
      <c r="E57" s="7" t="s">
        <v>124</v>
      </c>
      <c r="F57" s="8" t="s">
        <v>125</v>
      </c>
    </row>
    <row r="58" spans="1:6" x14ac:dyDescent="0.25">
      <c r="A58" s="11" t="str">
        <f t="shared" si="0"/>
        <v>Frais financiers</v>
      </c>
      <c r="D58" s="203" t="s">
        <v>99</v>
      </c>
      <c r="E58" s="7" t="s">
        <v>126</v>
      </c>
      <c r="F58" s="8" t="s">
        <v>127</v>
      </c>
    </row>
    <row r="59" spans="1:6" x14ac:dyDescent="0.25">
      <c r="A59" s="11" t="str">
        <f t="shared" si="0"/>
        <v>Amortissement</v>
      </c>
      <c r="D59" s="203" t="s">
        <v>99</v>
      </c>
      <c r="E59" s="7" t="s">
        <v>128</v>
      </c>
      <c r="F59" s="8" t="s">
        <v>129</v>
      </c>
    </row>
    <row r="60" spans="1:6" x14ac:dyDescent="0.25">
      <c r="A60" s="11" t="str">
        <f t="shared" si="0"/>
        <v>Mauvaises créances</v>
      </c>
      <c r="D60" s="203" t="s">
        <v>99</v>
      </c>
      <c r="E60" s="7" t="s">
        <v>130</v>
      </c>
      <c r="F60" s="8" t="s">
        <v>131</v>
      </c>
    </row>
    <row r="61" spans="1:6" x14ac:dyDescent="0.25">
      <c r="A61" s="11" t="str">
        <f t="shared" si="0"/>
        <v>Assurance - loyer</v>
      </c>
      <c r="D61" s="203" t="s">
        <v>99</v>
      </c>
      <c r="E61" s="7" t="s">
        <v>132</v>
      </c>
      <c r="F61" s="8" t="s">
        <v>133</v>
      </c>
    </row>
    <row r="62" spans="1:6" x14ac:dyDescent="0.25">
      <c r="A62" s="11" t="str">
        <f t="shared" si="0"/>
        <v>Impôts exigibles</v>
      </c>
      <c r="D62" s="205" t="s">
        <v>99</v>
      </c>
      <c r="E62" s="206" t="s">
        <v>134</v>
      </c>
      <c r="F62" s="207" t="s">
        <v>135</v>
      </c>
    </row>
  </sheetData>
  <conditionalFormatting sqref="D3:F22">
    <cfRule type="expression" dxfId="26" priority="7">
      <formula>#REF!=ROW()</formula>
    </cfRule>
  </conditionalFormatting>
  <conditionalFormatting sqref="D3:F9">
    <cfRule type="expression" dxfId="25" priority="8">
      <formula>AND($K1&lt;&gt;"",MOD(ROW(),2)=0)</formula>
    </cfRule>
  </conditionalFormatting>
  <conditionalFormatting sqref="D3:F62">
    <cfRule type="expression" dxfId="24" priority="6">
      <formula>MOD(ROW(),2)=0</formula>
    </cfRule>
  </conditionalFormatting>
  <conditionalFormatting sqref="D5:F42 D56:F57">
    <cfRule type="expression" dxfId="23" priority="9">
      <formula>AND($K1&lt;&gt;"",MOD(ROW(),2)=0)</formula>
    </cfRule>
  </conditionalFormatting>
  <conditionalFormatting sqref="D8:F9 D3:F3">
    <cfRule type="expression" dxfId="22" priority="5">
      <formula>AND($K1048576&lt;&gt;"",MOD(ROW(),2)=0)</formula>
    </cfRule>
  </conditionalFormatting>
  <conditionalFormatting sqref="D3:D62">
    <cfRule type="expression" dxfId="21" priority="10">
      <formula>AND($L1048564&lt;&gt;"",MOD(ROW(),2)=0)</formula>
    </cfRule>
  </conditionalFormatting>
  <conditionalFormatting sqref="D46:F46">
    <cfRule type="expression" dxfId="20" priority="11">
      <formula>AND(#REF!&lt;&gt;"",MOD(ROW(),2)=0)</formula>
    </cfRule>
  </conditionalFormatting>
  <conditionalFormatting sqref="D50:F62">
    <cfRule type="expression" dxfId="19" priority="12">
      <formula>AND($K84&lt;&gt;"",MOD(ROW(),2)=0)</formula>
    </cfRule>
  </conditionalFormatting>
  <conditionalFormatting sqref="D58:F58">
    <cfRule type="expression" dxfId="18" priority="13">
      <formula>AND(#REF!&lt;&gt;"",MOD(ROW(),2)=0)</formula>
    </cfRule>
  </conditionalFormatting>
  <conditionalFormatting sqref="D62:F62">
    <cfRule type="expression" dxfId="17" priority="14">
      <formula>AND($K84&lt;&gt;"",MOD(ROW(),2)=0)</formula>
    </cfRule>
  </conditionalFormatting>
  <conditionalFormatting sqref="D47:F49">
    <cfRule type="expression" dxfId="16" priority="15">
      <formula>AND($K79&lt;&gt;"",MOD(ROW(),2)=0)</formula>
    </cfRule>
  </conditionalFormatting>
  <conditionalFormatting sqref="D59:F61">
    <cfRule type="expression" dxfId="15" priority="16">
      <formula>AND($K79&lt;&gt;"",MOD(ROW(),2)=0)</formula>
    </cfRule>
  </conditionalFormatting>
  <conditionalFormatting sqref="D4:F4">
    <cfRule type="expression" dxfId="14" priority="17">
      <formula>AND(#REF!&lt;&gt;"",MOD(ROW(),2)=0)</formula>
    </cfRule>
  </conditionalFormatting>
  <conditionalFormatting sqref="D52:F54">
    <cfRule type="expression" dxfId="13" priority="18">
      <formula>AND($K36&lt;&gt;"",MOD(ROW(),2)=0)</formula>
    </cfRule>
  </conditionalFormatting>
  <conditionalFormatting sqref="D43:F43">
    <cfRule type="expression" dxfId="12" priority="24">
      <formula>AND($K50&lt;&gt;"",MOD(ROW(),2)=0)</formula>
    </cfRule>
  </conditionalFormatting>
  <conditionalFormatting sqref="D55:F55">
    <cfRule type="expression" dxfId="11" priority="25">
      <formula>AND($K50&lt;&gt;"",MOD(ROW(),2)=0)</formula>
    </cfRule>
  </conditionalFormatting>
  <conditionalFormatting sqref="D44:F45">
    <cfRule type="expression" dxfId="10" priority="26">
      <formula>AND($K52&lt;&gt;"",MOD(ROW(),2)=0)</formula>
    </cfRule>
  </conditionalFormatting>
  <conditionalFormatting sqref="C1:C10">
    <cfRule type="expression" dxfId="9" priority="2">
      <formula>#REF!=ROW()</formula>
    </cfRule>
  </conditionalFormatting>
  <conditionalFormatting sqref="C1:C10">
    <cfRule type="expression" dxfId="8" priority="3">
      <formula>AND($K1048575&lt;&gt;"",MOD(ROW(),2)=0)</formula>
    </cfRule>
  </conditionalFormatting>
  <conditionalFormatting sqref="C1:C10">
    <cfRule type="expression" dxfId="7" priority="1">
      <formula>MOD(ROW(),2)=0</formula>
    </cfRule>
  </conditionalFormatting>
  <conditionalFormatting sqref="C1:C10">
    <cfRule type="expression" dxfId="6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EJ</vt:lpstr>
      <vt:lpstr>Transactions</vt:lpstr>
      <vt:lpstr>BV</vt:lpstr>
      <vt:lpstr>PlanComptable</vt:lpstr>
      <vt:lpstr>Transactions!Impression_des_titres</vt:lpstr>
      <vt:lpstr>Transactions!Zone_d_impression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2023-10-08T15:15:49Z</cp:lastPrinted>
  <dcterms:created xsi:type="dcterms:W3CDTF">2023-10-05T16:17:00Z</dcterms:created>
  <dcterms:modified xsi:type="dcterms:W3CDTF">2023-10-12T10:55:39Z</dcterms:modified>
</cp:coreProperties>
</file>