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0F840A8-1491-43AD-9605-079DC18DDC26}" xr6:coauthVersionLast="47" xr6:coauthVersionMax="47" xr10:uidLastSave="{00000000-0000-0000-0000-000000000000}"/>
  <bookViews>
    <workbookView xWindow="-120" yWindow="-120" windowWidth="29040" windowHeight="15840" activeTab="3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Trans!$A$1:$L$353</definedName>
    <definedName name="COA" localSheetId="4">PlanComptable!$A$3:$B$62</definedName>
    <definedName name="DescEJRecurrente">EJ_Auto!$K$1:$L$5</definedName>
    <definedName name="_xlnm.Print_Titles" localSheetId="3">BV!$1:$3</definedName>
    <definedName name="_xlnm.Print_Titles" localSheetId="1">Trans!$1:$1</definedName>
    <definedName name="wshJEAutoDesc">EJ_Auto!$K$1:$L$5</definedName>
    <definedName name="_xlnm.Print_Area" localSheetId="3">BV!$D$4:$G$66</definedName>
    <definedName name="_xlnm.Print_Area" localSheetId="1">Trans!$D$1:$K$159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4" l="1"/>
  <c r="F29" i="4"/>
  <c r="B346" i="3"/>
  <c r="B347" i="3"/>
  <c r="B348" i="3"/>
  <c r="B349" i="3"/>
  <c r="B350" i="3"/>
  <c r="B351" i="3"/>
  <c r="B352" i="3"/>
  <c r="B353" i="3"/>
  <c r="L353" i="3"/>
  <c r="L352" i="3"/>
  <c r="L351" i="3"/>
  <c r="L350" i="3"/>
  <c r="L349" i="3"/>
  <c r="L348" i="3"/>
  <c r="L347" i="3"/>
  <c r="L346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201" i="3"/>
  <c r="B202" i="3"/>
  <c r="B20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I30" i="5"/>
  <c r="I29" i="5"/>
  <c r="I28" i="5"/>
  <c r="I27" i="5"/>
  <c r="I26" i="5"/>
  <c r="I25" i="5"/>
  <c r="L279" i="3"/>
  <c r="L278" i="3"/>
  <c r="L277" i="3"/>
  <c r="L276" i="3"/>
  <c r="L275" i="3"/>
  <c r="L274" i="3"/>
  <c r="A53" i="2" l="1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L273" i="3"/>
  <c r="L272" i="3"/>
  <c r="L271" i="3"/>
  <c r="L270" i="3"/>
  <c r="I19" i="5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3" i="2"/>
  <c r="H25" i="1" l="1"/>
  <c r="G25" i="1"/>
</calcChain>
</file>

<file path=xl/sharedStrings.xml><?xml version="1.0" encoding="utf-8"?>
<sst xmlns="http://schemas.openxmlformats.org/spreadsheetml/2006/main" count="993" uniqueCount="236">
  <si>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</si>
  <si>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</si>
  <si>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</si>
  <si>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</si>
  <si>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</si>
  <si>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</si>
  <si>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</si>
  <si>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</si>
  <si>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</si>
  <si>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</si>
  <si>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</si>
  <si>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</si>
  <si>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</si>
  <si>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</si>
  <si>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</si>
  <si>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</si>
  <si>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</si>
  <si>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</si>
  <si>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</si>
  <si>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</si>
  <si>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</si>
  <si>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</si>
  <si>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</si>
  <si>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</si>
  <si>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</si>
  <si>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</si>
  <si>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</si>
  <si>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</si>
  <si>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</si>
  <si>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</si>
  <si>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</si>
  <si>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</si>
  <si>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</si>
  <si>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</si>
  <si>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</si>
  <si>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</si>
  <si>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</si>
  <si>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</si>
  <si>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</si>
  <si>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</si>
  <si>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</si>
  <si>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</si>
  <si>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</si>
  <si>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</si>
  <si>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</si>
  <si>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</si>
  <si>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</si>
  <si>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</si>
  <si>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</si>
  <si>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</si>
  <si>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</si>
  <si>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</si>
  <si>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</si>
  <si>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</si>
  <si>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</si>
  <si>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</si>
  <si>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</si>
  <si>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</si>
  <si>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</si>
  <si>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</si>
  <si>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</si>
  <si>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</si>
  <si>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</si>
  <si>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</si>
  <si>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</si>
  <si>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</si>
  <si>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</si>
  <si>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</si>
  <si>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</si>
  <si>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</si>
  <si>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</si>
  <si>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</si>
  <si>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</si>
  <si>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</si>
  <si>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</si>
  <si>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</si>
  <si>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</si>
  <si>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</si>
  <si>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</si>
  <si>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</si>
  <si>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</si>
  <si>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</si>
  <si>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</si>
  <si>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</si>
  <si>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</si>
  <si>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</si>
  <si>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</si>
  <si>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</si>
  <si>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</si>
  <si>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</si>
  <si>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</si>
  <si>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</si>
  <si>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</si>
  <si>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</si>
  <si>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</si>
  <si>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</si>
  <si>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</si>
  <si>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</si>
  <si>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</si>
  <si>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</si>
  <si>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</si>
  <si>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</si>
  <si>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</si>
  <si>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</si>
  <si>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</si>
  <si>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</si>
  <si>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</si>
  <si>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</si>
  <si>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</si>
  <si>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</si>
  <si>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</si>
  <si>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</si>
  <si>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</si>
  <si>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</si>
  <si>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</si>
  <si>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</si>
  <si>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</si>
  <si>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</si>
  <si>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</si>
  <si>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</si>
  <si>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</si>
  <si>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</si>
  <si>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</si>
  <si>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</si>
  <si>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</si>
  <si>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</si>
  <si>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</si>
  <si>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</si>
  <si>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</si>
  <si>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</si>
  <si>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</si>
  <si>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</si>
  <si>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</si>
  <si>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</si>
  <si>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</si>
  <si>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</si>
  <si>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</si>
  <si>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</si>
  <si>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</si>
  <si>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</si>
  <si>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</si>
  <si>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</si>
  <si>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</si>
  <si>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</si>
  <si>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</si>
  <si>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</si>
  <si>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</si>
  <si>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</si>
  <si>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</si>
  <si>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</si>
  <si>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</si>
  <si>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</si>
  <si>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</si>
  <si>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</si>
  <si>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</si>
  <si>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</si>
  <si>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</si>
  <si>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</si>
  <si>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</si>
  <si>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</si>
  <si>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</si>
  <si>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</si>
  <si>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</si>
  <si>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</si>
  <si>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</si>
  <si>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</si>
  <si>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</si>
  <si>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</si>
  <si>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</si>
  <si>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</si>
  <si>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</si>
  <si>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</si>
  <si>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</si>
  <si>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</si>
  <si>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</si>
  <si>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</si>
  <si>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</si>
  <si>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</si>
  <si>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</si>
  <si>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</si>
  <si>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</si>
  <si>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</si>
  <si>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</si>
  <si>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</si>
  <si>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</si>
  <si>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</si>
  <si>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</si>
  <si>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</si>
  <si>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</si>
  <si>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</si>
  <si>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</si>
  <si>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</si>
  <si>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</si>
  <si>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</si>
  <si>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</si>
  <si>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</si>
  <si>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</si>
  <si>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</si>
  <si>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</si>
  <si>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</si>
  <si>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</si>
  <si>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</si>
  <si>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</si>
  <si>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</si>
  <si>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</si>
  <si>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</si>
  <si>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</si>
  <si>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</si>
  <si>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</si>
  <si>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</si>
  <si>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</si>
  <si>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HYDRO QUÉBEC</t>
  </si>
  <si>
    <t>LOYER - Facture mensuelle</t>
  </si>
  <si>
    <t>Facture pour revenus de consultation</t>
  </si>
  <si>
    <t>Assurance Loyer</t>
  </si>
  <si>
    <t>No E/J recurrente</t>
  </si>
  <si>
    <t>Auto</t>
  </si>
  <si>
    <t>5007a</t>
  </si>
  <si>
    <t>Électricité</t>
  </si>
  <si>
    <t>New J/E auto</t>
  </si>
  <si>
    <t>Test avec la création d'E/J automatique ou récurrente</t>
  </si>
  <si>
    <t>Imputation automatique le 14 de chaque mois</t>
  </si>
  <si>
    <t>Auto - Test avec la création d'E/J automatique ou récurrente</t>
  </si>
  <si>
    <t>Auto - Frais de banque</t>
  </si>
  <si>
    <t>Auto - Facture pour revenus de consultation</t>
  </si>
  <si>
    <t>Auto - LOYER - Facture mensuelle</t>
  </si>
  <si>
    <t>Auto - Assurance Loyer</t>
  </si>
  <si>
    <t>Date Limite</t>
  </si>
  <si>
    <t>Dern. Ligne BV</t>
  </si>
  <si>
    <t>GL</t>
  </si>
  <si>
    <t># écr.</t>
  </si>
  <si>
    <t>Remarque de ligne</t>
  </si>
  <si>
    <t>Transactions détaillées d'un compte</t>
  </si>
  <si>
    <t>S O L D E</t>
  </si>
  <si>
    <t>15/10/2023</t>
  </si>
  <si>
    <t>Test du tri par Date, E/J &amp; Séquence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</si>
</sst>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9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3" fillId="0" borderId="0" xfId="0" applyFont="1"/>
    <xf numFmtId="0" fontId="0" fillId="0" borderId="0" xfId="0" applyAlignment="1">
      <alignment horizontal="right" vertical="center"/>
    </xf>
    <xf numFmtId="0" fontId="0" fillId="11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0" fontId="0" fillId="0" borderId="56" xfId="0" applyBorder="1" applyAlignment="1">
      <alignment horizontal="left"/>
    </xf>
    <xf numFmtId="0" fontId="1" fillId="12" borderId="19" xfId="0" applyFont="1" applyFill="1" applyBorder="1"/>
    <xf numFmtId="0" fontId="1" fillId="12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2" borderId="60" xfId="0" applyFont="1" applyFill="1" applyBorder="1"/>
    <xf numFmtId="0" fontId="1" fillId="12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2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2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14" fontId="0" fillId="0" borderId="62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3" xfId="0" applyBorder="1"/>
    <xf numFmtId="14" fontId="10" fillId="0" borderId="64" xfId="0" applyNumberFormat="1" applyFont="1" applyBorder="1" applyAlignment="1">
      <alignment horizontal="center"/>
    </xf>
    <xf numFmtId="0" fontId="0" fillId="0" borderId="65" xfId="0" applyBorder="1"/>
    <xf numFmtId="14" fontId="10" fillId="0" borderId="66" xfId="0" applyNumberFormat="1" applyFont="1" applyBorder="1" applyAlignment="1">
      <alignment horizontal="center"/>
    </xf>
    <xf numFmtId="0" fontId="10" fillId="0" borderId="67" xfId="0" applyFont="1" applyBorder="1" applyAlignment="1">
      <alignment horizontal="center"/>
    </xf>
    <xf numFmtId="0" fontId="10" fillId="0" borderId="67" xfId="0" applyFont="1" applyBorder="1" applyAlignment="1">
      <alignment horizontal="left"/>
    </xf>
    <xf numFmtId="49" fontId="0" fillId="0" borderId="67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6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0" fontId="8" fillId="13" borderId="67" xfId="0" applyFont="1" applyFill="1" applyBorder="1" applyAlignment="1">
      <alignment horizontal="left"/>
    </xf>
    <xf numFmtId="164" fontId="8" fillId="13" borderId="67" xfId="0" applyNumberFormat="1" applyFont="1" applyFill="1" applyBorder="1"/>
    <xf numFmtId="0" fontId="8" fillId="13" borderId="68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4" fontId="0" fillId="0" borderId="0" xfId="0" applyNumberFormat="1"/>
    <xf numFmtId="0" fontId="8" fillId="13" borderId="12" xfId="0" applyFont="1" applyFill="1" applyBorder="1" applyAlignment="1">
      <alignment horizontal="left"/>
    </xf>
    <xf numFmtId="164" fontId="8" fillId="13" borderId="12" xfId="0" applyNumberFormat="1" applyFont="1" applyFill="1" applyBorder="1"/>
    <xf numFmtId="0" fontId="8" fillId="13" borderId="71" xfId="0" applyFont="1" applyFill="1" applyBorder="1"/>
    <xf numFmtId="0" fontId="0" fillId="0" borderId="72" xfId="0" applyBorder="1"/>
    <xf numFmtId="14" fontId="0" fillId="0" borderId="0" xfId="0" applyNumberFormat="1" applyAlignment="1">
      <alignment horizontal="center"/>
    </xf>
    <xf numFmtId="14" fontId="10" fillId="0" borderId="72" xfId="0" applyNumberFormat="1" applyFont="1" applyBorder="1" applyAlignment="1">
      <alignment horizontal="center"/>
    </xf>
    <xf numFmtId="0" fontId="0" fillId="0" borderId="73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0" fillId="0" borderId="56" xfId="0" applyNumberFormat="1" applyFont="1" applyBorder="1" applyAlignment="1">
      <alignment horizontal="center"/>
    </xf>
    <xf numFmtId="0" fontId="8" fillId="0" borderId="67" xfId="0" applyFont="1" applyBorder="1" applyAlignment="1">
      <alignment horizontal="left"/>
    </xf>
    <xf numFmtId="164" fontId="0" fillId="0" borderId="67" xfId="0" applyNumberFormat="1" applyBorder="1"/>
    <xf numFmtId="0" fontId="0" fillId="0" borderId="68" xfId="0" applyBorder="1"/>
    <xf numFmtId="49" fontId="0" fillId="0" borderId="62" xfId="0" applyNumberFormat="1" applyBorder="1" applyAlignment="1">
      <alignment horizontal="center"/>
    </xf>
    <xf numFmtId="49" fontId="0" fillId="0" borderId="64" xfId="0" applyNumberFormat="1" applyBorder="1" applyAlignment="1">
      <alignment horizontal="center"/>
    </xf>
    <xf numFmtId="49" fontId="0" fillId="0" borderId="66" xfId="0" applyNumberFormat="1" applyBorder="1" applyAlignment="1">
      <alignment horizontal="center"/>
    </xf>
    <xf numFmtId="0" fontId="14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4" xfId="0" applyBorder="1"/>
    <xf numFmtId="0" fontId="8" fillId="0" borderId="55" xfId="0" applyFont="1" applyBorder="1" applyAlignment="1">
      <alignment horizontal="left"/>
    </xf>
    <xf numFmtId="0" fontId="8" fillId="0" borderId="0" xfId="0" applyFont="1" applyAlignment="1">
      <alignment horizontal="left"/>
    </xf>
    <xf numFmtId="14" fontId="2" fillId="0" borderId="64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2" fillId="7" borderId="0" xfId="0" applyFont="1" applyFill="1" applyAlignment="1">
      <alignment horizontal="center"/>
    </xf>
    <xf numFmtId="1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17" fillId="0" borderId="0" xfId="0" applyFont="1"/>
    <xf numFmtId="49" fontId="18" fillId="7" borderId="0" xfId="0" applyNumberFormat="1" applyFont="1" applyFill="1" applyAlignment="1">
      <alignment horizontal="center"/>
    </xf>
    <xf numFmtId="0" fontId="18" fillId="7" borderId="0" xfId="0" applyFont="1" applyFill="1" applyAlignment="1">
      <alignment horizontal="center"/>
    </xf>
    <xf numFmtId="164" fontId="18" fillId="7" borderId="0" xfId="0" applyNumberFormat="1" applyFont="1" applyFill="1" applyAlignment="1">
      <alignment horizontal="right"/>
    </xf>
    <xf numFmtId="49" fontId="17" fillId="0" borderId="0" xfId="0" applyNumberFormat="1" applyFont="1" applyAlignment="1">
      <alignment horizontal="center"/>
    </xf>
    <xf numFmtId="164" fontId="17" fillId="0" borderId="0" xfId="0" applyNumberFormat="1" applyFont="1" applyAlignment="1">
      <alignment horizontal="right"/>
    </xf>
    <xf numFmtId="49" fontId="19" fillId="7" borderId="0" xfId="0" applyNumberFormat="1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164" fontId="19" fillId="7" borderId="0" xfId="0" applyNumberFormat="1" applyFont="1" applyFill="1" applyAlignment="1">
      <alignment horizontal="right" vertical="center"/>
    </xf>
    <xf numFmtId="3" fontId="3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7" fontId="0" fillId="0" borderId="0" xfId="0" applyNumberFormat="1"/>
    <xf numFmtId="164" fontId="1" fillId="0" borderId="78" xfId="0" applyNumberFormat="1" applyFont="1" applyBorder="1"/>
    <xf numFmtId="49" fontId="19" fillId="7" borderId="75" xfId="0" applyNumberFormat="1" applyFont="1" applyFill="1" applyBorder="1" applyAlignment="1">
      <alignment horizontal="center" vertical="center"/>
    </xf>
    <xf numFmtId="49" fontId="19" fillId="7" borderId="76" xfId="0" applyNumberFormat="1" applyFont="1" applyFill="1" applyBorder="1" applyAlignment="1">
      <alignment horizontal="center" vertical="center"/>
    </xf>
    <xf numFmtId="49" fontId="19" fillId="7" borderId="76" xfId="0" applyNumberFormat="1" applyFont="1" applyFill="1" applyBorder="1" applyAlignment="1">
      <alignment horizontal="center" vertical="center" wrapText="1"/>
    </xf>
    <xf numFmtId="0" fontId="1" fillId="0" borderId="0" xfId="0" applyFont="1"/>
    <xf numFmtId="164" fontId="15" fillId="0" borderId="0" xfId="0" applyNumberFormat="1" applyFont="1" applyAlignment="1">
      <alignment vertical="center"/>
    </xf>
    <xf numFmtId="0" fontId="13" fillId="0" borderId="0" xfId="0" applyFont="1" applyAlignment="1">
      <alignment horizontal="center"/>
    </xf>
    <xf numFmtId="49" fontId="19" fillId="7" borderId="76" xfId="0" applyNumberFormat="1" applyFont="1" applyFill="1" applyBorder="1" applyAlignment="1">
      <alignment horizontal="left" vertical="center"/>
    </xf>
    <xf numFmtId="164" fontId="19" fillId="7" borderId="76" xfId="0" applyNumberFormat="1" applyFont="1" applyFill="1" applyBorder="1" applyAlignment="1">
      <alignment horizontal="right" vertical="center"/>
    </xf>
    <xf numFmtId="164" fontId="0" fillId="0" borderId="0" xfId="0" applyNumberFormat="1" applyAlignment="1">
      <alignment horizontal="right"/>
    </xf>
    <xf numFmtId="49" fontId="19" fillId="7" borderId="77" xfId="0" applyNumberFormat="1" applyFont="1" applyFill="1" applyBorder="1" applyAlignment="1">
      <alignment horizontal="left" vertical="center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12" fillId="7" borderId="0" xfId="0" applyFont="1" applyFill="1" applyAlignment="1">
      <alignment horizontal="center"/>
    </xf>
  </cellXfs>
  <cellStyles count="1">
    <cellStyle name="Normal" xfId="0" builtinId="0"/>
  </cellStyles>
  <dxfs count="33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1571626</xdr:colOff>
      <xdr:row>23</xdr:row>
      <xdr:rowOff>152399</xdr:rowOff>
    </xdr:from>
    <xdr:to>
      <xdr:col>9</xdr:col>
      <xdr:colOff>937126</xdr:colOff>
      <xdr:row>25</xdr:row>
      <xdr:rowOff>49874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05801" y="4552949"/>
          <a:ext cx="1080000" cy="28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2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342900</xdr:colOff>
          <xdr:row>25</xdr:row>
          <xdr:rowOff>38100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1</xdr:row>
      <xdr:rowOff>34638</xdr:rowOff>
    </xdr:from>
    <xdr:to>
      <xdr:col>9</xdr:col>
      <xdr:colOff>790575</xdr:colOff>
      <xdr:row>2</xdr:row>
      <xdr:rowOff>146988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553325" y="282288"/>
          <a:ext cx="952500" cy="3600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3" totalsRowShown="0" headerRowDxfId="5" headerRowBorderDxfId="4" tableBorderDxfId="3">
  <autoFilter ref="D1:F63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122" bestFit="1" customWidth="1"/>
    <col min="2" max="2" width="11.42578125" style="170"/>
    <col min="3" max="3" width="5.7109375" style="166" customWidth="1"/>
    <col min="4" max="4" width="13" style="169" customWidth="1"/>
    <col min="5" max="5" width="14.7109375" style="166" customWidth="1"/>
    <col min="6" max="6" width="9.7109375" style="166" customWidth="1"/>
    <col min="7" max="8" width="14.7109375" style="166" customWidth="1"/>
    <col min="9" max="9" width="25.7109375" style="166" customWidth="1"/>
    <col min="10" max="10" width="14.140625" style="166" customWidth="1"/>
    <col min="11" max="11" width="5.7109375" style="166" customWidth="1"/>
    <col min="12" max="16384" width="11.42578125" style="166"/>
  </cols>
  <sheetData>
    <row r="1" spans="1:11" x14ac:dyDescent="0.25">
      <c r="A1" s="122" t="s">
        <v>144</v>
      </c>
      <c r="B1" s="165">
        <v>65</v>
      </c>
      <c r="D1" s="249" t="s">
        <v>8</v>
      </c>
      <c r="E1" s="249"/>
      <c r="F1" s="249"/>
      <c r="G1" s="249"/>
      <c r="H1" s="249"/>
      <c r="I1" s="249"/>
      <c r="J1" s="249"/>
    </row>
    <row r="2" spans="1:11" x14ac:dyDescent="0.25">
      <c r="B2" s="167"/>
      <c r="C2" s="168"/>
      <c r="D2" s="249"/>
      <c r="E2" s="249"/>
      <c r="F2" s="249"/>
      <c r="G2" s="249"/>
      <c r="H2" s="249"/>
      <c r="I2" s="249"/>
      <c r="J2" s="249"/>
    </row>
    <row r="3" spans="1:11" x14ac:dyDescent="0.25">
      <c r="B3" s="167"/>
    </row>
    <row r="4" spans="1:11" x14ac:dyDescent="0.25">
      <c r="D4" s="171" t="s">
        <v>4</v>
      </c>
      <c r="E4" s="172"/>
      <c r="I4" s="171" t="s">
        <v>7</v>
      </c>
      <c r="J4" s="187" t="s">
        <v>234</v>
      </c>
    </row>
    <row r="6" spans="1:11" x14ac:dyDescent="0.25">
      <c r="D6" s="171" t="s">
        <v>5</v>
      </c>
      <c r="E6" s="260"/>
      <c r="F6" s="261"/>
      <c r="G6" s="261"/>
      <c r="H6" s="261"/>
      <c r="I6" s="261"/>
      <c r="J6" s="262"/>
    </row>
    <row r="7" spans="1:11" ht="15.75" thickBot="1" x14ac:dyDescent="0.3"/>
    <row r="8" spans="1:11" x14ac:dyDescent="0.25">
      <c r="D8" s="250" t="s">
        <v>1</v>
      </c>
      <c r="E8" s="251"/>
      <c r="F8" s="251"/>
      <c r="G8" s="2" t="s">
        <v>2</v>
      </c>
      <c r="H8" s="2" t="s">
        <v>3</v>
      </c>
      <c r="I8" s="252" t="s">
        <v>6</v>
      </c>
      <c r="J8" s="253"/>
    </row>
    <row r="9" spans="1:11" x14ac:dyDescent="0.25">
      <c r="D9" s="254"/>
      <c r="E9" s="255"/>
      <c r="F9" s="256"/>
      <c r="G9" s="173"/>
      <c r="H9" s="173"/>
      <c r="I9" s="245"/>
      <c r="J9" s="246"/>
      <c r="K9" s="188"/>
    </row>
    <row r="10" spans="1:11" x14ac:dyDescent="0.25">
      <c r="D10" s="257"/>
      <c r="E10" s="258"/>
      <c r="F10" s="259"/>
      <c r="G10" s="174"/>
      <c r="H10" s="174"/>
      <c r="I10" s="247"/>
      <c r="J10" s="248"/>
      <c r="K10" s="188"/>
    </row>
    <row r="11" spans="1:11" x14ac:dyDescent="0.25">
      <c r="D11" s="254"/>
      <c r="E11" s="255"/>
      <c r="F11" s="256"/>
      <c r="G11" s="175"/>
      <c r="H11" s="175"/>
      <c r="I11" s="245"/>
      <c r="J11" s="246"/>
      <c r="K11" s="188"/>
    </row>
    <row r="12" spans="1:11" x14ac:dyDescent="0.25">
      <c r="D12" s="257"/>
      <c r="E12" s="258"/>
      <c r="F12" s="259"/>
      <c r="G12" s="174"/>
      <c r="H12" s="174"/>
      <c r="I12" s="247"/>
      <c r="J12" s="248"/>
      <c r="K12" s="188"/>
    </row>
    <row r="13" spans="1:11" x14ac:dyDescent="0.25">
      <c r="D13" s="254"/>
      <c r="E13" s="255"/>
      <c r="F13" s="256"/>
      <c r="G13" s="175"/>
      <c r="H13" s="175"/>
      <c r="I13" s="245"/>
      <c r="J13" s="246"/>
      <c r="K13" s="188"/>
    </row>
    <row r="14" spans="1:11" x14ac:dyDescent="0.25">
      <c r="D14" s="257"/>
      <c r="E14" s="258"/>
      <c r="F14" s="259"/>
      <c r="G14" s="174"/>
      <c r="H14" s="174"/>
      <c r="I14" s="247"/>
      <c r="J14" s="248"/>
      <c r="K14" s="188"/>
    </row>
    <row r="15" spans="1:11" x14ac:dyDescent="0.25">
      <c r="D15" s="254"/>
      <c r="E15" s="255"/>
      <c r="F15" s="256"/>
      <c r="G15" s="175"/>
      <c r="H15" s="175"/>
      <c r="I15" s="245"/>
      <c r="J15" s="246"/>
      <c r="K15" s="188"/>
    </row>
    <row r="16" spans="1:11" x14ac:dyDescent="0.25">
      <c r="D16" s="257"/>
      <c r="E16" s="258"/>
      <c r="F16" s="259"/>
      <c r="G16" s="174"/>
      <c r="H16" s="174"/>
      <c r="I16" s="247"/>
      <c r="J16" s="248"/>
      <c r="K16" s="188"/>
    </row>
    <row r="17" spans="4:11" x14ac:dyDescent="0.25">
      <c r="D17" s="254"/>
      <c r="E17" s="255"/>
      <c r="F17" s="256"/>
      <c r="G17" s="175"/>
      <c r="H17" s="175"/>
      <c r="I17" s="245"/>
      <c r="J17" s="246"/>
      <c r="K17" s="188"/>
    </row>
    <row r="18" spans="4:11" x14ac:dyDescent="0.25">
      <c r="D18" s="257"/>
      <c r="E18" s="258"/>
      <c r="F18" s="259"/>
      <c r="G18" s="174"/>
      <c r="H18" s="174"/>
      <c r="I18" s="247"/>
      <c r="J18" s="248"/>
      <c r="K18" s="188"/>
    </row>
    <row r="19" spans="4:11" x14ac:dyDescent="0.25">
      <c r="D19" s="254"/>
      <c r="E19" s="255"/>
      <c r="F19" s="256"/>
      <c r="G19" s="175"/>
      <c r="H19" s="175"/>
      <c r="I19" s="245"/>
      <c r="J19" s="246"/>
      <c r="K19" s="188"/>
    </row>
    <row r="20" spans="4:11" x14ac:dyDescent="0.25">
      <c r="D20" s="257"/>
      <c r="E20" s="258"/>
      <c r="F20" s="259"/>
      <c r="G20" s="174"/>
      <c r="H20" s="174"/>
      <c r="I20" s="247"/>
      <c r="J20" s="248"/>
      <c r="K20" s="188"/>
    </row>
    <row r="21" spans="4:11" x14ac:dyDescent="0.25">
      <c r="D21" s="254"/>
      <c r="E21" s="255"/>
      <c r="F21" s="256"/>
      <c r="G21" s="175"/>
      <c r="H21" s="175"/>
      <c r="I21" s="245"/>
      <c r="J21" s="246"/>
      <c r="K21" s="188"/>
    </row>
    <row r="22" spans="4:11" x14ac:dyDescent="0.25">
      <c r="D22" s="257"/>
      <c r="E22" s="258"/>
      <c r="F22" s="259"/>
      <c r="G22" s="174"/>
      <c r="H22" s="174"/>
      <c r="I22" s="247"/>
      <c r="J22" s="248"/>
      <c r="K22" s="188"/>
    </row>
    <row r="23" spans="4:11" ht="15.75" thickBot="1" x14ac:dyDescent="0.3">
      <c r="D23" s="265"/>
      <c r="E23" s="266"/>
      <c r="F23" s="267"/>
      <c r="G23" s="176"/>
      <c r="H23" s="176"/>
      <c r="I23" s="263"/>
      <c r="J23" s="264"/>
      <c r="K23" s="188"/>
    </row>
    <row r="25" spans="4:11" ht="15.75" x14ac:dyDescent="0.25">
      <c r="G25" s="239">
        <f>SUM(G9:G23)</f>
        <v>0</v>
      </c>
      <c r="H25" s="239">
        <f>SUM(H9:H23)</f>
        <v>0</v>
      </c>
    </row>
    <row r="117" spans="4:10" ht="15.75" thickBot="1" x14ac:dyDescent="0.3"/>
    <row r="118" spans="4:10" ht="16.5" thickTop="1" thickBot="1" x14ac:dyDescent="0.3">
      <c r="D118" s="177"/>
      <c r="E118" s="178"/>
      <c r="F118" s="178"/>
      <c r="G118" s="178"/>
      <c r="H118" s="178"/>
      <c r="I118" s="178"/>
      <c r="J118" s="179"/>
    </row>
    <row r="119" spans="4:10" ht="15.75" thickTop="1" x14ac:dyDescent="0.25">
      <c r="D119" s="180"/>
      <c r="E119" s="181"/>
      <c r="F119" s="181"/>
      <c r="G119" s="181"/>
      <c r="H119" s="181"/>
      <c r="I119" s="181"/>
      <c r="J119" s="182"/>
    </row>
    <row r="120" spans="4:10" ht="15.75" thickBot="1" x14ac:dyDescent="0.3">
      <c r="D120" s="183"/>
      <c r="E120" s="184"/>
      <c r="F120" s="184"/>
      <c r="G120" s="184"/>
      <c r="H120" s="184"/>
      <c r="I120" s="184"/>
      <c r="J120" s="185"/>
    </row>
    <row r="121" spans="4:10" ht="16.5" thickTop="1" thickBot="1" x14ac:dyDescent="0.3">
      <c r="D121" s="183"/>
      <c r="E121" s="184"/>
      <c r="F121" s="184"/>
      <c r="G121" s="184"/>
      <c r="H121" s="184"/>
      <c r="I121" s="184"/>
      <c r="J121" s="185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86"/>
    </row>
    <row r="145" ht="15.75" thickTop="1" x14ac:dyDescent="0.25"/>
  </sheetData>
  <sheetProtection algorithmName="SHA-512" hashValue="IjnLy14XD9RqczMuLA2DYVVcxxKfoXoYDh8i1+CtxdTBA8cOusYlk27FRif1M+fTyjw4jH9WaWmCSn8/EwrhlA==" saltValue="PQ1pipB+uXDJgin5kzNGaw==" spinCount="100000" sheet="1" formatCells="0" selectLockedCells="1" autoFilter="0" pivotTables="0"/>
  <mergeCells count="34"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  <mergeCell ref="I21:J21"/>
    <mergeCell ref="I22:J22"/>
    <mergeCell ref="I23:J23"/>
    <mergeCell ref="D21:F21"/>
    <mergeCell ref="D22:F22"/>
    <mergeCell ref="D23:F23"/>
    <mergeCell ref="D13:F13"/>
    <mergeCell ref="D14:F14"/>
    <mergeCell ref="D15:F15"/>
    <mergeCell ref="I13:J13"/>
    <mergeCell ref="I14:J14"/>
    <mergeCell ref="I15:J15"/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Fill="0" autoLine="0" autoPict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342900</xdr:colOff>
                <xdr:row>25</xdr:row>
                <xdr:rowOff>38100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A1:L353"/>
  <sheetViews>
    <sheetView workbookViewId="0">
      <pane ySplit="1" topLeftCell="A2" activePane="bottomLeft" state="frozen"/>
      <selection pane="bottomLeft" activeCell="B357" sqref="B357"/>
    </sheetView>
  </sheetViews>
  <sheetFormatPr baseColWidth="10" defaultRowHeight="15" x14ac:dyDescent="0.25"/>
  <cols>
    <col min="2" max="2" width="11.42578125" style="232"/>
    <col min="3" max="3" width="5.7109375" style="9" customWidth="1"/>
    <col min="4" max="4" width="12.7109375" style="194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42.42578125" bestFit="1" customWidth="1"/>
    <col min="12" max="12" width="5.7109375" style="9" customWidth="1"/>
  </cols>
  <sheetData>
    <row r="1" spans="1:12" s="120" customFormat="1" ht="26.25" thickBot="1" x14ac:dyDescent="0.3">
      <c r="A1" s="198"/>
      <c r="B1" s="231"/>
      <c r="C1" s="115" t="s">
        <v>143</v>
      </c>
      <c r="D1" s="197" t="s">
        <v>141</v>
      </c>
      <c r="E1" s="117" t="s">
        <v>140</v>
      </c>
      <c r="F1" s="116" t="s">
        <v>0</v>
      </c>
      <c r="G1" s="117" t="s">
        <v>181</v>
      </c>
      <c r="H1" s="136" t="s">
        <v>1</v>
      </c>
      <c r="I1" s="118" t="s">
        <v>2</v>
      </c>
      <c r="J1" s="118" t="s">
        <v>3</v>
      </c>
      <c r="K1" s="116" t="s">
        <v>142</v>
      </c>
      <c r="L1" s="119"/>
    </row>
    <row r="2" spans="1:12" x14ac:dyDescent="0.25">
      <c r="A2" s="10"/>
      <c r="B2" s="232">
        <f>D2</f>
        <v>45204</v>
      </c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1:12" ht="15.75" x14ac:dyDescent="0.25">
      <c r="A3" s="10"/>
      <c r="B3" s="232">
        <f t="shared" ref="B3:B66" si="0">D3</f>
        <v>45204</v>
      </c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37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1:12" ht="16.5" thickBot="1" x14ac:dyDescent="0.3">
      <c r="A4" s="10"/>
      <c r="B4" s="232">
        <f t="shared" si="0"/>
        <v>45204</v>
      </c>
      <c r="C4" s="9">
        <v>1</v>
      </c>
      <c r="D4" s="18">
        <v>45204</v>
      </c>
      <c r="E4" s="26">
        <v>1</v>
      </c>
      <c r="F4" s="27"/>
      <c r="G4" s="102"/>
      <c r="H4" s="138" t="s">
        <v>145</v>
      </c>
      <c r="I4" s="130"/>
      <c r="J4" s="130"/>
      <c r="K4" s="131"/>
      <c r="L4" s="9">
        <f>ROW()</f>
        <v>4</v>
      </c>
    </row>
    <row r="5" spans="1:12" ht="15.75" thickBot="1" x14ac:dyDescent="0.3">
      <c r="A5" s="10"/>
      <c r="B5" s="232">
        <f t="shared" si="0"/>
        <v>45204</v>
      </c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1:12" x14ac:dyDescent="0.25">
      <c r="A6" s="10"/>
      <c r="B6" s="232">
        <f t="shared" si="0"/>
        <v>45204</v>
      </c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1:12" x14ac:dyDescent="0.25">
      <c r="A7" s="10"/>
      <c r="B7" s="232">
        <f t="shared" si="0"/>
        <v>45204</v>
      </c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37" t="s">
        <v>13</v>
      </c>
      <c r="I7" s="25"/>
      <c r="J7" s="25">
        <v>250</v>
      </c>
      <c r="K7" s="31"/>
      <c r="L7" s="9">
        <f>ROW()</f>
        <v>7</v>
      </c>
    </row>
    <row r="8" spans="1:12" ht="15.75" thickBot="1" x14ac:dyDescent="0.3">
      <c r="A8" s="10"/>
      <c r="B8" s="232">
        <f t="shared" si="0"/>
        <v>45204</v>
      </c>
      <c r="C8" s="9">
        <v>2</v>
      </c>
      <c r="D8" s="15">
        <v>45204</v>
      </c>
      <c r="E8" s="32"/>
      <c r="F8" s="33"/>
      <c r="G8" s="104"/>
      <c r="H8" s="138" t="s">
        <v>145</v>
      </c>
      <c r="I8" s="130"/>
      <c r="J8" s="130"/>
      <c r="K8" s="131"/>
      <c r="L8" s="9">
        <f>ROW()</f>
        <v>8</v>
      </c>
    </row>
    <row r="9" spans="1:12" ht="15.75" thickBot="1" x14ac:dyDescent="0.3">
      <c r="A9" s="10"/>
      <c r="B9" s="232">
        <f t="shared" si="0"/>
        <v>45204</v>
      </c>
      <c r="C9" s="9">
        <v>2</v>
      </c>
      <c r="D9" s="149">
        <v>45204</v>
      </c>
      <c r="E9" s="14"/>
      <c r="F9" s="34"/>
      <c r="G9" s="105"/>
      <c r="H9" s="139"/>
      <c r="I9" s="35"/>
      <c r="J9" s="35"/>
      <c r="K9" s="34"/>
      <c r="L9" s="9">
        <f>ROW()</f>
        <v>9</v>
      </c>
    </row>
    <row r="10" spans="1:12" x14ac:dyDescent="0.25">
      <c r="A10" s="10"/>
      <c r="B10" s="232">
        <f t="shared" si="0"/>
        <v>45204</v>
      </c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1:12" x14ac:dyDescent="0.25">
      <c r="A11" s="10"/>
      <c r="B11" s="232">
        <f t="shared" si="0"/>
        <v>45204</v>
      </c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37" t="s">
        <v>13</v>
      </c>
      <c r="I11" s="25"/>
      <c r="J11" s="25">
        <v>49.95</v>
      </c>
      <c r="K11" s="31"/>
      <c r="L11" s="9">
        <f>ROW()</f>
        <v>11</v>
      </c>
    </row>
    <row r="12" spans="1:12" ht="15.75" thickBot="1" x14ac:dyDescent="0.3">
      <c r="A12" s="10"/>
      <c r="B12" s="232">
        <f t="shared" si="0"/>
        <v>45204</v>
      </c>
      <c r="C12" s="9">
        <v>3</v>
      </c>
      <c r="D12" s="15">
        <v>45204</v>
      </c>
      <c r="E12" s="36">
        <v>2</v>
      </c>
      <c r="F12" s="37" t="s">
        <v>139</v>
      </c>
      <c r="G12" s="104"/>
      <c r="H12" s="138" t="s">
        <v>145</v>
      </c>
      <c r="I12" s="130"/>
      <c r="J12" s="130"/>
      <c r="K12" s="131"/>
      <c r="L12" s="9">
        <f>ROW()</f>
        <v>12</v>
      </c>
    </row>
    <row r="13" spans="1:12" ht="15.75" thickBot="1" x14ac:dyDescent="0.3">
      <c r="A13" s="10"/>
      <c r="B13" s="232">
        <f t="shared" si="0"/>
        <v>45204</v>
      </c>
      <c r="C13" s="9">
        <v>3</v>
      </c>
      <c r="D13" s="75">
        <v>45204</v>
      </c>
      <c r="E13" s="74"/>
      <c r="F13" s="76"/>
      <c r="L13" s="9">
        <f>ROW()</f>
        <v>13</v>
      </c>
    </row>
    <row r="14" spans="1:12" x14ac:dyDescent="0.25">
      <c r="A14" s="10"/>
      <c r="B14" s="232">
        <f t="shared" si="0"/>
        <v>45203</v>
      </c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1:12" x14ac:dyDescent="0.25">
      <c r="A15" s="10"/>
      <c r="B15" s="232">
        <f t="shared" si="0"/>
        <v>45203</v>
      </c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37" t="s">
        <v>19</v>
      </c>
      <c r="I15" s="25"/>
      <c r="J15" s="25">
        <v>0</v>
      </c>
      <c r="K15" s="31"/>
      <c r="L15" s="9">
        <f>ROW()</f>
        <v>15</v>
      </c>
    </row>
    <row r="16" spans="1:12" x14ac:dyDescent="0.25">
      <c r="A16" s="10"/>
      <c r="B16" s="232">
        <f t="shared" si="0"/>
        <v>45203</v>
      </c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37" t="s">
        <v>25</v>
      </c>
      <c r="I16" s="25">
        <v>570.91999999999996</v>
      </c>
      <c r="J16" s="25"/>
      <c r="K16" s="31"/>
      <c r="L16" s="9">
        <f>ROW()</f>
        <v>16</v>
      </c>
    </row>
    <row r="17" spans="1:12" x14ac:dyDescent="0.25">
      <c r="A17" s="10"/>
      <c r="B17" s="232">
        <f t="shared" si="0"/>
        <v>45203</v>
      </c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37" t="s">
        <v>21</v>
      </c>
      <c r="I17" s="25"/>
      <c r="J17" s="25">
        <v>0</v>
      </c>
      <c r="K17" s="31"/>
      <c r="L17" s="9">
        <f>ROW()</f>
        <v>17</v>
      </c>
    </row>
    <row r="18" spans="1:12" x14ac:dyDescent="0.25">
      <c r="A18" s="10"/>
      <c r="B18" s="232">
        <f t="shared" si="0"/>
        <v>45203</v>
      </c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37" t="s">
        <v>13</v>
      </c>
      <c r="I18" s="25"/>
      <c r="J18" s="25">
        <v>857.1</v>
      </c>
      <c r="K18" s="31"/>
      <c r="L18" s="9">
        <f>ROW()</f>
        <v>18</v>
      </c>
    </row>
    <row r="19" spans="1:12" ht="15.75" thickBot="1" x14ac:dyDescent="0.3">
      <c r="A19" s="10"/>
      <c r="B19" s="232">
        <f t="shared" si="0"/>
        <v>45203</v>
      </c>
      <c r="C19" s="9">
        <v>4</v>
      </c>
      <c r="D19" s="15">
        <v>45203</v>
      </c>
      <c r="E19" s="36">
        <v>4</v>
      </c>
      <c r="F19" s="37" t="s">
        <v>146</v>
      </c>
      <c r="G19" s="104"/>
      <c r="H19" s="138" t="s">
        <v>147</v>
      </c>
      <c r="I19" s="130"/>
      <c r="J19" s="130"/>
      <c r="K19" s="131"/>
      <c r="L19" s="9">
        <f>ROW()</f>
        <v>19</v>
      </c>
    </row>
    <row r="20" spans="1:12" ht="15.75" thickBot="1" x14ac:dyDescent="0.3">
      <c r="A20" s="10"/>
      <c r="B20" s="232">
        <f t="shared" si="0"/>
        <v>45203</v>
      </c>
      <c r="C20" s="9">
        <v>4</v>
      </c>
      <c r="D20" s="75">
        <v>45203</v>
      </c>
      <c r="E20" s="74">
        <v>4</v>
      </c>
      <c r="F20" s="76" t="s">
        <v>146</v>
      </c>
      <c r="L20" s="9">
        <f>ROW()</f>
        <v>20</v>
      </c>
    </row>
    <row r="21" spans="1:12" x14ac:dyDescent="0.25">
      <c r="A21" s="10"/>
      <c r="B21" s="232">
        <f t="shared" si="0"/>
        <v>45204</v>
      </c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1:12" x14ac:dyDescent="0.25">
      <c r="A22" s="10"/>
      <c r="B22" s="232">
        <f t="shared" si="0"/>
        <v>45204</v>
      </c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37" t="s">
        <v>88</v>
      </c>
      <c r="I22" s="25"/>
      <c r="J22" s="25">
        <v>1625</v>
      </c>
      <c r="K22" s="31"/>
      <c r="L22" s="9">
        <f>ROW()</f>
        <v>22</v>
      </c>
    </row>
    <row r="23" spans="1:12" x14ac:dyDescent="0.25">
      <c r="A23" s="10"/>
      <c r="B23" s="232">
        <f t="shared" si="0"/>
        <v>45204</v>
      </c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37" t="s">
        <v>121</v>
      </c>
      <c r="I23" s="25"/>
      <c r="J23" s="25">
        <v>31</v>
      </c>
      <c r="K23" s="31"/>
      <c r="L23" s="9">
        <f>ROW()</f>
        <v>23</v>
      </c>
    </row>
    <row r="24" spans="1:12" x14ac:dyDescent="0.25">
      <c r="A24" s="10"/>
      <c r="B24" s="232">
        <f t="shared" si="0"/>
        <v>45204</v>
      </c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37" t="s">
        <v>119</v>
      </c>
      <c r="I24" s="25"/>
      <c r="J24" s="25">
        <v>32</v>
      </c>
      <c r="K24" s="31"/>
      <c r="L24" s="9">
        <f>ROW()</f>
        <v>24</v>
      </c>
    </row>
    <row r="25" spans="1:12" x14ac:dyDescent="0.25">
      <c r="A25" s="10"/>
      <c r="B25" s="232">
        <f t="shared" si="0"/>
        <v>45204</v>
      </c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37" t="s">
        <v>123</v>
      </c>
      <c r="I25" s="25"/>
      <c r="J25" s="25">
        <v>33</v>
      </c>
      <c r="K25" s="31"/>
      <c r="L25" s="9">
        <f>ROW()</f>
        <v>25</v>
      </c>
    </row>
    <row r="26" spans="1:12" x14ac:dyDescent="0.25">
      <c r="A26" s="10"/>
      <c r="B26" s="232">
        <f t="shared" si="0"/>
        <v>45204</v>
      </c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37" t="s">
        <v>23</v>
      </c>
      <c r="I26" s="25"/>
      <c r="J26" s="25">
        <v>86.05</v>
      </c>
      <c r="K26" s="31"/>
      <c r="L26" s="9">
        <f>ROW()</f>
        <v>26</v>
      </c>
    </row>
    <row r="27" spans="1:12" x14ac:dyDescent="0.25">
      <c r="A27" s="10"/>
      <c r="B27" s="232">
        <f t="shared" si="0"/>
        <v>45204</v>
      </c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37" t="s">
        <v>25</v>
      </c>
      <c r="I27" s="25"/>
      <c r="J27" s="25">
        <v>171.67</v>
      </c>
      <c r="K27" s="31"/>
      <c r="L27" s="9">
        <f>ROW()</f>
        <v>27</v>
      </c>
    </row>
    <row r="28" spans="1:12" x14ac:dyDescent="0.25">
      <c r="A28" s="10"/>
      <c r="B28" s="232">
        <f t="shared" si="0"/>
        <v>45204</v>
      </c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37" t="s">
        <v>33</v>
      </c>
      <c r="I28" s="25">
        <v>750</v>
      </c>
      <c r="J28" s="25"/>
      <c r="K28" s="31"/>
      <c r="L28" s="9">
        <f>ROW()</f>
        <v>28</v>
      </c>
    </row>
    <row r="29" spans="1:12" ht="15.75" thickBot="1" x14ac:dyDescent="0.3">
      <c r="A29" s="10"/>
      <c r="B29" s="232">
        <f t="shared" si="0"/>
        <v>45204</v>
      </c>
      <c r="C29" s="9">
        <v>5</v>
      </c>
      <c r="D29" s="15">
        <v>45204</v>
      </c>
      <c r="E29" s="36">
        <v>5</v>
      </c>
      <c r="F29" s="37" t="s">
        <v>148</v>
      </c>
      <c r="G29" s="106"/>
      <c r="H29" s="138" t="s">
        <v>149</v>
      </c>
      <c r="I29" s="130"/>
      <c r="J29" s="130"/>
      <c r="K29" s="131"/>
      <c r="L29" s="9">
        <f>ROW()</f>
        <v>29</v>
      </c>
    </row>
    <row r="30" spans="1:12" ht="15.75" thickBot="1" x14ac:dyDescent="0.3">
      <c r="A30" s="10"/>
      <c r="B30" s="232">
        <f t="shared" si="0"/>
        <v>45204</v>
      </c>
      <c r="C30" s="9">
        <v>5</v>
      </c>
      <c r="D30" s="19">
        <v>45204</v>
      </c>
      <c r="E30" s="38">
        <v>5</v>
      </c>
      <c r="F30" s="39" t="s">
        <v>148</v>
      </c>
      <c r="G30" s="107"/>
      <c r="H30" s="140"/>
      <c r="I30" s="41"/>
      <c r="J30" s="41"/>
      <c r="K30" s="40"/>
      <c r="L30" s="9">
        <f>ROW()</f>
        <v>30</v>
      </c>
    </row>
    <row r="31" spans="1:12" x14ac:dyDescent="0.25">
      <c r="A31" s="10"/>
      <c r="B31" s="232">
        <f t="shared" si="0"/>
        <v>45204</v>
      </c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1:12" x14ac:dyDescent="0.25">
      <c r="A32" s="10"/>
      <c r="B32" s="232">
        <f t="shared" si="0"/>
        <v>45204</v>
      </c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37" t="s">
        <v>88</v>
      </c>
      <c r="I32" s="25"/>
      <c r="J32" s="25">
        <v>1625</v>
      </c>
      <c r="K32" s="31"/>
      <c r="L32" s="9">
        <f>ROW()</f>
        <v>32</v>
      </c>
    </row>
    <row r="33" spans="1:12" x14ac:dyDescent="0.25">
      <c r="A33" s="10"/>
      <c r="B33" s="232">
        <f t="shared" si="0"/>
        <v>45204</v>
      </c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37" t="s">
        <v>121</v>
      </c>
      <c r="I33" s="25"/>
      <c r="J33" s="25">
        <v>31</v>
      </c>
      <c r="K33" s="31"/>
      <c r="L33" s="9">
        <f>ROW()</f>
        <v>33</v>
      </c>
    </row>
    <row r="34" spans="1:12" x14ac:dyDescent="0.25">
      <c r="A34" s="10"/>
      <c r="B34" s="232">
        <f t="shared" si="0"/>
        <v>45204</v>
      </c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37" t="s">
        <v>119</v>
      </c>
      <c r="I34" s="25"/>
      <c r="J34" s="25">
        <v>32</v>
      </c>
      <c r="K34" s="31"/>
      <c r="L34" s="9">
        <f>ROW()</f>
        <v>34</v>
      </c>
    </row>
    <row r="35" spans="1:12" x14ac:dyDescent="0.25">
      <c r="A35" s="10"/>
      <c r="B35" s="232">
        <f t="shared" si="0"/>
        <v>45204</v>
      </c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37" t="s">
        <v>123</v>
      </c>
      <c r="I35" s="25"/>
      <c r="J35" s="25">
        <v>33</v>
      </c>
      <c r="K35" s="31"/>
      <c r="L35" s="9">
        <f>ROW()</f>
        <v>35</v>
      </c>
    </row>
    <row r="36" spans="1:12" x14ac:dyDescent="0.25">
      <c r="A36" s="10"/>
      <c r="B36" s="232">
        <f t="shared" si="0"/>
        <v>45204</v>
      </c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37" t="s">
        <v>23</v>
      </c>
      <c r="I36" s="25"/>
      <c r="J36" s="25">
        <v>86.05</v>
      </c>
      <c r="K36" s="31"/>
      <c r="L36" s="9">
        <f>ROW()</f>
        <v>36</v>
      </c>
    </row>
    <row r="37" spans="1:12" x14ac:dyDescent="0.25">
      <c r="A37" s="10"/>
      <c r="B37" s="232">
        <f t="shared" si="0"/>
        <v>45204</v>
      </c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37" t="s">
        <v>25</v>
      </c>
      <c r="I37" s="25"/>
      <c r="J37" s="25">
        <v>171.67</v>
      </c>
      <c r="K37" s="31"/>
      <c r="L37" s="9">
        <f>ROW()</f>
        <v>37</v>
      </c>
    </row>
    <row r="38" spans="1:12" x14ac:dyDescent="0.25">
      <c r="A38" s="10"/>
      <c r="B38" s="232">
        <f t="shared" si="0"/>
        <v>45204</v>
      </c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37" t="s">
        <v>33</v>
      </c>
      <c r="I38" s="25">
        <v>750</v>
      </c>
      <c r="J38" s="25"/>
      <c r="K38" s="31"/>
      <c r="L38" s="9">
        <f>ROW()</f>
        <v>38</v>
      </c>
    </row>
    <row r="39" spans="1:12" ht="15.75" thickBot="1" x14ac:dyDescent="0.3">
      <c r="A39" s="10"/>
      <c r="B39" s="232">
        <f t="shared" si="0"/>
        <v>45204</v>
      </c>
      <c r="C39" s="9">
        <v>6</v>
      </c>
      <c r="D39" s="15">
        <v>45204</v>
      </c>
      <c r="E39" s="36">
        <v>6</v>
      </c>
      <c r="F39" s="37" t="s">
        <v>148</v>
      </c>
      <c r="G39" s="104"/>
      <c r="H39" s="138" t="s">
        <v>149</v>
      </c>
      <c r="I39" s="130"/>
      <c r="J39" s="130"/>
      <c r="K39" s="131"/>
      <c r="L39" s="9">
        <f>ROW()</f>
        <v>39</v>
      </c>
    </row>
    <row r="40" spans="1:12" ht="15.75" thickBot="1" x14ac:dyDescent="0.3">
      <c r="A40" s="10"/>
      <c r="B40" s="232">
        <f t="shared" si="0"/>
        <v>45204</v>
      </c>
      <c r="C40" s="9">
        <v>6</v>
      </c>
      <c r="D40" s="75">
        <v>45204</v>
      </c>
      <c r="E40" s="74">
        <v>6</v>
      </c>
      <c r="F40" s="76" t="s">
        <v>148</v>
      </c>
    </row>
    <row r="41" spans="1:12" x14ac:dyDescent="0.25">
      <c r="A41" s="10"/>
      <c r="B41" s="232">
        <f t="shared" si="0"/>
        <v>45203</v>
      </c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1:12" x14ac:dyDescent="0.25">
      <c r="A42" s="10"/>
      <c r="B42" s="232">
        <f t="shared" si="0"/>
        <v>45203</v>
      </c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37" t="s">
        <v>88</v>
      </c>
      <c r="I42" s="25"/>
      <c r="J42" s="25">
        <v>612.5</v>
      </c>
      <c r="K42" s="31"/>
      <c r="L42" s="9">
        <f>ROW()</f>
        <v>42</v>
      </c>
    </row>
    <row r="43" spans="1:12" x14ac:dyDescent="0.25">
      <c r="A43" s="10"/>
      <c r="B43" s="232">
        <f t="shared" si="0"/>
        <v>45203</v>
      </c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37" t="s">
        <v>121</v>
      </c>
      <c r="I43" s="25"/>
      <c r="J43" s="25">
        <v>21</v>
      </c>
      <c r="K43" s="31"/>
      <c r="L43" s="9">
        <f>ROW()</f>
        <v>43</v>
      </c>
    </row>
    <row r="44" spans="1:12" x14ac:dyDescent="0.25">
      <c r="A44" s="10"/>
      <c r="B44" s="232">
        <f t="shared" si="0"/>
        <v>45203</v>
      </c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37" t="s">
        <v>119</v>
      </c>
      <c r="I44" s="25"/>
      <c r="J44" s="25">
        <v>22</v>
      </c>
      <c r="K44" s="31"/>
      <c r="L44" s="9">
        <f>ROW()</f>
        <v>44</v>
      </c>
    </row>
    <row r="45" spans="1:12" x14ac:dyDescent="0.25">
      <c r="A45" s="10"/>
      <c r="B45" s="232">
        <f t="shared" si="0"/>
        <v>45203</v>
      </c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37" t="s">
        <v>123</v>
      </c>
      <c r="I45" s="25"/>
      <c r="J45" s="25">
        <v>23</v>
      </c>
      <c r="K45" s="31"/>
      <c r="L45" s="9">
        <f>ROW()</f>
        <v>45</v>
      </c>
    </row>
    <row r="46" spans="1:12" x14ac:dyDescent="0.25">
      <c r="A46" s="10"/>
      <c r="B46" s="232">
        <f t="shared" si="0"/>
        <v>45203</v>
      </c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37" t="s">
        <v>23</v>
      </c>
      <c r="I46" s="25"/>
      <c r="J46" s="25">
        <v>33.93</v>
      </c>
      <c r="K46" s="31"/>
      <c r="L46" s="9">
        <f>ROW()</f>
        <v>46</v>
      </c>
    </row>
    <row r="47" spans="1:12" x14ac:dyDescent="0.25">
      <c r="A47" s="10"/>
      <c r="B47" s="232">
        <f t="shared" si="0"/>
        <v>45203</v>
      </c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37" t="s">
        <v>25</v>
      </c>
      <c r="I47" s="25"/>
      <c r="J47" s="25">
        <v>67.680000000000007</v>
      </c>
      <c r="K47" s="31"/>
      <c r="L47" s="9">
        <f>ROW()</f>
        <v>47</v>
      </c>
    </row>
    <row r="48" spans="1:12" x14ac:dyDescent="0.25">
      <c r="A48" s="10"/>
      <c r="B48" s="232">
        <f t="shared" si="0"/>
        <v>45203</v>
      </c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37" t="s">
        <v>33</v>
      </c>
      <c r="I48" s="25">
        <v>350</v>
      </c>
      <c r="J48" s="25"/>
      <c r="K48" s="31"/>
      <c r="L48" s="9">
        <f>ROW()</f>
        <v>48</v>
      </c>
    </row>
    <row r="49" spans="1:12" ht="15.75" thickBot="1" x14ac:dyDescent="0.3">
      <c r="A49" s="10"/>
      <c r="B49" s="232">
        <f t="shared" si="0"/>
        <v>45203</v>
      </c>
      <c r="C49" s="9">
        <v>7</v>
      </c>
      <c r="D49" s="15">
        <v>45203</v>
      </c>
      <c r="E49" s="36">
        <v>7</v>
      </c>
      <c r="F49" s="37" t="s">
        <v>150</v>
      </c>
      <c r="G49" s="104"/>
      <c r="H49" s="138" t="s">
        <v>151</v>
      </c>
      <c r="I49" s="130"/>
      <c r="J49" s="130"/>
      <c r="K49" s="131"/>
      <c r="L49" s="9">
        <f>ROW()</f>
        <v>49</v>
      </c>
    </row>
    <row r="50" spans="1:12" ht="15.75" thickBot="1" x14ac:dyDescent="0.3">
      <c r="A50" s="10"/>
      <c r="B50" s="232">
        <f t="shared" si="0"/>
        <v>45203</v>
      </c>
      <c r="C50" s="9">
        <v>7</v>
      </c>
      <c r="D50" s="75">
        <v>45203</v>
      </c>
      <c r="E50" s="74">
        <v>7</v>
      </c>
      <c r="F50" s="76" t="s">
        <v>150</v>
      </c>
      <c r="L50" s="9">
        <f>ROW()</f>
        <v>50</v>
      </c>
    </row>
    <row r="51" spans="1:12" x14ac:dyDescent="0.25">
      <c r="A51" s="10"/>
      <c r="B51" s="232">
        <f t="shared" si="0"/>
        <v>45204</v>
      </c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1:12" x14ac:dyDescent="0.25">
      <c r="A52" s="10"/>
      <c r="B52" s="232">
        <f t="shared" si="0"/>
        <v>45204</v>
      </c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37" t="s">
        <v>88</v>
      </c>
      <c r="I52" s="25"/>
      <c r="J52" s="25">
        <v>1050</v>
      </c>
      <c r="K52" s="31"/>
      <c r="L52" s="9">
        <f>ROW()</f>
        <v>52</v>
      </c>
    </row>
    <row r="53" spans="1:12" x14ac:dyDescent="0.25">
      <c r="A53" s="10"/>
      <c r="B53" s="232">
        <f t="shared" si="0"/>
        <v>45204</v>
      </c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37" t="s">
        <v>121</v>
      </c>
      <c r="I53" s="25"/>
      <c r="J53" s="25">
        <v>11</v>
      </c>
      <c r="K53" s="31"/>
      <c r="L53" s="9">
        <f>ROW()</f>
        <v>53</v>
      </c>
    </row>
    <row r="54" spans="1:12" x14ac:dyDescent="0.25">
      <c r="A54" s="10"/>
      <c r="B54" s="232">
        <f t="shared" si="0"/>
        <v>45204</v>
      </c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37" t="s">
        <v>119</v>
      </c>
      <c r="I54" s="25"/>
      <c r="J54" s="25">
        <v>12</v>
      </c>
      <c r="K54" s="31"/>
      <c r="L54" s="9">
        <f>ROW()</f>
        <v>54</v>
      </c>
    </row>
    <row r="55" spans="1:12" x14ac:dyDescent="0.25">
      <c r="A55" s="10"/>
      <c r="B55" s="232">
        <f t="shared" si="0"/>
        <v>45204</v>
      </c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37" t="s">
        <v>123</v>
      </c>
      <c r="I55" s="25"/>
      <c r="J55" s="25">
        <v>13</v>
      </c>
      <c r="K55" s="31"/>
      <c r="L55" s="9">
        <f>ROW()</f>
        <v>55</v>
      </c>
    </row>
    <row r="56" spans="1:12" x14ac:dyDescent="0.25">
      <c r="A56" s="10"/>
      <c r="B56" s="232">
        <f t="shared" si="0"/>
        <v>45204</v>
      </c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37" t="s">
        <v>23</v>
      </c>
      <c r="I56" s="25"/>
      <c r="J56" s="25">
        <v>54.3</v>
      </c>
      <c r="K56" s="31"/>
      <c r="L56" s="9">
        <f>ROW()</f>
        <v>56</v>
      </c>
    </row>
    <row r="57" spans="1:12" x14ac:dyDescent="0.25">
      <c r="A57" s="10"/>
      <c r="B57" s="232">
        <f t="shared" si="0"/>
        <v>45204</v>
      </c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37" t="s">
        <v>25</v>
      </c>
      <c r="I57" s="25"/>
      <c r="J57" s="25">
        <v>108.33</v>
      </c>
      <c r="K57" s="31"/>
      <c r="L57" s="9">
        <f>ROW()</f>
        <v>57</v>
      </c>
    </row>
    <row r="58" spans="1:12" ht="15.75" thickBot="1" x14ac:dyDescent="0.3">
      <c r="A58" s="10"/>
      <c r="B58" s="232">
        <f t="shared" si="0"/>
        <v>45204</v>
      </c>
      <c r="C58" s="9">
        <v>8</v>
      </c>
      <c r="D58" s="15">
        <v>45204</v>
      </c>
      <c r="E58" s="36">
        <v>8</v>
      </c>
      <c r="F58" s="37" t="s">
        <v>152</v>
      </c>
      <c r="G58" s="104"/>
      <c r="H58" s="138" t="s">
        <v>153</v>
      </c>
      <c r="I58" s="130"/>
      <c r="J58" s="130"/>
      <c r="K58" s="131"/>
      <c r="L58" s="9">
        <f>ROW()</f>
        <v>58</v>
      </c>
    </row>
    <row r="59" spans="1:12" ht="15.75" thickBot="1" x14ac:dyDescent="0.3">
      <c r="A59" s="10"/>
      <c r="B59" s="232">
        <f t="shared" si="0"/>
        <v>45204</v>
      </c>
      <c r="C59" s="9">
        <v>8</v>
      </c>
      <c r="D59" s="75">
        <v>45204</v>
      </c>
      <c r="E59" s="74">
        <v>8</v>
      </c>
      <c r="F59" s="76" t="s">
        <v>152</v>
      </c>
      <c r="L59" s="9">
        <f>ROW()</f>
        <v>59</v>
      </c>
    </row>
    <row r="60" spans="1:12" x14ac:dyDescent="0.25">
      <c r="A60" s="10"/>
      <c r="B60" s="232">
        <f t="shared" si="0"/>
        <v>45205</v>
      </c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1:12" x14ac:dyDescent="0.25">
      <c r="A61" s="10"/>
      <c r="B61" s="232">
        <f t="shared" si="0"/>
        <v>45205</v>
      </c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37" t="s">
        <v>15</v>
      </c>
      <c r="I61" s="25"/>
      <c r="J61" s="25">
        <v>1248.6300000000001</v>
      </c>
      <c r="K61" s="31"/>
      <c r="L61" s="9">
        <f>ROW()</f>
        <v>61</v>
      </c>
    </row>
    <row r="62" spans="1:12" ht="15.75" thickBot="1" x14ac:dyDescent="0.3">
      <c r="A62" s="10"/>
      <c r="B62" s="232">
        <f t="shared" si="0"/>
        <v>45205</v>
      </c>
      <c r="C62" s="9">
        <v>9</v>
      </c>
      <c r="D62" s="15">
        <v>45205</v>
      </c>
      <c r="E62" s="36">
        <v>9</v>
      </c>
      <c r="F62" s="37" t="s">
        <v>154</v>
      </c>
      <c r="G62" s="104"/>
      <c r="H62" s="138" t="s">
        <v>155</v>
      </c>
      <c r="I62" s="130"/>
      <c r="J62" s="130"/>
      <c r="K62" s="131"/>
      <c r="L62" s="9">
        <f>ROW()</f>
        <v>62</v>
      </c>
    </row>
    <row r="63" spans="1:12" ht="15.75" thickBot="1" x14ac:dyDescent="0.3">
      <c r="A63" s="10"/>
      <c r="B63" s="232">
        <f t="shared" si="0"/>
        <v>45205</v>
      </c>
      <c r="C63" s="9">
        <v>9</v>
      </c>
      <c r="D63" s="75">
        <v>45205</v>
      </c>
      <c r="E63" s="74">
        <v>9</v>
      </c>
      <c r="F63" s="76" t="s">
        <v>154</v>
      </c>
      <c r="L63" s="9">
        <f>ROW()</f>
        <v>63</v>
      </c>
    </row>
    <row r="64" spans="1:12" x14ac:dyDescent="0.25">
      <c r="A64" s="10"/>
      <c r="B64" s="232">
        <f t="shared" si="0"/>
        <v>45205</v>
      </c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1:12" x14ac:dyDescent="0.25">
      <c r="A65" s="10"/>
      <c r="B65" s="232">
        <f t="shared" si="0"/>
        <v>45205</v>
      </c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37" t="s">
        <v>15</v>
      </c>
      <c r="I65" s="25"/>
      <c r="J65" s="25">
        <v>1228.72</v>
      </c>
      <c r="K65" s="31"/>
      <c r="L65" s="9">
        <f>ROW()</f>
        <v>65</v>
      </c>
    </row>
    <row r="66" spans="1:12" ht="15.75" thickBot="1" x14ac:dyDescent="0.3">
      <c r="A66" s="10"/>
      <c r="B66" s="232">
        <f t="shared" si="0"/>
        <v>45205</v>
      </c>
      <c r="C66" s="9">
        <v>10</v>
      </c>
      <c r="D66" s="15">
        <v>45205</v>
      </c>
      <c r="E66" s="36">
        <v>10</v>
      </c>
      <c r="F66" s="37" t="s">
        <v>154</v>
      </c>
      <c r="G66" s="104"/>
      <c r="H66" s="138" t="s">
        <v>149</v>
      </c>
      <c r="I66" s="130"/>
      <c r="J66" s="130"/>
      <c r="K66" s="131"/>
      <c r="L66" s="9">
        <f>ROW()</f>
        <v>66</v>
      </c>
    </row>
    <row r="67" spans="1:12" ht="15.75" thickBot="1" x14ac:dyDescent="0.3">
      <c r="A67" s="10"/>
      <c r="B67" s="232">
        <f t="shared" ref="B67:B130" si="1">D67</f>
        <v>45205</v>
      </c>
      <c r="C67" s="9">
        <v>10</v>
      </c>
      <c r="D67" s="75">
        <v>45205</v>
      </c>
      <c r="F67"/>
      <c r="L67" s="9">
        <v>67</v>
      </c>
    </row>
    <row r="68" spans="1:12" x14ac:dyDescent="0.25">
      <c r="A68" s="10"/>
      <c r="B68" s="232">
        <f t="shared" si="1"/>
        <v>45205</v>
      </c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1:12" x14ac:dyDescent="0.25">
      <c r="A69" s="10"/>
      <c r="B69" s="232">
        <f t="shared" si="1"/>
        <v>45205</v>
      </c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37" t="s">
        <v>13</v>
      </c>
      <c r="I69" s="25"/>
      <c r="J69" s="25">
        <v>5000</v>
      </c>
      <c r="K69" s="31"/>
      <c r="L69" s="9">
        <f>ROW()</f>
        <v>69</v>
      </c>
    </row>
    <row r="70" spans="1:12" ht="15.75" thickBot="1" x14ac:dyDescent="0.3">
      <c r="A70" s="10"/>
      <c r="B70" s="232">
        <f t="shared" si="1"/>
        <v>45205</v>
      </c>
      <c r="C70" s="9">
        <v>11</v>
      </c>
      <c r="D70" s="15">
        <v>45205</v>
      </c>
      <c r="E70" s="36">
        <v>11</v>
      </c>
      <c r="F70" s="37" t="s">
        <v>156</v>
      </c>
      <c r="G70" s="104"/>
      <c r="H70" s="138" t="s">
        <v>157</v>
      </c>
      <c r="I70" s="130"/>
      <c r="J70" s="130"/>
      <c r="K70" s="131"/>
      <c r="L70" s="9">
        <f>ROW()</f>
        <v>70</v>
      </c>
    </row>
    <row r="71" spans="1:12" ht="15.75" thickBot="1" x14ac:dyDescent="0.3">
      <c r="A71" s="10"/>
      <c r="B71" s="232">
        <f t="shared" si="1"/>
        <v>45205</v>
      </c>
      <c r="C71" s="9">
        <v>11</v>
      </c>
      <c r="D71" s="75">
        <v>45205</v>
      </c>
      <c r="E71" s="74">
        <v>11</v>
      </c>
      <c r="F71" s="76" t="s">
        <v>156</v>
      </c>
      <c r="L71" s="9">
        <f>ROW()</f>
        <v>71</v>
      </c>
    </row>
    <row r="72" spans="1:12" x14ac:dyDescent="0.25">
      <c r="A72" s="10"/>
      <c r="B72" s="232">
        <f t="shared" si="1"/>
        <v>45205</v>
      </c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1:12" x14ac:dyDescent="0.25">
      <c r="A73" s="10"/>
      <c r="B73" s="232">
        <f t="shared" si="1"/>
        <v>45205</v>
      </c>
      <c r="C73" s="9">
        <v>12</v>
      </c>
      <c r="D73" s="13">
        <v>45205</v>
      </c>
      <c r="E73" s="30">
        <v>12</v>
      </c>
      <c r="F73" s="24"/>
      <c r="G73" s="101" t="s">
        <v>18</v>
      </c>
      <c r="H73" s="137" t="s">
        <v>19</v>
      </c>
      <c r="I73" s="25">
        <v>199.8</v>
      </c>
      <c r="J73" s="25"/>
      <c r="K73" s="31"/>
      <c r="L73" s="9">
        <f>ROW()</f>
        <v>73</v>
      </c>
    </row>
    <row r="74" spans="1:12" x14ac:dyDescent="0.25">
      <c r="A74" s="10"/>
      <c r="B74" s="232">
        <f t="shared" si="1"/>
        <v>45205</v>
      </c>
      <c r="C74" s="9">
        <v>12</v>
      </c>
      <c r="D74" s="13">
        <v>45205</v>
      </c>
      <c r="E74" s="30">
        <v>12</v>
      </c>
      <c r="F74" s="24"/>
      <c r="G74" s="101" t="s">
        <v>20</v>
      </c>
      <c r="H74" s="137" t="s">
        <v>21</v>
      </c>
      <c r="I74" s="25">
        <v>389.61</v>
      </c>
      <c r="J74" s="25"/>
      <c r="K74" s="31"/>
      <c r="L74" s="9">
        <f>ROW()</f>
        <v>74</v>
      </c>
    </row>
    <row r="75" spans="1:12" x14ac:dyDescent="0.25">
      <c r="A75" s="10"/>
      <c r="B75" s="232">
        <f t="shared" si="1"/>
        <v>45205</v>
      </c>
      <c r="C75" s="9">
        <v>12</v>
      </c>
      <c r="D75" s="13">
        <v>45205</v>
      </c>
      <c r="E75" s="30">
        <v>12</v>
      </c>
      <c r="F75" s="24"/>
      <c r="G75" s="101" t="s">
        <v>53</v>
      </c>
      <c r="H75" s="137" t="s">
        <v>54</v>
      </c>
      <c r="I75" s="25"/>
      <c r="J75" s="25">
        <v>4585.3999999999996</v>
      </c>
      <c r="K75" s="31"/>
      <c r="L75" s="9">
        <f>ROW()</f>
        <v>75</v>
      </c>
    </row>
    <row r="76" spans="1:12" ht="15.75" thickBot="1" x14ac:dyDescent="0.3">
      <c r="A76" s="10"/>
      <c r="B76" s="232">
        <f t="shared" si="1"/>
        <v>45205</v>
      </c>
      <c r="C76" s="9">
        <v>12</v>
      </c>
      <c r="D76" s="15">
        <v>45205</v>
      </c>
      <c r="E76" s="36">
        <v>12</v>
      </c>
      <c r="F76" s="37"/>
      <c r="G76" s="104"/>
      <c r="H76" s="138" t="s">
        <v>159</v>
      </c>
      <c r="I76" s="130"/>
      <c r="J76" s="130"/>
      <c r="K76" s="131"/>
      <c r="L76" s="9">
        <f>ROW()</f>
        <v>76</v>
      </c>
    </row>
    <row r="77" spans="1:12" ht="15.75" thickBot="1" x14ac:dyDescent="0.3">
      <c r="A77" s="10"/>
      <c r="B77" s="232">
        <f t="shared" si="1"/>
        <v>45205</v>
      </c>
      <c r="C77" s="9">
        <v>12</v>
      </c>
      <c r="D77" s="75">
        <v>45205</v>
      </c>
      <c r="E77" s="74">
        <v>12</v>
      </c>
      <c r="F77" s="76"/>
      <c r="L77" s="9">
        <f>ROW()</f>
        <v>77</v>
      </c>
    </row>
    <row r="78" spans="1:12" x14ac:dyDescent="0.25">
      <c r="A78" s="10"/>
      <c r="B78" s="232">
        <f t="shared" si="1"/>
        <v>45205</v>
      </c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1:12" x14ac:dyDescent="0.25">
      <c r="A79" s="10"/>
      <c r="B79" s="232">
        <f t="shared" si="1"/>
        <v>45205</v>
      </c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37" t="s">
        <v>19</v>
      </c>
      <c r="I79" s="25">
        <v>5</v>
      </c>
      <c r="J79" s="25"/>
      <c r="K79" s="31"/>
      <c r="L79" s="9">
        <f>ROW()</f>
        <v>79</v>
      </c>
    </row>
    <row r="80" spans="1:12" x14ac:dyDescent="0.25">
      <c r="A80" s="10"/>
      <c r="B80" s="232">
        <f t="shared" si="1"/>
        <v>45205</v>
      </c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37" t="s">
        <v>21</v>
      </c>
      <c r="I80" s="25">
        <v>9.75</v>
      </c>
      <c r="J80" s="25"/>
      <c r="K80" s="31"/>
      <c r="L80" s="9">
        <f>ROW()</f>
        <v>80</v>
      </c>
    </row>
    <row r="81" spans="1:12" x14ac:dyDescent="0.25">
      <c r="A81" s="10"/>
      <c r="B81" s="232">
        <f t="shared" si="1"/>
        <v>45205</v>
      </c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37" t="s">
        <v>54</v>
      </c>
      <c r="I81" s="25"/>
      <c r="J81" s="25">
        <v>134.75</v>
      </c>
      <c r="K81" s="31"/>
      <c r="L81" s="9">
        <f>ROW()</f>
        <v>81</v>
      </c>
    </row>
    <row r="82" spans="1:12" ht="15.75" thickBot="1" x14ac:dyDescent="0.3">
      <c r="A82" s="10"/>
      <c r="B82" s="232">
        <f t="shared" si="1"/>
        <v>45205</v>
      </c>
      <c r="C82" s="9">
        <v>13</v>
      </c>
      <c r="D82" s="15">
        <v>45205</v>
      </c>
      <c r="E82" s="36">
        <v>13</v>
      </c>
      <c r="F82" s="37" t="s">
        <v>158</v>
      </c>
      <c r="G82" s="104"/>
      <c r="H82" s="138" t="s">
        <v>160</v>
      </c>
      <c r="I82" s="130"/>
      <c r="J82" s="130"/>
      <c r="K82" s="131"/>
      <c r="L82" s="9">
        <f>ROW()</f>
        <v>82</v>
      </c>
    </row>
    <row r="83" spans="1:12" ht="15.75" thickBot="1" x14ac:dyDescent="0.3">
      <c r="A83" s="10"/>
      <c r="B83" s="232">
        <f t="shared" si="1"/>
        <v>45205</v>
      </c>
      <c r="C83" s="9">
        <v>13</v>
      </c>
      <c r="D83" s="75">
        <v>45205</v>
      </c>
      <c r="E83" s="74">
        <v>13</v>
      </c>
      <c r="F83" s="76" t="s">
        <v>158</v>
      </c>
      <c r="L83" s="9">
        <f>ROW()</f>
        <v>83</v>
      </c>
    </row>
    <row r="84" spans="1:12" x14ac:dyDescent="0.25">
      <c r="A84" s="10"/>
      <c r="B84" s="232">
        <f t="shared" si="1"/>
        <v>45204</v>
      </c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1:12" x14ac:dyDescent="0.25">
      <c r="A85" s="10"/>
      <c r="B85" s="232">
        <f t="shared" si="1"/>
        <v>45204</v>
      </c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37" t="s">
        <v>88</v>
      </c>
      <c r="I85" s="25"/>
      <c r="J85" s="25">
        <v>3062.5</v>
      </c>
      <c r="K85" s="31"/>
      <c r="L85" s="9">
        <f>ROW()</f>
        <v>85</v>
      </c>
    </row>
    <row r="86" spans="1:12" x14ac:dyDescent="0.25">
      <c r="A86" s="10"/>
      <c r="B86" s="232">
        <f t="shared" si="1"/>
        <v>45204</v>
      </c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37" t="s">
        <v>23</v>
      </c>
      <c r="I86" s="25"/>
      <c r="J86" s="25">
        <v>153.72999999999999</v>
      </c>
      <c r="K86" s="31"/>
      <c r="L86" s="9">
        <f>ROW()</f>
        <v>86</v>
      </c>
    </row>
    <row r="87" spans="1:12" x14ac:dyDescent="0.25">
      <c r="A87" s="10"/>
      <c r="B87" s="232">
        <f t="shared" si="1"/>
        <v>45204</v>
      </c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37" t="s">
        <v>25</v>
      </c>
      <c r="I87" s="25"/>
      <c r="J87" s="25">
        <v>306.68</v>
      </c>
      <c r="K87" s="31"/>
      <c r="L87" s="9">
        <f>ROW()</f>
        <v>87</v>
      </c>
    </row>
    <row r="88" spans="1:12" x14ac:dyDescent="0.25">
      <c r="A88" s="10"/>
      <c r="B88" s="232">
        <f t="shared" si="1"/>
        <v>45204</v>
      </c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37" t="s">
        <v>121</v>
      </c>
      <c r="I88" s="25"/>
      <c r="J88" s="25">
        <v>3</v>
      </c>
      <c r="K88" s="31"/>
      <c r="L88" s="9">
        <f>ROW()</f>
        <v>88</v>
      </c>
    </row>
    <row r="89" spans="1:12" x14ac:dyDescent="0.25">
      <c r="A89" s="10"/>
      <c r="B89" s="232">
        <f t="shared" si="1"/>
        <v>45204</v>
      </c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37" t="s">
        <v>119</v>
      </c>
      <c r="I89" s="25"/>
      <c r="J89" s="25">
        <v>4</v>
      </c>
      <c r="K89" s="31"/>
      <c r="L89" s="9">
        <f>ROW()</f>
        <v>89</v>
      </c>
    </row>
    <row r="90" spans="1:12" x14ac:dyDescent="0.25">
      <c r="A90" s="10"/>
      <c r="B90" s="232">
        <f t="shared" si="1"/>
        <v>45204</v>
      </c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37" t="s">
        <v>127</v>
      </c>
      <c r="I90" s="25"/>
      <c r="J90" s="25">
        <v>5</v>
      </c>
      <c r="K90" s="31"/>
      <c r="L90" s="9">
        <f>ROW()</f>
        <v>90</v>
      </c>
    </row>
    <row r="91" spans="1:12" x14ac:dyDescent="0.25">
      <c r="A91" s="10"/>
      <c r="B91" s="232">
        <f t="shared" si="1"/>
        <v>45204</v>
      </c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37" t="s">
        <v>33</v>
      </c>
      <c r="I91" s="25">
        <v>2500</v>
      </c>
      <c r="J91" s="25"/>
      <c r="K91" s="31"/>
      <c r="L91" s="9">
        <f>ROW()</f>
        <v>91</v>
      </c>
    </row>
    <row r="92" spans="1:12" ht="15.75" thickBot="1" x14ac:dyDescent="0.3">
      <c r="A92" s="10"/>
      <c r="B92" s="232">
        <f t="shared" si="1"/>
        <v>45204</v>
      </c>
      <c r="C92" s="9">
        <v>14</v>
      </c>
      <c r="D92" s="15">
        <v>45204</v>
      </c>
      <c r="E92" s="36">
        <v>14</v>
      </c>
      <c r="F92" s="37" t="s">
        <v>161</v>
      </c>
      <c r="G92" s="104"/>
      <c r="H92" s="138" t="s">
        <v>149</v>
      </c>
      <c r="I92" s="130"/>
      <c r="J92" s="130"/>
      <c r="K92" s="131"/>
      <c r="L92" s="9">
        <f>ROW()</f>
        <v>92</v>
      </c>
    </row>
    <row r="93" spans="1:12" ht="15.75" thickBot="1" x14ac:dyDescent="0.3">
      <c r="A93" s="10"/>
      <c r="B93" s="232">
        <f t="shared" si="1"/>
        <v>45204</v>
      </c>
      <c r="C93" s="9">
        <v>14</v>
      </c>
      <c r="D93" s="75">
        <v>45204</v>
      </c>
      <c r="E93" s="74">
        <v>14</v>
      </c>
      <c r="F93" s="76" t="s">
        <v>161</v>
      </c>
      <c r="L93" s="9">
        <f>ROW()</f>
        <v>93</v>
      </c>
    </row>
    <row r="94" spans="1:12" x14ac:dyDescent="0.25">
      <c r="A94" s="10"/>
      <c r="B94" s="232">
        <f t="shared" si="1"/>
        <v>45203</v>
      </c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1:12" x14ac:dyDescent="0.25">
      <c r="A95" s="10"/>
      <c r="B95" s="232">
        <f t="shared" si="1"/>
        <v>45203</v>
      </c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37" t="s">
        <v>88</v>
      </c>
      <c r="I95" s="25"/>
      <c r="J95" s="25">
        <v>1137.5</v>
      </c>
      <c r="K95" s="31"/>
      <c r="L95" s="9">
        <f>ROW()</f>
        <v>95</v>
      </c>
    </row>
    <row r="96" spans="1:12" x14ac:dyDescent="0.25">
      <c r="A96" s="10"/>
      <c r="B96" s="232">
        <f t="shared" si="1"/>
        <v>45203</v>
      </c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37" t="s">
        <v>23</v>
      </c>
      <c r="I96" s="25"/>
      <c r="J96" s="25">
        <v>64.38</v>
      </c>
      <c r="K96" s="31"/>
      <c r="L96" s="9">
        <f>ROW()</f>
        <v>96</v>
      </c>
    </row>
    <row r="97" spans="1:12" x14ac:dyDescent="0.25">
      <c r="A97" s="10"/>
      <c r="B97" s="232">
        <f t="shared" si="1"/>
        <v>45203</v>
      </c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37" t="s">
        <v>25</v>
      </c>
      <c r="I97" s="25"/>
      <c r="J97" s="25">
        <v>128.43</v>
      </c>
      <c r="K97" s="31"/>
      <c r="L97" s="9">
        <f>ROW()</f>
        <v>97</v>
      </c>
    </row>
    <row r="98" spans="1:12" x14ac:dyDescent="0.25">
      <c r="A98" s="10"/>
      <c r="B98" s="232">
        <f t="shared" si="1"/>
        <v>45203</v>
      </c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37" t="s">
        <v>121</v>
      </c>
      <c r="I98" s="25"/>
      <c r="J98" s="25">
        <v>25</v>
      </c>
      <c r="K98" s="31"/>
      <c r="L98" s="9">
        <f>ROW()</f>
        <v>98</v>
      </c>
    </row>
    <row r="99" spans="1:12" x14ac:dyDescent="0.25">
      <c r="A99" s="10"/>
      <c r="B99" s="232">
        <f t="shared" si="1"/>
        <v>45203</v>
      </c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37" t="s">
        <v>119</v>
      </c>
      <c r="I99" s="25"/>
      <c r="J99" s="25">
        <v>50</v>
      </c>
      <c r="K99" s="31"/>
      <c r="L99" s="9">
        <f>ROW()</f>
        <v>99</v>
      </c>
    </row>
    <row r="100" spans="1:12" x14ac:dyDescent="0.25">
      <c r="A100" s="10"/>
      <c r="B100" s="232">
        <f t="shared" si="1"/>
        <v>45203</v>
      </c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37" t="s">
        <v>127</v>
      </c>
      <c r="I100" s="25"/>
      <c r="J100" s="25">
        <v>75</v>
      </c>
      <c r="K100" s="31"/>
      <c r="L100" s="9">
        <f>ROW()</f>
        <v>100</v>
      </c>
    </row>
    <row r="101" spans="1:12" x14ac:dyDescent="0.25">
      <c r="A101" s="10"/>
      <c r="B101" s="232">
        <f t="shared" si="1"/>
        <v>45203</v>
      </c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37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1:12" ht="15.75" thickBot="1" x14ac:dyDescent="0.3">
      <c r="A102" s="10"/>
      <c r="B102" s="232">
        <f t="shared" si="1"/>
        <v>45203</v>
      </c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38" t="s">
        <v>149</v>
      </c>
      <c r="I102" s="130"/>
      <c r="J102" s="130"/>
      <c r="K102" s="131"/>
      <c r="L102" s="9">
        <f>ROW()</f>
        <v>102</v>
      </c>
    </row>
    <row r="103" spans="1:12" ht="15.75" thickBot="1" x14ac:dyDescent="0.3">
      <c r="A103" s="10"/>
      <c r="B103" s="232">
        <f t="shared" si="1"/>
        <v>45203</v>
      </c>
      <c r="C103" s="9">
        <v>15</v>
      </c>
      <c r="D103" s="75">
        <v>45203</v>
      </c>
      <c r="E103" s="74">
        <v>15</v>
      </c>
      <c r="F103" s="76" t="s">
        <v>162</v>
      </c>
      <c r="L103" s="9">
        <f>ROW()</f>
        <v>103</v>
      </c>
    </row>
    <row r="104" spans="1:12" x14ac:dyDescent="0.25">
      <c r="A104" s="10"/>
      <c r="B104" s="232">
        <f t="shared" si="1"/>
        <v>45205</v>
      </c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1:12" x14ac:dyDescent="0.25">
      <c r="A105" s="10"/>
      <c r="B105" s="232">
        <f t="shared" si="1"/>
        <v>45205</v>
      </c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37" t="s">
        <v>15</v>
      </c>
      <c r="I105" s="25"/>
      <c r="J105" s="25">
        <v>1034.9100000000001</v>
      </c>
      <c r="K105" s="31"/>
      <c r="L105" s="9">
        <f>ROW()</f>
        <v>105</v>
      </c>
    </row>
    <row r="106" spans="1:12" ht="15.75" thickBot="1" x14ac:dyDescent="0.3">
      <c r="A106" s="10"/>
      <c r="B106" s="232">
        <f t="shared" si="1"/>
        <v>45205</v>
      </c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38" t="s">
        <v>149</v>
      </c>
      <c r="I106" s="130"/>
      <c r="J106" s="130"/>
      <c r="K106" s="131"/>
      <c r="L106" s="9">
        <f>ROW()</f>
        <v>106</v>
      </c>
    </row>
    <row r="107" spans="1:12" ht="15.75" thickBot="1" x14ac:dyDescent="0.3">
      <c r="A107" s="10"/>
      <c r="B107" s="232">
        <f t="shared" si="1"/>
        <v>45205</v>
      </c>
      <c r="C107" s="9">
        <v>16</v>
      </c>
      <c r="D107" s="75">
        <v>45205</v>
      </c>
      <c r="E107" s="74">
        <v>16</v>
      </c>
      <c r="F107" s="76" t="s">
        <v>154</v>
      </c>
      <c r="L107" s="9">
        <f>ROW()</f>
        <v>107</v>
      </c>
    </row>
    <row r="108" spans="1:12" x14ac:dyDescent="0.25">
      <c r="A108" s="10"/>
      <c r="B108" s="232">
        <f t="shared" si="1"/>
        <v>45205</v>
      </c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1:12" x14ac:dyDescent="0.25">
      <c r="A109" s="10"/>
      <c r="B109" s="232">
        <f t="shared" si="1"/>
        <v>45205</v>
      </c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37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1:12" ht="15.75" thickBot="1" x14ac:dyDescent="0.3">
      <c r="A110" s="10"/>
      <c r="B110" s="232">
        <f t="shared" si="1"/>
        <v>45205</v>
      </c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38" t="s">
        <v>149</v>
      </c>
      <c r="I110" s="130"/>
      <c r="J110" s="130"/>
      <c r="K110" s="131"/>
      <c r="L110" s="9">
        <f>ROW()</f>
        <v>110</v>
      </c>
    </row>
    <row r="111" spans="1:12" ht="15.75" thickBot="1" x14ac:dyDescent="0.3">
      <c r="A111" s="10"/>
      <c r="B111" s="232">
        <f t="shared" si="1"/>
        <v>45205</v>
      </c>
      <c r="C111" s="9">
        <v>17</v>
      </c>
      <c r="D111" s="75">
        <v>45205</v>
      </c>
      <c r="E111" s="74">
        <v>17</v>
      </c>
      <c r="F111" s="76" t="s">
        <v>154</v>
      </c>
      <c r="L111" s="9">
        <f>ROW()</f>
        <v>111</v>
      </c>
    </row>
    <row r="112" spans="1:12" x14ac:dyDescent="0.25">
      <c r="A112" s="10"/>
      <c r="B112" s="232">
        <f t="shared" si="1"/>
        <v>44927</v>
      </c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1:12" x14ac:dyDescent="0.25">
      <c r="A113" s="10"/>
      <c r="B113" s="232">
        <f t="shared" si="1"/>
        <v>44927</v>
      </c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37" t="s">
        <v>88</v>
      </c>
      <c r="I113" s="25"/>
      <c r="J113" s="25">
        <v>3412.5</v>
      </c>
      <c r="K113" s="31"/>
      <c r="L113" s="9">
        <f>ROW()</f>
        <v>113</v>
      </c>
    </row>
    <row r="114" spans="1:12" x14ac:dyDescent="0.25">
      <c r="A114" s="10"/>
      <c r="B114" s="232">
        <f t="shared" si="1"/>
        <v>44927</v>
      </c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37" t="s">
        <v>23</v>
      </c>
      <c r="I114" s="25"/>
      <c r="J114" s="25">
        <v>170.63</v>
      </c>
      <c r="K114" s="31"/>
      <c r="L114" s="9">
        <f>ROW()</f>
        <v>114</v>
      </c>
    </row>
    <row r="115" spans="1:12" x14ac:dyDescent="0.25">
      <c r="A115" s="10"/>
      <c r="B115" s="232">
        <f t="shared" si="1"/>
        <v>44927</v>
      </c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37" t="s">
        <v>25</v>
      </c>
      <c r="I115" s="25"/>
      <c r="J115" s="25">
        <v>340.4</v>
      </c>
      <c r="K115" s="31"/>
      <c r="L115" s="9">
        <f>ROW()</f>
        <v>115</v>
      </c>
    </row>
    <row r="116" spans="1:12" ht="15.75" thickBot="1" x14ac:dyDescent="0.3">
      <c r="A116" s="10"/>
      <c r="B116" s="232">
        <f t="shared" si="1"/>
        <v>44927</v>
      </c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38" t="s">
        <v>167</v>
      </c>
      <c r="I116" s="130"/>
      <c r="J116" s="130"/>
      <c r="K116" s="131"/>
      <c r="L116" s="9">
        <f>ROW()</f>
        <v>116</v>
      </c>
    </row>
    <row r="117" spans="1:12" ht="15.75" thickBot="1" x14ac:dyDescent="0.3">
      <c r="A117" s="10"/>
      <c r="B117" s="232">
        <f t="shared" si="1"/>
        <v>44927</v>
      </c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1:12" x14ac:dyDescent="0.25">
      <c r="A118" s="10"/>
      <c r="B118" s="232">
        <f t="shared" si="1"/>
        <v>45205</v>
      </c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1:12" x14ac:dyDescent="0.25">
      <c r="A119" s="10"/>
      <c r="B119" s="232">
        <f t="shared" si="1"/>
        <v>45205</v>
      </c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37" t="s">
        <v>15</v>
      </c>
      <c r="I119" s="25"/>
      <c r="J119" s="25">
        <v>3923.53</v>
      </c>
      <c r="K119" s="31"/>
      <c r="L119" s="9">
        <f>ROW()</f>
        <v>119</v>
      </c>
    </row>
    <row r="120" spans="1:12" ht="15.75" thickBot="1" x14ac:dyDescent="0.3">
      <c r="A120" s="10"/>
      <c r="B120" s="232">
        <f t="shared" si="1"/>
        <v>45205</v>
      </c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38" t="s">
        <v>167</v>
      </c>
      <c r="I120" s="130"/>
      <c r="J120" s="130"/>
      <c r="K120" s="131"/>
      <c r="L120" s="9">
        <f>ROW()</f>
        <v>120</v>
      </c>
    </row>
    <row r="121" spans="1:12" ht="15.75" thickBot="1" x14ac:dyDescent="0.3">
      <c r="A121" s="10"/>
      <c r="B121" s="232">
        <f t="shared" si="1"/>
        <v>45205</v>
      </c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1:12" x14ac:dyDescent="0.25">
      <c r="A122" s="10"/>
      <c r="B122" s="232">
        <f t="shared" si="1"/>
        <v>45213</v>
      </c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1:12" x14ac:dyDescent="0.25">
      <c r="A123" s="10"/>
      <c r="B123" s="232">
        <f t="shared" si="1"/>
        <v>45213</v>
      </c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1" t="s">
        <v>13</v>
      </c>
      <c r="I123" s="55"/>
      <c r="J123" s="55">
        <v>5000</v>
      </c>
      <c r="K123" s="56"/>
      <c r="L123" s="9">
        <f>ROW()</f>
        <v>123</v>
      </c>
    </row>
    <row r="124" spans="1:12" ht="15.75" thickBot="1" x14ac:dyDescent="0.3">
      <c r="A124" s="10"/>
      <c r="B124" s="232">
        <f t="shared" si="1"/>
        <v>45213</v>
      </c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38" t="s">
        <v>157</v>
      </c>
      <c r="I124" s="130"/>
      <c r="J124" s="130"/>
      <c r="K124" s="131"/>
      <c r="L124" s="9">
        <f>ROW()</f>
        <v>124</v>
      </c>
    </row>
    <row r="125" spans="1:12" ht="15.75" thickBot="1" x14ac:dyDescent="0.3">
      <c r="A125" s="10"/>
      <c r="B125" s="232">
        <f t="shared" si="1"/>
        <v>45213</v>
      </c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1:12" x14ac:dyDescent="0.25">
      <c r="A126" s="10"/>
      <c r="B126" s="232">
        <f t="shared" si="1"/>
        <v>45219</v>
      </c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1:12" x14ac:dyDescent="0.25">
      <c r="A127" s="10"/>
      <c r="B127" s="232">
        <f t="shared" si="1"/>
        <v>45219</v>
      </c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1" t="s">
        <v>13</v>
      </c>
      <c r="I127" s="55"/>
      <c r="J127" s="55">
        <v>5000</v>
      </c>
      <c r="K127" s="56"/>
      <c r="L127" s="9">
        <f>ROW()</f>
        <v>127</v>
      </c>
    </row>
    <row r="128" spans="1:12" ht="15.75" thickBot="1" x14ac:dyDescent="0.3">
      <c r="A128" s="10"/>
      <c r="B128" s="232">
        <f t="shared" si="1"/>
        <v>45219</v>
      </c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38" t="s">
        <v>168</v>
      </c>
      <c r="I128" s="130"/>
      <c r="J128" s="130"/>
      <c r="K128" s="131"/>
      <c r="L128" s="9">
        <f>ROW()</f>
        <v>128</v>
      </c>
    </row>
    <row r="129" spans="1:12" ht="15.75" thickBot="1" x14ac:dyDescent="0.3">
      <c r="A129" s="10"/>
      <c r="B129" s="232">
        <f t="shared" si="1"/>
        <v>45219</v>
      </c>
      <c r="C129" s="9">
        <v>21</v>
      </c>
      <c r="D129" s="75">
        <v>45219</v>
      </c>
      <c r="E129" s="74">
        <v>21</v>
      </c>
      <c r="F129" s="77" t="s">
        <v>156</v>
      </c>
      <c r="L129" s="9">
        <f>ROW()</f>
        <v>129</v>
      </c>
    </row>
    <row r="130" spans="1:12" x14ac:dyDescent="0.25">
      <c r="A130" s="10"/>
      <c r="B130" s="232">
        <f t="shared" si="1"/>
        <v>45230</v>
      </c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1:12" x14ac:dyDescent="0.25">
      <c r="A131" s="10"/>
      <c r="B131" s="232">
        <f t="shared" ref="B131:B194" si="2">D131</f>
        <v>45230</v>
      </c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37" t="s">
        <v>13</v>
      </c>
      <c r="I131" s="25"/>
      <c r="J131" s="25">
        <v>25.99</v>
      </c>
      <c r="K131" s="31"/>
      <c r="L131" s="9">
        <f>ROW()</f>
        <v>131</v>
      </c>
    </row>
    <row r="132" spans="1:12" ht="15.75" thickBot="1" x14ac:dyDescent="0.3">
      <c r="A132" s="10"/>
      <c r="B132" s="232">
        <f t="shared" si="2"/>
        <v>45230</v>
      </c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38" t="s">
        <v>170</v>
      </c>
      <c r="I132" s="130"/>
      <c r="J132" s="130"/>
      <c r="K132" s="131"/>
      <c r="L132" s="9">
        <f>ROW()</f>
        <v>132</v>
      </c>
    </row>
    <row r="133" spans="1:12" ht="15.75" thickBot="1" x14ac:dyDescent="0.3">
      <c r="A133" s="10"/>
      <c r="B133" s="232">
        <f t="shared" si="2"/>
        <v>45230</v>
      </c>
      <c r="C133" s="9">
        <v>22</v>
      </c>
      <c r="D133" s="75">
        <v>45230</v>
      </c>
      <c r="E133" s="74">
        <v>22</v>
      </c>
      <c r="F133" s="77" t="s">
        <v>169</v>
      </c>
      <c r="L133" s="9">
        <f>ROW()</f>
        <v>133</v>
      </c>
    </row>
    <row r="134" spans="1:12" x14ac:dyDescent="0.25">
      <c r="A134" s="10"/>
      <c r="B134" s="232">
        <f t="shared" si="2"/>
        <v>45206</v>
      </c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1:12" x14ac:dyDescent="0.25">
      <c r="A135" s="10"/>
      <c r="B135" s="232">
        <f t="shared" si="2"/>
        <v>45206</v>
      </c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1" t="s">
        <v>15</v>
      </c>
      <c r="I135" s="55"/>
      <c r="J135" s="55">
        <v>149.94999999999999</v>
      </c>
      <c r="K135" s="56"/>
      <c r="L135" s="9">
        <f>ROW()</f>
        <v>135</v>
      </c>
    </row>
    <row r="136" spans="1:12" x14ac:dyDescent="0.25">
      <c r="A136" s="10"/>
      <c r="B136" s="232">
        <f t="shared" si="2"/>
        <v>45206</v>
      </c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1" t="s">
        <v>19</v>
      </c>
      <c r="I136" s="55">
        <v>10</v>
      </c>
      <c r="J136" s="55"/>
      <c r="K136" s="56"/>
      <c r="L136" s="9">
        <f>ROW()</f>
        <v>136</v>
      </c>
    </row>
    <row r="137" spans="1:12" x14ac:dyDescent="0.25">
      <c r="A137" s="10"/>
      <c r="B137" s="232">
        <f t="shared" si="2"/>
        <v>45206</v>
      </c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1" t="s">
        <v>21</v>
      </c>
      <c r="I137" s="55"/>
      <c r="J137" s="55">
        <v>20</v>
      </c>
      <c r="K137" s="56"/>
      <c r="L137" s="9">
        <f>ROW()</f>
        <v>137</v>
      </c>
    </row>
    <row r="138" spans="1:12" ht="15.75" thickBot="1" x14ac:dyDescent="0.3">
      <c r="A138" s="10"/>
      <c r="B138" s="232">
        <f t="shared" si="2"/>
        <v>45206</v>
      </c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38" t="s">
        <v>173</v>
      </c>
      <c r="I138" s="130"/>
      <c r="J138" s="130"/>
      <c r="K138" s="131"/>
      <c r="L138" s="9">
        <f>ROW()</f>
        <v>138</v>
      </c>
    </row>
    <row r="139" spans="1:12" ht="15.75" thickBot="1" x14ac:dyDescent="0.3">
      <c r="A139" s="10"/>
      <c r="B139" s="232">
        <f t="shared" si="2"/>
        <v>45206</v>
      </c>
      <c r="C139" s="9">
        <v>23</v>
      </c>
      <c r="D139" s="78">
        <v>45206</v>
      </c>
      <c r="E139" s="79">
        <v>23</v>
      </c>
      <c r="F139" s="80" t="s">
        <v>172</v>
      </c>
      <c r="L139" s="9">
        <f>ROW()</f>
        <v>139</v>
      </c>
    </row>
    <row r="140" spans="1:12" x14ac:dyDescent="0.25">
      <c r="A140" s="10"/>
      <c r="B140" s="232">
        <f t="shared" si="2"/>
        <v>45179</v>
      </c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1:12" x14ac:dyDescent="0.25">
      <c r="A141" s="10"/>
      <c r="B141" s="232">
        <f t="shared" si="2"/>
        <v>45179</v>
      </c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1" t="s">
        <v>107</v>
      </c>
      <c r="I141" s="55"/>
      <c r="J141" s="55">
        <v>15</v>
      </c>
      <c r="K141" s="56"/>
      <c r="L141" s="9">
        <f>ROW()</f>
        <v>141</v>
      </c>
    </row>
    <row r="142" spans="1:12" ht="15.75" thickBot="1" x14ac:dyDescent="0.3">
      <c r="A142" s="10"/>
      <c r="B142" s="232">
        <f t="shared" si="2"/>
        <v>45179</v>
      </c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38" t="s">
        <v>174</v>
      </c>
      <c r="I142" s="130"/>
      <c r="J142" s="130"/>
      <c r="K142" s="131"/>
      <c r="L142" s="9">
        <f>ROW()</f>
        <v>142</v>
      </c>
    </row>
    <row r="143" spans="1:12" ht="15.75" thickBot="1" x14ac:dyDescent="0.3">
      <c r="A143" s="10"/>
      <c r="B143" s="232">
        <f t="shared" si="2"/>
        <v>45179</v>
      </c>
      <c r="C143" s="9">
        <v>24</v>
      </c>
      <c r="D143" s="78">
        <v>45179</v>
      </c>
      <c r="E143" s="79">
        <v>24</v>
      </c>
      <c r="F143" s="80" t="s">
        <v>172</v>
      </c>
      <c r="L143" s="9">
        <f>ROW()</f>
        <v>143</v>
      </c>
    </row>
    <row r="144" spans="1:12" x14ac:dyDescent="0.25">
      <c r="A144" s="10"/>
      <c r="B144" s="232">
        <f t="shared" si="2"/>
        <v>45230</v>
      </c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1:12" x14ac:dyDescent="0.25">
      <c r="A145" s="10"/>
      <c r="B145" s="232">
        <f t="shared" si="2"/>
        <v>45230</v>
      </c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1" t="s">
        <v>13</v>
      </c>
      <c r="I145" s="55"/>
      <c r="J145" s="55">
        <v>19.95</v>
      </c>
      <c r="K145" s="56"/>
      <c r="L145" s="9">
        <f>ROW()</f>
        <v>145</v>
      </c>
    </row>
    <row r="146" spans="1:12" ht="15.75" thickBot="1" x14ac:dyDescent="0.3">
      <c r="A146" s="10"/>
      <c r="B146" s="232">
        <f t="shared" si="2"/>
        <v>45230</v>
      </c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38" t="s">
        <v>176</v>
      </c>
      <c r="I146" s="130"/>
      <c r="J146" s="130"/>
      <c r="K146" s="131"/>
      <c r="L146" s="9">
        <f>ROW()</f>
        <v>146</v>
      </c>
    </row>
    <row r="147" spans="1:12" ht="15.75" thickBot="1" x14ac:dyDescent="0.3">
      <c r="A147" s="10"/>
      <c r="B147" s="232">
        <f t="shared" si="2"/>
        <v>45230</v>
      </c>
      <c r="C147" s="9">
        <v>25</v>
      </c>
      <c r="D147" s="78">
        <v>45230</v>
      </c>
      <c r="E147" s="79">
        <v>25</v>
      </c>
      <c r="F147" s="80" t="s">
        <v>175</v>
      </c>
      <c r="L147" s="9">
        <f>ROW()</f>
        <v>147</v>
      </c>
    </row>
    <row r="148" spans="1:12" x14ac:dyDescent="0.25">
      <c r="A148" s="10"/>
      <c r="B148" s="232">
        <f t="shared" si="2"/>
        <v>45056</v>
      </c>
      <c r="C148" s="9">
        <v>26</v>
      </c>
      <c r="D148" s="47">
        <v>45056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1:12" x14ac:dyDescent="0.25">
      <c r="A149" s="10"/>
      <c r="B149" s="232">
        <f t="shared" si="2"/>
        <v>45056</v>
      </c>
      <c r="C149" s="9">
        <v>26</v>
      </c>
      <c r="D149" s="52">
        <v>45056</v>
      </c>
      <c r="E149" s="61">
        <v>26</v>
      </c>
      <c r="F149" s="62" t="s">
        <v>175</v>
      </c>
      <c r="G149" s="109" t="s">
        <v>12</v>
      </c>
      <c r="H149" s="141" t="s">
        <v>13</v>
      </c>
      <c r="I149" s="55"/>
      <c r="J149" s="55">
        <v>25</v>
      </c>
      <c r="K149" s="56"/>
      <c r="L149" s="9">
        <f>ROW()</f>
        <v>149</v>
      </c>
    </row>
    <row r="150" spans="1:12" ht="15.75" thickBot="1" x14ac:dyDescent="0.3">
      <c r="A150" s="10"/>
      <c r="B150" s="232">
        <f t="shared" si="2"/>
        <v>45056</v>
      </c>
      <c r="C150" s="9">
        <v>26</v>
      </c>
      <c r="D150" s="57">
        <v>45056</v>
      </c>
      <c r="E150" s="64">
        <v>26</v>
      </c>
      <c r="F150" s="65" t="s">
        <v>175</v>
      </c>
      <c r="G150" s="110"/>
      <c r="H150" s="138" t="s">
        <v>177</v>
      </c>
      <c r="I150" s="130"/>
      <c r="J150" s="130"/>
      <c r="K150" s="131"/>
      <c r="L150" s="9">
        <f>ROW()</f>
        <v>150</v>
      </c>
    </row>
    <row r="151" spans="1:12" ht="15.75" thickBot="1" x14ac:dyDescent="0.3">
      <c r="A151" s="10"/>
      <c r="B151" s="232">
        <f t="shared" si="2"/>
        <v>45056</v>
      </c>
      <c r="C151" s="9">
        <v>26</v>
      </c>
      <c r="D151" s="75">
        <v>45056</v>
      </c>
      <c r="E151" s="74">
        <v>26</v>
      </c>
      <c r="F151" s="77" t="s">
        <v>175</v>
      </c>
      <c r="L151" s="9">
        <f>ROW()</f>
        <v>151</v>
      </c>
    </row>
    <row r="152" spans="1:12" x14ac:dyDescent="0.25">
      <c r="A152" s="10"/>
      <c r="B152" s="232">
        <f t="shared" si="2"/>
        <v>45148</v>
      </c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1:12" x14ac:dyDescent="0.25">
      <c r="A153" s="10"/>
      <c r="B153" s="232">
        <f t="shared" si="2"/>
        <v>45148</v>
      </c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37" t="s">
        <v>13</v>
      </c>
      <c r="I153" s="25"/>
      <c r="J153" s="25">
        <v>25</v>
      </c>
      <c r="K153" s="31"/>
      <c r="L153" s="9">
        <f>ROW()</f>
        <v>153</v>
      </c>
    </row>
    <row r="154" spans="1:12" ht="15.75" thickBot="1" x14ac:dyDescent="0.3">
      <c r="A154" s="10"/>
      <c r="B154" s="232">
        <f t="shared" si="2"/>
        <v>45148</v>
      </c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38" t="s">
        <v>177</v>
      </c>
      <c r="I154" s="130"/>
      <c r="J154" s="130"/>
      <c r="K154" s="131"/>
      <c r="L154" s="9">
        <f>ROW()</f>
        <v>154</v>
      </c>
    </row>
    <row r="155" spans="1:12" ht="15.75" thickBot="1" x14ac:dyDescent="0.3">
      <c r="A155" s="10"/>
      <c r="B155" s="232">
        <f t="shared" si="2"/>
        <v>45148</v>
      </c>
      <c r="C155" s="9">
        <v>27</v>
      </c>
      <c r="D155" s="78">
        <v>45148</v>
      </c>
      <c r="E155" s="79">
        <v>26</v>
      </c>
      <c r="F155" s="80" t="s">
        <v>175</v>
      </c>
      <c r="L155" s="9">
        <f>ROW()</f>
        <v>155</v>
      </c>
    </row>
    <row r="156" spans="1:12" x14ac:dyDescent="0.25">
      <c r="A156" s="10"/>
      <c r="B156" s="232">
        <f t="shared" si="2"/>
        <v>45198</v>
      </c>
      <c r="C156" s="9">
        <v>28</v>
      </c>
      <c r="D156" s="12">
        <v>45198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1:12" x14ac:dyDescent="0.25">
      <c r="A157" s="10"/>
      <c r="B157" s="232">
        <f t="shared" si="2"/>
        <v>45198</v>
      </c>
      <c r="C157" s="9">
        <v>28</v>
      </c>
      <c r="D157" s="68">
        <v>45198</v>
      </c>
      <c r="E157" s="69">
        <v>28</v>
      </c>
      <c r="F157" s="70" t="s">
        <v>178</v>
      </c>
      <c r="G157" s="101" t="s">
        <v>32</v>
      </c>
      <c r="H157" s="137" t="s">
        <v>33</v>
      </c>
      <c r="I157" s="25"/>
      <c r="J157" s="25">
        <v>795</v>
      </c>
      <c r="K157" s="31"/>
      <c r="L157" s="9">
        <f>ROW()</f>
        <v>157</v>
      </c>
    </row>
    <row r="158" spans="1:12" ht="15.75" thickBot="1" x14ac:dyDescent="0.3">
      <c r="A158" s="10"/>
      <c r="B158" s="232">
        <f t="shared" si="2"/>
        <v>45198</v>
      </c>
      <c r="C158" s="9">
        <v>28</v>
      </c>
      <c r="D158" s="71">
        <v>45198</v>
      </c>
      <c r="E158" s="72">
        <v>28</v>
      </c>
      <c r="F158" s="73" t="s">
        <v>178</v>
      </c>
      <c r="G158" s="106"/>
      <c r="H158" s="138" t="s">
        <v>179</v>
      </c>
      <c r="I158" s="130"/>
      <c r="J158" s="130"/>
      <c r="K158" s="131"/>
      <c r="L158" s="9">
        <f>ROW()</f>
        <v>158</v>
      </c>
    </row>
    <row r="159" spans="1:12" ht="15.75" thickBot="1" x14ac:dyDescent="0.3">
      <c r="A159" s="10"/>
      <c r="B159" s="232">
        <f t="shared" si="2"/>
        <v>45198</v>
      </c>
      <c r="C159" s="9">
        <v>28</v>
      </c>
      <c r="D159" s="78">
        <v>45198</v>
      </c>
      <c r="E159" s="79">
        <v>28</v>
      </c>
      <c r="F159" s="80" t="s">
        <v>178</v>
      </c>
      <c r="L159" s="9">
        <f>ROW()</f>
        <v>159</v>
      </c>
    </row>
    <row r="160" spans="1:12" x14ac:dyDescent="0.25">
      <c r="A160" s="10"/>
      <c r="B160" s="232">
        <f t="shared" si="2"/>
        <v>45087</v>
      </c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1:12" x14ac:dyDescent="0.25">
      <c r="A161" s="10"/>
      <c r="B161" s="232">
        <f t="shared" si="2"/>
        <v>45087</v>
      </c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2" t="s">
        <v>88</v>
      </c>
      <c r="I161" s="87"/>
      <c r="J161" s="87">
        <v>2275</v>
      </c>
      <c r="K161" s="88"/>
      <c r="L161" s="9">
        <f>ROW()</f>
        <v>161</v>
      </c>
    </row>
    <row r="162" spans="1:12" x14ac:dyDescent="0.25">
      <c r="A162" s="10"/>
      <c r="B162" s="232">
        <f t="shared" si="2"/>
        <v>45087</v>
      </c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2" t="s">
        <v>121</v>
      </c>
      <c r="I162" s="87"/>
      <c r="J162" s="87">
        <v>11</v>
      </c>
      <c r="K162" s="88"/>
      <c r="L162" s="9">
        <f>ROW()</f>
        <v>162</v>
      </c>
    </row>
    <row r="163" spans="1:12" x14ac:dyDescent="0.25">
      <c r="A163" s="10"/>
      <c r="B163" s="232">
        <f t="shared" si="2"/>
        <v>45087</v>
      </c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2" t="s">
        <v>119</v>
      </c>
      <c r="I163" s="87"/>
      <c r="J163" s="87">
        <v>12</v>
      </c>
      <c r="K163" s="88"/>
      <c r="L163" s="9">
        <f>ROW()</f>
        <v>163</v>
      </c>
    </row>
    <row r="164" spans="1:12" x14ac:dyDescent="0.25">
      <c r="A164" s="10"/>
      <c r="B164" s="232">
        <f t="shared" si="2"/>
        <v>45087</v>
      </c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2" t="s">
        <v>127</v>
      </c>
      <c r="I164" s="87"/>
      <c r="J164" s="87">
        <v>13</v>
      </c>
      <c r="K164" s="88"/>
      <c r="L164" s="9">
        <f>ROW()</f>
        <v>164</v>
      </c>
    </row>
    <row r="165" spans="1:12" x14ac:dyDescent="0.25">
      <c r="A165" s="10"/>
      <c r="B165" s="232">
        <f t="shared" si="2"/>
        <v>45087</v>
      </c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2" t="s">
        <v>23</v>
      </c>
      <c r="I165" s="87"/>
      <c r="J165" s="87">
        <v>115.55</v>
      </c>
      <c r="K165" s="88"/>
      <c r="L165" s="9">
        <f>ROW()</f>
        <v>165</v>
      </c>
    </row>
    <row r="166" spans="1:12" x14ac:dyDescent="0.25">
      <c r="A166" s="10"/>
      <c r="B166" s="232">
        <f t="shared" si="2"/>
        <v>45087</v>
      </c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2" t="s">
        <v>25</v>
      </c>
      <c r="I166" s="87"/>
      <c r="J166" s="87">
        <v>230.52</v>
      </c>
      <c r="K166" s="88"/>
      <c r="L166" s="9">
        <f>ROW()</f>
        <v>166</v>
      </c>
    </row>
    <row r="167" spans="1:12" x14ac:dyDescent="0.25">
      <c r="A167" s="10"/>
      <c r="B167" s="232">
        <f t="shared" si="2"/>
        <v>45087</v>
      </c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2" t="s">
        <v>33</v>
      </c>
      <c r="I167" s="87">
        <v>500</v>
      </c>
      <c r="J167" s="87"/>
      <c r="K167" s="88"/>
      <c r="L167" s="9">
        <f>ROW()</f>
        <v>167</v>
      </c>
    </row>
    <row r="168" spans="1:12" ht="15.75" thickBot="1" x14ac:dyDescent="0.3">
      <c r="A168" s="10"/>
      <c r="B168" s="232">
        <f t="shared" si="2"/>
        <v>45087</v>
      </c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38" t="s">
        <v>149</v>
      </c>
      <c r="I168" s="130"/>
      <c r="J168" s="130"/>
      <c r="K168" s="131"/>
      <c r="L168" s="9">
        <f>ROW()</f>
        <v>168</v>
      </c>
    </row>
    <row r="169" spans="1:12" ht="15.75" thickBot="1" x14ac:dyDescent="0.3">
      <c r="A169" s="10"/>
      <c r="B169" s="232">
        <f t="shared" si="2"/>
        <v>45087</v>
      </c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29"/>
      <c r="I169" s="99"/>
      <c r="J169" s="99"/>
      <c r="K169" s="98"/>
      <c r="L169" s="9">
        <f>ROW()</f>
        <v>169</v>
      </c>
    </row>
    <row r="170" spans="1:12" ht="15.75" thickBot="1" x14ac:dyDescent="0.3">
      <c r="A170" s="10"/>
      <c r="B170" s="232">
        <f t="shared" si="2"/>
        <v>45208</v>
      </c>
      <c r="C170" s="9">
        <v>30</v>
      </c>
      <c r="D170" s="81">
        <v>45208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1:12" x14ac:dyDescent="0.25">
      <c r="A171" s="10"/>
      <c r="B171" s="232">
        <f t="shared" si="2"/>
        <v>45208</v>
      </c>
      <c r="C171" s="9">
        <v>30</v>
      </c>
      <c r="D171" s="159">
        <v>45208</v>
      </c>
      <c r="E171" s="66">
        <v>30</v>
      </c>
      <c r="F171" s="67" t="s">
        <v>185</v>
      </c>
      <c r="G171" s="112" t="s">
        <v>87</v>
      </c>
      <c r="H171" s="142" t="s">
        <v>88</v>
      </c>
      <c r="I171" s="87"/>
      <c r="J171" s="87">
        <v>15750</v>
      </c>
      <c r="K171" s="88"/>
      <c r="L171" s="9">
        <f>ROW()</f>
        <v>171</v>
      </c>
    </row>
    <row r="172" spans="1:12" x14ac:dyDescent="0.25">
      <c r="A172" s="10"/>
      <c r="B172" s="232">
        <f t="shared" si="2"/>
        <v>45208</v>
      </c>
      <c r="C172" s="9">
        <v>30</v>
      </c>
      <c r="D172" s="89">
        <v>45208</v>
      </c>
      <c r="E172" s="66">
        <v>30</v>
      </c>
      <c r="F172" s="67" t="s">
        <v>185</v>
      </c>
      <c r="G172" s="112" t="s">
        <v>118</v>
      </c>
      <c r="H172" s="142" t="s">
        <v>119</v>
      </c>
      <c r="I172" s="87"/>
      <c r="J172" s="87">
        <v>111</v>
      </c>
      <c r="K172" s="88"/>
      <c r="L172" s="9">
        <f>ROW()</f>
        <v>172</v>
      </c>
    </row>
    <row r="173" spans="1:12" x14ac:dyDescent="0.25">
      <c r="A173" s="10"/>
      <c r="B173" s="232">
        <f t="shared" si="2"/>
        <v>45208</v>
      </c>
      <c r="C173" s="9">
        <v>30</v>
      </c>
      <c r="D173" s="89">
        <v>45208</v>
      </c>
      <c r="E173" s="66">
        <v>30</v>
      </c>
      <c r="F173" s="67" t="s">
        <v>185</v>
      </c>
      <c r="G173" s="112" t="s">
        <v>120</v>
      </c>
      <c r="H173" s="142" t="s">
        <v>121</v>
      </c>
      <c r="I173" s="87"/>
      <c r="J173" s="87">
        <v>222</v>
      </c>
      <c r="K173" s="88"/>
      <c r="L173" s="9">
        <f>ROW()</f>
        <v>173</v>
      </c>
    </row>
    <row r="174" spans="1:12" x14ac:dyDescent="0.25">
      <c r="A174" s="10"/>
      <c r="B174" s="232">
        <f t="shared" si="2"/>
        <v>45208</v>
      </c>
      <c r="C174" s="9">
        <v>30</v>
      </c>
      <c r="D174" s="89">
        <v>45208</v>
      </c>
      <c r="E174" s="66">
        <v>30</v>
      </c>
      <c r="F174" s="67" t="s">
        <v>185</v>
      </c>
      <c r="G174" s="112" t="s">
        <v>126</v>
      </c>
      <c r="H174" s="142" t="s">
        <v>127</v>
      </c>
      <c r="I174" s="87"/>
      <c r="J174" s="87">
        <v>333</v>
      </c>
      <c r="K174" s="88"/>
      <c r="L174" s="9">
        <f>ROW()</f>
        <v>174</v>
      </c>
    </row>
    <row r="175" spans="1:12" x14ac:dyDescent="0.25">
      <c r="A175" s="10"/>
      <c r="B175" s="232">
        <f t="shared" si="2"/>
        <v>45208</v>
      </c>
      <c r="C175" s="9">
        <v>30</v>
      </c>
      <c r="D175" s="89">
        <v>45208</v>
      </c>
      <c r="E175" s="66">
        <v>30</v>
      </c>
      <c r="F175" s="67" t="s">
        <v>185</v>
      </c>
      <c r="G175" s="112" t="s">
        <v>22</v>
      </c>
      <c r="H175" s="142" t="s">
        <v>23</v>
      </c>
      <c r="I175" s="87"/>
      <c r="J175" s="87">
        <v>820.8</v>
      </c>
      <c r="K175" s="88"/>
      <c r="L175" s="9">
        <f>ROW()</f>
        <v>175</v>
      </c>
    </row>
    <row r="176" spans="1:12" x14ac:dyDescent="0.25">
      <c r="A176" s="10"/>
      <c r="B176" s="232">
        <f t="shared" si="2"/>
        <v>45208</v>
      </c>
      <c r="C176" s="9">
        <v>30</v>
      </c>
      <c r="D176" s="89">
        <v>45208</v>
      </c>
      <c r="E176" s="66">
        <v>30</v>
      </c>
      <c r="F176" s="67" t="s">
        <v>185</v>
      </c>
      <c r="G176" s="112" t="s">
        <v>24</v>
      </c>
      <c r="H176" s="142" t="s">
        <v>25</v>
      </c>
      <c r="I176" s="87"/>
      <c r="J176" s="87">
        <v>1637.5</v>
      </c>
      <c r="K176" s="88"/>
      <c r="L176" s="9">
        <f>ROW()</f>
        <v>176</v>
      </c>
    </row>
    <row r="177" spans="1:12" x14ac:dyDescent="0.25">
      <c r="A177" s="10"/>
      <c r="B177" s="232">
        <f t="shared" si="2"/>
        <v>45208</v>
      </c>
      <c r="C177" s="9">
        <v>30</v>
      </c>
      <c r="D177" s="89">
        <v>45208</v>
      </c>
      <c r="E177" s="66">
        <v>30</v>
      </c>
      <c r="F177" s="67" t="s">
        <v>185</v>
      </c>
      <c r="G177" s="112" t="s">
        <v>32</v>
      </c>
      <c r="H177" s="142" t="s">
        <v>51</v>
      </c>
      <c r="I177" s="87">
        <v>2500</v>
      </c>
      <c r="J177" s="87"/>
      <c r="K177" s="88"/>
      <c r="L177" s="9">
        <f>ROW()</f>
        <v>177</v>
      </c>
    </row>
    <row r="178" spans="1:12" ht="15.75" thickBot="1" x14ac:dyDescent="0.3">
      <c r="A178" s="10"/>
      <c r="B178" s="232">
        <f t="shared" si="2"/>
        <v>45208</v>
      </c>
      <c r="C178" s="9">
        <v>30</v>
      </c>
      <c r="D178" s="160">
        <v>45208</v>
      </c>
      <c r="E178" s="132">
        <v>30</v>
      </c>
      <c r="F178" s="133" t="s">
        <v>185</v>
      </c>
      <c r="G178" s="113"/>
      <c r="H178" s="143" t="s">
        <v>149</v>
      </c>
      <c r="I178" s="134"/>
      <c r="J178" s="134"/>
      <c r="K178" s="135"/>
      <c r="L178" s="9">
        <f>ROW()</f>
        <v>178</v>
      </c>
    </row>
    <row r="179" spans="1:12" ht="15.75" thickBot="1" x14ac:dyDescent="0.3">
      <c r="A179" s="10"/>
      <c r="B179" s="232">
        <f t="shared" si="2"/>
        <v>45208</v>
      </c>
      <c r="C179" s="9">
        <v>30</v>
      </c>
      <c r="D179" s="161">
        <v>45208</v>
      </c>
      <c r="E179" s="79">
        <v>30</v>
      </c>
      <c r="F179" s="80" t="s">
        <v>185</v>
      </c>
      <c r="L179" s="9">
        <f>ROW()</f>
        <v>179</v>
      </c>
    </row>
    <row r="180" spans="1:12" x14ac:dyDescent="0.25">
      <c r="A180" s="10"/>
      <c r="B180" s="232">
        <f t="shared" si="2"/>
        <v>45211</v>
      </c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45" t="s">
        <v>127</v>
      </c>
      <c r="I180" s="84">
        <v>15.91</v>
      </c>
      <c r="J180" s="84"/>
      <c r="K180" s="146"/>
      <c r="L180" s="9">
        <f>ROW()</f>
        <v>180</v>
      </c>
    </row>
    <row r="181" spans="1:12" x14ac:dyDescent="0.25">
      <c r="A181" s="10"/>
      <c r="B181" s="232">
        <f t="shared" si="2"/>
        <v>45211</v>
      </c>
      <c r="C181" s="9">
        <v>31</v>
      </c>
      <c r="D181" s="160">
        <v>45211</v>
      </c>
      <c r="E181" s="66">
        <v>31</v>
      </c>
      <c r="F181" s="67" t="s">
        <v>186</v>
      </c>
      <c r="G181" s="112" t="s">
        <v>12</v>
      </c>
      <c r="H181" s="147" t="s">
        <v>13</v>
      </c>
      <c r="I181" s="87"/>
      <c r="J181" s="87">
        <v>15.91</v>
      </c>
      <c r="K181" s="148"/>
      <c r="L181" s="9">
        <f>ROW()</f>
        <v>181</v>
      </c>
    </row>
    <row r="182" spans="1:12" ht="15.75" thickBot="1" x14ac:dyDescent="0.3">
      <c r="A182" s="10"/>
      <c r="B182" s="232">
        <f t="shared" si="2"/>
        <v>45211</v>
      </c>
      <c r="C182" s="9">
        <v>31</v>
      </c>
      <c r="D182" s="160">
        <v>45211</v>
      </c>
      <c r="E182" s="132">
        <v>31</v>
      </c>
      <c r="F182" s="133" t="s">
        <v>186</v>
      </c>
      <c r="G182" s="113"/>
      <c r="H182" s="143" t="s">
        <v>187</v>
      </c>
      <c r="I182" s="134"/>
      <c r="J182" s="134"/>
      <c r="K182" s="135"/>
      <c r="L182" s="9">
        <f>ROW()</f>
        <v>182</v>
      </c>
    </row>
    <row r="183" spans="1:12" ht="15.75" thickBot="1" x14ac:dyDescent="0.3">
      <c r="A183" s="10"/>
      <c r="B183" s="232">
        <f t="shared" si="2"/>
        <v>45211</v>
      </c>
      <c r="C183" s="9">
        <v>31</v>
      </c>
      <c r="D183" s="95">
        <v>45211</v>
      </c>
      <c r="E183" s="79">
        <v>31</v>
      </c>
      <c r="F183" s="80" t="s">
        <v>186</v>
      </c>
      <c r="H183" s="144"/>
      <c r="K183" s="28"/>
      <c r="L183" s="9">
        <f>ROW()</f>
        <v>183</v>
      </c>
    </row>
    <row r="184" spans="1:12" x14ac:dyDescent="0.25">
      <c r="A184" s="10"/>
      <c r="B184" s="232">
        <f t="shared" si="2"/>
        <v>45210</v>
      </c>
      <c r="C184" s="9">
        <v>32</v>
      </c>
      <c r="D184" s="150">
        <v>45210</v>
      </c>
      <c r="E184" s="151">
        <v>32</v>
      </c>
      <c r="F184" s="129" t="s">
        <v>172</v>
      </c>
      <c r="G184" s="114" t="s">
        <v>126</v>
      </c>
      <c r="H184" s="129" t="s">
        <v>127</v>
      </c>
      <c r="I184" s="99">
        <v>24.99</v>
      </c>
      <c r="J184" s="99"/>
      <c r="K184" s="152"/>
      <c r="L184" s="9">
        <f>ROW()</f>
        <v>184</v>
      </c>
    </row>
    <row r="185" spans="1:12" x14ac:dyDescent="0.25">
      <c r="A185" s="10"/>
      <c r="B185" s="232">
        <f t="shared" si="2"/>
        <v>45210</v>
      </c>
      <c r="C185" s="9">
        <v>32</v>
      </c>
      <c r="D185" s="153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54"/>
      <c r="L185" s="9">
        <f>ROW()</f>
        <v>185</v>
      </c>
    </row>
    <row r="186" spans="1:12" ht="15.75" thickBot="1" x14ac:dyDescent="0.3">
      <c r="A186" s="10"/>
      <c r="B186" s="232">
        <f t="shared" si="2"/>
        <v>45210</v>
      </c>
      <c r="C186" s="9">
        <v>32</v>
      </c>
      <c r="D186" s="155">
        <v>45210</v>
      </c>
      <c r="E186" s="156">
        <v>32</v>
      </c>
      <c r="F186" s="157" t="s">
        <v>172</v>
      </c>
      <c r="G186" s="158"/>
      <c r="H186" s="143" t="s">
        <v>188</v>
      </c>
      <c r="I186" s="134"/>
      <c r="J186" s="134"/>
      <c r="K186" s="135"/>
      <c r="L186" s="9">
        <f>ROW()</f>
        <v>186</v>
      </c>
    </row>
    <row r="187" spans="1:12" ht="15.75" thickBot="1" x14ac:dyDescent="0.3">
      <c r="A187" s="10"/>
      <c r="B187" s="232">
        <f t="shared" si="2"/>
        <v>45210</v>
      </c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1:12" x14ac:dyDescent="0.25">
      <c r="A188" s="10"/>
      <c r="B188" s="232">
        <f t="shared" si="2"/>
        <v>45213</v>
      </c>
      <c r="C188" s="9">
        <v>33</v>
      </c>
      <c r="D188" s="150">
        <v>45213</v>
      </c>
      <c r="E188" s="151">
        <v>33</v>
      </c>
      <c r="F188" s="129" t="s">
        <v>189</v>
      </c>
      <c r="G188" s="114" t="s">
        <v>12</v>
      </c>
      <c r="H188" s="129" t="s">
        <v>13</v>
      </c>
      <c r="I188" s="99">
        <v>5000</v>
      </c>
      <c r="J188" s="99"/>
      <c r="K188" s="152"/>
      <c r="L188" s="9">
        <f>ROW()</f>
        <v>188</v>
      </c>
    </row>
    <row r="189" spans="1:12" x14ac:dyDescent="0.25">
      <c r="A189" s="10"/>
      <c r="B189" s="232">
        <f t="shared" si="2"/>
        <v>45213</v>
      </c>
      <c r="C189" s="9">
        <v>33</v>
      </c>
      <c r="D189" s="153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54" t="s">
        <v>190</v>
      </c>
      <c r="L189" s="9">
        <f>ROW()</f>
        <v>189</v>
      </c>
    </row>
    <row r="190" spans="1:12" ht="15.75" thickBot="1" x14ac:dyDescent="0.3">
      <c r="A190" s="10"/>
      <c r="B190" s="232">
        <f t="shared" si="2"/>
        <v>45213</v>
      </c>
      <c r="C190" s="9">
        <v>33</v>
      </c>
      <c r="D190" s="155">
        <v>45213</v>
      </c>
      <c r="E190" s="156">
        <v>33</v>
      </c>
      <c r="F190" s="157" t="s">
        <v>189</v>
      </c>
      <c r="G190" s="158"/>
      <c r="H190" s="162" t="s">
        <v>191</v>
      </c>
      <c r="I190" s="163"/>
      <c r="J190" s="163"/>
      <c r="K190" s="164"/>
      <c r="L190" s="9">
        <f>ROW()</f>
        <v>190</v>
      </c>
    </row>
    <row r="191" spans="1:12" ht="15.75" thickBot="1" x14ac:dyDescent="0.3">
      <c r="A191" s="10"/>
      <c r="B191" s="232">
        <f t="shared" si="2"/>
        <v>45213</v>
      </c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1:12" x14ac:dyDescent="0.25">
      <c r="A192" s="10"/>
      <c r="B192" s="232">
        <f t="shared" si="2"/>
        <v>45213</v>
      </c>
      <c r="C192" s="9">
        <v>34</v>
      </c>
      <c r="D192" s="150">
        <v>45213</v>
      </c>
      <c r="E192" s="151">
        <v>34</v>
      </c>
      <c r="F192" s="129" t="s">
        <v>172</v>
      </c>
      <c r="G192" s="114" t="s">
        <v>12</v>
      </c>
      <c r="H192" s="129" t="s">
        <v>13</v>
      </c>
      <c r="I192" s="99">
        <v>2000</v>
      </c>
      <c r="J192" s="99"/>
      <c r="K192" s="152"/>
      <c r="L192" s="9">
        <f>ROW()</f>
        <v>192</v>
      </c>
    </row>
    <row r="193" spans="1:12" x14ac:dyDescent="0.25">
      <c r="A193" s="10"/>
      <c r="B193" s="232">
        <f t="shared" si="2"/>
        <v>45213</v>
      </c>
      <c r="C193" s="9">
        <v>34</v>
      </c>
      <c r="D193" s="153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54"/>
      <c r="L193" s="9">
        <f>ROW()</f>
        <v>193</v>
      </c>
    </row>
    <row r="194" spans="1:12" ht="15.75" thickBot="1" x14ac:dyDescent="0.3">
      <c r="A194" s="10"/>
      <c r="B194" s="232">
        <f t="shared" si="2"/>
        <v>45213</v>
      </c>
      <c r="C194" s="9">
        <v>34</v>
      </c>
      <c r="D194" s="155">
        <v>45213</v>
      </c>
      <c r="E194" s="156">
        <v>34</v>
      </c>
      <c r="F194" s="157" t="s">
        <v>172</v>
      </c>
      <c r="G194" s="158"/>
      <c r="H194" s="162" t="s">
        <v>172</v>
      </c>
      <c r="I194" s="163"/>
      <c r="J194" s="163"/>
      <c r="K194" s="164"/>
      <c r="L194" s="9">
        <f>ROW()</f>
        <v>194</v>
      </c>
    </row>
    <row r="195" spans="1:12" ht="15.75" thickBot="1" x14ac:dyDescent="0.3">
      <c r="A195" s="10"/>
      <c r="B195" s="232">
        <f t="shared" ref="B195:B258" si="3">D195</f>
        <v>45213</v>
      </c>
      <c r="C195" s="9">
        <v>34</v>
      </c>
      <c r="D195" s="199">
        <v>45213</v>
      </c>
      <c r="E195" s="79">
        <v>34</v>
      </c>
      <c r="F195" s="80" t="s">
        <v>172</v>
      </c>
      <c r="L195" s="9">
        <f>ROW()</f>
        <v>195</v>
      </c>
    </row>
    <row r="196" spans="1:12" x14ac:dyDescent="0.25">
      <c r="A196" s="10"/>
      <c r="B196" s="232">
        <f t="shared" si="3"/>
        <v>45212</v>
      </c>
      <c r="C196" s="9">
        <v>35</v>
      </c>
      <c r="D196" s="150">
        <v>45212</v>
      </c>
      <c r="E196" s="151">
        <v>35</v>
      </c>
      <c r="F196" s="129" t="s">
        <v>172</v>
      </c>
      <c r="G196" s="114" t="s">
        <v>12</v>
      </c>
      <c r="H196" s="129" t="s">
        <v>13</v>
      </c>
      <c r="I196" s="99">
        <v>25.99</v>
      </c>
      <c r="J196" s="99"/>
      <c r="K196" s="152"/>
      <c r="L196" s="9">
        <f>ROW()</f>
        <v>196</v>
      </c>
    </row>
    <row r="197" spans="1:12" x14ac:dyDescent="0.25">
      <c r="A197" s="10"/>
      <c r="B197" s="232">
        <f t="shared" si="3"/>
        <v>45212</v>
      </c>
      <c r="C197" s="9">
        <v>35</v>
      </c>
      <c r="D197" s="153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54"/>
      <c r="L197" s="9">
        <f>ROW()</f>
        <v>197</v>
      </c>
    </row>
    <row r="198" spans="1:12" ht="15.75" thickBot="1" x14ac:dyDescent="0.3">
      <c r="A198" s="10"/>
      <c r="B198" s="232">
        <f t="shared" si="3"/>
        <v>45212</v>
      </c>
      <c r="C198" s="9">
        <v>35</v>
      </c>
      <c r="D198" s="155">
        <v>45212</v>
      </c>
      <c r="E198" s="156">
        <v>35</v>
      </c>
      <c r="F198" s="157" t="s">
        <v>172</v>
      </c>
      <c r="G198" s="158"/>
      <c r="H198" s="162" t="s">
        <v>192</v>
      </c>
      <c r="I198" s="163"/>
      <c r="J198" s="163"/>
      <c r="K198" s="164"/>
      <c r="L198" s="9">
        <f>ROW()</f>
        <v>198</v>
      </c>
    </row>
    <row r="199" spans="1:12" ht="15.75" thickBot="1" x14ac:dyDescent="0.3">
      <c r="A199" s="10"/>
      <c r="B199" s="232">
        <f t="shared" si="3"/>
        <v>45212</v>
      </c>
      <c r="C199" s="9">
        <v>35</v>
      </c>
      <c r="D199" s="199">
        <v>45212</v>
      </c>
      <c r="E199" s="79">
        <v>35</v>
      </c>
      <c r="F199" s="80" t="s">
        <v>172</v>
      </c>
      <c r="L199" s="9">
        <f>ROW()</f>
        <v>199</v>
      </c>
    </row>
    <row r="200" spans="1:12" x14ac:dyDescent="0.25">
      <c r="A200" s="10"/>
      <c r="B200" s="232">
        <f t="shared" si="3"/>
        <v>45213</v>
      </c>
      <c r="C200" s="9">
        <v>36</v>
      </c>
      <c r="D200" s="150">
        <v>45213</v>
      </c>
      <c r="E200" s="151">
        <v>36</v>
      </c>
      <c r="F200" s="129"/>
      <c r="G200" s="114">
        <v>1000</v>
      </c>
      <c r="H200" s="129" t="s">
        <v>13</v>
      </c>
      <c r="I200" s="99">
        <v>1</v>
      </c>
      <c r="J200" s="99"/>
      <c r="K200" s="152"/>
      <c r="L200" s="9">
        <f>ROW()</f>
        <v>200</v>
      </c>
    </row>
    <row r="201" spans="1:12" x14ac:dyDescent="0.25">
      <c r="A201" s="10"/>
      <c r="B201" s="232">
        <f t="shared" si="3"/>
        <v>45213</v>
      </c>
      <c r="C201" s="9">
        <v>36</v>
      </c>
      <c r="D201" s="153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54"/>
      <c r="L201" s="9">
        <f>ROW()</f>
        <v>201</v>
      </c>
    </row>
    <row r="202" spans="1:12" ht="15.75" thickBot="1" x14ac:dyDescent="0.3">
      <c r="A202" s="10"/>
      <c r="B202" s="232">
        <f t="shared" si="3"/>
        <v>45213</v>
      </c>
      <c r="C202" s="9">
        <v>36</v>
      </c>
      <c r="D202" s="155">
        <v>45213</v>
      </c>
      <c r="E202" s="156">
        <v>36</v>
      </c>
      <c r="F202" s="157"/>
      <c r="G202" s="158"/>
      <c r="H202" s="162" t="s">
        <v>193</v>
      </c>
      <c r="I202" s="163"/>
      <c r="J202" s="163"/>
      <c r="K202" s="164"/>
      <c r="L202" s="9">
        <f>ROW()</f>
        <v>202</v>
      </c>
    </row>
    <row r="203" spans="1:12" ht="15.75" thickBot="1" x14ac:dyDescent="0.3">
      <c r="A203" s="10"/>
      <c r="B203" s="232">
        <f t="shared" si="3"/>
        <v>45213</v>
      </c>
      <c r="C203" s="9">
        <v>36</v>
      </c>
      <c r="D203" s="199">
        <v>45213</v>
      </c>
      <c r="E203" s="79">
        <v>36</v>
      </c>
      <c r="F203" s="80"/>
      <c r="L203" s="9">
        <f>ROW()</f>
        <v>203</v>
      </c>
    </row>
    <row r="204" spans="1:12" x14ac:dyDescent="0.25">
      <c r="A204" s="10"/>
      <c r="B204" s="232">
        <f t="shared" si="3"/>
        <v>45212</v>
      </c>
      <c r="C204" s="9">
        <v>37</v>
      </c>
      <c r="D204" s="150">
        <v>45212</v>
      </c>
      <c r="E204" s="151">
        <v>37</v>
      </c>
      <c r="F204" s="129" t="s">
        <v>194</v>
      </c>
      <c r="G204" s="114">
        <v>1000</v>
      </c>
      <c r="H204" s="129" t="s">
        <v>13</v>
      </c>
      <c r="I204" s="99">
        <v>25000</v>
      </c>
      <c r="J204" s="99"/>
      <c r="K204" s="152"/>
      <c r="L204" s="9">
        <f>ROW()</f>
        <v>204</v>
      </c>
    </row>
    <row r="205" spans="1:12" x14ac:dyDescent="0.25">
      <c r="A205" s="10"/>
      <c r="B205" s="232">
        <f t="shared" si="3"/>
        <v>45212</v>
      </c>
      <c r="C205" s="9">
        <v>37</v>
      </c>
      <c r="D205" s="153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54"/>
      <c r="L205" s="9">
        <f>ROW()</f>
        <v>205</v>
      </c>
    </row>
    <row r="206" spans="1:12" ht="15.75" thickBot="1" x14ac:dyDescent="0.3">
      <c r="A206" s="10"/>
      <c r="B206" s="232">
        <f t="shared" si="3"/>
        <v>45212</v>
      </c>
      <c r="C206" s="9">
        <v>37</v>
      </c>
      <c r="D206" s="155">
        <v>45212</v>
      </c>
      <c r="E206" s="156">
        <v>37</v>
      </c>
      <c r="F206" s="157" t="s">
        <v>194</v>
      </c>
      <c r="G206" s="158"/>
      <c r="H206" s="162" t="s">
        <v>195</v>
      </c>
      <c r="I206" s="163"/>
      <c r="J206" s="163"/>
      <c r="K206" s="164"/>
      <c r="L206" s="9">
        <f>ROW()</f>
        <v>206</v>
      </c>
    </row>
    <row r="207" spans="1:12" ht="15.75" thickBot="1" x14ac:dyDescent="0.3">
      <c r="A207" s="10"/>
      <c r="B207" s="232">
        <f t="shared" si="3"/>
        <v>45212</v>
      </c>
      <c r="C207" s="9">
        <v>37</v>
      </c>
      <c r="D207" s="199">
        <v>45212</v>
      </c>
      <c r="E207" s="79">
        <v>37</v>
      </c>
      <c r="F207" s="80" t="s">
        <v>194</v>
      </c>
      <c r="L207" s="9">
        <f>ROW()</f>
        <v>207</v>
      </c>
    </row>
    <row r="208" spans="1:12" x14ac:dyDescent="0.25">
      <c r="A208" s="10"/>
      <c r="B208" s="232">
        <f t="shared" si="3"/>
        <v>45214</v>
      </c>
      <c r="C208" s="9">
        <v>38</v>
      </c>
      <c r="D208" s="150">
        <v>45214</v>
      </c>
      <c r="E208" s="151">
        <v>38</v>
      </c>
      <c r="F208" s="129" t="s">
        <v>196</v>
      </c>
      <c r="G208" s="114">
        <v>5013</v>
      </c>
      <c r="H208" s="129" t="s">
        <v>127</v>
      </c>
      <c r="I208" s="99">
        <v>19.95</v>
      </c>
      <c r="J208" s="99"/>
      <c r="K208" s="152"/>
      <c r="L208" s="9">
        <f>ROW()</f>
        <v>208</v>
      </c>
    </row>
    <row r="209" spans="1:12" x14ac:dyDescent="0.25">
      <c r="A209" s="10"/>
      <c r="B209" s="232">
        <f t="shared" si="3"/>
        <v>45214</v>
      </c>
      <c r="C209" s="9">
        <v>38</v>
      </c>
      <c r="D209" s="153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54"/>
      <c r="L209" s="9">
        <f>ROW()</f>
        <v>209</v>
      </c>
    </row>
    <row r="210" spans="1:12" ht="15.75" thickBot="1" x14ac:dyDescent="0.3">
      <c r="A210" s="10"/>
      <c r="B210" s="232">
        <f t="shared" si="3"/>
        <v>45214</v>
      </c>
      <c r="C210" s="9">
        <v>38</v>
      </c>
      <c r="D210" s="155">
        <v>45214</v>
      </c>
      <c r="E210" s="156">
        <v>38</v>
      </c>
      <c r="F210" s="157" t="s">
        <v>196</v>
      </c>
      <c r="G210" s="158"/>
      <c r="H210" s="162" t="s">
        <v>197</v>
      </c>
      <c r="I210" s="163"/>
      <c r="J210" s="163"/>
      <c r="K210" s="164"/>
      <c r="L210" s="9">
        <f>ROW()</f>
        <v>210</v>
      </c>
    </row>
    <row r="211" spans="1:12" ht="15.75" thickBot="1" x14ac:dyDescent="0.3">
      <c r="A211" s="10"/>
      <c r="B211" s="232">
        <f t="shared" si="3"/>
        <v>45214</v>
      </c>
      <c r="C211" s="9">
        <v>38</v>
      </c>
      <c r="D211" s="199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1:12" x14ac:dyDescent="0.25">
      <c r="A212" s="10"/>
      <c r="B212" s="232">
        <f t="shared" si="3"/>
        <v>45211</v>
      </c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196"/>
      <c r="L212" s="9">
        <f>ROW()</f>
        <v>212</v>
      </c>
    </row>
    <row r="213" spans="1:12" x14ac:dyDescent="0.25">
      <c r="A213" s="10"/>
      <c r="B213" s="232">
        <f t="shared" si="3"/>
        <v>45211</v>
      </c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37" t="s">
        <v>94</v>
      </c>
      <c r="I213" s="25"/>
      <c r="J213" s="25">
        <v>12</v>
      </c>
      <c r="K213" s="31"/>
      <c r="L213" s="9">
        <f>ROW()</f>
        <v>213</v>
      </c>
    </row>
    <row r="214" spans="1:12" ht="15.75" thickBot="1" x14ac:dyDescent="0.3">
      <c r="A214" s="10"/>
      <c r="B214" s="232">
        <f t="shared" si="3"/>
        <v>45211</v>
      </c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0" t="s">
        <v>198</v>
      </c>
      <c r="I214" s="191"/>
      <c r="J214" s="191"/>
      <c r="K214" s="192"/>
      <c r="L214" s="9">
        <f>ROW()</f>
        <v>214</v>
      </c>
    </row>
    <row r="215" spans="1:12" ht="15.75" thickBot="1" x14ac:dyDescent="0.3">
      <c r="A215" s="10"/>
      <c r="B215" s="232">
        <f t="shared" si="3"/>
        <v>45211</v>
      </c>
      <c r="C215" s="9">
        <v>39</v>
      </c>
      <c r="D215" s="195">
        <v>45211</v>
      </c>
      <c r="E215" s="79">
        <v>39</v>
      </c>
      <c r="F215" s="80" t="s">
        <v>172</v>
      </c>
      <c r="K215" s="193"/>
      <c r="L215" s="9">
        <f>ROW()</f>
        <v>215</v>
      </c>
    </row>
    <row r="216" spans="1:12" x14ac:dyDescent="0.25">
      <c r="A216" s="10"/>
      <c r="B216" s="232">
        <f t="shared" si="3"/>
        <v>45211</v>
      </c>
      <c r="C216" s="9">
        <v>40</v>
      </c>
      <c r="D216" s="150">
        <v>45211</v>
      </c>
      <c r="E216" s="151">
        <v>40</v>
      </c>
      <c r="F216" s="129" t="s">
        <v>172</v>
      </c>
      <c r="G216" s="114">
        <v>1000</v>
      </c>
      <c r="H216" s="129" t="s">
        <v>13</v>
      </c>
      <c r="I216" s="99">
        <v>49.95</v>
      </c>
      <c r="J216" s="99"/>
      <c r="K216" s="152"/>
      <c r="L216" s="9">
        <f>ROW()</f>
        <v>216</v>
      </c>
    </row>
    <row r="217" spans="1:12" x14ac:dyDescent="0.25">
      <c r="A217" s="10"/>
      <c r="B217" s="232">
        <f t="shared" si="3"/>
        <v>45211</v>
      </c>
      <c r="C217" s="9">
        <v>40</v>
      </c>
      <c r="D217" s="153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54"/>
      <c r="L217" s="9">
        <f>ROW()</f>
        <v>217</v>
      </c>
    </row>
    <row r="218" spans="1:12" x14ac:dyDescent="0.25">
      <c r="A218" s="10"/>
      <c r="B218" s="232">
        <f t="shared" si="3"/>
        <v>45211</v>
      </c>
      <c r="C218" s="9">
        <v>40</v>
      </c>
      <c r="D218" s="153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54"/>
      <c r="L218" s="9">
        <f>ROW()</f>
        <v>218</v>
      </c>
    </row>
    <row r="219" spans="1:12" ht="15.75" thickBot="1" x14ac:dyDescent="0.3">
      <c r="A219" s="10"/>
      <c r="B219" s="232">
        <f t="shared" si="3"/>
        <v>45211</v>
      </c>
      <c r="C219" s="9">
        <v>40</v>
      </c>
      <c r="D219" s="155">
        <v>45211</v>
      </c>
      <c r="E219" s="156">
        <v>40</v>
      </c>
      <c r="F219" s="157" t="s">
        <v>172</v>
      </c>
      <c r="G219" s="158"/>
      <c r="H219" s="162" t="s">
        <v>199</v>
      </c>
      <c r="I219" s="163"/>
      <c r="J219" s="163"/>
      <c r="K219" s="164"/>
      <c r="L219" s="9">
        <f>ROW()</f>
        <v>219</v>
      </c>
    </row>
    <row r="220" spans="1:12" ht="15.75" thickBot="1" x14ac:dyDescent="0.3">
      <c r="A220" s="10"/>
      <c r="B220" s="232">
        <f t="shared" si="3"/>
        <v>45211</v>
      </c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1:12" x14ac:dyDescent="0.25">
      <c r="A221" s="10"/>
      <c r="B221" s="232">
        <f t="shared" si="3"/>
        <v>45211</v>
      </c>
      <c r="C221" s="9">
        <v>41</v>
      </c>
      <c r="D221" s="150">
        <v>45211</v>
      </c>
      <c r="E221" s="151">
        <v>41</v>
      </c>
      <c r="F221" s="129" t="s">
        <v>200</v>
      </c>
      <c r="G221" s="114">
        <v>5013</v>
      </c>
      <c r="H221" s="129" t="s">
        <v>127</v>
      </c>
      <c r="I221" s="99">
        <v>19.95</v>
      </c>
      <c r="J221" s="99"/>
      <c r="K221" s="152"/>
      <c r="L221" s="9">
        <f>ROW()</f>
        <v>221</v>
      </c>
    </row>
    <row r="222" spans="1:12" x14ac:dyDescent="0.25">
      <c r="A222" s="10"/>
      <c r="B222" s="232">
        <f t="shared" si="3"/>
        <v>45211</v>
      </c>
      <c r="C222" s="9">
        <v>41</v>
      </c>
      <c r="D222" s="153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54"/>
      <c r="L222" s="9">
        <f>ROW()</f>
        <v>222</v>
      </c>
    </row>
    <row r="223" spans="1:12" ht="15.75" thickBot="1" x14ac:dyDescent="0.3">
      <c r="A223" s="10"/>
      <c r="B223" s="232">
        <f t="shared" si="3"/>
        <v>45211</v>
      </c>
      <c r="C223" s="9">
        <v>41</v>
      </c>
      <c r="D223" s="155">
        <v>45211</v>
      </c>
      <c r="E223" s="156">
        <v>41</v>
      </c>
      <c r="F223" s="157" t="s">
        <v>200</v>
      </c>
      <c r="G223" s="158"/>
      <c r="H223" s="162" t="s">
        <v>201</v>
      </c>
      <c r="I223" s="163"/>
      <c r="J223" s="163"/>
      <c r="K223" s="164"/>
      <c r="L223" s="9">
        <f>ROW()</f>
        <v>223</v>
      </c>
    </row>
    <row r="224" spans="1:12" ht="15.75" thickBot="1" x14ac:dyDescent="0.3">
      <c r="A224" s="10"/>
      <c r="B224" s="232">
        <f t="shared" si="3"/>
        <v>45211</v>
      </c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1:12" x14ac:dyDescent="0.25">
      <c r="A225" s="10"/>
      <c r="B225" s="232">
        <f t="shared" si="3"/>
        <v>45214</v>
      </c>
      <c r="C225" s="9">
        <v>42</v>
      </c>
      <c r="D225" s="150">
        <v>45214</v>
      </c>
      <c r="E225" s="151">
        <v>42</v>
      </c>
      <c r="F225" s="129" t="s">
        <v>202</v>
      </c>
      <c r="G225" s="114">
        <v>1000</v>
      </c>
      <c r="H225" s="129" t="s">
        <v>13</v>
      </c>
      <c r="I225" s="99">
        <v>9.99</v>
      </c>
      <c r="J225" s="99"/>
      <c r="K225" s="152"/>
      <c r="L225" s="9">
        <f>ROW()</f>
        <v>225</v>
      </c>
    </row>
    <row r="226" spans="1:12" x14ac:dyDescent="0.25">
      <c r="A226" s="10"/>
      <c r="B226" s="232">
        <f t="shared" si="3"/>
        <v>45214</v>
      </c>
      <c r="C226" s="9">
        <v>42</v>
      </c>
      <c r="D226" s="153">
        <v>45214</v>
      </c>
      <c r="E226" s="79">
        <v>42</v>
      </c>
      <c r="F226" s="80" t="s">
        <v>202</v>
      </c>
      <c r="G226" s="103">
        <v>4001</v>
      </c>
      <c r="H226" s="45" t="s">
        <v>90</v>
      </c>
      <c r="J226" s="28">
        <v>9.99</v>
      </c>
      <c r="K226" s="154"/>
      <c r="L226" s="9">
        <f>ROW()</f>
        <v>226</v>
      </c>
    </row>
    <row r="227" spans="1:12" ht="15.75" thickBot="1" x14ac:dyDescent="0.3">
      <c r="A227" s="10"/>
      <c r="B227" s="232">
        <f t="shared" si="3"/>
        <v>45214</v>
      </c>
      <c r="C227" s="9">
        <v>42</v>
      </c>
      <c r="D227" s="155">
        <v>45214</v>
      </c>
      <c r="E227" s="156">
        <v>42</v>
      </c>
      <c r="F227" s="157" t="s">
        <v>202</v>
      </c>
      <c r="G227" s="158"/>
      <c r="H227" s="162" t="s">
        <v>202</v>
      </c>
      <c r="I227" s="163"/>
      <c r="J227" s="163"/>
      <c r="K227" s="164"/>
      <c r="L227" s="9">
        <f>ROW()</f>
        <v>227</v>
      </c>
    </row>
    <row r="228" spans="1:12" ht="15.75" thickBot="1" x14ac:dyDescent="0.3">
      <c r="A228" s="10"/>
      <c r="B228" s="232">
        <f t="shared" si="3"/>
        <v>45214</v>
      </c>
      <c r="C228" s="9">
        <v>42</v>
      </c>
      <c r="D228" s="78">
        <v>45214</v>
      </c>
      <c r="E228" s="79">
        <v>42</v>
      </c>
      <c r="F228" s="80" t="s">
        <v>202</v>
      </c>
      <c r="L228" s="9">
        <f>ROW()</f>
        <v>228</v>
      </c>
    </row>
    <row r="229" spans="1:12" x14ac:dyDescent="0.25">
      <c r="A229" s="10"/>
      <c r="B229" s="232">
        <f t="shared" si="3"/>
        <v>45213</v>
      </c>
      <c r="C229" s="9">
        <v>43</v>
      </c>
      <c r="D229" s="150">
        <v>45213</v>
      </c>
      <c r="E229" s="151">
        <v>43</v>
      </c>
      <c r="F229" s="129" t="s">
        <v>203</v>
      </c>
      <c r="G229" s="114">
        <v>5013</v>
      </c>
      <c r="H229" s="129" t="s">
        <v>127</v>
      </c>
      <c r="I229" s="99">
        <v>29.95</v>
      </c>
      <c r="J229" s="99"/>
      <c r="K229" s="152"/>
      <c r="L229" s="9">
        <f>ROW()</f>
        <v>229</v>
      </c>
    </row>
    <row r="230" spans="1:12" x14ac:dyDescent="0.25">
      <c r="A230" s="10"/>
      <c r="B230" s="232">
        <f t="shared" si="3"/>
        <v>45213</v>
      </c>
      <c r="C230" s="9">
        <v>43</v>
      </c>
      <c r="D230" s="153">
        <v>45213</v>
      </c>
      <c r="E230" s="79">
        <v>43</v>
      </c>
      <c r="F230" s="80" t="s">
        <v>203</v>
      </c>
      <c r="G230" s="103">
        <v>1000</v>
      </c>
      <c r="H230" s="45" t="s">
        <v>13</v>
      </c>
      <c r="J230" s="28">
        <v>29.95</v>
      </c>
      <c r="K230" s="154"/>
      <c r="L230" s="9">
        <f>ROW()</f>
        <v>230</v>
      </c>
    </row>
    <row r="231" spans="1:12" ht="15.75" thickBot="1" x14ac:dyDescent="0.3">
      <c r="A231" s="10"/>
      <c r="B231" s="232">
        <f t="shared" si="3"/>
        <v>45213</v>
      </c>
      <c r="C231" s="9">
        <v>43</v>
      </c>
      <c r="D231" s="155">
        <v>45213</v>
      </c>
      <c r="E231" s="156">
        <v>43</v>
      </c>
      <c r="F231" s="157" t="s">
        <v>203</v>
      </c>
      <c r="G231" s="158"/>
      <c r="H231" s="162" t="s">
        <v>204</v>
      </c>
      <c r="I231" s="163"/>
      <c r="J231" s="163"/>
      <c r="K231" s="164"/>
      <c r="L231" s="9">
        <f>ROW()</f>
        <v>231</v>
      </c>
    </row>
    <row r="232" spans="1:12" ht="15.75" thickBot="1" x14ac:dyDescent="0.3">
      <c r="A232" s="10"/>
      <c r="B232" s="232">
        <f t="shared" si="3"/>
        <v>45213</v>
      </c>
      <c r="C232" s="9">
        <v>43</v>
      </c>
      <c r="D232" s="78">
        <v>45213</v>
      </c>
      <c r="E232" s="79">
        <v>43</v>
      </c>
      <c r="F232" s="80" t="s">
        <v>203</v>
      </c>
      <c r="L232" s="9">
        <f>ROW()</f>
        <v>232</v>
      </c>
    </row>
    <row r="233" spans="1:12" x14ac:dyDescent="0.25">
      <c r="A233" s="10"/>
      <c r="B233" s="232">
        <f t="shared" si="3"/>
        <v>45211</v>
      </c>
      <c r="C233" s="9">
        <v>44</v>
      </c>
      <c r="D233" s="150">
        <v>45211</v>
      </c>
      <c r="E233" s="151">
        <v>44</v>
      </c>
      <c r="F233" s="129" t="s">
        <v>187</v>
      </c>
      <c r="G233" s="114">
        <v>5013</v>
      </c>
      <c r="H233" s="129" t="s">
        <v>127</v>
      </c>
      <c r="I233" s="99">
        <v>29.88</v>
      </c>
      <c r="J233" s="99"/>
      <c r="K233" s="152"/>
      <c r="L233" s="9">
        <f>ROW()</f>
        <v>233</v>
      </c>
    </row>
    <row r="234" spans="1:12" x14ac:dyDescent="0.25">
      <c r="A234" s="10"/>
      <c r="B234" s="232">
        <f t="shared" si="3"/>
        <v>45211</v>
      </c>
      <c r="C234" s="9">
        <v>44</v>
      </c>
      <c r="D234" s="153">
        <v>45211</v>
      </c>
      <c r="E234" s="79">
        <v>44</v>
      </c>
      <c r="F234" s="80" t="s">
        <v>187</v>
      </c>
      <c r="G234" s="103">
        <v>1000</v>
      </c>
      <c r="H234" s="45" t="s">
        <v>13</v>
      </c>
      <c r="J234" s="28">
        <v>29.88</v>
      </c>
      <c r="K234" s="154"/>
      <c r="L234" s="9">
        <f>ROW()</f>
        <v>234</v>
      </c>
    </row>
    <row r="235" spans="1:12" ht="15.75" thickBot="1" x14ac:dyDescent="0.3">
      <c r="A235" s="10"/>
      <c r="B235" s="232">
        <f t="shared" si="3"/>
        <v>45211</v>
      </c>
      <c r="C235" s="9">
        <v>44</v>
      </c>
      <c r="D235" s="155">
        <v>45211</v>
      </c>
      <c r="E235" s="156">
        <v>44</v>
      </c>
      <c r="F235" s="157" t="s">
        <v>187</v>
      </c>
      <c r="G235" s="158"/>
      <c r="H235" s="162" t="s">
        <v>205</v>
      </c>
      <c r="I235" s="163"/>
      <c r="J235" s="163"/>
      <c r="K235" s="164"/>
      <c r="L235" s="9">
        <f>ROW()</f>
        <v>235</v>
      </c>
    </row>
    <row r="236" spans="1:12" ht="15.75" thickBot="1" x14ac:dyDescent="0.3">
      <c r="A236" s="10"/>
      <c r="B236" s="232">
        <f t="shared" si="3"/>
        <v>45211</v>
      </c>
      <c r="C236" s="9">
        <v>44</v>
      </c>
      <c r="D236" s="78">
        <v>45211</v>
      </c>
      <c r="E236" s="79">
        <v>44</v>
      </c>
      <c r="F236" s="80" t="s">
        <v>187</v>
      </c>
      <c r="L236" s="9">
        <f>ROW()</f>
        <v>236</v>
      </c>
    </row>
    <row r="237" spans="1:12" x14ac:dyDescent="0.25">
      <c r="A237" s="10"/>
      <c r="B237" s="232">
        <f t="shared" si="3"/>
        <v>45209</v>
      </c>
      <c r="C237" s="9">
        <v>45</v>
      </c>
      <c r="D237" s="150">
        <v>45209</v>
      </c>
      <c r="E237" s="151">
        <v>45</v>
      </c>
      <c r="F237" s="129" t="s">
        <v>172</v>
      </c>
      <c r="G237" s="114">
        <v>2000</v>
      </c>
      <c r="H237" s="129" t="s">
        <v>54</v>
      </c>
      <c r="I237" s="99"/>
      <c r="J237" s="99">
        <v>259.95</v>
      </c>
      <c r="K237" s="152"/>
      <c r="L237" s="9">
        <f>ROW()</f>
        <v>237</v>
      </c>
    </row>
    <row r="238" spans="1:12" x14ac:dyDescent="0.25">
      <c r="A238" s="10"/>
      <c r="B238" s="232">
        <f t="shared" si="3"/>
        <v>45209</v>
      </c>
      <c r="C238" s="9">
        <v>45</v>
      </c>
      <c r="D238" s="153">
        <v>45209</v>
      </c>
      <c r="E238" s="79">
        <v>45</v>
      </c>
      <c r="F238" s="80" t="s">
        <v>172</v>
      </c>
      <c r="G238" s="103">
        <v>1200</v>
      </c>
      <c r="H238" s="45" t="s">
        <v>19</v>
      </c>
      <c r="I238" s="28">
        <v>11.3</v>
      </c>
      <c r="K238" s="154"/>
      <c r="L238" s="9">
        <f>ROW()</f>
        <v>238</v>
      </c>
    </row>
    <row r="239" spans="1:12" x14ac:dyDescent="0.25">
      <c r="A239" s="10"/>
      <c r="B239" s="232">
        <f t="shared" si="3"/>
        <v>45209</v>
      </c>
      <c r="C239" s="9">
        <v>45</v>
      </c>
      <c r="D239" s="153">
        <v>45209</v>
      </c>
      <c r="E239" s="79">
        <v>45</v>
      </c>
      <c r="F239" s="80" t="s">
        <v>172</v>
      </c>
      <c r="G239" s="103">
        <v>1201</v>
      </c>
      <c r="H239" s="45" t="s">
        <v>21</v>
      </c>
      <c r="I239" s="28">
        <v>22.55</v>
      </c>
      <c r="K239" s="154"/>
      <c r="L239" s="9">
        <f>ROW()</f>
        <v>239</v>
      </c>
    </row>
    <row r="240" spans="1:12" x14ac:dyDescent="0.25">
      <c r="A240" s="10"/>
      <c r="B240" s="232">
        <f t="shared" si="3"/>
        <v>45209</v>
      </c>
      <c r="C240" s="9">
        <v>45</v>
      </c>
      <c r="D240" s="153">
        <v>45209</v>
      </c>
      <c r="E240" s="79">
        <v>45</v>
      </c>
      <c r="F240" s="80" t="s">
        <v>172</v>
      </c>
      <c r="G240" s="103">
        <v>5006</v>
      </c>
      <c r="H240" s="45" t="s">
        <v>115</v>
      </c>
      <c r="I240" s="28">
        <v>226.1</v>
      </c>
      <c r="K240" s="154"/>
      <c r="L240" s="9">
        <f>ROW()</f>
        <v>240</v>
      </c>
    </row>
    <row r="241" spans="1:12" ht="15.75" thickBot="1" x14ac:dyDescent="0.3">
      <c r="A241" s="10"/>
      <c r="B241" s="232">
        <f t="shared" si="3"/>
        <v>45209</v>
      </c>
      <c r="C241" s="9">
        <v>45</v>
      </c>
      <c r="D241" s="155">
        <v>45209</v>
      </c>
      <c r="E241" s="156">
        <v>45</v>
      </c>
      <c r="F241" s="157" t="s">
        <v>172</v>
      </c>
      <c r="G241" s="158"/>
      <c r="H241" s="162" t="s">
        <v>172</v>
      </c>
      <c r="I241" s="163"/>
      <c r="J241" s="163"/>
      <c r="K241" s="164"/>
      <c r="L241" s="9">
        <f>ROW()</f>
        <v>241</v>
      </c>
    </row>
    <row r="242" spans="1:12" ht="15.75" thickBot="1" x14ac:dyDescent="0.3">
      <c r="A242" s="10"/>
      <c r="B242" s="232">
        <f t="shared" si="3"/>
        <v>45209</v>
      </c>
      <c r="C242" s="9">
        <v>45</v>
      </c>
      <c r="D242" s="78">
        <v>45209</v>
      </c>
      <c r="E242" s="79">
        <v>45</v>
      </c>
      <c r="F242" s="80" t="s">
        <v>172</v>
      </c>
      <c r="L242" s="9">
        <f>ROW()</f>
        <v>242</v>
      </c>
    </row>
    <row r="243" spans="1:12" x14ac:dyDescent="0.25">
      <c r="A243" s="10"/>
      <c r="B243" s="232">
        <f t="shared" si="3"/>
        <v>45211</v>
      </c>
      <c r="C243" s="9">
        <v>46</v>
      </c>
      <c r="D243" s="150">
        <v>45211</v>
      </c>
      <c r="E243" s="151">
        <v>46</v>
      </c>
      <c r="F243" s="129" t="s">
        <v>206</v>
      </c>
      <c r="G243" s="114">
        <v>5013</v>
      </c>
      <c r="H243" s="129" t="s">
        <v>127</v>
      </c>
      <c r="I243" s="99">
        <v>9.9499999999999993</v>
      </c>
      <c r="J243" s="99"/>
      <c r="K243" s="152"/>
      <c r="L243" s="9">
        <f>ROW()</f>
        <v>243</v>
      </c>
    </row>
    <row r="244" spans="1:12" x14ac:dyDescent="0.25">
      <c r="A244" s="10"/>
      <c r="B244" s="232">
        <f t="shared" si="3"/>
        <v>45211</v>
      </c>
      <c r="C244" s="9">
        <v>46</v>
      </c>
      <c r="D244" s="153">
        <v>45211</v>
      </c>
      <c r="E244" s="79">
        <v>46</v>
      </c>
      <c r="F244" s="80" t="s">
        <v>206</v>
      </c>
      <c r="G244" s="103">
        <v>1000</v>
      </c>
      <c r="H244" s="45" t="s">
        <v>13</v>
      </c>
      <c r="J244" s="28">
        <v>9.9499999999999993</v>
      </c>
      <c r="K244" s="154"/>
      <c r="L244" s="9">
        <f>ROW()</f>
        <v>244</v>
      </c>
    </row>
    <row r="245" spans="1:12" ht="15.75" thickBot="1" x14ac:dyDescent="0.3">
      <c r="A245" s="10"/>
      <c r="B245" s="232">
        <f t="shared" si="3"/>
        <v>45211</v>
      </c>
      <c r="C245" s="9">
        <v>46</v>
      </c>
      <c r="D245" s="155">
        <v>45211</v>
      </c>
      <c r="E245" s="156">
        <v>46</v>
      </c>
      <c r="F245" s="157" t="s">
        <v>206</v>
      </c>
      <c r="G245" s="158"/>
      <c r="H245" s="162" t="s">
        <v>207</v>
      </c>
      <c r="I245" s="163"/>
      <c r="J245" s="163"/>
      <c r="K245" s="164"/>
      <c r="L245" s="9">
        <f>ROW()</f>
        <v>245</v>
      </c>
    </row>
    <row r="246" spans="1:12" ht="15.75" thickBot="1" x14ac:dyDescent="0.3">
      <c r="A246" s="10"/>
      <c r="B246" s="232">
        <f t="shared" si="3"/>
        <v>45211</v>
      </c>
      <c r="C246" s="9">
        <v>46</v>
      </c>
      <c r="D246" s="78">
        <v>45211</v>
      </c>
      <c r="E246" s="79">
        <v>46</v>
      </c>
      <c r="F246" s="80" t="s">
        <v>206</v>
      </c>
      <c r="L246" s="9">
        <f>ROW()</f>
        <v>246</v>
      </c>
    </row>
    <row r="247" spans="1:12" x14ac:dyDescent="0.25">
      <c r="A247" s="10"/>
      <c r="B247" s="232">
        <f t="shared" si="3"/>
        <v>45211</v>
      </c>
      <c r="C247" s="9">
        <v>47</v>
      </c>
      <c r="D247" s="150">
        <v>45211</v>
      </c>
      <c r="E247" s="151">
        <v>47</v>
      </c>
      <c r="F247" s="129"/>
      <c r="G247" s="114">
        <v>5013</v>
      </c>
      <c r="H247" s="129" t="s">
        <v>127</v>
      </c>
      <c r="I247" s="99">
        <v>29.95</v>
      </c>
      <c r="J247" s="99"/>
      <c r="K247" s="152"/>
      <c r="L247" s="9">
        <f>ROW()</f>
        <v>247</v>
      </c>
    </row>
    <row r="248" spans="1:12" x14ac:dyDescent="0.25">
      <c r="A248" s="10"/>
      <c r="B248" s="232">
        <f t="shared" si="3"/>
        <v>45211</v>
      </c>
      <c r="C248" s="9">
        <v>47</v>
      </c>
      <c r="D248" s="153">
        <v>45211</v>
      </c>
      <c r="E248" s="79">
        <v>47</v>
      </c>
      <c r="F248" s="80"/>
      <c r="G248" s="103">
        <v>1000</v>
      </c>
      <c r="H248" s="45" t="s">
        <v>13</v>
      </c>
      <c r="J248" s="28">
        <v>29.95</v>
      </c>
      <c r="K248" s="154"/>
      <c r="L248" s="9">
        <f>ROW()</f>
        <v>248</v>
      </c>
    </row>
    <row r="249" spans="1:12" ht="15.75" thickBot="1" x14ac:dyDescent="0.3">
      <c r="A249" s="10"/>
      <c r="B249" s="232">
        <f t="shared" si="3"/>
        <v>45211</v>
      </c>
      <c r="C249" s="9">
        <v>47</v>
      </c>
      <c r="D249" s="155">
        <v>45211</v>
      </c>
      <c r="E249" s="156">
        <v>47</v>
      </c>
      <c r="F249" s="157"/>
      <c r="G249" s="158"/>
      <c r="H249" s="162" t="s">
        <v>209</v>
      </c>
      <c r="I249" s="163"/>
      <c r="J249" s="163"/>
      <c r="K249" s="164"/>
      <c r="L249" s="9">
        <f>ROW()</f>
        <v>249</v>
      </c>
    </row>
    <row r="250" spans="1:12" ht="15.75" thickBot="1" x14ac:dyDescent="0.3">
      <c r="A250" s="10"/>
      <c r="B250" s="232">
        <f t="shared" si="3"/>
        <v>45211</v>
      </c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1:12" x14ac:dyDescent="0.25">
      <c r="A251" s="10"/>
      <c r="B251" s="232">
        <f t="shared" si="3"/>
        <v>45213</v>
      </c>
      <c r="C251" s="9">
        <v>48</v>
      </c>
      <c r="D251" s="150">
        <v>45213</v>
      </c>
      <c r="E251" s="151">
        <v>48</v>
      </c>
      <c r="F251" s="129"/>
      <c r="G251" s="114">
        <v>1100</v>
      </c>
      <c r="H251" s="129" t="s">
        <v>15</v>
      </c>
      <c r="I251" s="99">
        <v>262.44</v>
      </c>
      <c r="J251" s="99"/>
      <c r="K251" s="152"/>
      <c r="L251" s="9">
        <f>ROW()</f>
        <v>251</v>
      </c>
    </row>
    <row r="252" spans="1:12" x14ac:dyDescent="0.25">
      <c r="A252" s="10"/>
      <c r="B252" s="232">
        <f t="shared" si="3"/>
        <v>45213</v>
      </c>
      <c r="C252" s="9">
        <v>48</v>
      </c>
      <c r="D252" s="153">
        <v>45213</v>
      </c>
      <c r="E252" s="79">
        <v>48</v>
      </c>
      <c r="F252" s="80"/>
      <c r="G252" s="103">
        <v>4000</v>
      </c>
      <c r="H252" s="45" t="s">
        <v>88</v>
      </c>
      <c r="J252" s="28">
        <v>250</v>
      </c>
      <c r="K252" s="154"/>
      <c r="L252" s="9">
        <f>ROW()</f>
        <v>252</v>
      </c>
    </row>
    <row r="253" spans="1:12" x14ac:dyDescent="0.25">
      <c r="A253" s="10"/>
      <c r="B253" s="232">
        <f t="shared" si="3"/>
        <v>45213</v>
      </c>
      <c r="C253" s="9">
        <v>48</v>
      </c>
      <c r="D253" s="153">
        <v>45213</v>
      </c>
      <c r="E253" s="79">
        <v>48</v>
      </c>
      <c r="F253" s="80"/>
      <c r="G253" s="103">
        <v>1202</v>
      </c>
      <c r="H253" s="45" t="s">
        <v>23</v>
      </c>
      <c r="J253" s="28">
        <v>12.5</v>
      </c>
      <c r="K253" s="154"/>
      <c r="L253" s="9">
        <f>ROW()</f>
        <v>253</v>
      </c>
    </row>
    <row r="254" spans="1:12" x14ac:dyDescent="0.25">
      <c r="A254" s="10"/>
      <c r="B254" s="232">
        <f t="shared" si="3"/>
        <v>45213</v>
      </c>
      <c r="C254" s="9">
        <v>48</v>
      </c>
      <c r="D254" s="153">
        <v>45213</v>
      </c>
      <c r="E254" s="79">
        <v>48</v>
      </c>
      <c r="F254" s="80"/>
      <c r="G254" s="103">
        <v>1201</v>
      </c>
      <c r="H254" s="45" t="s">
        <v>21</v>
      </c>
      <c r="J254" s="28">
        <v>24.94</v>
      </c>
      <c r="K254" s="154"/>
      <c r="L254" s="9">
        <f>ROW()</f>
        <v>254</v>
      </c>
    </row>
    <row r="255" spans="1:12" x14ac:dyDescent="0.25">
      <c r="A255" s="10"/>
      <c r="B255" s="232">
        <f t="shared" si="3"/>
        <v>45213</v>
      </c>
      <c r="C255" s="9">
        <v>48</v>
      </c>
      <c r="D255" s="153">
        <v>45213</v>
      </c>
      <c r="E255" s="79">
        <v>48</v>
      </c>
      <c r="F255" s="80"/>
      <c r="G255" s="103">
        <v>1230</v>
      </c>
      <c r="H255" s="45" t="s">
        <v>33</v>
      </c>
      <c r="I255" s="28">
        <v>25</v>
      </c>
      <c r="K255" s="154"/>
      <c r="L255" s="9">
        <f>ROW()</f>
        <v>255</v>
      </c>
    </row>
    <row r="256" spans="1:12" ht="15.75" thickBot="1" x14ac:dyDescent="0.3">
      <c r="A256" s="10"/>
      <c r="B256" s="232">
        <f t="shared" si="3"/>
        <v>45213</v>
      </c>
      <c r="C256" s="9">
        <v>48</v>
      </c>
      <c r="D256" s="155">
        <v>45213</v>
      </c>
      <c r="E256" s="156">
        <v>48</v>
      </c>
      <c r="F256" s="157"/>
      <c r="G256" s="158"/>
      <c r="H256" s="162" t="s">
        <v>210</v>
      </c>
      <c r="I256" s="163"/>
      <c r="J256" s="163"/>
      <c r="K256" s="164"/>
      <c r="L256" s="9">
        <f>ROW()</f>
        <v>256</v>
      </c>
    </row>
    <row r="257" spans="1:12" ht="15.75" thickBot="1" x14ac:dyDescent="0.3">
      <c r="A257" s="10"/>
      <c r="B257" s="232">
        <f t="shared" si="3"/>
        <v>45213</v>
      </c>
      <c r="C257" s="9">
        <v>48</v>
      </c>
      <c r="D257" s="78">
        <v>45213</v>
      </c>
      <c r="E257" s="79">
        <v>48</v>
      </c>
      <c r="F257" s="80"/>
      <c r="L257" s="9">
        <f>ROW()</f>
        <v>257</v>
      </c>
    </row>
    <row r="258" spans="1:12" x14ac:dyDescent="0.25">
      <c r="A258" s="10"/>
      <c r="B258" s="232">
        <f t="shared" si="3"/>
        <v>45199</v>
      </c>
      <c r="C258" s="9">
        <v>49</v>
      </c>
      <c r="D258" s="150">
        <v>45199</v>
      </c>
      <c r="E258" s="151">
        <v>49</v>
      </c>
      <c r="F258" s="129" t="s">
        <v>211</v>
      </c>
      <c r="G258" s="114">
        <v>5007</v>
      </c>
      <c r="H258" s="129" t="s">
        <v>117</v>
      </c>
      <c r="I258" s="99">
        <v>2400</v>
      </c>
      <c r="J258" s="99"/>
      <c r="K258" s="152"/>
      <c r="L258" s="9">
        <f>ROW()</f>
        <v>258</v>
      </c>
    </row>
    <row r="259" spans="1:12" x14ac:dyDescent="0.25">
      <c r="A259" s="10"/>
      <c r="B259" s="232">
        <f t="shared" ref="B259:B322" si="4">D259</f>
        <v>45199</v>
      </c>
      <c r="C259" s="9">
        <v>49</v>
      </c>
      <c r="D259" s="153">
        <v>45199</v>
      </c>
      <c r="E259" s="79">
        <v>49</v>
      </c>
      <c r="F259" s="80" t="s">
        <v>211</v>
      </c>
      <c r="G259" s="103">
        <v>1200</v>
      </c>
      <c r="H259" s="45" t="s">
        <v>19</v>
      </c>
      <c r="I259" s="28">
        <v>120</v>
      </c>
      <c r="K259" s="154"/>
      <c r="L259" s="9">
        <f>ROW()</f>
        <v>259</v>
      </c>
    </row>
    <row r="260" spans="1:12" x14ac:dyDescent="0.25">
      <c r="A260" s="10"/>
      <c r="B260" s="232">
        <f t="shared" si="4"/>
        <v>45199</v>
      </c>
      <c r="C260" s="9">
        <v>49</v>
      </c>
      <c r="D260" s="153">
        <v>45199</v>
      </c>
      <c r="E260" s="79">
        <v>49</v>
      </c>
      <c r="F260" s="80" t="s">
        <v>211</v>
      </c>
      <c r="G260" s="103">
        <v>1201</v>
      </c>
      <c r="H260" s="45" t="s">
        <v>21</v>
      </c>
      <c r="I260" s="28">
        <v>239.4</v>
      </c>
      <c r="K260" s="154"/>
      <c r="L260" s="9">
        <f>ROW()</f>
        <v>260</v>
      </c>
    </row>
    <row r="261" spans="1:12" x14ac:dyDescent="0.25">
      <c r="A261" s="10"/>
      <c r="B261" s="232">
        <f t="shared" si="4"/>
        <v>45199</v>
      </c>
      <c r="C261" s="9">
        <v>49</v>
      </c>
      <c r="D261" s="153">
        <v>45199</v>
      </c>
      <c r="E261" s="79">
        <v>49</v>
      </c>
      <c r="F261" s="80" t="s">
        <v>211</v>
      </c>
      <c r="G261" s="103">
        <v>1000</v>
      </c>
      <c r="H261" s="45" t="s">
        <v>13</v>
      </c>
      <c r="J261" s="28">
        <v>2759.4</v>
      </c>
      <c r="K261" s="154"/>
      <c r="L261" s="9">
        <f>ROW()</f>
        <v>261</v>
      </c>
    </row>
    <row r="262" spans="1:12" ht="15.75" thickBot="1" x14ac:dyDescent="0.3">
      <c r="A262" s="10"/>
      <c r="B262" s="232">
        <f t="shared" si="4"/>
        <v>45199</v>
      </c>
      <c r="C262" s="9">
        <v>49</v>
      </c>
      <c r="D262" s="155">
        <v>45199</v>
      </c>
      <c r="E262" s="156">
        <v>49</v>
      </c>
      <c r="F262" s="157" t="s">
        <v>211</v>
      </c>
      <c r="G262" s="158"/>
      <c r="H262" s="162" t="s">
        <v>212</v>
      </c>
      <c r="I262" s="163"/>
      <c r="J262" s="163"/>
      <c r="K262" s="164"/>
      <c r="L262" s="9">
        <f>ROW()</f>
        <v>262</v>
      </c>
    </row>
    <row r="263" spans="1:12" ht="15.75" thickBot="1" x14ac:dyDescent="0.3">
      <c r="A263" s="10"/>
      <c r="B263" s="232">
        <f t="shared" si="4"/>
        <v>45199</v>
      </c>
      <c r="C263" s="9">
        <v>49</v>
      </c>
      <c r="D263" s="78">
        <v>45199</v>
      </c>
      <c r="E263" s="79">
        <v>49</v>
      </c>
      <c r="F263" s="80" t="s">
        <v>211</v>
      </c>
      <c r="L263" s="9">
        <f>ROW()</f>
        <v>263</v>
      </c>
    </row>
    <row r="264" spans="1:12" x14ac:dyDescent="0.25">
      <c r="A264" s="10"/>
      <c r="B264" s="232">
        <f t="shared" si="4"/>
        <v>45212</v>
      </c>
      <c r="C264" s="9">
        <v>50</v>
      </c>
      <c r="D264" s="150">
        <v>45212</v>
      </c>
      <c r="E264" s="151">
        <v>50</v>
      </c>
      <c r="F264" s="129" t="s">
        <v>187</v>
      </c>
      <c r="G264" s="114">
        <v>5020</v>
      </c>
      <c r="H264" s="129" t="s">
        <v>133</v>
      </c>
      <c r="I264" s="99">
        <v>650</v>
      </c>
      <c r="J264" s="99"/>
      <c r="K264" s="152"/>
      <c r="L264" s="9">
        <f>ROW()</f>
        <v>264</v>
      </c>
    </row>
    <row r="265" spans="1:12" x14ac:dyDescent="0.25">
      <c r="A265" s="10"/>
      <c r="B265" s="232">
        <f t="shared" si="4"/>
        <v>45212</v>
      </c>
      <c r="C265" s="9">
        <v>50</v>
      </c>
      <c r="D265" s="153">
        <v>45212</v>
      </c>
      <c r="E265" s="79">
        <v>50</v>
      </c>
      <c r="F265" s="80" t="s">
        <v>187</v>
      </c>
      <c r="G265" s="103">
        <v>1200</v>
      </c>
      <c r="H265" s="45" t="s">
        <v>19</v>
      </c>
      <c r="I265" s="28">
        <v>32.5</v>
      </c>
      <c r="K265" s="154"/>
      <c r="L265" s="9">
        <f>ROW()</f>
        <v>265</v>
      </c>
    </row>
    <row r="266" spans="1:12" x14ac:dyDescent="0.25">
      <c r="A266" s="10"/>
      <c r="B266" s="232">
        <f t="shared" si="4"/>
        <v>45212</v>
      </c>
      <c r="C266" s="9">
        <v>50</v>
      </c>
      <c r="D266" s="153">
        <v>45212</v>
      </c>
      <c r="E266" s="79">
        <v>50</v>
      </c>
      <c r="F266" s="80" t="s">
        <v>187</v>
      </c>
      <c r="G266" s="103">
        <v>1201</v>
      </c>
      <c r="H266" s="45" t="s">
        <v>21</v>
      </c>
      <c r="I266" s="28">
        <v>64.84</v>
      </c>
      <c r="K266" s="154"/>
      <c r="L266" s="9">
        <f>ROW()</f>
        <v>266</v>
      </c>
    </row>
    <row r="267" spans="1:12" x14ac:dyDescent="0.25">
      <c r="A267" s="10"/>
      <c r="B267" s="232">
        <f t="shared" si="4"/>
        <v>45212</v>
      </c>
      <c r="C267" s="9">
        <v>50</v>
      </c>
      <c r="D267" s="153">
        <v>45212</v>
      </c>
      <c r="E267" s="79">
        <v>50</v>
      </c>
      <c r="F267" s="80" t="s">
        <v>187</v>
      </c>
      <c r="G267" s="103">
        <v>1000</v>
      </c>
      <c r="H267" s="45" t="s">
        <v>13</v>
      </c>
      <c r="J267" s="28">
        <v>747.34</v>
      </c>
      <c r="K267" s="154"/>
      <c r="L267" s="9">
        <f>ROW()</f>
        <v>267</v>
      </c>
    </row>
    <row r="268" spans="1:12" ht="15.75" thickBot="1" x14ac:dyDescent="0.3">
      <c r="A268" s="10"/>
      <c r="B268" s="232">
        <f t="shared" si="4"/>
        <v>45212</v>
      </c>
      <c r="C268" s="9">
        <v>50</v>
      </c>
      <c r="D268" s="155">
        <v>45212</v>
      </c>
      <c r="E268" s="156">
        <v>50</v>
      </c>
      <c r="F268" s="157" t="s">
        <v>187</v>
      </c>
      <c r="G268" s="158"/>
      <c r="H268" s="162" t="s">
        <v>214</v>
      </c>
      <c r="I268" s="163"/>
      <c r="J268" s="163"/>
      <c r="K268" s="164"/>
      <c r="L268" s="9">
        <f>ROW()</f>
        <v>268</v>
      </c>
    </row>
    <row r="269" spans="1:12" ht="15.75" thickBot="1" x14ac:dyDescent="0.3">
      <c r="A269" s="10"/>
      <c r="B269" s="232">
        <f t="shared" si="4"/>
        <v>45212</v>
      </c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  <row r="270" spans="1:12" x14ac:dyDescent="0.25">
      <c r="A270" s="10"/>
      <c r="B270" s="232">
        <f t="shared" si="4"/>
        <v>45212</v>
      </c>
      <c r="C270" s="9">
        <v>51</v>
      </c>
      <c r="D270" s="150">
        <v>45212</v>
      </c>
      <c r="E270" s="151">
        <v>51</v>
      </c>
      <c r="F270" s="129" t="s">
        <v>216</v>
      </c>
      <c r="G270" s="114" t="s">
        <v>126</v>
      </c>
      <c r="H270" s="129" t="s">
        <v>127</v>
      </c>
      <c r="I270" s="99">
        <v>29.95</v>
      </c>
      <c r="J270" s="99"/>
      <c r="K270" s="152"/>
      <c r="L270" s="9">
        <f>ROW()</f>
        <v>270</v>
      </c>
    </row>
    <row r="271" spans="1:12" x14ac:dyDescent="0.25">
      <c r="A271" s="10"/>
      <c r="B271" s="232">
        <f t="shared" si="4"/>
        <v>45212</v>
      </c>
      <c r="C271" s="9">
        <v>51</v>
      </c>
      <c r="D271" s="153">
        <v>45212</v>
      </c>
      <c r="E271" s="79">
        <v>51</v>
      </c>
      <c r="F271" s="80" t="s">
        <v>216</v>
      </c>
      <c r="G271" s="103" t="s">
        <v>12</v>
      </c>
      <c r="H271" s="45" t="s">
        <v>13</v>
      </c>
      <c r="J271" s="28">
        <v>29.95</v>
      </c>
      <c r="K271" s="154"/>
      <c r="L271" s="9">
        <f>ROW()</f>
        <v>271</v>
      </c>
    </row>
    <row r="272" spans="1:12" ht="15.75" thickBot="1" x14ac:dyDescent="0.3">
      <c r="A272" s="10"/>
      <c r="B272" s="232">
        <f t="shared" si="4"/>
        <v>45212</v>
      </c>
      <c r="C272" s="9">
        <v>51</v>
      </c>
      <c r="D272" s="155">
        <v>45212</v>
      </c>
      <c r="E272" s="156">
        <v>51</v>
      </c>
      <c r="F272" s="157" t="s">
        <v>216</v>
      </c>
      <c r="G272" s="158"/>
      <c r="H272" s="162" t="s">
        <v>186</v>
      </c>
      <c r="I272" s="163"/>
      <c r="J272" s="163"/>
      <c r="K272" s="164"/>
      <c r="L272" s="9">
        <f>ROW()</f>
        <v>272</v>
      </c>
    </row>
    <row r="273" spans="1:12" ht="15.75" thickBot="1" x14ac:dyDescent="0.3">
      <c r="A273" s="10"/>
      <c r="B273" s="232">
        <f t="shared" si="4"/>
        <v>45212</v>
      </c>
      <c r="C273" s="9">
        <v>51</v>
      </c>
      <c r="D273" s="78">
        <v>45212</v>
      </c>
      <c r="E273" s="79">
        <v>51</v>
      </c>
      <c r="F273" s="80" t="s">
        <v>216</v>
      </c>
      <c r="L273" s="9">
        <f>ROW()</f>
        <v>273</v>
      </c>
    </row>
    <row r="274" spans="1:12" x14ac:dyDescent="0.25">
      <c r="A274" s="10"/>
      <c r="B274" s="232">
        <f t="shared" si="4"/>
        <v>45212</v>
      </c>
      <c r="C274" s="9">
        <v>52</v>
      </c>
      <c r="D274" s="150">
        <v>45212</v>
      </c>
      <c r="E274" s="151">
        <v>52</v>
      </c>
      <c r="F274" s="129" t="s">
        <v>219</v>
      </c>
      <c r="G274" s="114" t="s">
        <v>217</v>
      </c>
      <c r="H274" s="129" t="s">
        <v>218</v>
      </c>
      <c r="I274" s="99">
        <v>129.94999999999999</v>
      </c>
      <c r="J274" s="99"/>
      <c r="K274" s="152"/>
      <c r="L274" s="9">
        <f>ROW()</f>
        <v>274</v>
      </c>
    </row>
    <row r="275" spans="1:12" x14ac:dyDescent="0.25">
      <c r="A275" s="10"/>
      <c r="B275" s="232">
        <f t="shared" si="4"/>
        <v>45212</v>
      </c>
      <c r="C275" s="9">
        <v>52</v>
      </c>
      <c r="D275" s="153">
        <v>45212</v>
      </c>
      <c r="E275" s="79">
        <v>52</v>
      </c>
      <c r="F275" s="80" t="s">
        <v>219</v>
      </c>
      <c r="G275" s="103">
        <v>1200</v>
      </c>
      <c r="H275" s="45" t="s">
        <v>19</v>
      </c>
      <c r="I275" s="28">
        <v>6.5</v>
      </c>
      <c r="K275" s="154"/>
      <c r="L275" s="9">
        <f>ROW()</f>
        <v>275</v>
      </c>
    </row>
    <row r="276" spans="1:12" x14ac:dyDescent="0.25">
      <c r="A276" s="10"/>
      <c r="B276" s="232">
        <f t="shared" si="4"/>
        <v>45212</v>
      </c>
      <c r="C276" s="9">
        <v>52</v>
      </c>
      <c r="D276" s="153">
        <v>45212</v>
      </c>
      <c r="E276" s="79">
        <v>52</v>
      </c>
      <c r="F276" s="80" t="s">
        <v>219</v>
      </c>
      <c r="G276" s="103">
        <v>1201</v>
      </c>
      <c r="H276" s="45" t="s">
        <v>21</v>
      </c>
      <c r="I276" s="28">
        <v>12.96</v>
      </c>
      <c r="K276" s="154"/>
      <c r="L276" s="9">
        <f>ROW()</f>
        <v>276</v>
      </c>
    </row>
    <row r="277" spans="1:12" x14ac:dyDescent="0.25">
      <c r="A277" s="10"/>
      <c r="B277" s="232">
        <f t="shared" si="4"/>
        <v>45212</v>
      </c>
      <c r="C277" s="9">
        <v>52</v>
      </c>
      <c r="D277" s="153">
        <v>45212</v>
      </c>
      <c r="E277" s="79">
        <v>52</v>
      </c>
      <c r="F277" s="80" t="s">
        <v>219</v>
      </c>
      <c r="G277" s="103">
        <v>2000</v>
      </c>
      <c r="H277" s="45" t="s">
        <v>54</v>
      </c>
      <c r="J277" s="28">
        <v>149.41</v>
      </c>
      <c r="K277" s="154" t="s">
        <v>221</v>
      </c>
      <c r="L277" s="9">
        <f>ROW()</f>
        <v>277</v>
      </c>
    </row>
    <row r="278" spans="1:12" ht="15.75" thickBot="1" x14ac:dyDescent="0.3">
      <c r="A278" s="10"/>
      <c r="B278" s="232">
        <f t="shared" si="4"/>
        <v>45212</v>
      </c>
      <c r="C278" s="9">
        <v>52</v>
      </c>
      <c r="D278" s="155">
        <v>45212</v>
      </c>
      <c r="E278" s="156">
        <v>52</v>
      </c>
      <c r="F278" s="157" t="s">
        <v>219</v>
      </c>
      <c r="G278" s="158"/>
      <c r="H278" s="162" t="s">
        <v>220</v>
      </c>
      <c r="I278" s="163"/>
      <c r="J278" s="163"/>
      <c r="K278" s="164"/>
      <c r="L278" s="9">
        <f>ROW()</f>
        <v>278</v>
      </c>
    </row>
    <row r="279" spans="1:12" ht="15.75" thickBot="1" x14ac:dyDescent="0.3">
      <c r="A279" s="10"/>
      <c r="B279" s="232">
        <f t="shared" si="4"/>
        <v>45212</v>
      </c>
      <c r="C279" s="9">
        <v>52</v>
      </c>
      <c r="D279" s="78">
        <v>45212</v>
      </c>
      <c r="E279" s="79">
        <v>52</v>
      </c>
      <c r="F279" s="80" t="s">
        <v>219</v>
      </c>
      <c r="L279" s="9">
        <f>ROW()</f>
        <v>279</v>
      </c>
    </row>
    <row r="280" spans="1:12" x14ac:dyDescent="0.25">
      <c r="A280" s="10"/>
      <c r="B280" s="232">
        <f t="shared" si="4"/>
        <v>45213</v>
      </c>
      <c r="C280" s="9">
        <v>53</v>
      </c>
      <c r="D280" s="150">
        <v>45213</v>
      </c>
      <c r="E280" s="151">
        <v>53</v>
      </c>
      <c r="F280" s="129"/>
      <c r="G280" s="114" t="s">
        <v>217</v>
      </c>
      <c r="H280" s="129" t="s">
        <v>218</v>
      </c>
      <c r="I280" s="99">
        <v>129.94999999999999</v>
      </c>
      <c r="J280" s="99"/>
      <c r="K280" s="152"/>
      <c r="L280" s="9">
        <f>ROW()</f>
        <v>280</v>
      </c>
    </row>
    <row r="281" spans="1:12" x14ac:dyDescent="0.25">
      <c r="A281" s="10"/>
      <c r="B281" s="232">
        <f t="shared" si="4"/>
        <v>45213</v>
      </c>
      <c r="C281" s="9">
        <v>53</v>
      </c>
      <c r="D281" s="153">
        <v>45213</v>
      </c>
      <c r="E281" s="79">
        <v>53</v>
      </c>
      <c r="F281" s="80"/>
      <c r="G281" s="103">
        <v>1200</v>
      </c>
      <c r="H281" s="45" t="s">
        <v>19</v>
      </c>
      <c r="I281" s="28">
        <v>6.5</v>
      </c>
      <c r="K281" s="154"/>
      <c r="L281" s="9">
        <f>ROW()</f>
        <v>281</v>
      </c>
    </row>
    <row r="282" spans="1:12" x14ac:dyDescent="0.25">
      <c r="A282" s="10"/>
      <c r="B282" s="232">
        <f t="shared" si="4"/>
        <v>45213</v>
      </c>
      <c r="C282" s="9">
        <v>53</v>
      </c>
      <c r="D282" s="153">
        <v>45213</v>
      </c>
      <c r="E282" s="79">
        <v>53</v>
      </c>
      <c r="F282" s="80"/>
      <c r="G282" s="103">
        <v>1201</v>
      </c>
      <c r="H282" s="45" t="s">
        <v>21</v>
      </c>
      <c r="I282" s="28">
        <v>12.96</v>
      </c>
      <c r="K282" s="154"/>
      <c r="L282" s="9">
        <f>ROW()</f>
        <v>282</v>
      </c>
    </row>
    <row r="283" spans="1:12" x14ac:dyDescent="0.25">
      <c r="A283" s="10"/>
      <c r="B283" s="232">
        <f t="shared" si="4"/>
        <v>45213</v>
      </c>
      <c r="C283" s="9">
        <v>53</v>
      </c>
      <c r="D283" s="153">
        <v>45213</v>
      </c>
      <c r="E283" s="79">
        <v>53</v>
      </c>
      <c r="F283" s="80"/>
      <c r="G283" s="103">
        <v>2000</v>
      </c>
      <c r="H283" s="45" t="s">
        <v>54</v>
      </c>
      <c r="J283" s="28">
        <v>149.41</v>
      </c>
      <c r="K283" s="154" t="s">
        <v>221</v>
      </c>
      <c r="L283" s="9">
        <f>ROW()</f>
        <v>283</v>
      </c>
    </row>
    <row r="284" spans="1:12" ht="15.75" thickBot="1" x14ac:dyDescent="0.3">
      <c r="A284" s="10"/>
      <c r="B284" s="232">
        <f t="shared" si="4"/>
        <v>45213</v>
      </c>
      <c r="C284" s="9">
        <v>53</v>
      </c>
      <c r="D284" s="155">
        <v>45213</v>
      </c>
      <c r="E284" s="156">
        <v>53</v>
      </c>
      <c r="F284" s="157"/>
      <c r="G284" s="158"/>
      <c r="H284" s="162" t="s">
        <v>222</v>
      </c>
      <c r="I284" s="163"/>
      <c r="J284" s="163"/>
      <c r="K284" s="164"/>
      <c r="L284" s="9">
        <f>ROW()</f>
        <v>284</v>
      </c>
    </row>
    <row r="285" spans="1:12" ht="15.75" thickBot="1" x14ac:dyDescent="0.3">
      <c r="A285" s="10"/>
      <c r="B285" s="232">
        <f t="shared" si="4"/>
        <v>45213</v>
      </c>
      <c r="C285" s="9">
        <v>53</v>
      </c>
      <c r="D285" s="78">
        <v>45213</v>
      </c>
      <c r="E285" s="79">
        <v>53</v>
      </c>
      <c r="F285" s="80"/>
      <c r="L285" s="9">
        <f>ROW()</f>
        <v>285</v>
      </c>
    </row>
    <row r="286" spans="1:12" x14ac:dyDescent="0.25">
      <c r="A286" s="10"/>
      <c r="B286" s="232">
        <f t="shared" si="4"/>
        <v>45213</v>
      </c>
      <c r="C286" s="9">
        <v>54</v>
      </c>
      <c r="D286" s="150">
        <v>45213</v>
      </c>
      <c r="E286" s="151">
        <v>54</v>
      </c>
      <c r="F286" s="129"/>
      <c r="G286" s="114" t="s">
        <v>217</v>
      </c>
      <c r="H286" s="129" t="s">
        <v>218</v>
      </c>
      <c r="I286" s="99">
        <v>129.94999999999999</v>
      </c>
      <c r="J286" s="99"/>
      <c r="K286" s="152"/>
      <c r="L286" s="9">
        <f>ROW()</f>
        <v>286</v>
      </c>
    </row>
    <row r="287" spans="1:12" x14ac:dyDescent="0.25">
      <c r="A287" s="10"/>
      <c r="B287" s="232">
        <f t="shared" si="4"/>
        <v>45213</v>
      </c>
      <c r="C287" s="9">
        <v>54</v>
      </c>
      <c r="D287" s="153">
        <v>45213</v>
      </c>
      <c r="E287" s="79">
        <v>54</v>
      </c>
      <c r="F287" s="80"/>
      <c r="G287" s="103">
        <v>1200</v>
      </c>
      <c r="H287" s="45" t="s">
        <v>19</v>
      </c>
      <c r="I287" s="28">
        <v>6.5</v>
      </c>
      <c r="K287" s="154"/>
      <c r="L287" s="9">
        <f>ROW()</f>
        <v>287</v>
      </c>
    </row>
    <row r="288" spans="1:12" x14ac:dyDescent="0.25">
      <c r="A288" s="10"/>
      <c r="B288" s="232">
        <f t="shared" si="4"/>
        <v>45213</v>
      </c>
      <c r="C288" s="9">
        <v>54</v>
      </c>
      <c r="D288" s="153">
        <v>45213</v>
      </c>
      <c r="E288" s="79">
        <v>54</v>
      </c>
      <c r="F288" s="80"/>
      <c r="G288" s="103">
        <v>1201</v>
      </c>
      <c r="H288" s="45" t="s">
        <v>21</v>
      </c>
      <c r="I288" s="28">
        <v>12.96</v>
      </c>
      <c r="K288" s="154"/>
      <c r="L288" s="9">
        <f>ROW()</f>
        <v>288</v>
      </c>
    </row>
    <row r="289" spans="1:12" x14ac:dyDescent="0.25">
      <c r="A289" s="10"/>
      <c r="B289" s="232">
        <f t="shared" si="4"/>
        <v>45213</v>
      </c>
      <c r="C289" s="9">
        <v>54</v>
      </c>
      <c r="D289" s="153">
        <v>45213</v>
      </c>
      <c r="E289" s="79">
        <v>54</v>
      </c>
      <c r="F289" s="80"/>
      <c r="G289" s="103">
        <v>2000</v>
      </c>
      <c r="H289" s="45" t="s">
        <v>54</v>
      </c>
      <c r="J289" s="28">
        <v>149.41</v>
      </c>
      <c r="K289" s="154" t="s">
        <v>221</v>
      </c>
      <c r="L289" s="9">
        <f>ROW()</f>
        <v>289</v>
      </c>
    </row>
    <row r="290" spans="1:12" ht="15.75" thickBot="1" x14ac:dyDescent="0.3">
      <c r="A290" s="10"/>
      <c r="B290" s="232">
        <f t="shared" si="4"/>
        <v>45213</v>
      </c>
      <c r="C290" s="9">
        <v>54</v>
      </c>
      <c r="D290" s="155">
        <v>45213</v>
      </c>
      <c r="E290" s="156">
        <v>54</v>
      </c>
      <c r="F290" s="157"/>
      <c r="G290" s="158"/>
      <c r="H290" s="162" t="s">
        <v>222</v>
      </c>
      <c r="I290" s="163"/>
      <c r="J290" s="163"/>
      <c r="K290" s="164"/>
      <c r="L290" s="9">
        <f>ROW()</f>
        <v>290</v>
      </c>
    </row>
    <row r="291" spans="1:12" ht="15.75" thickBot="1" x14ac:dyDescent="0.3">
      <c r="A291" s="10"/>
      <c r="B291" s="232">
        <f t="shared" si="4"/>
        <v>45213</v>
      </c>
      <c r="C291" s="9">
        <v>54</v>
      </c>
      <c r="D291" s="78">
        <v>45213</v>
      </c>
      <c r="E291" s="79">
        <v>54</v>
      </c>
      <c r="F291" s="80"/>
      <c r="L291" s="9">
        <f>ROW()</f>
        <v>291</v>
      </c>
    </row>
    <row r="292" spans="1:12" x14ac:dyDescent="0.25">
      <c r="A292" s="10"/>
      <c r="B292" s="232">
        <f t="shared" si="4"/>
        <v>45213</v>
      </c>
      <c r="C292" s="9">
        <v>55</v>
      </c>
      <c r="D292" s="150">
        <v>45213</v>
      </c>
      <c r="E292" s="151">
        <v>55</v>
      </c>
      <c r="F292" s="129"/>
      <c r="G292" s="114" t="s">
        <v>217</v>
      </c>
      <c r="H292" s="129" t="s">
        <v>218</v>
      </c>
      <c r="I292" s="99">
        <v>129.94999999999999</v>
      </c>
      <c r="J292" s="99"/>
      <c r="K292" s="152"/>
      <c r="L292" s="9">
        <f>ROW()</f>
        <v>292</v>
      </c>
    </row>
    <row r="293" spans="1:12" x14ac:dyDescent="0.25">
      <c r="A293" s="10"/>
      <c r="B293" s="232">
        <f t="shared" si="4"/>
        <v>45213</v>
      </c>
      <c r="C293" s="9">
        <v>55</v>
      </c>
      <c r="D293" s="153">
        <v>45213</v>
      </c>
      <c r="E293" s="79">
        <v>55</v>
      </c>
      <c r="F293" s="80"/>
      <c r="G293" s="103">
        <v>1200</v>
      </c>
      <c r="H293" s="45" t="s">
        <v>19</v>
      </c>
      <c r="I293" s="28">
        <v>6.5</v>
      </c>
      <c r="K293" s="154"/>
      <c r="L293" s="9">
        <f>ROW()</f>
        <v>293</v>
      </c>
    </row>
    <row r="294" spans="1:12" x14ac:dyDescent="0.25">
      <c r="A294" s="10"/>
      <c r="B294" s="232">
        <f t="shared" si="4"/>
        <v>45213</v>
      </c>
      <c r="C294" s="9">
        <v>55</v>
      </c>
      <c r="D294" s="153">
        <v>45213</v>
      </c>
      <c r="E294" s="79">
        <v>55</v>
      </c>
      <c r="F294" s="80"/>
      <c r="G294" s="103">
        <v>1201</v>
      </c>
      <c r="H294" s="45" t="s">
        <v>21</v>
      </c>
      <c r="I294" s="28">
        <v>12.96</v>
      </c>
      <c r="K294" s="154"/>
      <c r="L294" s="9">
        <f>ROW()</f>
        <v>294</v>
      </c>
    </row>
    <row r="295" spans="1:12" x14ac:dyDescent="0.25">
      <c r="A295" s="10"/>
      <c r="B295" s="232">
        <f t="shared" si="4"/>
        <v>45213</v>
      </c>
      <c r="C295" s="9">
        <v>55</v>
      </c>
      <c r="D295" s="153">
        <v>45213</v>
      </c>
      <c r="E295" s="79">
        <v>55</v>
      </c>
      <c r="F295" s="80"/>
      <c r="G295" s="103">
        <v>2000</v>
      </c>
      <c r="H295" s="45" t="s">
        <v>54</v>
      </c>
      <c r="J295" s="28">
        <v>149.41</v>
      </c>
      <c r="K295" s="154" t="s">
        <v>221</v>
      </c>
      <c r="L295" s="9">
        <f>ROW()</f>
        <v>295</v>
      </c>
    </row>
    <row r="296" spans="1:12" ht="15.75" thickBot="1" x14ac:dyDescent="0.3">
      <c r="A296" s="10"/>
      <c r="B296" s="232">
        <f t="shared" si="4"/>
        <v>45213</v>
      </c>
      <c r="C296" s="9">
        <v>55</v>
      </c>
      <c r="D296" s="155">
        <v>45213</v>
      </c>
      <c r="E296" s="156">
        <v>55</v>
      </c>
      <c r="F296" s="157"/>
      <c r="G296" s="158"/>
      <c r="H296" s="162" t="s">
        <v>222</v>
      </c>
      <c r="I296" s="163"/>
      <c r="J296" s="163"/>
      <c r="K296" s="164"/>
      <c r="L296" s="9">
        <f>ROW()</f>
        <v>296</v>
      </c>
    </row>
    <row r="297" spans="1:12" ht="15.75" thickBot="1" x14ac:dyDescent="0.3">
      <c r="A297" s="10"/>
      <c r="B297" s="232">
        <f t="shared" si="4"/>
        <v>45213</v>
      </c>
      <c r="C297" s="9">
        <v>55</v>
      </c>
      <c r="D297" s="78">
        <v>45213</v>
      </c>
      <c r="E297" s="79">
        <v>55</v>
      </c>
      <c r="F297" s="80"/>
      <c r="L297" s="9">
        <f>ROW()</f>
        <v>297</v>
      </c>
    </row>
    <row r="298" spans="1:12" x14ac:dyDescent="0.25">
      <c r="A298" s="10"/>
      <c r="B298" s="232">
        <f t="shared" si="4"/>
        <v>45199</v>
      </c>
      <c r="C298" s="9">
        <v>56</v>
      </c>
      <c r="D298" s="150">
        <v>45199</v>
      </c>
      <c r="E298" s="151">
        <v>56</v>
      </c>
      <c r="F298" s="129"/>
      <c r="G298" s="114">
        <v>5013</v>
      </c>
      <c r="H298" s="129" t="s">
        <v>127</v>
      </c>
      <c r="I298" s="99">
        <v>29.95</v>
      </c>
      <c r="J298" s="99"/>
      <c r="K298" s="152"/>
      <c r="L298" s="9">
        <f>ROW()</f>
        <v>298</v>
      </c>
    </row>
    <row r="299" spans="1:12" x14ac:dyDescent="0.25">
      <c r="A299" s="10"/>
      <c r="B299" s="232">
        <f t="shared" si="4"/>
        <v>45199</v>
      </c>
      <c r="C299" s="9">
        <v>56</v>
      </c>
      <c r="D299" s="153">
        <v>45199</v>
      </c>
      <c r="E299" s="79">
        <v>56</v>
      </c>
      <c r="F299" s="80"/>
      <c r="G299" s="103">
        <v>1000</v>
      </c>
      <c r="H299" s="45" t="s">
        <v>13</v>
      </c>
      <c r="J299" s="28">
        <v>29.95</v>
      </c>
      <c r="K299" s="154"/>
      <c r="L299" s="9">
        <f>ROW()</f>
        <v>299</v>
      </c>
    </row>
    <row r="300" spans="1:12" ht="15.75" thickBot="1" x14ac:dyDescent="0.3">
      <c r="A300" s="10"/>
      <c r="B300" s="232">
        <f t="shared" si="4"/>
        <v>45199</v>
      </c>
      <c r="C300" s="9">
        <v>56</v>
      </c>
      <c r="D300" s="155">
        <v>45199</v>
      </c>
      <c r="E300" s="156">
        <v>56</v>
      </c>
      <c r="F300" s="157"/>
      <c r="G300" s="158"/>
      <c r="H300" s="162" t="s">
        <v>223</v>
      </c>
      <c r="I300" s="163"/>
      <c r="J300" s="163"/>
      <c r="K300" s="164"/>
      <c r="L300" s="9">
        <f>ROW()</f>
        <v>300</v>
      </c>
    </row>
    <row r="301" spans="1:12" ht="15.75" thickBot="1" x14ac:dyDescent="0.3">
      <c r="A301" s="10"/>
      <c r="B301" s="232">
        <f t="shared" si="4"/>
        <v>45199</v>
      </c>
      <c r="C301" s="9">
        <v>56</v>
      </c>
      <c r="D301" s="78">
        <v>45199</v>
      </c>
      <c r="E301" s="79">
        <v>56</v>
      </c>
      <c r="F301" s="80"/>
      <c r="L301" s="9">
        <f>ROW()</f>
        <v>301</v>
      </c>
    </row>
    <row r="302" spans="1:12" x14ac:dyDescent="0.25">
      <c r="A302" s="10"/>
      <c r="B302" s="232">
        <f t="shared" si="4"/>
        <v>45198</v>
      </c>
      <c r="C302" s="9">
        <v>57</v>
      </c>
      <c r="D302" s="150">
        <v>45198</v>
      </c>
      <c r="E302" s="151">
        <v>57</v>
      </c>
      <c r="F302" s="129"/>
      <c r="G302" s="114">
        <v>1100</v>
      </c>
      <c r="H302" s="129" t="s">
        <v>15</v>
      </c>
      <c r="I302" s="99">
        <v>262.44</v>
      </c>
      <c r="J302" s="99"/>
      <c r="K302" s="152"/>
      <c r="L302" s="9">
        <f>ROW()</f>
        <v>302</v>
      </c>
    </row>
    <row r="303" spans="1:12" x14ac:dyDescent="0.25">
      <c r="A303" s="10"/>
      <c r="B303" s="232">
        <f t="shared" si="4"/>
        <v>45198</v>
      </c>
      <c r="C303" s="9">
        <v>57</v>
      </c>
      <c r="D303" s="153">
        <v>45198</v>
      </c>
      <c r="E303" s="79">
        <v>57</v>
      </c>
      <c r="F303" s="80"/>
      <c r="G303" s="103">
        <v>4000</v>
      </c>
      <c r="H303" s="45" t="s">
        <v>88</v>
      </c>
      <c r="J303" s="28">
        <v>250</v>
      </c>
      <c r="K303" s="154"/>
      <c r="L303" s="9">
        <f>ROW()</f>
        <v>303</v>
      </c>
    </row>
    <row r="304" spans="1:12" x14ac:dyDescent="0.25">
      <c r="A304" s="10"/>
      <c r="B304" s="232">
        <f t="shared" si="4"/>
        <v>45198</v>
      </c>
      <c r="C304" s="9">
        <v>57</v>
      </c>
      <c r="D304" s="153">
        <v>45198</v>
      </c>
      <c r="E304" s="79">
        <v>57</v>
      </c>
      <c r="F304" s="80"/>
      <c r="G304" s="103">
        <v>1202</v>
      </c>
      <c r="H304" s="45" t="s">
        <v>23</v>
      </c>
      <c r="J304" s="28">
        <v>12.5</v>
      </c>
      <c r="K304" s="154"/>
      <c r="L304" s="9">
        <f>ROW()</f>
        <v>304</v>
      </c>
    </row>
    <row r="305" spans="1:12" x14ac:dyDescent="0.25">
      <c r="A305" s="10"/>
      <c r="B305" s="232">
        <f t="shared" si="4"/>
        <v>45198</v>
      </c>
      <c r="C305" s="9">
        <v>57</v>
      </c>
      <c r="D305" s="153">
        <v>45198</v>
      </c>
      <c r="E305" s="79">
        <v>57</v>
      </c>
      <c r="F305" s="80"/>
      <c r="G305" s="103">
        <v>1201</v>
      </c>
      <c r="H305" s="45" t="s">
        <v>21</v>
      </c>
      <c r="J305" s="28">
        <v>24.94</v>
      </c>
      <c r="K305" s="154"/>
      <c r="L305" s="9">
        <f>ROW()</f>
        <v>305</v>
      </c>
    </row>
    <row r="306" spans="1:12" x14ac:dyDescent="0.25">
      <c r="A306" s="10"/>
      <c r="B306" s="232">
        <f t="shared" si="4"/>
        <v>45198</v>
      </c>
      <c r="C306" s="9">
        <v>57</v>
      </c>
      <c r="D306" s="153">
        <v>45198</v>
      </c>
      <c r="E306" s="79">
        <v>57</v>
      </c>
      <c r="F306" s="80"/>
      <c r="G306" s="103">
        <v>1230</v>
      </c>
      <c r="H306" s="45" t="s">
        <v>33</v>
      </c>
      <c r="I306" s="28">
        <v>25</v>
      </c>
      <c r="K306" s="154"/>
      <c r="L306" s="9">
        <f>ROW()</f>
        <v>306</v>
      </c>
    </row>
    <row r="307" spans="1:12" ht="15.75" thickBot="1" x14ac:dyDescent="0.3">
      <c r="A307" s="10"/>
      <c r="B307" s="232">
        <f t="shared" si="4"/>
        <v>45198</v>
      </c>
      <c r="C307" s="9">
        <v>57</v>
      </c>
      <c r="D307" s="155">
        <v>45198</v>
      </c>
      <c r="E307" s="156">
        <v>57</v>
      </c>
      <c r="F307" s="157"/>
      <c r="G307" s="158"/>
      <c r="H307" s="162" t="s">
        <v>224</v>
      </c>
      <c r="I307" s="163"/>
      <c r="J307" s="163"/>
      <c r="K307" s="164"/>
      <c r="L307" s="9">
        <f>ROW()</f>
        <v>307</v>
      </c>
    </row>
    <row r="308" spans="1:12" ht="15.75" thickBot="1" x14ac:dyDescent="0.3">
      <c r="A308" s="10"/>
      <c r="B308" s="232">
        <f t="shared" si="4"/>
        <v>45198</v>
      </c>
      <c r="C308" s="9">
        <v>57</v>
      </c>
      <c r="D308" s="78">
        <v>45198</v>
      </c>
      <c r="E308" s="79">
        <v>57</v>
      </c>
      <c r="F308" s="80"/>
      <c r="L308" s="9">
        <f>ROW()</f>
        <v>308</v>
      </c>
    </row>
    <row r="309" spans="1:12" x14ac:dyDescent="0.25">
      <c r="A309" s="10"/>
      <c r="B309" s="232">
        <f t="shared" si="4"/>
        <v>45231</v>
      </c>
      <c r="C309" s="9">
        <v>58</v>
      </c>
      <c r="D309" s="150">
        <v>45231</v>
      </c>
      <c r="E309" s="151">
        <v>58</v>
      </c>
      <c r="F309" s="129"/>
      <c r="G309" s="114">
        <v>5007</v>
      </c>
      <c r="H309" s="129" t="s">
        <v>117</v>
      </c>
      <c r="I309" s="99">
        <v>2400</v>
      </c>
      <c r="J309" s="99"/>
      <c r="K309" s="152"/>
      <c r="L309" s="9">
        <f>ROW()</f>
        <v>309</v>
      </c>
    </row>
    <row r="310" spans="1:12" x14ac:dyDescent="0.25">
      <c r="A310" s="10"/>
      <c r="B310" s="232">
        <f t="shared" si="4"/>
        <v>45231</v>
      </c>
      <c r="C310" s="9">
        <v>58</v>
      </c>
      <c r="D310" s="214">
        <v>45231</v>
      </c>
      <c r="E310" s="79">
        <v>58</v>
      </c>
      <c r="F310" s="80"/>
      <c r="G310" s="103">
        <v>1200</v>
      </c>
      <c r="H310" s="45" t="s">
        <v>19</v>
      </c>
      <c r="I310" s="28">
        <v>120</v>
      </c>
      <c r="K310" s="154"/>
      <c r="L310" s="9">
        <f>ROW()</f>
        <v>310</v>
      </c>
    </row>
    <row r="311" spans="1:12" x14ac:dyDescent="0.25">
      <c r="A311" s="10"/>
      <c r="B311" s="232">
        <f t="shared" si="4"/>
        <v>45231</v>
      </c>
      <c r="C311" s="9">
        <v>58</v>
      </c>
      <c r="D311" s="153">
        <v>45231</v>
      </c>
      <c r="E311" s="79">
        <v>58</v>
      </c>
      <c r="F311" s="80"/>
      <c r="G311" s="103">
        <v>1201</v>
      </c>
      <c r="H311" s="45" t="s">
        <v>21</v>
      </c>
      <c r="I311" s="28">
        <v>239.4</v>
      </c>
      <c r="K311" s="154"/>
      <c r="L311" s="9">
        <f>ROW()</f>
        <v>311</v>
      </c>
    </row>
    <row r="312" spans="1:12" x14ac:dyDescent="0.25">
      <c r="A312" s="10"/>
      <c r="B312" s="232">
        <f t="shared" si="4"/>
        <v>45231</v>
      </c>
      <c r="C312" s="9">
        <v>58</v>
      </c>
      <c r="D312" s="153">
        <v>45231</v>
      </c>
      <c r="E312" s="79">
        <v>58</v>
      </c>
      <c r="F312" s="80"/>
      <c r="G312" s="103">
        <v>1000</v>
      </c>
      <c r="H312" s="45" t="s">
        <v>13</v>
      </c>
      <c r="J312" s="28">
        <v>2759.4</v>
      </c>
      <c r="K312" s="154"/>
      <c r="L312" s="9">
        <f>ROW()</f>
        <v>312</v>
      </c>
    </row>
    <row r="313" spans="1:12" ht="15.75" thickBot="1" x14ac:dyDescent="0.3">
      <c r="A313" s="10"/>
      <c r="B313" s="232">
        <f t="shared" si="4"/>
        <v>45231</v>
      </c>
      <c r="C313" s="9">
        <v>58</v>
      </c>
      <c r="D313" s="155">
        <v>45231</v>
      </c>
      <c r="E313" s="156">
        <v>58</v>
      </c>
      <c r="F313" s="157"/>
      <c r="G313" s="158"/>
      <c r="H313" s="162" t="s">
        <v>225</v>
      </c>
      <c r="I313" s="163"/>
      <c r="J313" s="163"/>
      <c r="K313" s="164"/>
      <c r="L313" s="9">
        <f>ROW()</f>
        <v>313</v>
      </c>
    </row>
    <row r="314" spans="1:12" ht="15.75" thickBot="1" x14ac:dyDescent="0.3">
      <c r="A314" s="10"/>
      <c r="B314" s="232">
        <f t="shared" si="4"/>
        <v>45231</v>
      </c>
      <c r="C314" s="9">
        <v>58</v>
      </c>
      <c r="D314" s="78">
        <v>45231</v>
      </c>
      <c r="E314" s="79">
        <v>58</v>
      </c>
      <c r="F314" s="80"/>
      <c r="L314" s="9">
        <f>ROW()</f>
        <v>314</v>
      </c>
    </row>
    <row r="315" spans="1:12" x14ac:dyDescent="0.25">
      <c r="A315" s="10"/>
      <c r="B315" s="232">
        <f t="shared" si="4"/>
        <v>45196</v>
      </c>
      <c r="C315" s="9">
        <v>59</v>
      </c>
      <c r="D315" s="150">
        <v>45196</v>
      </c>
      <c r="E315" s="151">
        <v>59</v>
      </c>
      <c r="F315" s="129"/>
      <c r="G315" s="114">
        <v>5020</v>
      </c>
      <c r="H315" s="129" t="s">
        <v>133</v>
      </c>
      <c r="I315" s="99">
        <v>650</v>
      </c>
      <c r="J315" s="99"/>
      <c r="K315" s="152"/>
      <c r="L315" s="9">
        <f>ROW()</f>
        <v>315</v>
      </c>
    </row>
    <row r="316" spans="1:12" x14ac:dyDescent="0.25">
      <c r="A316" s="10"/>
      <c r="B316" s="232">
        <f t="shared" si="4"/>
        <v>45196</v>
      </c>
      <c r="C316" s="9">
        <v>59</v>
      </c>
      <c r="D316" s="153">
        <v>45196</v>
      </c>
      <c r="E316" s="79">
        <v>59</v>
      </c>
      <c r="F316" s="80"/>
      <c r="G316" s="103">
        <v>1200</v>
      </c>
      <c r="H316" s="45" t="s">
        <v>19</v>
      </c>
      <c r="I316" s="28">
        <v>32.5</v>
      </c>
      <c r="K316" s="154"/>
      <c r="L316" s="9">
        <f>ROW()</f>
        <v>316</v>
      </c>
    </row>
    <row r="317" spans="1:12" x14ac:dyDescent="0.25">
      <c r="A317" s="10"/>
      <c r="B317" s="232">
        <f t="shared" si="4"/>
        <v>45196</v>
      </c>
      <c r="C317" s="9">
        <v>59</v>
      </c>
      <c r="D317" s="153">
        <v>45196</v>
      </c>
      <c r="E317" s="79">
        <v>59</v>
      </c>
      <c r="F317" s="80"/>
      <c r="G317" s="103">
        <v>1201</v>
      </c>
      <c r="H317" s="45" t="s">
        <v>21</v>
      </c>
      <c r="I317" s="28">
        <v>64.84</v>
      </c>
      <c r="K317" s="154"/>
      <c r="L317" s="9">
        <f>ROW()</f>
        <v>317</v>
      </c>
    </row>
    <row r="318" spans="1:12" x14ac:dyDescent="0.25">
      <c r="A318" s="10"/>
      <c r="B318" s="232">
        <f t="shared" si="4"/>
        <v>45196</v>
      </c>
      <c r="C318" s="9">
        <v>59</v>
      </c>
      <c r="D318" s="153">
        <v>45196</v>
      </c>
      <c r="E318" s="79">
        <v>59</v>
      </c>
      <c r="F318" s="80"/>
      <c r="G318" s="103">
        <v>1000</v>
      </c>
      <c r="H318" s="45" t="s">
        <v>13</v>
      </c>
      <c r="J318" s="28">
        <v>747.34</v>
      </c>
      <c r="K318" s="154"/>
      <c r="L318" s="9">
        <f>ROW()</f>
        <v>318</v>
      </c>
    </row>
    <row r="319" spans="1:12" ht="15.75" thickBot="1" x14ac:dyDescent="0.3">
      <c r="A319" s="10"/>
      <c r="B319" s="232">
        <f t="shared" si="4"/>
        <v>45196</v>
      </c>
      <c r="C319" s="9">
        <v>59</v>
      </c>
      <c r="D319" s="155">
        <v>45196</v>
      </c>
      <c r="E319" s="156">
        <v>59</v>
      </c>
      <c r="F319" s="157"/>
      <c r="G319" s="158"/>
      <c r="H319" s="162" t="s">
        <v>226</v>
      </c>
      <c r="I319" s="163"/>
      <c r="J319" s="163"/>
      <c r="K319" s="164"/>
      <c r="L319" s="9">
        <f>ROW()</f>
        <v>319</v>
      </c>
    </row>
    <row r="320" spans="1:12" ht="15.75" thickBot="1" x14ac:dyDescent="0.3">
      <c r="A320" s="10"/>
      <c r="B320" s="232">
        <f t="shared" si="4"/>
        <v>45196</v>
      </c>
      <c r="C320" s="9">
        <v>59</v>
      </c>
      <c r="D320" s="78">
        <v>45196</v>
      </c>
      <c r="E320" s="79">
        <v>59</v>
      </c>
      <c r="F320" s="80"/>
      <c r="L320" s="9">
        <f>ROW()</f>
        <v>320</v>
      </c>
    </row>
    <row r="321" spans="1:12" x14ac:dyDescent="0.25">
      <c r="A321" s="10"/>
      <c r="B321" s="232">
        <f t="shared" si="4"/>
        <v>45213</v>
      </c>
      <c r="C321" s="9">
        <v>60</v>
      </c>
      <c r="D321" s="150">
        <v>45213</v>
      </c>
      <c r="E321" s="151">
        <v>60</v>
      </c>
      <c r="F321" s="129"/>
      <c r="G321" s="114" t="s">
        <v>217</v>
      </c>
      <c r="H321" s="129" t="s">
        <v>218</v>
      </c>
      <c r="I321" s="99">
        <v>129.94999999999999</v>
      </c>
      <c r="J321" s="99"/>
      <c r="K321" s="152"/>
      <c r="L321" s="9">
        <f>ROW()</f>
        <v>321</v>
      </c>
    </row>
    <row r="322" spans="1:12" x14ac:dyDescent="0.25">
      <c r="A322" s="10"/>
      <c r="B322" s="232">
        <f t="shared" si="4"/>
        <v>45213</v>
      </c>
      <c r="C322" s="9">
        <v>60</v>
      </c>
      <c r="D322" s="153">
        <v>45213</v>
      </c>
      <c r="E322" s="79">
        <v>60</v>
      </c>
      <c r="F322" s="80"/>
      <c r="G322" s="103">
        <v>1200</v>
      </c>
      <c r="H322" s="45" t="s">
        <v>19</v>
      </c>
      <c r="I322" s="28">
        <v>6.5</v>
      </c>
      <c r="K322" s="154"/>
      <c r="L322" s="9">
        <f>ROW()</f>
        <v>322</v>
      </c>
    </row>
    <row r="323" spans="1:12" x14ac:dyDescent="0.25">
      <c r="A323" s="10"/>
      <c r="B323" s="232">
        <f t="shared" ref="B323:B353" si="5">D323</f>
        <v>45213</v>
      </c>
      <c r="C323" s="9">
        <v>60</v>
      </c>
      <c r="D323" s="153">
        <v>45213</v>
      </c>
      <c r="E323" s="79">
        <v>60</v>
      </c>
      <c r="F323" s="80"/>
      <c r="G323" s="103">
        <v>1201</v>
      </c>
      <c r="H323" s="45" t="s">
        <v>21</v>
      </c>
      <c r="I323" s="28">
        <v>12.96</v>
      </c>
      <c r="K323" s="154"/>
      <c r="L323" s="9">
        <f>ROW()</f>
        <v>323</v>
      </c>
    </row>
    <row r="324" spans="1:12" x14ac:dyDescent="0.25">
      <c r="A324" s="10"/>
      <c r="B324" s="232">
        <f t="shared" si="5"/>
        <v>45213</v>
      </c>
      <c r="C324" s="9">
        <v>60</v>
      </c>
      <c r="D324" s="153">
        <v>45213</v>
      </c>
      <c r="E324" s="79">
        <v>60</v>
      </c>
      <c r="F324" s="80"/>
      <c r="G324" s="103">
        <v>2000</v>
      </c>
      <c r="H324" s="45" t="s">
        <v>54</v>
      </c>
      <c r="J324" s="28">
        <v>149.41</v>
      </c>
      <c r="K324" s="154" t="s">
        <v>221</v>
      </c>
      <c r="L324" s="9">
        <f>ROW()</f>
        <v>324</v>
      </c>
    </row>
    <row r="325" spans="1:12" ht="15.75" thickBot="1" x14ac:dyDescent="0.3">
      <c r="A325" s="10"/>
      <c r="B325" s="232">
        <f t="shared" si="5"/>
        <v>45213</v>
      </c>
      <c r="C325" s="9">
        <v>60</v>
      </c>
      <c r="D325" s="155">
        <v>45213</v>
      </c>
      <c r="E325" s="156">
        <v>60</v>
      </c>
      <c r="F325" s="157"/>
      <c r="G325" s="158"/>
      <c r="H325" s="162" t="s">
        <v>222</v>
      </c>
      <c r="I325" s="163"/>
      <c r="J325" s="163"/>
      <c r="K325" s="164"/>
      <c r="L325" s="9">
        <f>ROW()</f>
        <v>325</v>
      </c>
    </row>
    <row r="326" spans="1:12" ht="15.75" thickBot="1" x14ac:dyDescent="0.3">
      <c r="A326" s="10"/>
      <c r="B326" s="232">
        <f t="shared" si="5"/>
        <v>45213</v>
      </c>
      <c r="C326" s="9">
        <v>60</v>
      </c>
      <c r="D326" s="78">
        <v>45213</v>
      </c>
      <c r="E326" s="79">
        <v>60</v>
      </c>
      <c r="F326" s="80"/>
      <c r="L326" s="9">
        <f>ROW()</f>
        <v>326</v>
      </c>
    </row>
    <row r="327" spans="1:12" x14ac:dyDescent="0.25">
      <c r="A327" s="10"/>
      <c r="B327" s="232">
        <f t="shared" si="5"/>
        <v>45198</v>
      </c>
      <c r="C327" s="9">
        <v>61</v>
      </c>
      <c r="D327" s="150">
        <v>45198</v>
      </c>
      <c r="E327" s="151">
        <v>61</v>
      </c>
      <c r="F327" s="129"/>
      <c r="G327" s="114">
        <v>1100</v>
      </c>
      <c r="H327" s="129" t="s">
        <v>15</v>
      </c>
      <c r="I327" s="99">
        <v>262.44</v>
      </c>
      <c r="J327" s="99"/>
      <c r="K327" s="152"/>
      <c r="L327" s="9">
        <f>ROW()</f>
        <v>327</v>
      </c>
    </row>
    <row r="328" spans="1:12" x14ac:dyDescent="0.25">
      <c r="A328" s="10"/>
      <c r="B328" s="232">
        <f t="shared" si="5"/>
        <v>45198</v>
      </c>
      <c r="C328" s="9">
        <v>61</v>
      </c>
      <c r="D328" s="153">
        <v>45198</v>
      </c>
      <c r="E328" s="79">
        <v>61</v>
      </c>
      <c r="F328" s="80"/>
      <c r="G328" s="103">
        <v>4000</v>
      </c>
      <c r="H328" s="45" t="s">
        <v>88</v>
      </c>
      <c r="J328" s="28">
        <v>250</v>
      </c>
      <c r="K328" s="154"/>
      <c r="L328" s="9">
        <f>ROW()</f>
        <v>328</v>
      </c>
    </row>
    <row r="329" spans="1:12" x14ac:dyDescent="0.25">
      <c r="A329" s="10"/>
      <c r="B329" s="232">
        <f t="shared" si="5"/>
        <v>45198</v>
      </c>
      <c r="C329" s="9">
        <v>61</v>
      </c>
      <c r="D329" s="153">
        <v>45198</v>
      </c>
      <c r="E329" s="79">
        <v>61</v>
      </c>
      <c r="F329" s="80"/>
      <c r="G329" s="103">
        <v>1202</v>
      </c>
      <c r="H329" s="45" t="s">
        <v>23</v>
      </c>
      <c r="J329" s="28">
        <v>12.5</v>
      </c>
      <c r="K329" s="154"/>
      <c r="L329" s="9">
        <f>ROW()</f>
        <v>329</v>
      </c>
    </row>
    <row r="330" spans="1:12" x14ac:dyDescent="0.25">
      <c r="A330" s="10"/>
      <c r="B330" s="232">
        <f t="shared" si="5"/>
        <v>45198</v>
      </c>
      <c r="C330" s="9">
        <v>61</v>
      </c>
      <c r="D330" s="153">
        <v>45198</v>
      </c>
      <c r="E330" s="79">
        <v>61</v>
      </c>
      <c r="F330" s="80"/>
      <c r="G330" s="103">
        <v>1201</v>
      </c>
      <c r="H330" s="45" t="s">
        <v>21</v>
      </c>
      <c r="J330" s="28">
        <v>24.94</v>
      </c>
      <c r="K330" s="154"/>
      <c r="L330" s="9">
        <f>ROW()</f>
        <v>330</v>
      </c>
    </row>
    <row r="331" spans="1:12" x14ac:dyDescent="0.25">
      <c r="A331" s="10"/>
      <c r="B331" s="232">
        <f t="shared" si="5"/>
        <v>45198</v>
      </c>
      <c r="C331" s="9">
        <v>61</v>
      </c>
      <c r="D331" s="153">
        <v>45198</v>
      </c>
      <c r="E331" s="79">
        <v>61</v>
      </c>
      <c r="F331" s="80"/>
      <c r="G331" s="103">
        <v>1230</v>
      </c>
      <c r="H331" s="45" t="s">
        <v>33</v>
      </c>
      <c r="I331" s="28">
        <v>25</v>
      </c>
      <c r="K331" s="154"/>
      <c r="L331" s="9">
        <f>ROW()</f>
        <v>331</v>
      </c>
    </row>
    <row r="332" spans="1:12" ht="15.75" thickBot="1" x14ac:dyDescent="0.3">
      <c r="A332" s="10"/>
      <c r="B332" s="232">
        <f t="shared" si="5"/>
        <v>45198</v>
      </c>
      <c r="C332" s="9">
        <v>61</v>
      </c>
      <c r="D332" s="155">
        <v>45198</v>
      </c>
      <c r="E332" s="156">
        <v>61</v>
      </c>
      <c r="F332" s="157"/>
      <c r="G332" s="158"/>
      <c r="H332" s="162" t="s">
        <v>224</v>
      </c>
      <c r="I332" s="163"/>
      <c r="J332" s="163"/>
      <c r="K332" s="164"/>
      <c r="L332" s="9">
        <f>ROW()</f>
        <v>332</v>
      </c>
    </row>
    <row r="333" spans="1:12" ht="15.75" thickBot="1" x14ac:dyDescent="0.3">
      <c r="A333" s="10"/>
      <c r="B333" s="232">
        <f t="shared" si="5"/>
        <v>45198</v>
      </c>
      <c r="C333" s="9">
        <v>61</v>
      </c>
      <c r="D333" s="78">
        <v>45198</v>
      </c>
      <c r="E333" s="79">
        <v>61</v>
      </c>
      <c r="F333" s="80"/>
      <c r="L333" s="9">
        <f>ROW()</f>
        <v>333</v>
      </c>
    </row>
    <row r="334" spans="1:12" x14ac:dyDescent="0.25">
      <c r="A334" s="10"/>
      <c r="B334" s="232">
        <f t="shared" si="5"/>
        <v>45231</v>
      </c>
      <c r="C334" s="9">
        <v>62</v>
      </c>
      <c r="D334" s="150">
        <v>45231</v>
      </c>
      <c r="E334" s="151">
        <v>62</v>
      </c>
      <c r="F334" s="129"/>
      <c r="G334" s="114">
        <v>5007</v>
      </c>
      <c r="H334" s="129" t="s">
        <v>117</v>
      </c>
      <c r="I334" s="99">
        <v>2400</v>
      </c>
      <c r="J334" s="99"/>
      <c r="K334" s="152"/>
      <c r="L334" s="9">
        <f>ROW()</f>
        <v>334</v>
      </c>
    </row>
    <row r="335" spans="1:12" x14ac:dyDescent="0.25">
      <c r="A335" s="10"/>
      <c r="B335" s="232">
        <f t="shared" si="5"/>
        <v>45231</v>
      </c>
      <c r="C335" s="9">
        <v>62</v>
      </c>
      <c r="D335" s="153">
        <v>45231</v>
      </c>
      <c r="E335" s="79">
        <v>62</v>
      </c>
      <c r="F335" s="80"/>
      <c r="G335" s="103">
        <v>1200</v>
      </c>
      <c r="H335" s="45" t="s">
        <v>19</v>
      </c>
      <c r="I335" s="28">
        <v>120</v>
      </c>
      <c r="K335" s="154"/>
      <c r="L335" s="9">
        <f>ROW()</f>
        <v>335</v>
      </c>
    </row>
    <row r="336" spans="1:12" x14ac:dyDescent="0.25">
      <c r="A336" s="10"/>
      <c r="B336" s="232">
        <f t="shared" si="5"/>
        <v>45231</v>
      </c>
      <c r="C336" s="9">
        <v>62</v>
      </c>
      <c r="D336" s="153">
        <v>45231</v>
      </c>
      <c r="E336" s="79">
        <v>62</v>
      </c>
      <c r="F336" s="80"/>
      <c r="G336" s="103">
        <v>1201</v>
      </c>
      <c r="H336" s="45" t="s">
        <v>21</v>
      </c>
      <c r="I336" s="28">
        <v>239.4</v>
      </c>
      <c r="K336" s="154"/>
      <c r="L336" s="9">
        <f>ROW()</f>
        <v>336</v>
      </c>
    </row>
    <row r="337" spans="1:12" x14ac:dyDescent="0.25">
      <c r="A337" s="10"/>
      <c r="B337" s="232">
        <f t="shared" si="5"/>
        <v>45231</v>
      </c>
      <c r="C337" s="9">
        <v>62</v>
      </c>
      <c r="D337" s="153">
        <v>45231</v>
      </c>
      <c r="E337" s="79">
        <v>62</v>
      </c>
      <c r="F337" s="80"/>
      <c r="G337" s="103">
        <v>1000</v>
      </c>
      <c r="H337" s="45" t="s">
        <v>13</v>
      </c>
      <c r="J337" s="28">
        <v>2759.4</v>
      </c>
      <c r="K337" s="154"/>
      <c r="L337" s="9">
        <f>ROW()</f>
        <v>337</v>
      </c>
    </row>
    <row r="338" spans="1:12" ht="15.75" thickBot="1" x14ac:dyDescent="0.3">
      <c r="A338" s="10"/>
      <c r="B338" s="232">
        <f t="shared" si="5"/>
        <v>45231</v>
      </c>
      <c r="C338" s="9">
        <v>62</v>
      </c>
      <c r="D338" s="155">
        <v>45231</v>
      </c>
      <c r="E338" s="156">
        <v>62</v>
      </c>
      <c r="F338" s="157"/>
      <c r="G338" s="158"/>
      <c r="H338" s="162" t="s">
        <v>225</v>
      </c>
      <c r="I338" s="163"/>
      <c r="J338" s="163"/>
      <c r="K338" s="164"/>
      <c r="L338" s="9">
        <f>ROW()</f>
        <v>338</v>
      </c>
    </row>
    <row r="339" spans="1:12" ht="15.75" thickBot="1" x14ac:dyDescent="0.3">
      <c r="A339" s="10"/>
      <c r="B339" s="232">
        <f t="shared" si="5"/>
        <v>45231</v>
      </c>
      <c r="C339" s="9">
        <v>62</v>
      </c>
      <c r="D339" s="78">
        <v>45231</v>
      </c>
      <c r="E339" s="79">
        <v>62</v>
      </c>
      <c r="F339" s="80"/>
      <c r="L339" s="9">
        <f>ROW()</f>
        <v>339</v>
      </c>
    </row>
    <row r="340" spans="1:12" x14ac:dyDescent="0.25">
      <c r="A340" s="10"/>
      <c r="B340" s="232">
        <f t="shared" si="5"/>
        <v>45213</v>
      </c>
      <c r="C340" s="9">
        <v>63</v>
      </c>
      <c r="D340" s="150">
        <v>45213</v>
      </c>
      <c r="E340" s="151">
        <v>63</v>
      </c>
      <c r="F340" s="129"/>
      <c r="G340" s="114">
        <v>5007</v>
      </c>
      <c r="H340" s="129" t="s">
        <v>117</v>
      </c>
      <c r="I340" s="99">
        <v>2400</v>
      </c>
      <c r="J340" s="99"/>
      <c r="K340" s="152"/>
      <c r="L340" s="9">
        <f>ROW()</f>
        <v>340</v>
      </c>
    </row>
    <row r="341" spans="1:12" x14ac:dyDescent="0.25">
      <c r="A341" s="10"/>
      <c r="B341" s="232">
        <f t="shared" si="5"/>
        <v>45213</v>
      </c>
      <c r="C341" s="9">
        <v>63</v>
      </c>
      <c r="D341" s="153">
        <v>45213</v>
      </c>
      <c r="E341" s="79">
        <v>63</v>
      </c>
      <c r="F341" s="80"/>
      <c r="G341" s="103">
        <v>1200</v>
      </c>
      <c r="H341" s="45" t="s">
        <v>19</v>
      </c>
      <c r="I341" s="28">
        <v>120</v>
      </c>
      <c r="K341" s="154"/>
      <c r="L341" s="9">
        <f>ROW()</f>
        <v>341</v>
      </c>
    </row>
    <row r="342" spans="1:12" x14ac:dyDescent="0.25">
      <c r="A342" s="10"/>
      <c r="B342" s="232">
        <f t="shared" si="5"/>
        <v>45213</v>
      </c>
      <c r="C342" s="9">
        <v>63</v>
      </c>
      <c r="D342" s="153">
        <v>45213</v>
      </c>
      <c r="E342" s="79">
        <v>63</v>
      </c>
      <c r="F342" s="80"/>
      <c r="G342" s="103">
        <v>1201</v>
      </c>
      <c r="H342" s="45" t="s">
        <v>21</v>
      </c>
      <c r="I342" s="28">
        <v>239.4</v>
      </c>
      <c r="K342" s="154"/>
      <c r="L342" s="9">
        <f>ROW()</f>
        <v>342</v>
      </c>
    </row>
    <row r="343" spans="1:12" x14ac:dyDescent="0.25">
      <c r="A343" s="10"/>
      <c r="B343" s="232">
        <f t="shared" si="5"/>
        <v>45213</v>
      </c>
      <c r="C343" s="9">
        <v>63</v>
      </c>
      <c r="D343" s="153">
        <v>45213</v>
      </c>
      <c r="E343" s="79">
        <v>63</v>
      </c>
      <c r="F343" s="80"/>
      <c r="G343" s="103">
        <v>1000</v>
      </c>
      <c r="H343" s="45" t="s">
        <v>13</v>
      </c>
      <c r="J343" s="28">
        <v>2759.4</v>
      </c>
      <c r="K343" s="154"/>
      <c r="L343" s="9">
        <f>ROW()</f>
        <v>343</v>
      </c>
    </row>
    <row r="344" spans="1:12" ht="15.75" thickBot="1" x14ac:dyDescent="0.3">
      <c r="A344" s="10"/>
      <c r="B344" s="232">
        <f t="shared" si="5"/>
        <v>45213</v>
      </c>
      <c r="C344" s="9">
        <v>63</v>
      </c>
      <c r="D344" s="155">
        <v>45213</v>
      </c>
      <c r="E344" s="156">
        <v>63</v>
      </c>
      <c r="F344" s="157"/>
      <c r="G344" s="158"/>
      <c r="H344" s="162" t="s">
        <v>225</v>
      </c>
      <c r="I344" s="163"/>
      <c r="J344" s="163"/>
      <c r="K344" s="164"/>
      <c r="L344" s="9">
        <f>ROW()</f>
        <v>344</v>
      </c>
    </row>
    <row r="345" spans="1:12" ht="15.75" thickBot="1" x14ac:dyDescent="0.3">
      <c r="A345" s="10"/>
      <c r="B345" s="232">
        <f t="shared" si="5"/>
        <v>45213</v>
      </c>
      <c r="C345" s="9">
        <v>63</v>
      </c>
      <c r="D345" s="78">
        <v>45213</v>
      </c>
      <c r="E345" s="79">
        <v>63</v>
      </c>
      <c r="F345" s="80"/>
      <c r="L345" s="9">
        <f>ROW()</f>
        <v>345</v>
      </c>
    </row>
    <row r="346" spans="1:12" x14ac:dyDescent="0.25">
      <c r="B346" s="232">
        <f t="shared" si="5"/>
        <v>45214</v>
      </c>
      <c r="C346" s="9">
        <v>64</v>
      </c>
      <c r="D346" s="150">
        <v>45214</v>
      </c>
      <c r="E346" s="151">
        <v>64</v>
      </c>
      <c r="F346" s="129" t="s">
        <v>172</v>
      </c>
      <c r="G346" s="114">
        <v>1000</v>
      </c>
      <c r="H346" s="129" t="s">
        <v>13</v>
      </c>
      <c r="I346" s="99"/>
      <c r="J346" s="99">
        <v>1</v>
      </c>
      <c r="K346" s="152"/>
      <c r="L346" s="9">
        <f>ROW()</f>
        <v>346</v>
      </c>
    </row>
    <row r="347" spans="1:12" x14ac:dyDescent="0.25">
      <c r="B347" s="232">
        <f t="shared" si="5"/>
        <v>45214</v>
      </c>
      <c r="C347" s="9">
        <v>64</v>
      </c>
      <c r="D347" s="153">
        <v>45214</v>
      </c>
      <c r="E347" s="79">
        <v>64</v>
      </c>
      <c r="F347" s="80" t="s">
        <v>172</v>
      </c>
      <c r="G347" s="103">
        <v>1000</v>
      </c>
      <c r="H347" s="45" t="s">
        <v>13</v>
      </c>
      <c r="J347" s="28">
        <v>2</v>
      </c>
      <c r="K347" s="154"/>
      <c r="L347" s="9">
        <f>ROW()</f>
        <v>347</v>
      </c>
    </row>
    <row r="348" spans="1:12" x14ac:dyDescent="0.25">
      <c r="B348" s="232">
        <f t="shared" si="5"/>
        <v>45214</v>
      </c>
      <c r="C348" s="9">
        <v>64</v>
      </c>
      <c r="D348" s="153">
        <v>45214</v>
      </c>
      <c r="E348" s="79">
        <v>64</v>
      </c>
      <c r="F348" s="80" t="s">
        <v>172</v>
      </c>
      <c r="G348" s="103">
        <v>1000</v>
      </c>
      <c r="H348" s="45" t="s">
        <v>13</v>
      </c>
      <c r="J348" s="28">
        <v>3</v>
      </c>
      <c r="K348" s="154"/>
      <c r="L348" s="9">
        <f>ROW()</f>
        <v>348</v>
      </c>
    </row>
    <row r="349" spans="1:12" x14ac:dyDescent="0.25">
      <c r="B349" s="232">
        <f t="shared" si="5"/>
        <v>45214</v>
      </c>
      <c r="C349" s="9">
        <v>64</v>
      </c>
      <c r="D349" s="153">
        <v>45214</v>
      </c>
      <c r="E349" s="79">
        <v>64</v>
      </c>
      <c r="F349" s="80" t="s">
        <v>172</v>
      </c>
      <c r="G349" s="103">
        <v>5013</v>
      </c>
      <c r="H349" s="45" t="s">
        <v>127</v>
      </c>
      <c r="I349" s="28">
        <v>6</v>
      </c>
      <c r="K349" s="154"/>
      <c r="L349" s="9">
        <f>ROW()</f>
        <v>349</v>
      </c>
    </row>
    <row r="350" spans="1:12" x14ac:dyDescent="0.25">
      <c r="B350" s="232">
        <f t="shared" si="5"/>
        <v>45214</v>
      </c>
      <c r="C350" s="9">
        <v>64</v>
      </c>
      <c r="D350" s="153">
        <v>45214</v>
      </c>
      <c r="E350" s="79">
        <v>64</v>
      </c>
      <c r="F350" s="80" t="s">
        <v>172</v>
      </c>
      <c r="G350" s="103">
        <v>1000</v>
      </c>
      <c r="H350" s="45" t="s">
        <v>13</v>
      </c>
      <c r="J350" s="28">
        <v>5</v>
      </c>
      <c r="K350" s="154"/>
      <c r="L350" s="9">
        <f>ROW()</f>
        <v>350</v>
      </c>
    </row>
    <row r="351" spans="1:12" x14ac:dyDescent="0.25">
      <c r="B351" s="232">
        <f t="shared" si="5"/>
        <v>45214</v>
      </c>
      <c r="C351" s="9">
        <v>64</v>
      </c>
      <c r="D351" s="153">
        <v>45214</v>
      </c>
      <c r="E351" s="79">
        <v>64</v>
      </c>
      <c r="F351" s="80" t="s">
        <v>172</v>
      </c>
      <c r="G351" s="103">
        <v>5013</v>
      </c>
      <c r="H351" s="45" t="s">
        <v>127</v>
      </c>
      <c r="I351" s="28">
        <v>5</v>
      </c>
      <c r="K351" s="154"/>
      <c r="L351" s="9">
        <f>ROW()</f>
        <v>351</v>
      </c>
    </row>
    <row r="352" spans="1:12" ht="15.75" thickBot="1" x14ac:dyDescent="0.3">
      <c r="B352" s="232">
        <f t="shared" si="5"/>
        <v>45214</v>
      </c>
      <c r="C352" s="9">
        <v>64</v>
      </c>
      <c r="D352" s="155">
        <v>45214</v>
      </c>
      <c r="E352" s="156">
        <v>64</v>
      </c>
      <c r="F352" s="157" t="s">
        <v>172</v>
      </c>
      <c r="G352" s="158"/>
      <c r="H352" s="162" t="s">
        <v>235</v>
      </c>
      <c r="I352" s="163"/>
      <c r="J352" s="163"/>
      <c r="K352" s="164"/>
      <c r="L352" s="9">
        <f>ROW()</f>
        <v>352</v>
      </c>
    </row>
    <row r="353" spans="2:12" x14ac:dyDescent="0.25">
      <c r="B353" s="232">
        <f t="shared" si="5"/>
        <v>45214</v>
      </c>
      <c r="C353" s="9">
        <v>64</v>
      </c>
      <c r="D353" s="78">
        <v>45214</v>
      </c>
      <c r="E353" s="79">
        <v>64</v>
      </c>
      <c r="F353" s="80" t="s">
        <v>172</v>
      </c>
      <c r="L353" s="9">
        <f>ROW()</f>
        <v>353</v>
      </c>
    </row>
  </sheetData>
  <autoFilter ref="A1:L353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L30"/>
  <sheetViews>
    <sheetView workbookViewId="0">
      <selection activeCell="B32" sqref="B32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42.42578125" bestFit="1" customWidth="1"/>
    <col min="9" max="9" width="7.5703125" style="9" bestFit="1" customWidth="1"/>
    <col min="10" max="10" width="3.7109375" customWidth="1"/>
    <col min="11" max="11" width="48.85546875" bestFit="1" customWidth="1"/>
    <col min="12" max="12" width="11.42578125" style="10"/>
  </cols>
  <sheetData>
    <row r="1" spans="1:12" ht="26.25" thickBot="1" x14ac:dyDescent="0.3">
      <c r="A1" s="122" t="s">
        <v>208</v>
      </c>
      <c r="B1" s="206">
        <v>6</v>
      </c>
      <c r="C1" s="115"/>
      <c r="D1" s="117" t="s">
        <v>181</v>
      </c>
      <c r="E1" s="136" t="s">
        <v>1</v>
      </c>
      <c r="F1" s="118" t="s">
        <v>2</v>
      </c>
      <c r="G1" s="118" t="s">
        <v>3</v>
      </c>
      <c r="H1" s="116" t="s">
        <v>142</v>
      </c>
      <c r="I1" s="115"/>
      <c r="K1" s="116" t="s">
        <v>10</v>
      </c>
      <c r="L1" s="117" t="s">
        <v>215</v>
      </c>
    </row>
    <row r="2" spans="1:12" x14ac:dyDescent="0.25">
      <c r="C2" s="9">
        <v>1</v>
      </c>
      <c r="D2" s="207">
        <v>5013</v>
      </c>
      <c r="E2" s="83" t="s">
        <v>127</v>
      </c>
      <c r="F2" s="84">
        <v>29.95</v>
      </c>
      <c r="G2" s="84"/>
      <c r="H2" s="85"/>
      <c r="I2" s="9">
        <f>ROW()</f>
        <v>2</v>
      </c>
      <c r="K2" t="s">
        <v>186</v>
      </c>
      <c r="L2" s="10">
        <v>1</v>
      </c>
    </row>
    <row r="3" spans="1:12" x14ac:dyDescent="0.25">
      <c r="C3" s="9">
        <v>1</v>
      </c>
      <c r="D3" s="208">
        <v>1000</v>
      </c>
      <c r="E3" s="142" t="s">
        <v>13</v>
      </c>
      <c r="F3" s="87"/>
      <c r="G3" s="87">
        <v>29.95</v>
      </c>
      <c r="H3" s="88"/>
      <c r="I3" s="9">
        <f>ROW()</f>
        <v>3</v>
      </c>
      <c r="K3" t="s">
        <v>213</v>
      </c>
      <c r="L3" s="10">
        <v>2</v>
      </c>
    </row>
    <row r="4" spans="1:12" ht="15.75" thickBot="1" x14ac:dyDescent="0.3">
      <c r="C4" s="9">
        <v>1</v>
      </c>
      <c r="D4" s="209"/>
      <c r="E4" s="212" t="s">
        <v>186</v>
      </c>
      <c r="F4" s="210"/>
      <c r="G4" s="210"/>
      <c r="H4" s="211"/>
      <c r="I4" s="9">
        <f>ROW()</f>
        <v>4</v>
      </c>
      <c r="K4" t="s">
        <v>212</v>
      </c>
      <c r="L4" s="10">
        <v>3</v>
      </c>
    </row>
    <row r="5" spans="1:12" ht="15.75" thickBot="1" x14ac:dyDescent="0.3">
      <c r="C5" s="9">
        <v>1</v>
      </c>
      <c r="I5" s="9">
        <f>ROW()</f>
        <v>5</v>
      </c>
      <c r="K5" t="s">
        <v>214</v>
      </c>
      <c r="L5" s="10">
        <v>4</v>
      </c>
    </row>
    <row r="6" spans="1:12" x14ac:dyDescent="0.25">
      <c r="C6" s="9">
        <v>2</v>
      </c>
      <c r="D6" s="207">
        <v>1100</v>
      </c>
      <c r="E6" s="83" t="s">
        <v>15</v>
      </c>
      <c r="F6" s="84">
        <v>262.44</v>
      </c>
      <c r="G6" s="84"/>
      <c r="H6" s="85"/>
      <c r="I6" s="9">
        <f>ROW()</f>
        <v>6</v>
      </c>
      <c r="K6" t="s">
        <v>220</v>
      </c>
      <c r="L6" s="10">
        <v>5</v>
      </c>
    </row>
    <row r="7" spans="1:12" x14ac:dyDescent="0.25">
      <c r="C7" s="9">
        <v>2</v>
      </c>
      <c r="D7" s="208">
        <v>4000</v>
      </c>
      <c r="E7" s="142" t="s">
        <v>88</v>
      </c>
      <c r="F7" s="87"/>
      <c r="G7" s="87">
        <v>250</v>
      </c>
      <c r="H7" s="88"/>
      <c r="I7" s="9">
        <f>ROW()</f>
        <v>7</v>
      </c>
    </row>
    <row r="8" spans="1:12" x14ac:dyDescent="0.25">
      <c r="C8" s="9">
        <v>2</v>
      </c>
      <c r="D8" s="208">
        <v>1202</v>
      </c>
      <c r="E8" s="142" t="s">
        <v>23</v>
      </c>
      <c r="F8" s="87"/>
      <c r="G8" s="87">
        <v>12.5</v>
      </c>
      <c r="H8" s="88"/>
      <c r="I8" s="9">
        <f>ROW()</f>
        <v>8</v>
      </c>
    </row>
    <row r="9" spans="1:12" x14ac:dyDescent="0.25">
      <c r="C9" s="9">
        <v>2</v>
      </c>
      <c r="D9" s="208">
        <v>1201</v>
      </c>
      <c r="E9" s="142" t="s">
        <v>21</v>
      </c>
      <c r="F9" s="87"/>
      <c r="G9" s="87">
        <v>24.94</v>
      </c>
      <c r="H9" s="88"/>
      <c r="I9" s="9">
        <f>ROW()</f>
        <v>9</v>
      </c>
    </row>
    <row r="10" spans="1:12" x14ac:dyDescent="0.25">
      <c r="C10" s="9">
        <v>2</v>
      </c>
      <c r="D10" s="208">
        <v>1230</v>
      </c>
      <c r="E10" s="142" t="s">
        <v>33</v>
      </c>
      <c r="F10" s="87">
        <v>25</v>
      </c>
      <c r="G10" s="87"/>
      <c r="H10" s="88"/>
      <c r="I10" s="9">
        <f>ROW()</f>
        <v>10</v>
      </c>
    </row>
    <row r="11" spans="1:12" ht="15.75" thickBot="1" x14ac:dyDescent="0.3">
      <c r="C11" s="9">
        <v>3</v>
      </c>
      <c r="D11" s="209"/>
      <c r="E11" s="212" t="s">
        <v>213</v>
      </c>
      <c r="F11" s="210"/>
      <c r="G11" s="210"/>
      <c r="H11" s="211"/>
      <c r="I11" s="9">
        <f>ROW()</f>
        <v>11</v>
      </c>
    </row>
    <row r="12" spans="1:12" ht="15.75" thickBot="1" x14ac:dyDescent="0.3">
      <c r="C12" s="9">
        <v>3</v>
      </c>
      <c r="E12" s="213"/>
      <c r="I12" s="9">
        <f>ROW()</f>
        <v>12</v>
      </c>
    </row>
    <row r="13" spans="1:12" x14ac:dyDescent="0.25">
      <c r="C13" s="9">
        <v>3</v>
      </c>
      <c r="D13" s="207">
        <v>5007</v>
      </c>
      <c r="E13" s="83" t="s">
        <v>117</v>
      </c>
      <c r="F13" s="84">
        <v>2400</v>
      </c>
      <c r="G13" s="84"/>
      <c r="H13" s="85"/>
      <c r="I13" s="9">
        <f>ROW()</f>
        <v>13</v>
      </c>
    </row>
    <row r="14" spans="1:12" x14ac:dyDescent="0.25">
      <c r="C14" s="9">
        <v>3</v>
      </c>
      <c r="D14" s="208">
        <v>1200</v>
      </c>
      <c r="E14" s="142" t="s">
        <v>19</v>
      </c>
      <c r="F14" s="87">
        <v>120</v>
      </c>
      <c r="G14" s="87"/>
      <c r="H14" s="88"/>
      <c r="I14" s="9">
        <f>ROW()</f>
        <v>14</v>
      </c>
    </row>
    <row r="15" spans="1:12" x14ac:dyDescent="0.25">
      <c r="C15" s="9">
        <v>3</v>
      </c>
      <c r="D15" s="208">
        <v>1201</v>
      </c>
      <c r="E15" s="142" t="s">
        <v>21</v>
      </c>
      <c r="F15" s="87">
        <v>239.4</v>
      </c>
      <c r="G15" s="87"/>
      <c r="H15" s="88"/>
      <c r="I15" s="9">
        <f>ROW()</f>
        <v>15</v>
      </c>
    </row>
    <row r="16" spans="1:12" x14ac:dyDescent="0.25">
      <c r="C16" s="9">
        <v>3</v>
      </c>
      <c r="D16" s="208">
        <v>1000</v>
      </c>
      <c r="E16" s="142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09"/>
      <c r="E17" s="212" t="s">
        <v>212</v>
      </c>
      <c r="F17" s="210"/>
      <c r="G17" s="210"/>
      <c r="H17" s="211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03">
        <v>5020</v>
      </c>
      <c r="E19" s="129" t="s">
        <v>133</v>
      </c>
      <c r="F19" s="99">
        <v>650</v>
      </c>
      <c r="G19" s="99"/>
      <c r="H19" s="152"/>
      <c r="I19" s="9">
        <f>ROW()</f>
        <v>19</v>
      </c>
    </row>
    <row r="20" spans="3:9" x14ac:dyDescent="0.25">
      <c r="C20" s="9">
        <v>4</v>
      </c>
      <c r="D20" s="204">
        <v>1200</v>
      </c>
      <c r="E20" s="45" t="s">
        <v>19</v>
      </c>
      <c r="F20" s="28">
        <v>32.5</v>
      </c>
      <c r="H20" s="154"/>
      <c r="I20" s="9">
        <f>ROW()</f>
        <v>20</v>
      </c>
    </row>
    <row r="21" spans="3:9" x14ac:dyDescent="0.25">
      <c r="C21" s="9">
        <v>4</v>
      </c>
      <c r="D21" s="204">
        <v>1201</v>
      </c>
      <c r="E21" s="45" t="s">
        <v>21</v>
      </c>
      <c r="F21" s="28">
        <v>64.84</v>
      </c>
      <c r="H21" s="154"/>
      <c r="I21" s="9">
        <f>ROW()</f>
        <v>21</v>
      </c>
    </row>
    <row r="22" spans="3:9" x14ac:dyDescent="0.25">
      <c r="C22" s="9">
        <v>4</v>
      </c>
      <c r="D22" s="204">
        <v>1000</v>
      </c>
      <c r="E22" s="45" t="s">
        <v>13</v>
      </c>
      <c r="G22" s="28">
        <v>747.34</v>
      </c>
      <c r="H22" s="154"/>
      <c r="I22" s="9">
        <f>ROW()</f>
        <v>22</v>
      </c>
    </row>
    <row r="23" spans="3:9" ht="15.75" thickBot="1" x14ac:dyDescent="0.3">
      <c r="C23" s="9">
        <v>4</v>
      </c>
      <c r="D23" s="205"/>
      <c r="E23" s="200" t="s">
        <v>214</v>
      </c>
      <c r="F23" s="201"/>
      <c r="G23" s="201"/>
      <c r="H23" s="202"/>
      <c r="I23" s="9">
        <f>ROW()</f>
        <v>23</v>
      </c>
    </row>
    <row r="24" spans="3:9" ht="15.75" thickBot="1" x14ac:dyDescent="0.3">
      <c r="C24" s="9">
        <v>4</v>
      </c>
      <c r="I24" s="9">
        <f>ROW()</f>
        <v>24</v>
      </c>
    </row>
    <row r="25" spans="3:9" x14ac:dyDescent="0.25">
      <c r="C25" s="9">
        <v>5</v>
      </c>
      <c r="D25" s="203" t="s">
        <v>217</v>
      </c>
      <c r="E25" s="129" t="s">
        <v>218</v>
      </c>
      <c r="F25" s="99">
        <v>129.94999999999999</v>
      </c>
      <c r="G25" s="99"/>
      <c r="H25" s="152"/>
      <c r="I25" s="9">
        <f>ROW()</f>
        <v>25</v>
      </c>
    </row>
    <row r="26" spans="3:9" x14ac:dyDescent="0.25">
      <c r="C26" s="9">
        <v>5</v>
      </c>
      <c r="D26" s="204">
        <v>1200</v>
      </c>
      <c r="E26" s="45" t="s">
        <v>19</v>
      </c>
      <c r="F26" s="28">
        <v>6.5</v>
      </c>
      <c r="H26" s="154"/>
      <c r="I26" s="9">
        <f>ROW()</f>
        <v>26</v>
      </c>
    </row>
    <row r="27" spans="3:9" x14ac:dyDescent="0.25">
      <c r="C27" s="9">
        <v>5</v>
      </c>
      <c r="D27" s="204">
        <v>1201</v>
      </c>
      <c r="E27" s="45" t="s">
        <v>21</v>
      </c>
      <c r="F27" s="28">
        <v>12.96</v>
      </c>
      <c r="H27" s="154"/>
      <c r="I27" s="9">
        <f>ROW()</f>
        <v>27</v>
      </c>
    </row>
    <row r="28" spans="3:9" x14ac:dyDescent="0.25">
      <c r="C28" s="9">
        <v>5</v>
      </c>
      <c r="D28" s="204">
        <v>2000</v>
      </c>
      <c r="E28" s="45" t="s">
        <v>54</v>
      </c>
      <c r="G28" s="28">
        <v>149.41</v>
      </c>
      <c r="H28" s="154" t="s">
        <v>221</v>
      </c>
      <c r="I28" s="9">
        <f>ROW()</f>
        <v>28</v>
      </c>
    </row>
    <row r="29" spans="3:9" ht="15.75" thickBot="1" x14ac:dyDescent="0.3">
      <c r="C29" s="9">
        <v>5</v>
      </c>
      <c r="D29" s="205"/>
      <c r="E29" s="200" t="s">
        <v>220</v>
      </c>
      <c r="F29" s="201"/>
      <c r="G29" s="201"/>
      <c r="H29" s="202"/>
      <c r="I29" s="9">
        <f>ROW()</f>
        <v>29</v>
      </c>
    </row>
    <row r="30" spans="3:9" x14ac:dyDescent="0.25">
      <c r="C30" s="9">
        <v>5</v>
      </c>
      <c r="I30" s="9">
        <f>ROW()</f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A1:T126"/>
  <sheetViews>
    <sheetView tabSelected="1" topLeftCell="B1" workbookViewId="0">
      <pane ySplit="3" topLeftCell="A4" activePane="bottomLeft" state="frozen"/>
      <selection pane="bottomLeft" activeCell="M5" sqref="M5:T14"/>
    </sheetView>
  </sheetViews>
  <sheetFormatPr baseColWidth="10" defaultRowHeight="15" x14ac:dyDescent="0.25"/>
  <cols>
    <col min="1" max="1" width="13.85546875" bestFit="1" customWidth="1"/>
    <col min="2" max="2" width="11.42578125" style="10"/>
    <col min="3" max="3" width="3.7109375" style="123" customWidth="1"/>
    <col min="4" max="4" width="11.42578125" style="226"/>
    <col min="5" max="5" width="37.42578125" style="222" bestFit="1" customWidth="1"/>
    <col min="6" max="7" width="13.7109375" style="227" customWidth="1"/>
    <col min="8" max="8" width="3.7109375" style="123" customWidth="1"/>
    <col min="9" max="9" width="6.7109375" customWidth="1"/>
    <col min="10" max="10" width="12.7109375" customWidth="1"/>
    <col min="11" max="11" width="3.7109375" customWidth="1"/>
    <col min="12" max="12" width="8.7109375" style="45" customWidth="1"/>
    <col min="13" max="13" width="11.7109375" style="10" customWidth="1"/>
    <col min="14" max="14" width="6.7109375" style="10" customWidth="1"/>
    <col min="15" max="15" width="19.85546875" style="45" bestFit="1" customWidth="1"/>
    <col min="16" max="18" width="14.7109375" style="243" customWidth="1"/>
    <col min="19" max="19" width="42.42578125" style="45" bestFit="1" customWidth="1"/>
    <col min="20" max="20" width="5.7109375" style="10" customWidth="1"/>
  </cols>
  <sheetData>
    <row r="1" spans="1:20" s="121" customFormat="1" ht="20.100000000000001" customHeight="1" x14ac:dyDescent="0.35">
      <c r="A1" s="215" t="s">
        <v>227</v>
      </c>
      <c r="B1" s="103" t="s">
        <v>234</v>
      </c>
      <c r="C1" s="268" t="s">
        <v>182</v>
      </c>
      <c r="D1" s="268"/>
      <c r="E1" s="268"/>
      <c r="F1" s="268"/>
      <c r="G1" s="268"/>
      <c r="H1" s="268"/>
      <c r="I1" s="217" t="s">
        <v>7</v>
      </c>
      <c r="J1" s="216" t="s">
        <v>234</v>
      </c>
      <c r="L1" s="268" t="s">
        <v>232</v>
      </c>
      <c r="M1" s="268"/>
      <c r="N1" s="268"/>
      <c r="O1" s="268"/>
      <c r="P1" s="268"/>
      <c r="Q1" s="268"/>
      <c r="R1" s="268"/>
      <c r="S1" s="268"/>
      <c r="T1" s="240"/>
    </row>
    <row r="2" spans="1:20" s="121" customFormat="1" ht="20.100000000000001" customHeight="1" x14ac:dyDescent="0.35">
      <c r="A2" s="215" t="s">
        <v>228</v>
      </c>
      <c r="B2" s="170">
        <v>27</v>
      </c>
      <c r="C2" s="218"/>
      <c r="D2" s="223"/>
      <c r="E2" s="224"/>
      <c r="F2" s="225"/>
      <c r="G2" s="225"/>
      <c r="H2" s="218"/>
      <c r="L2" s="235" t="s">
        <v>229</v>
      </c>
      <c r="M2" s="236" t="s">
        <v>141</v>
      </c>
      <c r="N2" s="237" t="s">
        <v>230</v>
      </c>
      <c r="O2" s="241" t="s">
        <v>0</v>
      </c>
      <c r="P2" s="242" t="s">
        <v>2</v>
      </c>
      <c r="Q2" s="242" t="s">
        <v>3</v>
      </c>
      <c r="R2" s="242" t="s">
        <v>233</v>
      </c>
      <c r="S2" s="244" t="s">
        <v>231</v>
      </c>
      <c r="T2" s="240"/>
    </row>
    <row r="3" spans="1:20" ht="15" customHeight="1" x14ac:dyDescent="0.35">
      <c r="C3" s="218"/>
      <c r="D3" s="228" t="s">
        <v>181</v>
      </c>
      <c r="E3" s="229" t="s">
        <v>10</v>
      </c>
      <c r="F3" s="230" t="s">
        <v>2</v>
      </c>
      <c r="G3" s="230" t="s">
        <v>3</v>
      </c>
      <c r="H3" s="218"/>
      <c r="L3"/>
    </row>
    <row r="4" spans="1:20" x14ac:dyDescent="0.25">
      <c r="D4" t="s">
        <v>12</v>
      </c>
      <c r="E4" t="s">
        <v>13</v>
      </c>
      <c r="F4" s="233">
        <v>38592.32</v>
      </c>
      <c r="G4"/>
      <c r="J4" s="189"/>
      <c r="L4" s="238"/>
    </row>
    <row r="5" spans="1:20" x14ac:dyDescent="0.25">
      <c r="D5" t="s">
        <v>14</v>
      </c>
      <c r="E5" t="s">
        <v>15</v>
      </c>
      <c r="F5" s="233">
        <v>4453.2700000000004</v>
      </c>
      <c r="G5"/>
      <c r="L5"/>
      <c r="M5" s="219"/>
      <c r="N5" s="220"/>
      <c r="O5" s="221"/>
      <c r="P5" s="227"/>
      <c r="Q5" s="227"/>
      <c r="R5" s="227"/>
      <c r="S5" s="221"/>
    </row>
    <row r="6" spans="1:20" x14ac:dyDescent="0.25">
      <c r="D6" t="s">
        <v>18</v>
      </c>
      <c r="E6" t="s">
        <v>19</v>
      </c>
      <c r="F6" s="233">
        <v>546.6</v>
      </c>
      <c r="G6"/>
      <c r="L6"/>
      <c r="M6" s="194"/>
    </row>
    <row r="7" spans="1:20" x14ac:dyDescent="0.25">
      <c r="D7" t="s">
        <v>20</v>
      </c>
      <c r="E7" t="s">
        <v>21</v>
      </c>
      <c r="F7" s="233">
        <v>966.42</v>
      </c>
      <c r="G7"/>
      <c r="L7"/>
      <c r="M7" s="219"/>
      <c r="N7" s="220"/>
      <c r="O7" s="221"/>
      <c r="P7" s="227"/>
      <c r="Q7" s="227"/>
      <c r="R7" s="227"/>
      <c r="S7" s="221"/>
    </row>
    <row r="8" spans="1:20" x14ac:dyDescent="0.25">
      <c r="D8" t="s">
        <v>22</v>
      </c>
      <c r="E8" t="s">
        <v>23</v>
      </c>
      <c r="F8"/>
      <c r="G8" s="233">
        <v>1336.74</v>
      </c>
      <c r="L8"/>
      <c r="M8" s="194"/>
    </row>
    <row r="9" spans="1:20" x14ac:dyDescent="0.25">
      <c r="D9" t="s">
        <v>24</v>
      </c>
      <c r="E9" t="s">
        <v>25</v>
      </c>
      <c r="F9"/>
      <c r="G9" s="233">
        <v>2591.96</v>
      </c>
      <c r="L9"/>
      <c r="M9" s="194"/>
    </row>
    <row r="10" spans="1:20" x14ac:dyDescent="0.25">
      <c r="D10" t="s">
        <v>32</v>
      </c>
      <c r="E10" t="s">
        <v>33</v>
      </c>
      <c r="F10" s="233">
        <v>7130</v>
      </c>
      <c r="G10"/>
      <c r="L10"/>
      <c r="M10" s="194"/>
    </row>
    <row r="11" spans="1:20" x14ac:dyDescent="0.25">
      <c r="D11" t="s">
        <v>34</v>
      </c>
      <c r="E11" t="s">
        <v>35</v>
      </c>
      <c r="F11" s="233">
        <v>3995.99</v>
      </c>
      <c r="G11"/>
      <c r="L11"/>
      <c r="M11" s="219"/>
      <c r="N11" s="220"/>
      <c r="O11" s="221"/>
      <c r="P11" s="227"/>
      <c r="Q11" s="227"/>
      <c r="R11" s="227"/>
      <c r="S11" s="221"/>
    </row>
    <row r="12" spans="1:20" x14ac:dyDescent="0.25">
      <c r="D12" t="s">
        <v>53</v>
      </c>
      <c r="E12" t="s">
        <v>54</v>
      </c>
      <c r="F12"/>
      <c r="G12" s="233">
        <v>5727.15</v>
      </c>
      <c r="L12"/>
      <c r="M12" s="194"/>
    </row>
    <row r="13" spans="1:20" x14ac:dyDescent="0.25">
      <c r="D13" t="s">
        <v>57</v>
      </c>
      <c r="E13" t="s">
        <v>58</v>
      </c>
      <c r="F13"/>
      <c r="G13" s="233">
        <v>25000</v>
      </c>
      <c r="L13"/>
      <c r="M13" s="194"/>
    </row>
    <row r="14" spans="1:20" x14ac:dyDescent="0.25">
      <c r="D14" t="s">
        <v>84</v>
      </c>
      <c r="E14" t="s">
        <v>85</v>
      </c>
      <c r="F14" s="233">
        <v>10000</v>
      </c>
      <c r="G14"/>
      <c r="L14"/>
      <c r="M14" s="219"/>
      <c r="N14" s="220"/>
      <c r="O14" s="221"/>
      <c r="P14" s="227"/>
      <c r="Q14" s="227"/>
      <c r="R14" s="227"/>
      <c r="S14" s="221"/>
    </row>
    <row r="15" spans="1:20" x14ac:dyDescent="0.25">
      <c r="D15" t="s">
        <v>87</v>
      </c>
      <c r="E15" t="s">
        <v>88</v>
      </c>
      <c r="F15"/>
      <c r="G15" s="233">
        <v>31300</v>
      </c>
      <c r="L15"/>
      <c r="M15" s="219"/>
      <c r="N15" s="220"/>
      <c r="O15" s="221"/>
      <c r="P15" s="227"/>
      <c r="Q15" s="227"/>
      <c r="R15" s="227"/>
      <c r="S15" s="221"/>
    </row>
    <row r="16" spans="1:20" x14ac:dyDescent="0.25">
      <c r="D16" t="s">
        <v>89</v>
      </c>
      <c r="E16" t="s">
        <v>90</v>
      </c>
      <c r="F16"/>
      <c r="G16" s="233">
        <v>9.99</v>
      </c>
      <c r="L16"/>
      <c r="M16" s="194"/>
    </row>
    <row r="17" spans="4:19" x14ac:dyDescent="0.25">
      <c r="D17" t="s">
        <v>93</v>
      </c>
      <c r="E17" t="s">
        <v>94</v>
      </c>
      <c r="F17"/>
      <c r="G17" s="233">
        <v>12</v>
      </c>
      <c r="L17"/>
      <c r="M17" s="194"/>
    </row>
    <row r="18" spans="4:19" x14ac:dyDescent="0.25">
      <c r="D18" t="s">
        <v>106</v>
      </c>
      <c r="E18" t="s">
        <v>107</v>
      </c>
      <c r="F18" s="233">
        <v>404.95</v>
      </c>
      <c r="G18"/>
      <c r="L18"/>
      <c r="M18" s="219"/>
      <c r="N18" s="220"/>
      <c r="O18" s="221"/>
      <c r="P18" s="227"/>
      <c r="Q18" s="227"/>
      <c r="R18" s="227"/>
      <c r="S18" s="221"/>
    </row>
    <row r="19" spans="4:19" x14ac:dyDescent="0.25">
      <c r="D19" t="s">
        <v>114</v>
      </c>
      <c r="E19" t="s">
        <v>115</v>
      </c>
      <c r="F19" s="233">
        <v>226.1</v>
      </c>
      <c r="G19"/>
      <c r="L19"/>
      <c r="M19" s="194"/>
    </row>
    <row r="20" spans="4:19" x14ac:dyDescent="0.25">
      <c r="D20" t="s">
        <v>116</v>
      </c>
      <c r="E20" t="s">
        <v>117</v>
      </c>
      <c r="F20" s="233">
        <v>4800</v>
      </c>
      <c r="G20"/>
      <c r="L20"/>
      <c r="M20" s="194"/>
    </row>
    <row r="21" spans="4:19" x14ac:dyDescent="0.25">
      <c r="D21" t="s">
        <v>217</v>
      </c>
      <c r="E21" t="s">
        <v>218</v>
      </c>
      <c r="F21" s="233">
        <v>649.75</v>
      </c>
      <c r="G21"/>
      <c r="L21"/>
      <c r="M21" s="194"/>
    </row>
    <row r="22" spans="4:19" x14ac:dyDescent="0.25">
      <c r="D22" t="s">
        <v>118</v>
      </c>
      <c r="E22" t="s">
        <v>119</v>
      </c>
      <c r="F22"/>
      <c r="G22" s="233">
        <v>275</v>
      </c>
      <c r="L22"/>
      <c r="M22" s="194"/>
    </row>
    <row r="23" spans="4:19" x14ac:dyDescent="0.25">
      <c r="D23" t="s">
        <v>120</v>
      </c>
      <c r="E23" t="s">
        <v>121</v>
      </c>
      <c r="F23"/>
      <c r="G23" s="233">
        <v>355</v>
      </c>
      <c r="L23"/>
      <c r="M23" s="219"/>
      <c r="N23" s="220"/>
      <c r="O23" s="221"/>
      <c r="P23" s="227"/>
      <c r="Q23" s="227"/>
      <c r="R23" s="227"/>
      <c r="S23" s="221"/>
    </row>
    <row r="24" spans="4:19" x14ac:dyDescent="0.25">
      <c r="D24" t="s">
        <v>122</v>
      </c>
      <c r="E24" t="s">
        <v>123</v>
      </c>
      <c r="F24"/>
      <c r="G24" s="233">
        <v>102</v>
      </c>
      <c r="L24"/>
      <c r="M24" s="219"/>
      <c r="N24" s="220"/>
      <c r="O24" s="221"/>
      <c r="P24" s="227"/>
      <c r="Q24" s="227"/>
      <c r="R24" s="227"/>
      <c r="S24" s="221"/>
    </row>
    <row r="25" spans="4:19" x14ac:dyDescent="0.25">
      <c r="D25" t="s">
        <v>124</v>
      </c>
      <c r="E25" t="s">
        <v>125</v>
      </c>
      <c r="F25" s="233">
        <v>795</v>
      </c>
      <c r="G25"/>
      <c r="L25"/>
      <c r="M25" s="219"/>
      <c r="N25" s="220"/>
      <c r="O25" s="221"/>
      <c r="P25" s="227"/>
      <c r="Q25" s="227"/>
      <c r="R25" s="227"/>
      <c r="S25" s="221"/>
    </row>
    <row r="26" spans="4:19" x14ac:dyDescent="0.25">
      <c r="D26" t="s">
        <v>126</v>
      </c>
      <c r="E26" t="s">
        <v>127</v>
      </c>
      <c r="F26"/>
      <c r="G26" s="233">
        <v>7150.56</v>
      </c>
      <c r="L26"/>
      <c r="M26" s="194"/>
    </row>
    <row r="27" spans="4:19" x14ac:dyDescent="0.25">
      <c r="D27" t="s">
        <v>132</v>
      </c>
      <c r="E27" t="s">
        <v>133</v>
      </c>
      <c r="F27" s="233">
        <v>1300</v>
      </c>
      <c r="G27"/>
      <c r="L27"/>
      <c r="M27" s="219"/>
      <c r="N27" s="220"/>
      <c r="O27" s="221"/>
      <c r="P27" s="227"/>
      <c r="Q27" s="227"/>
      <c r="R27" s="227"/>
      <c r="S27" s="221"/>
    </row>
    <row r="28" spans="4:19" x14ac:dyDescent="0.25">
      <c r="D28"/>
      <c r="E28"/>
      <c r="F28"/>
      <c r="G28"/>
      <c r="L28"/>
      <c r="M28" s="219"/>
      <c r="N28" s="220"/>
      <c r="O28" s="221"/>
      <c r="P28" s="227"/>
      <c r="Q28" s="227"/>
      <c r="R28" s="227"/>
      <c r="S28" s="221"/>
    </row>
    <row r="29" spans="4:19" ht="15.75" thickBot="1" x14ac:dyDescent="0.3">
      <c r="D29"/>
      <c r="E29"/>
      <c r="F29" s="234">
        <f>SUM(F4:F28)</f>
        <v>73860.399999999994</v>
      </c>
      <c r="G29" s="234">
        <f>SUM(G4:G28)</f>
        <v>73860.400000000009</v>
      </c>
      <c r="L29"/>
      <c r="M29" s="194"/>
    </row>
    <row r="30" spans="4:19" x14ac:dyDescent="0.25">
      <c r="D30"/>
      <c r="E30"/>
      <c r="F30"/>
      <c r="G30"/>
      <c r="L30"/>
      <c r="M30" s="219"/>
      <c r="N30" s="220"/>
      <c r="O30" s="221"/>
      <c r="P30" s="227"/>
      <c r="Q30" s="227"/>
      <c r="R30" s="227"/>
      <c r="S30" s="221"/>
    </row>
    <row r="31" spans="4:19" x14ac:dyDescent="0.25">
      <c r="D31"/>
      <c r="E31"/>
      <c r="F31"/>
      <c r="G31"/>
      <c r="L31"/>
      <c r="M31" s="219"/>
      <c r="N31" s="220"/>
      <c r="O31" s="221"/>
      <c r="P31" s="227"/>
      <c r="Q31" s="227"/>
      <c r="R31" s="227"/>
      <c r="S31" s="221"/>
    </row>
    <row r="32" spans="4:19" x14ac:dyDescent="0.25">
      <c r="D32"/>
      <c r="E32"/>
      <c r="F32"/>
      <c r="G32"/>
      <c r="L32"/>
      <c r="M32" s="194"/>
    </row>
    <row r="33" spans="4:19" x14ac:dyDescent="0.25">
      <c r="D33"/>
      <c r="E33"/>
      <c r="F33"/>
      <c r="G33"/>
      <c r="L33"/>
      <c r="M33" s="219"/>
      <c r="N33" s="220"/>
      <c r="O33" s="221"/>
      <c r="P33" s="227"/>
      <c r="Q33" s="227"/>
      <c r="R33" s="227"/>
      <c r="S33" s="221"/>
    </row>
    <row r="34" spans="4:19" x14ac:dyDescent="0.25">
      <c r="D34"/>
      <c r="E34"/>
      <c r="F34"/>
      <c r="G34"/>
      <c r="L34"/>
      <c r="M34" s="194"/>
    </row>
    <row r="35" spans="4:19" x14ac:dyDescent="0.25">
      <c r="D35"/>
      <c r="E35"/>
      <c r="F35"/>
      <c r="G35"/>
      <c r="L35"/>
      <c r="M35" s="194"/>
    </row>
    <row r="36" spans="4:19" x14ac:dyDescent="0.25">
      <c r="D36"/>
      <c r="E36"/>
      <c r="F36"/>
      <c r="G36"/>
      <c r="L36"/>
      <c r="M36" s="219"/>
      <c r="N36" s="220"/>
      <c r="O36" s="221"/>
      <c r="P36" s="227"/>
      <c r="Q36" s="227"/>
      <c r="R36" s="227"/>
      <c r="S36" s="221"/>
    </row>
    <row r="37" spans="4:19" x14ac:dyDescent="0.25">
      <c r="D37"/>
      <c r="E37"/>
      <c r="F37"/>
      <c r="G37"/>
      <c r="L37"/>
      <c r="M37" s="219"/>
      <c r="N37" s="220"/>
      <c r="O37" s="221"/>
      <c r="P37" s="227"/>
      <c r="Q37" s="227"/>
      <c r="R37" s="227"/>
      <c r="S37" s="221"/>
    </row>
    <row r="38" spans="4:19" x14ac:dyDescent="0.25">
      <c r="D38"/>
      <c r="E38"/>
      <c r="F38"/>
      <c r="G38"/>
      <c r="L38"/>
      <c r="M38" s="219"/>
      <c r="N38" s="220"/>
      <c r="O38" s="221"/>
      <c r="P38" s="227"/>
      <c r="Q38" s="227"/>
      <c r="R38" s="227"/>
      <c r="S38" s="221"/>
    </row>
    <row r="39" spans="4:19" x14ac:dyDescent="0.25">
      <c r="D39"/>
      <c r="E39"/>
      <c r="F39"/>
      <c r="G39"/>
      <c r="L39"/>
      <c r="M39" s="219"/>
      <c r="N39" s="220"/>
      <c r="O39" s="221"/>
      <c r="P39" s="227"/>
      <c r="Q39" s="227"/>
      <c r="R39" s="227"/>
      <c r="S39" s="221"/>
    </row>
    <row r="40" spans="4:19" x14ac:dyDescent="0.25">
      <c r="D40"/>
      <c r="E40"/>
      <c r="F40"/>
      <c r="G40"/>
      <c r="L40"/>
      <c r="M40" s="194"/>
    </row>
    <row r="41" spans="4:19" x14ac:dyDescent="0.25">
      <c r="D41"/>
      <c r="E41"/>
      <c r="F41"/>
      <c r="G41"/>
      <c r="L41"/>
      <c r="M41" s="194"/>
    </row>
    <row r="42" spans="4:19" x14ac:dyDescent="0.25">
      <c r="D42"/>
      <c r="E42"/>
      <c r="F42"/>
      <c r="G42"/>
      <c r="L42"/>
      <c r="M42" s="219"/>
      <c r="N42" s="220"/>
      <c r="O42" s="221"/>
      <c r="P42" s="227"/>
      <c r="Q42" s="227"/>
      <c r="R42" s="227"/>
      <c r="S42" s="221"/>
    </row>
    <row r="43" spans="4:19" x14ac:dyDescent="0.25">
      <c r="D43"/>
      <c r="E43"/>
      <c r="F43"/>
      <c r="G43"/>
      <c r="L43"/>
      <c r="M43" s="194"/>
    </row>
    <row r="44" spans="4:19" x14ac:dyDescent="0.25">
      <c r="D44"/>
      <c r="E44"/>
      <c r="F44"/>
      <c r="G44"/>
      <c r="L44"/>
      <c r="M44" s="194"/>
    </row>
    <row r="45" spans="4:19" x14ac:dyDescent="0.25">
      <c r="D45"/>
      <c r="E45"/>
      <c r="F45"/>
      <c r="G45"/>
      <c r="L45"/>
      <c r="M45" s="219"/>
      <c r="N45" s="220"/>
      <c r="O45" s="221"/>
      <c r="P45" s="227"/>
      <c r="Q45" s="227"/>
      <c r="R45" s="227"/>
      <c r="S45" s="221"/>
    </row>
    <row r="46" spans="4:19" x14ac:dyDescent="0.25">
      <c r="D46"/>
      <c r="E46"/>
      <c r="F46"/>
      <c r="G46"/>
      <c r="M46" s="219"/>
      <c r="N46" s="220"/>
      <c r="O46" s="221"/>
      <c r="P46" s="227"/>
      <c r="Q46" s="227"/>
      <c r="R46" s="227"/>
      <c r="S46" s="221"/>
    </row>
    <row r="47" spans="4:19" x14ac:dyDescent="0.25">
      <c r="D47"/>
      <c r="E47"/>
      <c r="F47"/>
      <c r="G47"/>
      <c r="M47" s="219"/>
      <c r="N47" s="220"/>
      <c r="O47" s="221"/>
      <c r="P47" s="227"/>
      <c r="Q47" s="227"/>
      <c r="R47" s="227"/>
      <c r="S47" s="221"/>
    </row>
    <row r="48" spans="4:19" x14ac:dyDescent="0.25">
      <c r="D48"/>
      <c r="E48"/>
      <c r="F48"/>
      <c r="G48"/>
      <c r="M48" s="219"/>
      <c r="N48" s="220"/>
      <c r="O48" s="221"/>
      <c r="P48" s="227"/>
      <c r="Q48" s="227"/>
      <c r="R48" s="227"/>
      <c r="S48" s="221"/>
    </row>
    <row r="49" spans="4:19" x14ac:dyDescent="0.25">
      <c r="D49"/>
      <c r="E49"/>
      <c r="F49"/>
      <c r="G49"/>
      <c r="M49" s="219"/>
      <c r="N49" s="220"/>
      <c r="O49" s="221"/>
      <c r="P49" s="227"/>
      <c r="Q49" s="227"/>
      <c r="R49" s="227"/>
      <c r="S49" s="221"/>
    </row>
    <row r="50" spans="4:19" x14ac:dyDescent="0.25">
      <c r="D50"/>
      <c r="E50"/>
      <c r="F50"/>
      <c r="G50"/>
      <c r="M50" s="219"/>
      <c r="N50" s="220"/>
      <c r="O50" s="221"/>
      <c r="P50" s="227"/>
      <c r="Q50" s="227"/>
      <c r="R50" s="227"/>
      <c r="S50" s="221"/>
    </row>
    <row r="51" spans="4:19" x14ac:dyDescent="0.25">
      <c r="D51"/>
      <c r="E51"/>
      <c r="F51"/>
      <c r="G51"/>
      <c r="M51" s="219"/>
      <c r="N51" s="220"/>
      <c r="O51" s="221"/>
      <c r="P51" s="227"/>
      <c r="Q51" s="227"/>
      <c r="R51" s="227"/>
      <c r="S51" s="221"/>
    </row>
    <row r="52" spans="4:19" x14ac:dyDescent="0.25">
      <c r="D52"/>
      <c r="E52"/>
      <c r="F52"/>
      <c r="G52"/>
      <c r="M52" s="194"/>
    </row>
    <row r="53" spans="4:19" x14ac:dyDescent="0.25">
      <c r="D53"/>
      <c r="E53"/>
      <c r="F53"/>
      <c r="G53"/>
      <c r="M53" s="194"/>
    </row>
    <row r="54" spans="4:19" x14ac:dyDescent="0.25">
      <c r="D54"/>
      <c r="E54"/>
      <c r="F54"/>
      <c r="G54"/>
      <c r="M54" s="194"/>
    </row>
    <row r="55" spans="4:19" x14ac:dyDescent="0.25">
      <c r="D55"/>
      <c r="E55"/>
      <c r="F55"/>
      <c r="G55"/>
      <c r="M55" s="194"/>
    </row>
    <row r="56" spans="4:19" x14ac:dyDescent="0.25">
      <c r="D56"/>
      <c r="E56"/>
      <c r="F56"/>
      <c r="G56"/>
      <c r="M56" s="194"/>
    </row>
    <row r="57" spans="4:19" x14ac:dyDescent="0.25">
      <c r="D57"/>
      <c r="E57"/>
      <c r="F57"/>
      <c r="G57"/>
      <c r="M57" s="194"/>
    </row>
    <row r="58" spans="4:19" x14ac:dyDescent="0.25">
      <c r="D58"/>
      <c r="E58"/>
      <c r="F58"/>
      <c r="G58"/>
      <c r="M58" s="194"/>
    </row>
    <row r="59" spans="4:19" x14ac:dyDescent="0.25">
      <c r="D59"/>
      <c r="E59"/>
      <c r="F59"/>
      <c r="G59"/>
      <c r="M59" s="194"/>
    </row>
    <row r="60" spans="4:19" x14ac:dyDescent="0.25">
      <c r="D60"/>
      <c r="E60"/>
      <c r="F60"/>
      <c r="G60"/>
      <c r="M60" s="194"/>
    </row>
    <row r="61" spans="4:19" x14ac:dyDescent="0.25">
      <c r="D61"/>
      <c r="E61"/>
      <c r="F61"/>
      <c r="G61"/>
      <c r="M61" s="194"/>
    </row>
    <row r="62" spans="4:19" x14ac:dyDescent="0.25">
      <c r="D62"/>
      <c r="E62"/>
      <c r="F62"/>
      <c r="G62"/>
      <c r="M62" s="219"/>
      <c r="N62" s="220"/>
      <c r="O62" s="221"/>
      <c r="P62" s="227"/>
      <c r="Q62" s="227"/>
      <c r="R62" s="227"/>
      <c r="S62" s="221"/>
    </row>
    <row r="63" spans="4:19" x14ac:dyDescent="0.25">
      <c r="D63"/>
      <c r="E63"/>
      <c r="F63"/>
      <c r="G63"/>
      <c r="M63" s="194"/>
    </row>
    <row r="64" spans="4:19" x14ac:dyDescent="0.25">
      <c r="D64"/>
      <c r="E64"/>
      <c r="F64"/>
      <c r="G64"/>
      <c r="M64" s="194"/>
    </row>
    <row r="65" spans="4:19" x14ac:dyDescent="0.25">
      <c r="D65"/>
      <c r="E65"/>
      <c r="F65"/>
      <c r="G65"/>
      <c r="M65" s="194"/>
    </row>
    <row r="66" spans="4:19" x14ac:dyDescent="0.25">
      <c r="D66"/>
      <c r="E66"/>
      <c r="F66"/>
      <c r="G66"/>
      <c r="M66" s="194"/>
    </row>
    <row r="67" spans="4:19" x14ac:dyDescent="0.25">
      <c r="D67"/>
      <c r="E67"/>
      <c r="F67"/>
      <c r="G67"/>
      <c r="M67" s="219"/>
      <c r="N67" s="220"/>
      <c r="O67" s="221"/>
      <c r="P67" s="227"/>
      <c r="Q67" s="227"/>
      <c r="R67" s="227"/>
      <c r="S67" s="221"/>
    </row>
    <row r="68" spans="4:19" x14ac:dyDescent="0.25">
      <c r="M68" s="219"/>
      <c r="N68" s="220"/>
      <c r="O68" s="221"/>
      <c r="P68" s="227"/>
      <c r="Q68" s="227"/>
      <c r="R68" s="227"/>
      <c r="S68" s="221"/>
    </row>
    <row r="69" spans="4:19" x14ac:dyDescent="0.25">
      <c r="M69" s="194"/>
    </row>
    <row r="70" spans="4:19" x14ac:dyDescent="0.25">
      <c r="M70" s="194"/>
    </row>
    <row r="71" spans="4:19" x14ac:dyDescent="0.25">
      <c r="M71" s="194"/>
    </row>
    <row r="72" spans="4:19" x14ac:dyDescent="0.25">
      <c r="M72" s="194"/>
    </row>
    <row r="73" spans="4:19" x14ac:dyDescent="0.25">
      <c r="M73" s="219"/>
      <c r="N73" s="220"/>
      <c r="O73" s="221"/>
      <c r="P73" s="227"/>
      <c r="Q73" s="227"/>
      <c r="R73" s="227"/>
      <c r="S73" s="221"/>
    </row>
    <row r="74" spans="4:19" x14ac:dyDescent="0.25">
      <c r="M74" s="219"/>
      <c r="N74" s="220"/>
      <c r="O74" s="221"/>
      <c r="P74" s="227"/>
      <c r="Q74" s="227"/>
      <c r="R74" s="227"/>
      <c r="S74" s="221"/>
    </row>
    <row r="75" spans="4:19" x14ac:dyDescent="0.25">
      <c r="M75" s="219"/>
      <c r="N75" s="220"/>
      <c r="O75" s="221"/>
      <c r="P75" s="227"/>
      <c r="Q75" s="227"/>
      <c r="R75" s="227"/>
      <c r="S75" s="221"/>
    </row>
    <row r="76" spans="4:19" x14ac:dyDescent="0.25">
      <c r="M76" s="219"/>
      <c r="N76" s="220"/>
      <c r="O76" s="221"/>
      <c r="P76" s="227"/>
      <c r="Q76" s="227"/>
      <c r="R76" s="227"/>
      <c r="S76" s="221"/>
    </row>
    <row r="77" spans="4:19" x14ac:dyDescent="0.25">
      <c r="M77" s="219"/>
      <c r="N77" s="220"/>
      <c r="O77" s="221"/>
      <c r="P77" s="227"/>
      <c r="Q77" s="227"/>
      <c r="R77" s="227"/>
      <c r="S77" s="221"/>
    </row>
    <row r="78" spans="4:19" x14ac:dyDescent="0.25">
      <c r="M78" s="219"/>
      <c r="N78" s="220"/>
      <c r="O78" s="221"/>
      <c r="P78" s="227"/>
      <c r="Q78" s="227"/>
      <c r="R78" s="227"/>
      <c r="S78" s="221"/>
    </row>
    <row r="79" spans="4:19" x14ac:dyDescent="0.25">
      <c r="M79" s="219"/>
      <c r="N79" s="220"/>
      <c r="O79" s="221"/>
      <c r="P79" s="227"/>
      <c r="Q79" s="227"/>
      <c r="R79" s="227"/>
      <c r="S79" s="221"/>
    </row>
    <row r="80" spans="4:19" x14ac:dyDescent="0.25">
      <c r="M80" s="219"/>
      <c r="N80" s="220"/>
      <c r="O80" s="221"/>
      <c r="P80" s="227"/>
      <c r="Q80" s="227"/>
      <c r="R80" s="227"/>
      <c r="S80" s="221"/>
    </row>
    <row r="81" spans="13:19" x14ac:dyDescent="0.25">
      <c r="M81" s="219"/>
      <c r="N81" s="220"/>
      <c r="O81" s="221"/>
      <c r="P81" s="227"/>
      <c r="Q81" s="227"/>
      <c r="R81" s="227"/>
      <c r="S81" s="221"/>
    </row>
    <row r="82" spans="13:19" x14ac:dyDescent="0.25">
      <c r="M82" s="219"/>
      <c r="N82" s="220"/>
      <c r="O82" s="221"/>
      <c r="P82" s="227"/>
      <c r="Q82" s="227"/>
      <c r="R82" s="227"/>
      <c r="S82" s="221"/>
    </row>
    <row r="83" spans="13:19" x14ac:dyDescent="0.25">
      <c r="M83" s="219"/>
      <c r="N83" s="220"/>
      <c r="O83" s="221"/>
      <c r="P83" s="227"/>
      <c r="Q83" s="227"/>
      <c r="R83" s="227"/>
      <c r="S83" s="221"/>
    </row>
    <row r="84" spans="13:19" x14ac:dyDescent="0.25">
      <c r="M84" s="219"/>
      <c r="N84" s="220"/>
      <c r="O84" s="221"/>
      <c r="P84" s="227"/>
      <c r="Q84" s="227"/>
      <c r="R84" s="227"/>
      <c r="S84" s="221"/>
    </row>
    <row r="85" spans="13:19" x14ac:dyDescent="0.25">
      <c r="M85" s="219"/>
      <c r="N85" s="220"/>
      <c r="O85" s="221"/>
      <c r="P85" s="227"/>
      <c r="Q85" s="227"/>
      <c r="R85" s="227"/>
      <c r="S85" s="221"/>
    </row>
    <row r="86" spans="13:19" x14ac:dyDescent="0.25">
      <c r="M86" s="219"/>
      <c r="N86" s="220"/>
      <c r="O86" s="221"/>
      <c r="P86" s="227"/>
      <c r="Q86" s="227"/>
      <c r="R86" s="227"/>
      <c r="S86" s="221"/>
    </row>
    <row r="87" spans="13:19" x14ac:dyDescent="0.25">
      <c r="M87" s="219"/>
      <c r="N87" s="220"/>
      <c r="O87" s="221"/>
      <c r="P87" s="227"/>
      <c r="Q87" s="227"/>
      <c r="R87" s="227"/>
      <c r="S87" s="221"/>
    </row>
    <row r="88" spans="13:19" x14ac:dyDescent="0.25">
      <c r="M88" s="219"/>
      <c r="N88" s="220"/>
      <c r="O88" s="221"/>
      <c r="P88" s="227"/>
      <c r="Q88" s="227"/>
      <c r="R88" s="227"/>
      <c r="S88" s="221"/>
    </row>
    <row r="89" spans="13:19" x14ac:dyDescent="0.25">
      <c r="M89" s="219"/>
      <c r="N89" s="220"/>
      <c r="O89" s="221"/>
      <c r="P89" s="227"/>
      <c r="Q89" s="227"/>
      <c r="R89" s="227"/>
      <c r="S89" s="221"/>
    </row>
    <row r="90" spans="13:19" x14ac:dyDescent="0.25">
      <c r="M90" s="219"/>
      <c r="N90" s="220"/>
      <c r="O90" s="221"/>
      <c r="P90" s="227"/>
      <c r="Q90" s="227"/>
      <c r="R90" s="227"/>
      <c r="S90" s="221"/>
    </row>
    <row r="91" spans="13:19" x14ac:dyDescent="0.25">
      <c r="M91" s="219"/>
      <c r="N91" s="220"/>
      <c r="O91" s="221"/>
      <c r="P91" s="227"/>
      <c r="Q91" s="227"/>
      <c r="R91" s="227"/>
      <c r="S91" s="221"/>
    </row>
    <row r="92" spans="13:19" x14ac:dyDescent="0.25">
      <c r="M92" s="219"/>
      <c r="N92" s="220"/>
      <c r="O92" s="221"/>
      <c r="P92" s="227"/>
      <c r="Q92" s="227"/>
      <c r="R92" s="227"/>
      <c r="S92" s="221"/>
    </row>
    <row r="93" spans="13:19" x14ac:dyDescent="0.25">
      <c r="M93" s="219"/>
      <c r="N93" s="220"/>
      <c r="O93" s="221"/>
      <c r="P93" s="227"/>
      <c r="Q93" s="227"/>
      <c r="R93" s="227"/>
      <c r="S93" s="221"/>
    </row>
    <row r="94" spans="13:19" x14ac:dyDescent="0.25">
      <c r="M94" s="219"/>
      <c r="N94" s="220"/>
      <c r="O94" s="221"/>
      <c r="P94" s="227"/>
      <c r="Q94" s="227"/>
      <c r="R94" s="227"/>
      <c r="S94" s="221"/>
    </row>
    <row r="95" spans="13:19" x14ac:dyDescent="0.25">
      <c r="M95" s="194"/>
    </row>
    <row r="96" spans="13:19" x14ac:dyDescent="0.25">
      <c r="M96" s="194"/>
    </row>
    <row r="97" spans="13:19" x14ac:dyDescent="0.25">
      <c r="M97" s="219"/>
      <c r="N97" s="220"/>
      <c r="O97" s="221"/>
      <c r="P97" s="227"/>
      <c r="Q97" s="227"/>
      <c r="R97" s="227"/>
      <c r="S97" s="221"/>
    </row>
    <row r="98" spans="13:19" x14ac:dyDescent="0.25">
      <c r="M98" s="219"/>
      <c r="N98" s="220"/>
      <c r="O98" s="221"/>
      <c r="P98" s="227"/>
      <c r="Q98" s="227"/>
      <c r="R98" s="227"/>
      <c r="S98" s="221"/>
    </row>
    <row r="99" spans="13:19" x14ac:dyDescent="0.25">
      <c r="M99" s="219"/>
      <c r="N99" s="220"/>
      <c r="O99" s="221"/>
      <c r="P99" s="227"/>
      <c r="Q99" s="227"/>
      <c r="R99" s="227"/>
      <c r="S99" s="221"/>
    </row>
    <row r="100" spans="13:19" x14ac:dyDescent="0.25">
      <c r="M100" s="219"/>
      <c r="N100" s="220"/>
      <c r="O100" s="221"/>
      <c r="P100" s="227"/>
      <c r="Q100" s="227"/>
      <c r="R100" s="227"/>
      <c r="S100" s="221"/>
    </row>
    <row r="101" spans="13:19" x14ac:dyDescent="0.25">
      <c r="M101" s="219"/>
      <c r="N101" s="220"/>
      <c r="O101" s="221"/>
      <c r="P101" s="227"/>
      <c r="Q101" s="227"/>
      <c r="R101" s="227"/>
      <c r="S101" s="221"/>
    </row>
    <row r="102" spans="13:19" x14ac:dyDescent="0.25">
      <c r="M102" s="219"/>
      <c r="N102" s="220"/>
      <c r="O102" s="221"/>
      <c r="P102" s="227"/>
      <c r="Q102" s="227"/>
      <c r="R102" s="227"/>
      <c r="S102" s="221"/>
    </row>
    <row r="103" spans="13:19" x14ac:dyDescent="0.25">
      <c r="M103" s="219"/>
      <c r="N103" s="220"/>
      <c r="O103" s="221"/>
      <c r="P103" s="227"/>
      <c r="Q103" s="227"/>
      <c r="R103" s="227"/>
      <c r="S103" s="221"/>
    </row>
    <row r="104" spans="13:19" x14ac:dyDescent="0.25">
      <c r="M104" s="219"/>
      <c r="N104" s="220"/>
      <c r="O104" s="221"/>
      <c r="P104" s="227"/>
      <c r="Q104" s="227"/>
      <c r="R104" s="227"/>
      <c r="S104" s="221"/>
    </row>
    <row r="105" spans="13:19" x14ac:dyDescent="0.25">
      <c r="M105" s="219"/>
      <c r="N105" s="220"/>
      <c r="O105" s="221"/>
      <c r="P105" s="227"/>
      <c r="Q105" s="227"/>
      <c r="R105" s="227"/>
      <c r="S105" s="221"/>
    </row>
    <row r="106" spans="13:19" x14ac:dyDescent="0.25">
      <c r="M106" s="219"/>
      <c r="N106" s="220"/>
      <c r="O106" s="221"/>
      <c r="P106" s="227"/>
      <c r="Q106" s="227"/>
      <c r="R106" s="227"/>
      <c r="S106" s="221"/>
    </row>
    <row r="107" spans="13:19" x14ac:dyDescent="0.25">
      <c r="M107" s="219"/>
      <c r="N107" s="220"/>
      <c r="O107" s="221"/>
      <c r="P107" s="227"/>
      <c r="Q107" s="227"/>
      <c r="R107" s="227"/>
      <c r="S107" s="221"/>
    </row>
    <row r="108" spans="13:19" x14ac:dyDescent="0.25">
      <c r="M108" s="219"/>
      <c r="N108" s="220"/>
      <c r="O108" s="221"/>
      <c r="P108" s="227"/>
      <c r="Q108" s="227"/>
      <c r="R108" s="227"/>
      <c r="S108" s="221"/>
    </row>
    <row r="109" spans="13:19" x14ac:dyDescent="0.25">
      <c r="M109" s="219"/>
      <c r="N109" s="220"/>
      <c r="O109" s="221"/>
      <c r="P109" s="227"/>
      <c r="Q109" s="227"/>
      <c r="R109" s="227"/>
      <c r="S109" s="221"/>
    </row>
    <row r="110" spans="13:19" x14ac:dyDescent="0.25">
      <c r="M110" s="219"/>
      <c r="N110" s="220"/>
      <c r="O110" s="221"/>
      <c r="P110" s="227"/>
      <c r="Q110" s="227"/>
      <c r="R110" s="227"/>
      <c r="S110" s="221"/>
    </row>
    <row r="111" spans="13:19" x14ac:dyDescent="0.25">
      <c r="M111" s="219"/>
      <c r="N111" s="220"/>
      <c r="O111" s="221"/>
      <c r="P111" s="227"/>
      <c r="Q111" s="227"/>
      <c r="R111" s="227"/>
      <c r="S111" s="221"/>
    </row>
    <row r="112" spans="13:19" x14ac:dyDescent="0.25">
      <c r="M112" s="219"/>
      <c r="N112" s="220"/>
      <c r="O112" s="221"/>
      <c r="P112" s="227"/>
      <c r="Q112" s="227"/>
      <c r="R112" s="227"/>
      <c r="S112" s="221"/>
    </row>
    <row r="113" spans="13:19" x14ac:dyDescent="0.25">
      <c r="M113" s="219"/>
      <c r="N113" s="220"/>
      <c r="O113" s="221"/>
      <c r="P113" s="227"/>
      <c r="Q113" s="227"/>
      <c r="R113" s="227"/>
      <c r="S113" s="221"/>
    </row>
    <row r="114" spans="13:19" x14ac:dyDescent="0.25">
      <c r="M114" s="219"/>
      <c r="N114" s="220"/>
      <c r="O114" s="221"/>
      <c r="P114" s="227"/>
      <c r="Q114" s="227"/>
      <c r="R114" s="227"/>
      <c r="S114" s="221"/>
    </row>
    <row r="115" spans="13:19" x14ac:dyDescent="0.25">
      <c r="M115" s="219"/>
      <c r="N115" s="220"/>
      <c r="O115" s="221"/>
      <c r="P115" s="227"/>
      <c r="Q115" s="227"/>
      <c r="R115" s="227"/>
      <c r="S115" s="221"/>
    </row>
    <row r="116" spans="13:19" x14ac:dyDescent="0.25">
      <c r="M116" s="219"/>
      <c r="N116" s="220"/>
      <c r="O116" s="221"/>
      <c r="P116" s="227"/>
      <c r="Q116" s="227"/>
      <c r="R116" s="227"/>
      <c r="S116" s="221"/>
    </row>
    <row r="117" spans="13:19" x14ac:dyDescent="0.25">
      <c r="M117" s="219"/>
      <c r="N117" s="220"/>
      <c r="O117" s="221"/>
      <c r="P117" s="227"/>
      <c r="Q117" s="227"/>
      <c r="R117" s="227"/>
      <c r="S117" s="221"/>
    </row>
    <row r="118" spans="13:19" x14ac:dyDescent="0.25">
      <c r="M118" s="219"/>
      <c r="N118" s="220"/>
      <c r="O118" s="221"/>
      <c r="P118" s="227"/>
      <c r="Q118" s="227"/>
      <c r="R118" s="227"/>
      <c r="S118" s="221"/>
    </row>
    <row r="119" spans="13:19" x14ac:dyDescent="0.25">
      <c r="M119" s="219"/>
      <c r="N119" s="220"/>
      <c r="O119" s="221"/>
      <c r="P119" s="227"/>
      <c r="Q119" s="227"/>
      <c r="R119" s="227"/>
      <c r="S119" s="221"/>
    </row>
    <row r="120" spans="13:19" x14ac:dyDescent="0.25">
      <c r="M120" s="219"/>
      <c r="N120" s="220"/>
      <c r="O120" s="221"/>
      <c r="P120" s="227"/>
      <c r="Q120" s="227"/>
      <c r="R120" s="227"/>
      <c r="S120" s="221"/>
    </row>
    <row r="121" spans="13:19" x14ac:dyDescent="0.25">
      <c r="M121" s="219"/>
      <c r="N121" s="220"/>
      <c r="O121" s="221"/>
      <c r="P121" s="227"/>
      <c r="Q121" s="227"/>
      <c r="R121" s="227"/>
      <c r="S121" s="221"/>
    </row>
    <row r="122" spans="13:19" x14ac:dyDescent="0.25">
      <c r="M122" s="219"/>
      <c r="N122" s="220"/>
      <c r="O122" s="221"/>
      <c r="P122" s="227"/>
      <c r="Q122" s="227"/>
      <c r="R122" s="227"/>
      <c r="S122" s="221"/>
    </row>
    <row r="123" spans="13:19" x14ac:dyDescent="0.25">
      <c r="M123" s="220"/>
      <c r="N123" s="220"/>
      <c r="O123" s="221"/>
      <c r="P123" s="227"/>
      <c r="Q123" s="227"/>
      <c r="R123" s="227"/>
      <c r="S123" s="221"/>
    </row>
    <row r="124" spans="13:19" x14ac:dyDescent="0.25">
      <c r="M124" s="220"/>
      <c r="N124" s="220"/>
      <c r="O124" s="221"/>
      <c r="P124" s="227"/>
      <c r="Q124" s="227"/>
      <c r="R124" s="227"/>
      <c r="S124" s="221"/>
    </row>
    <row r="125" spans="13:19" x14ac:dyDescent="0.25">
      <c r="M125" s="220"/>
      <c r="N125" s="220"/>
      <c r="O125" s="221"/>
      <c r="P125" s="227"/>
      <c r="Q125" s="227"/>
      <c r="R125" s="227"/>
      <c r="S125" s="221"/>
    </row>
    <row r="126" spans="13:19" x14ac:dyDescent="0.25">
      <c r="M126" s="220"/>
      <c r="N126" s="220"/>
      <c r="O126" s="221"/>
      <c r="P126" s="227"/>
      <c r="Q126" s="227"/>
      <c r="R126" s="227"/>
      <c r="S126" s="221"/>
    </row>
  </sheetData>
  <sortState xmlns:xlrd2="http://schemas.microsoft.com/office/spreadsheetml/2017/richdata2" sortMethod="stroke" ref="M5:T14">
    <sortCondition ref="M5:M8"/>
    <sortCondition ref="N5:N8"/>
    <sortCondition ref="M5:M25"/>
    <sortCondition ref="N5:N25"/>
    <sortCondition ref="M5:M45"/>
    <sortCondition ref="N5:N45"/>
    <sortCondition ref="M5:M126"/>
    <sortCondition ref="N5:N126"/>
    <sortCondition ref="M5:M22"/>
    <sortCondition ref="N5:N22"/>
    <sortCondition ref="M5"/>
    <sortCondition ref="N5"/>
    <sortCondition ref="M5:M9"/>
    <sortCondition ref="N5:N9"/>
    <sortCondition ref="M5:M20"/>
    <sortCondition ref="N5:N20"/>
    <sortCondition ref="M5:M17"/>
    <sortCondition ref="N5:N17"/>
    <sortCondition ref="M5:M14"/>
    <sortCondition ref="N5:N14"/>
    <sortCondition ref="M5:M15"/>
    <sortCondition ref="N5:N15"/>
    <sortCondition ref="M5:M12"/>
    <sortCondition ref="N5:N12"/>
    <sortCondition ref="M5:M7"/>
    <sortCondition ref="N5:N7"/>
    <sortCondition ref="M5:M16"/>
    <sortCondition ref="N5:N16"/>
    <sortCondition ref="M5:M6"/>
    <sortCondition ref="N5:N6"/>
    <sortCondition ref="T5:T20"/>
    <sortCondition ref="M5:M49"/>
    <sortCondition ref="N5:N49"/>
    <sortCondition ref="T5:T49"/>
    <sortCondition ref="M5:M46"/>
    <sortCondition ref="N5:N46"/>
    <sortCondition ref="T5:T46"/>
    <sortCondition ref="T5:T22"/>
    <sortCondition ref="T5:T17"/>
    <sortCondition ref="T5:T14"/>
    <sortCondition ref="T5:T15"/>
    <sortCondition ref="T5"/>
    <sortCondition ref="T5:T12"/>
    <sortCondition ref="M5:M122"/>
    <sortCondition ref="N5:N122"/>
    <sortCondition ref="T5:T122"/>
  </sortState>
  <mergeCells count="2">
    <mergeCell ref="C1:H1"/>
    <mergeCell ref="L1:S1"/>
  </mergeCells>
  <pageMargins left="0.70866141732283472" right="0.70866141732283472" top="0.74803149606299213" bottom="0.74803149606299213" header="0.31496062992125984" footer="0.31496062992125984"/>
  <pageSetup orientation="landscape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3"/>
  <sheetViews>
    <sheetView topLeftCell="A35" workbookViewId="0">
      <selection activeCell="A65" sqref="A65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5" t="s">
        <v>136</v>
      </c>
      <c r="E1" s="125" t="s">
        <v>183</v>
      </c>
      <c r="F1" s="125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4" t="s">
        <v>11</v>
      </c>
      <c r="E3" s="5" t="s">
        <v>12</v>
      </c>
      <c r="F3" s="6" t="s">
        <v>13</v>
      </c>
    </row>
    <row r="4" spans="1:6" x14ac:dyDescent="0.25">
      <c r="A4" s="7" t="str">
        <f t="shared" ref="A4:A52" si="0">F4</f>
        <v>Comptes Clients</v>
      </c>
      <c r="B4" s="103" t="str">
        <f>PlanComptable[[#This Row],[Colonne1]]</f>
        <v>1100</v>
      </c>
      <c r="C4" s="6"/>
      <c r="D4" s="124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4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4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4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4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4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4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4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4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4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4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4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4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4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4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4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4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4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4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4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4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4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4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4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4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4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4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4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4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4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4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4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4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4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4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4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4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4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4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4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4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4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4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4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4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4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4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4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4" t="s">
        <v>99</v>
      </c>
      <c r="E52" s="5" t="s">
        <v>114</v>
      </c>
      <c r="F52" s="6" t="s">
        <v>115</v>
      </c>
    </row>
    <row r="53" spans="1:6" x14ac:dyDescent="0.25">
      <c r="A53" s="7" t="str">
        <f t="shared" ref="A53:A63" si="1">F53</f>
        <v>Loyer</v>
      </c>
      <c r="B53" s="103" t="str">
        <f>PlanComptable[[#This Row],[Colonne1]]</f>
        <v>5007</v>
      </c>
      <c r="D53" s="124" t="s">
        <v>99</v>
      </c>
      <c r="E53" s="5" t="s">
        <v>116</v>
      </c>
      <c r="F53" s="6" t="s">
        <v>117</v>
      </c>
    </row>
    <row r="54" spans="1:6" x14ac:dyDescent="0.25">
      <c r="A54" s="7" t="str">
        <f t="shared" si="1"/>
        <v>Électricité</v>
      </c>
      <c r="B54" s="103" t="str">
        <f>PlanComptable[[#This Row],[Colonne1]]</f>
        <v>5007a</v>
      </c>
      <c r="D54" s="124" t="s">
        <v>99</v>
      </c>
      <c r="E54" s="5" t="s">
        <v>217</v>
      </c>
      <c r="F54" s="6" t="s">
        <v>218</v>
      </c>
    </row>
    <row r="55" spans="1:6" x14ac:dyDescent="0.25">
      <c r="A55" s="7" t="str">
        <f t="shared" si="1"/>
        <v>Frais de communications</v>
      </c>
      <c r="B55" s="103" t="str">
        <f>PlanComptable[[#This Row],[Colonne1]]</f>
        <v>5008</v>
      </c>
      <c r="D55" s="124" t="s">
        <v>99</v>
      </c>
      <c r="E55" s="5" t="s">
        <v>118</v>
      </c>
      <c r="F55" s="6" t="s">
        <v>119</v>
      </c>
    </row>
    <row r="56" spans="1:6" x14ac:dyDescent="0.25">
      <c r="A56" s="7" t="str">
        <f t="shared" si="1"/>
        <v>Frais de poste</v>
      </c>
      <c r="B56" s="103" t="str">
        <f>PlanComptable[[#This Row],[Colonne1]]</f>
        <v>5009</v>
      </c>
      <c r="D56" s="124" t="s">
        <v>99</v>
      </c>
      <c r="E56" s="5" t="s">
        <v>120</v>
      </c>
      <c r="F56" s="6" t="s">
        <v>121</v>
      </c>
    </row>
    <row r="57" spans="1:6" x14ac:dyDescent="0.25">
      <c r="A57" s="7" t="str">
        <f t="shared" si="1"/>
        <v>Salaires et Sous-traitance</v>
      </c>
      <c r="B57" s="103" t="str">
        <f>PlanComptable[[#This Row],[Colonne1]]</f>
        <v>5010</v>
      </c>
      <c r="D57" s="124" t="s">
        <v>99</v>
      </c>
      <c r="E57" s="5" t="s">
        <v>122</v>
      </c>
      <c r="F57" s="6" t="s">
        <v>123</v>
      </c>
    </row>
    <row r="58" spans="1:6" x14ac:dyDescent="0.25">
      <c r="A58" s="7" t="str">
        <f t="shared" si="1"/>
        <v>Assurance &amp; Cotisation professionnelle</v>
      </c>
      <c r="B58" s="103" t="str">
        <f>PlanComptable[[#This Row],[Colonne1]]</f>
        <v>5011</v>
      </c>
      <c r="D58" s="124" t="s">
        <v>99</v>
      </c>
      <c r="E58" s="5" t="s">
        <v>124</v>
      </c>
      <c r="F58" s="6" t="s">
        <v>125</v>
      </c>
    </row>
    <row r="59" spans="1:6" x14ac:dyDescent="0.25">
      <c r="A59" s="7" t="str">
        <f t="shared" si="1"/>
        <v>Frais financiers</v>
      </c>
      <c r="B59" s="103" t="str">
        <f>PlanComptable[[#This Row],[Colonne1]]</f>
        <v>5013</v>
      </c>
      <c r="D59" s="124" t="s">
        <v>99</v>
      </c>
      <c r="E59" s="5" t="s">
        <v>126</v>
      </c>
      <c r="F59" s="6" t="s">
        <v>127</v>
      </c>
    </row>
    <row r="60" spans="1:6" x14ac:dyDescent="0.25">
      <c r="A60" s="7" t="str">
        <f t="shared" si="1"/>
        <v>Amortissement</v>
      </c>
      <c r="B60" s="103" t="str">
        <f>PlanComptable[[#This Row],[Colonne1]]</f>
        <v>5015</v>
      </c>
      <c r="D60" s="124" t="s">
        <v>99</v>
      </c>
      <c r="E60" s="5" t="s">
        <v>128</v>
      </c>
      <c r="F60" s="6" t="s">
        <v>129</v>
      </c>
    </row>
    <row r="61" spans="1:6" x14ac:dyDescent="0.25">
      <c r="A61" s="7" t="str">
        <f t="shared" si="1"/>
        <v>Mauvaises créances</v>
      </c>
      <c r="B61" s="103" t="str">
        <f>PlanComptable[[#This Row],[Colonne1]]</f>
        <v>5016</v>
      </c>
      <c r="D61" s="124" t="s">
        <v>99</v>
      </c>
      <c r="E61" s="5" t="s">
        <v>130</v>
      </c>
      <c r="F61" s="6" t="s">
        <v>131</v>
      </c>
    </row>
    <row r="62" spans="1:6" x14ac:dyDescent="0.25">
      <c r="A62" s="7" t="str">
        <f t="shared" si="1"/>
        <v>Assurance - loyer</v>
      </c>
      <c r="B62" s="103" t="str">
        <f>PlanComptable[[#This Row],[Colonne1]]</f>
        <v>5020</v>
      </c>
      <c r="D62" s="124" t="s">
        <v>99</v>
      </c>
      <c r="E62" s="5" t="s">
        <v>132</v>
      </c>
      <c r="F62" s="6" t="s">
        <v>133</v>
      </c>
    </row>
    <row r="63" spans="1:6" x14ac:dyDescent="0.25">
      <c r="A63" s="7" t="str">
        <f t="shared" si="1"/>
        <v>Impôts exigibles</v>
      </c>
      <c r="B63" s="103" t="str">
        <f>PlanComptable[[#This Row],[Colonne1]]</f>
        <v>9000</v>
      </c>
      <c r="D63" s="126" t="s">
        <v>99</v>
      </c>
      <c r="E63" s="127" t="s">
        <v>134</v>
      </c>
      <c r="F63" s="128" t="s">
        <v>135</v>
      </c>
    </row>
  </sheetData>
  <conditionalFormatting sqref="D3:F22">
    <cfRule type="expression" dxfId="32" priority="9">
      <formula>#REF!=ROW()</formula>
    </cfRule>
  </conditionalFormatting>
  <conditionalFormatting sqref="D3:F9">
    <cfRule type="expression" dxfId="31" priority="10">
      <formula>AND($K1&lt;&gt;"",MOD(ROW(),2)=0)</formula>
    </cfRule>
  </conditionalFormatting>
  <conditionalFormatting sqref="D3:F63">
    <cfRule type="expression" dxfId="30" priority="8">
      <formula>MOD(ROW(),2)=0</formula>
    </cfRule>
  </conditionalFormatting>
  <conditionalFormatting sqref="D5:F42">
    <cfRule type="expression" dxfId="29" priority="11">
      <formula>AND($K1&lt;&gt;"",MOD(ROW(),2)=0)</formula>
    </cfRule>
  </conditionalFormatting>
  <conditionalFormatting sqref="D8:F9 D3:F3">
    <cfRule type="expression" dxfId="28" priority="7">
      <formula>AND($K1048576&lt;&gt;"",MOD(ROW(),2)=0)</formula>
    </cfRule>
  </conditionalFormatting>
  <conditionalFormatting sqref="D3:D53">
    <cfRule type="expression" dxfId="27" priority="12">
      <formula>AND($L1048564&lt;&gt;"",MOD(ROW(),2)=0)</formula>
    </cfRule>
  </conditionalFormatting>
  <conditionalFormatting sqref="D46:F46">
    <cfRule type="expression" dxfId="26" priority="13">
      <formula>AND(#REF!&lt;&gt;"",MOD(ROW(),2)=0)</formula>
    </cfRule>
  </conditionalFormatting>
  <conditionalFormatting sqref="D50:F53">
    <cfRule type="expression" dxfId="25" priority="14">
      <formula>AND($K84&lt;&gt;"",MOD(ROW(),2)=0)</formula>
    </cfRule>
  </conditionalFormatting>
  <conditionalFormatting sqref="D59:F59">
    <cfRule type="expression" dxfId="24" priority="15">
      <formula>AND(#REF!&lt;&gt;"",MOD(ROW(),2)=0)</formula>
    </cfRule>
  </conditionalFormatting>
  <conditionalFormatting sqref="D63:F63">
    <cfRule type="expression" dxfId="23" priority="16">
      <formula>AND($K84&lt;&gt;"",MOD(ROW(),2)=0)</formula>
    </cfRule>
  </conditionalFormatting>
  <conditionalFormatting sqref="D47:F49">
    <cfRule type="expression" dxfId="22" priority="17">
      <formula>AND($K79&lt;&gt;"",MOD(ROW(),2)=0)</formula>
    </cfRule>
  </conditionalFormatting>
  <conditionalFormatting sqref="D60:F62">
    <cfRule type="expression" dxfId="21" priority="18">
      <formula>AND($K79&lt;&gt;"",MOD(ROW(),2)=0)</formula>
    </cfRule>
  </conditionalFormatting>
  <conditionalFormatting sqref="D4:F4">
    <cfRule type="expression" dxfId="20" priority="19">
      <formula>AND(#REF!&lt;&gt;"",MOD(ROW(),2)=0)</formula>
    </cfRule>
  </conditionalFormatting>
  <conditionalFormatting sqref="D52:F53">
    <cfRule type="expression" dxfId="19" priority="20">
      <formula>AND($K36&lt;&gt;"",MOD(ROW(),2)=0)</formula>
    </cfRule>
  </conditionalFormatting>
  <conditionalFormatting sqref="D43:F43">
    <cfRule type="expression" dxfId="18" priority="26">
      <formula>AND($K50&lt;&gt;"",MOD(ROW(),2)=0)</formula>
    </cfRule>
  </conditionalFormatting>
  <conditionalFormatting sqref="D56:F56">
    <cfRule type="expression" dxfId="17" priority="27">
      <formula>AND($K50&lt;&gt;"",MOD(ROW(),2)=0)</formula>
    </cfRule>
  </conditionalFormatting>
  <conditionalFormatting sqref="D44:F45">
    <cfRule type="expression" dxfId="16" priority="28">
      <formula>AND($K52&lt;&gt;"",MOD(ROW(),2)=0)</formula>
    </cfRule>
  </conditionalFormatting>
  <conditionalFormatting sqref="C1:C10">
    <cfRule type="expression" dxfId="15" priority="4">
      <formula>#REF!=ROW()</formula>
    </cfRule>
  </conditionalFormatting>
  <conditionalFormatting sqref="C1:C10">
    <cfRule type="expression" dxfId="14" priority="5">
      <formula>AND($K1048575&lt;&gt;"",MOD(ROW(),2)=0)</formula>
    </cfRule>
  </conditionalFormatting>
  <conditionalFormatting sqref="C1:C10">
    <cfRule type="expression" dxfId="13" priority="3">
      <formula>MOD(ROW(),2)=0</formula>
    </cfRule>
  </conditionalFormatting>
  <conditionalFormatting sqref="C1:C10">
    <cfRule type="expression" dxfId="12" priority="6">
      <formula>AND(#REF!&lt;&gt;"",MOD(ROW(),2)=0)</formula>
    </cfRule>
  </conditionalFormatting>
  <conditionalFormatting sqref="D57:F58">
    <cfRule type="expression" dxfId="11" priority="31">
      <formula>AND($K52&lt;&gt;"",MOD(ROW(),2)=0)</formula>
    </cfRule>
  </conditionalFormatting>
  <conditionalFormatting sqref="D53:D63">
    <cfRule type="expression" dxfId="10" priority="34">
      <formula>AND($L37&lt;&gt;"",MOD(ROW(),2)=0)</formula>
    </cfRule>
  </conditionalFormatting>
  <conditionalFormatting sqref="D54:F63">
    <cfRule type="expression" dxfId="9" priority="36">
      <formula>AND($K87&lt;&gt;"",MOD(ROW(),2)=0)</formula>
    </cfRule>
  </conditionalFormatting>
  <conditionalFormatting sqref="D54:F55">
    <cfRule type="expression" dxfId="8" priority="38">
      <formula>AND($K37&lt;&gt;"",MOD(ROW(),2)=0)</formula>
    </cfRule>
  </conditionalFormatting>
  <conditionalFormatting sqref="D53:F53">
    <cfRule type="expression" dxfId="7" priority="1">
      <formula>AND($K86&lt;&gt;"",MOD(ROW(),2)=0)</formula>
    </cfRule>
  </conditionalFormatting>
  <conditionalFormatting sqref="D53:F53">
    <cfRule type="expression" dxfId="6" priority="2">
      <formula>AND($K36&lt;&gt;"",MOD(ROW(),2)=0)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3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EJ</vt:lpstr>
      <vt:lpstr>Trans</vt:lpstr>
      <vt:lpstr>EJ_Auto</vt:lpstr>
      <vt:lpstr>BV</vt:lpstr>
      <vt:lpstr>PlanComptable</vt:lpstr>
      <vt:lpstr>PlanComptable!COA</vt:lpstr>
      <vt:lpstr>DescEJRecurrente</vt:lpstr>
      <vt:lpstr>BV!Impression_des_titres</vt:lpstr>
      <vt:lpstr>Trans!Impression_des_titres</vt:lpstr>
      <vt:lpstr>wshJEAutoDesc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2023-10-15T12:45:39Z</cp:lastPrinted>
  <dcterms:created xsi:type="dcterms:W3CDTF">2023-10-05T16:17:00Z</dcterms:created>
  <dcterms:modified xsi:type="dcterms:W3CDTF">2023-10-15T14:50:57Z</dcterms:modified>
</cp:coreProperties>
</file>