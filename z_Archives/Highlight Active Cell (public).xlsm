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drawings/drawing5.xml" ContentType="application/vnd.openxmlformats-officedocument.drawing+xml"/>
  <Override PartName="/xl/comments5.xml" ContentType="application/vnd.openxmlformats-officedocument.spreadsheetml.comments+xml"/>
  <Override PartName="/xl/drawings/drawing6.xml" ContentType="application/vnd.openxmlformats-officedocument.drawing+xml"/>
  <Override PartName="/xl/comments6.xml" ContentType="application/vnd.openxmlformats-officedocument.spreadsheetml.comments+xml"/>
  <Override PartName="/xl/drawings/drawing7.xml" ContentType="application/vnd.openxmlformats-officedocument.drawing+xml"/>
  <Override PartName="/xl/comments7.xml" ContentType="application/vnd.openxmlformats-officedocument.spreadsheetml.comments+xml"/>
  <Override PartName="/xl/drawings/drawing8.xml" ContentType="application/vnd.openxmlformats-officedocument.drawing+xml"/>
  <Override PartName="/xl/comments8.xml" ContentType="application/vnd.openxmlformats-officedocument.spreadsheetml.comments+xml"/>
  <Override PartName="/xl/drawings/drawing9.xml" ContentType="application/vnd.openxmlformats-officedocument.drawing+xml"/>
  <Override PartName="/xl/comments9.xml" ContentType="application/vnd.openxmlformats-officedocument.spreadsheetml.comments+xml"/>
  <Override PartName="/xl/drawings/drawing10.xml" ContentType="application/vnd.openxmlformats-officedocument.drawing+xml"/>
  <Override PartName="/xl/tables/table1.xml" ContentType="application/vnd.openxmlformats-officedocument.spreadsheetml.table+xml"/>
  <Override PartName="/xl/comments10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\\Mac\Home\Downloads\Excel VBA Sandbox (Local)\Current Video\"/>
    </mc:Choice>
  </mc:AlternateContent>
  <xr:revisionPtr revIDLastSave="0" documentId="13_ncr:1_{F80BA6D4-4BD4-4CAD-A3C0-17791B7DA1BD}" xr6:coauthVersionLast="47" xr6:coauthVersionMax="47" xr10:uidLastSave="{00000000-0000-0000-0000-000000000000}"/>
  <bookViews>
    <workbookView xWindow="4658" yWindow="2820" windowWidth="28987" windowHeight="16298" xr2:uid="{5D207214-B18D-49F9-97C7-CCCD9E78D500}"/>
  </bookViews>
  <sheets>
    <sheet name="End Result" sheetId="11" r:id="rId1"/>
    <sheet name="Level 0" sheetId="1" r:id="rId2"/>
    <sheet name="Level 1" sheetId="2" r:id="rId3"/>
    <sheet name="Level 2" sheetId="3" r:id="rId4"/>
    <sheet name="Level 3" sheetId="4" r:id="rId5"/>
    <sheet name="Level 4" sheetId="5" r:id="rId6"/>
    <sheet name="Level 5" sheetId="6" r:id="rId7"/>
    <sheet name="Level 6" sheetId="7" r:id="rId8"/>
    <sheet name="Level 7" sheetId="8" r:id="rId9"/>
    <sheet name="Bonus" sheetId="9" r:id="rId10"/>
  </sheets>
  <definedNames>
    <definedName name="Highlight_switch">'Level 6'!$F$2</definedName>
    <definedName name="Highlight_switch_2">'Level 7'!$F$2</definedName>
    <definedName name="Highlight_switch_3">'End Result'!$E$2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29" i="11" l="1"/>
  <c r="I29" i="11"/>
  <c r="J28" i="11"/>
  <c r="I28" i="11"/>
  <c r="J27" i="11"/>
  <c r="I27" i="11"/>
  <c r="J26" i="11"/>
  <c r="I26" i="11"/>
  <c r="J25" i="11"/>
  <c r="I25" i="11"/>
  <c r="J24" i="11"/>
  <c r="I24" i="11"/>
  <c r="J23" i="11"/>
  <c r="I23" i="11"/>
  <c r="J22" i="11"/>
  <c r="I22" i="11"/>
  <c r="J21" i="11"/>
  <c r="I21" i="11"/>
  <c r="J20" i="11"/>
  <c r="I20" i="11"/>
  <c r="J19" i="11"/>
  <c r="I19" i="11"/>
  <c r="J18" i="11"/>
  <c r="I18" i="11"/>
  <c r="J17" i="11"/>
  <c r="I17" i="11"/>
  <c r="J16" i="11"/>
  <c r="I16" i="11"/>
  <c r="J15" i="11"/>
  <c r="I15" i="11"/>
  <c r="J14" i="11"/>
  <c r="I14" i="11"/>
  <c r="J13" i="11"/>
  <c r="I13" i="11"/>
  <c r="J12" i="11"/>
  <c r="I12" i="11"/>
  <c r="J11" i="11"/>
  <c r="I11" i="11"/>
  <c r="J10" i="11"/>
  <c r="I10" i="11"/>
  <c r="J9" i="11"/>
  <c r="I9" i="11"/>
  <c r="J8" i="11"/>
  <c r="I8" i="11"/>
  <c r="J7" i="11"/>
  <c r="I7" i="11"/>
  <c r="J190" i="9"/>
  <c r="I190" i="9"/>
  <c r="J189" i="9"/>
  <c r="I189" i="9"/>
  <c r="J188" i="9"/>
  <c r="I188" i="9"/>
  <c r="J187" i="9"/>
  <c r="I187" i="9"/>
  <c r="J186" i="9"/>
  <c r="I186" i="9"/>
  <c r="J185" i="9"/>
  <c r="I185" i="9"/>
  <c r="J184" i="9"/>
  <c r="I184" i="9"/>
  <c r="J183" i="9"/>
  <c r="I183" i="9"/>
  <c r="J182" i="9"/>
  <c r="I182" i="9"/>
  <c r="J181" i="9"/>
  <c r="I181" i="9"/>
  <c r="J180" i="9"/>
  <c r="I180" i="9"/>
  <c r="J179" i="9"/>
  <c r="I179" i="9"/>
  <c r="J178" i="9"/>
  <c r="I178" i="9"/>
  <c r="J177" i="9"/>
  <c r="I177" i="9"/>
  <c r="J176" i="9"/>
  <c r="I176" i="9"/>
  <c r="J175" i="9"/>
  <c r="I175" i="9"/>
  <c r="J174" i="9"/>
  <c r="I174" i="9"/>
  <c r="J173" i="9"/>
  <c r="I173" i="9"/>
  <c r="J172" i="9"/>
  <c r="I172" i="9"/>
  <c r="J171" i="9"/>
  <c r="I171" i="9"/>
  <c r="J170" i="9"/>
  <c r="I170" i="9"/>
  <c r="J169" i="9"/>
  <c r="I169" i="9"/>
  <c r="J168" i="9"/>
  <c r="I168" i="9"/>
  <c r="J167" i="9"/>
  <c r="I167" i="9"/>
  <c r="J166" i="9"/>
  <c r="I166" i="9"/>
  <c r="J165" i="9"/>
  <c r="I165" i="9"/>
  <c r="J164" i="9"/>
  <c r="I164" i="9"/>
  <c r="J163" i="9"/>
  <c r="I163" i="9"/>
  <c r="J162" i="9"/>
  <c r="I162" i="9"/>
  <c r="J161" i="9"/>
  <c r="I161" i="9"/>
  <c r="J160" i="9"/>
  <c r="I160" i="9"/>
  <c r="J159" i="9"/>
  <c r="I159" i="9"/>
  <c r="J158" i="9"/>
  <c r="I158" i="9"/>
  <c r="J157" i="9"/>
  <c r="I157" i="9"/>
  <c r="J156" i="9"/>
  <c r="I156" i="9"/>
  <c r="J155" i="9"/>
  <c r="I155" i="9"/>
  <c r="J154" i="9"/>
  <c r="I154" i="9"/>
  <c r="J153" i="9"/>
  <c r="I153" i="9"/>
  <c r="J152" i="9"/>
  <c r="I152" i="9"/>
  <c r="J151" i="9"/>
  <c r="I151" i="9"/>
  <c r="J150" i="9"/>
  <c r="I150" i="9"/>
  <c r="J149" i="9"/>
  <c r="I149" i="9"/>
  <c r="J148" i="9"/>
  <c r="I148" i="9"/>
  <c r="J147" i="9"/>
  <c r="I147" i="9"/>
  <c r="J146" i="9"/>
  <c r="I146" i="9"/>
  <c r="J145" i="9"/>
  <c r="I145" i="9"/>
  <c r="J144" i="9"/>
  <c r="I144" i="9"/>
  <c r="J143" i="9"/>
  <c r="I143" i="9"/>
  <c r="J142" i="9"/>
  <c r="I142" i="9"/>
  <c r="J141" i="9"/>
  <c r="I141" i="9"/>
  <c r="J140" i="9"/>
  <c r="I140" i="9"/>
  <c r="J139" i="9"/>
  <c r="I139" i="9"/>
  <c r="J138" i="9"/>
  <c r="I138" i="9"/>
  <c r="J137" i="9"/>
  <c r="I137" i="9"/>
  <c r="J136" i="9"/>
  <c r="I136" i="9"/>
  <c r="J135" i="9"/>
  <c r="I135" i="9"/>
  <c r="J134" i="9"/>
  <c r="I134" i="9"/>
  <c r="J133" i="9"/>
  <c r="I133" i="9"/>
  <c r="J132" i="9"/>
  <c r="I132" i="9"/>
  <c r="J131" i="9"/>
  <c r="I131" i="9"/>
  <c r="J130" i="9"/>
  <c r="I130" i="9"/>
  <c r="J129" i="9"/>
  <c r="I129" i="9"/>
  <c r="J128" i="9"/>
  <c r="I128" i="9"/>
  <c r="J127" i="9"/>
  <c r="I127" i="9"/>
  <c r="J126" i="9"/>
  <c r="I126" i="9"/>
  <c r="J125" i="9"/>
  <c r="I125" i="9"/>
  <c r="J124" i="9"/>
  <c r="I124" i="9"/>
  <c r="J123" i="9"/>
  <c r="I123" i="9"/>
  <c r="J122" i="9"/>
  <c r="I122" i="9"/>
  <c r="J121" i="9"/>
  <c r="I121" i="9"/>
  <c r="J120" i="9"/>
  <c r="I120" i="9"/>
  <c r="J119" i="9"/>
  <c r="I119" i="9"/>
  <c r="J118" i="9"/>
  <c r="I118" i="9"/>
  <c r="J117" i="9"/>
  <c r="I117" i="9"/>
  <c r="J116" i="9"/>
  <c r="I116" i="9"/>
  <c r="J115" i="9"/>
  <c r="I115" i="9"/>
  <c r="J114" i="9"/>
  <c r="I114" i="9"/>
  <c r="J113" i="9"/>
  <c r="I113" i="9"/>
  <c r="J112" i="9"/>
  <c r="I112" i="9"/>
  <c r="J111" i="9"/>
  <c r="I111" i="9"/>
  <c r="J110" i="9"/>
  <c r="I110" i="9"/>
  <c r="J109" i="9"/>
  <c r="I109" i="9"/>
  <c r="J108" i="9"/>
  <c r="I108" i="9"/>
  <c r="J107" i="9"/>
  <c r="I107" i="9"/>
  <c r="J106" i="9"/>
  <c r="I106" i="9"/>
  <c r="J105" i="9"/>
  <c r="I105" i="9"/>
  <c r="J104" i="9"/>
  <c r="I104" i="9"/>
  <c r="J103" i="9"/>
  <c r="I103" i="9"/>
  <c r="J102" i="9"/>
  <c r="I102" i="9"/>
  <c r="J101" i="9"/>
  <c r="I101" i="9"/>
  <c r="J100" i="9"/>
  <c r="I100" i="9"/>
  <c r="J99" i="9"/>
  <c r="I99" i="9"/>
  <c r="J98" i="9"/>
  <c r="I98" i="9"/>
  <c r="J97" i="9"/>
  <c r="I97" i="9"/>
  <c r="J96" i="9"/>
  <c r="I96" i="9"/>
  <c r="J95" i="9"/>
  <c r="I95" i="9"/>
  <c r="J94" i="9"/>
  <c r="I94" i="9"/>
  <c r="J93" i="9"/>
  <c r="I93" i="9"/>
  <c r="J92" i="9"/>
  <c r="I92" i="9"/>
  <c r="J91" i="9"/>
  <c r="I91" i="9"/>
  <c r="J90" i="9"/>
  <c r="I90" i="9"/>
  <c r="J89" i="9"/>
  <c r="I89" i="9"/>
  <c r="J88" i="9"/>
  <c r="I88" i="9"/>
  <c r="J87" i="9"/>
  <c r="I87" i="9"/>
  <c r="J86" i="9"/>
  <c r="I86" i="9"/>
  <c r="J85" i="9"/>
  <c r="I85" i="9"/>
  <c r="J84" i="9"/>
  <c r="I84" i="9"/>
  <c r="J83" i="9"/>
  <c r="I83" i="9"/>
  <c r="J82" i="9"/>
  <c r="I82" i="9"/>
  <c r="J81" i="9"/>
  <c r="I81" i="9"/>
  <c r="J80" i="9"/>
  <c r="I80" i="9"/>
  <c r="J79" i="9"/>
  <c r="I79" i="9"/>
  <c r="J78" i="9"/>
  <c r="I78" i="9"/>
  <c r="J77" i="9"/>
  <c r="I77" i="9"/>
  <c r="J76" i="9"/>
  <c r="I76" i="9"/>
  <c r="J75" i="9"/>
  <c r="I75" i="9"/>
  <c r="J74" i="9"/>
  <c r="I74" i="9"/>
  <c r="J73" i="9"/>
  <c r="I73" i="9"/>
  <c r="J72" i="9"/>
  <c r="I72" i="9"/>
  <c r="J71" i="9"/>
  <c r="I71" i="9"/>
  <c r="J70" i="9"/>
  <c r="I70" i="9"/>
  <c r="J69" i="9"/>
  <c r="I69" i="9"/>
  <c r="J68" i="9"/>
  <c r="I68" i="9"/>
  <c r="J67" i="9"/>
  <c r="I67" i="9"/>
  <c r="J66" i="9"/>
  <c r="I66" i="9"/>
  <c r="J65" i="9"/>
  <c r="I65" i="9"/>
  <c r="J64" i="9"/>
  <c r="I64" i="9"/>
  <c r="J63" i="9"/>
  <c r="I63" i="9"/>
  <c r="J62" i="9"/>
  <c r="I62" i="9"/>
  <c r="J61" i="9"/>
  <c r="I61" i="9"/>
  <c r="J60" i="9"/>
  <c r="I60" i="9"/>
  <c r="J59" i="9"/>
  <c r="I59" i="9"/>
  <c r="J58" i="9"/>
  <c r="I58" i="9"/>
  <c r="J57" i="9"/>
  <c r="I57" i="9"/>
  <c r="J56" i="9"/>
  <c r="I56" i="9"/>
  <c r="J55" i="9"/>
  <c r="I55" i="9"/>
  <c r="J54" i="9"/>
  <c r="I54" i="9"/>
  <c r="J53" i="9"/>
  <c r="I53" i="9"/>
  <c r="J52" i="9"/>
  <c r="I52" i="9"/>
  <c r="J51" i="9"/>
  <c r="I51" i="9"/>
  <c r="J50" i="9"/>
  <c r="I50" i="9"/>
  <c r="J49" i="9"/>
  <c r="I49" i="9"/>
  <c r="J48" i="9"/>
  <c r="I48" i="9"/>
  <c r="J47" i="9"/>
  <c r="I47" i="9"/>
  <c r="J46" i="9"/>
  <c r="I46" i="9"/>
  <c r="J45" i="9"/>
  <c r="I45" i="9"/>
  <c r="J44" i="9"/>
  <c r="I44" i="9"/>
  <c r="J43" i="9"/>
  <c r="I43" i="9"/>
  <c r="J42" i="9"/>
  <c r="I42" i="9"/>
  <c r="J41" i="9"/>
  <c r="I41" i="9"/>
  <c r="J40" i="9"/>
  <c r="I40" i="9"/>
  <c r="J39" i="9"/>
  <c r="I39" i="9"/>
  <c r="J38" i="9"/>
  <c r="I38" i="9"/>
  <c r="J37" i="9"/>
  <c r="I37" i="9"/>
  <c r="J36" i="9"/>
  <c r="I36" i="9"/>
  <c r="J35" i="9"/>
  <c r="I35" i="9"/>
  <c r="J34" i="9"/>
  <c r="I34" i="9"/>
  <c r="J33" i="9"/>
  <c r="I33" i="9"/>
  <c r="J32" i="9"/>
  <c r="I32" i="9"/>
  <c r="J31" i="9"/>
  <c r="I31" i="9"/>
  <c r="J30" i="9"/>
  <c r="I30" i="9"/>
  <c r="J29" i="9"/>
  <c r="I29" i="9"/>
  <c r="J28" i="9"/>
  <c r="I28" i="9"/>
  <c r="J27" i="9"/>
  <c r="I27" i="9"/>
  <c r="J26" i="9"/>
  <c r="I26" i="9"/>
  <c r="J25" i="9"/>
  <c r="I25" i="9"/>
  <c r="J24" i="9"/>
  <c r="I24" i="9"/>
  <c r="J23" i="9"/>
  <c r="I23" i="9"/>
  <c r="J22" i="9"/>
  <c r="I22" i="9"/>
  <c r="J21" i="9"/>
  <c r="I21" i="9"/>
  <c r="J20" i="9"/>
  <c r="I20" i="9"/>
  <c r="J19" i="9"/>
  <c r="I19" i="9"/>
  <c r="J18" i="9"/>
  <c r="I18" i="9"/>
  <c r="J17" i="9"/>
  <c r="I17" i="9"/>
  <c r="J16" i="9"/>
  <c r="I16" i="9"/>
  <c r="J15" i="9"/>
  <c r="I15" i="9"/>
  <c r="J14" i="9"/>
  <c r="I14" i="9"/>
  <c r="J13" i="9"/>
  <c r="I13" i="9"/>
  <c r="J12" i="9"/>
  <c r="I12" i="9"/>
  <c r="J11" i="9"/>
  <c r="I11" i="9"/>
  <c r="J10" i="9"/>
  <c r="I10" i="9"/>
  <c r="J9" i="9"/>
  <c r="I9" i="9"/>
  <c r="J8" i="9"/>
  <c r="I8" i="9"/>
  <c r="J7" i="9"/>
  <c r="I7" i="9"/>
  <c r="J29" i="8"/>
  <c r="I29" i="8"/>
  <c r="J28" i="8"/>
  <c r="I28" i="8"/>
  <c r="J27" i="8"/>
  <c r="I27" i="8"/>
  <c r="J26" i="8"/>
  <c r="I26" i="8"/>
  <c r="J25" i="8"/>
  <c r="I25" i="8"/>
  <c r="J24" i="8"/>
  <c r="I24" i="8"/>
  <c r="J23" i="8"/>
  <c r="I23" i="8"/>
  <c r="J22" i="8"/>
  <c r="I22" i="8"/>
  <c r="J21" i="8"/>
  <c r="I21" i="8"/>
  <c r="J20" i="8"/>
  <c r="I20" i="8"/>
  <c r="J19" i="8"/>
  <c r="I19" i="8"/>
  <c r="J18" i="8"/>
  <c r="I18" i="8"/>
  <c r="J17" i="8"/>
  <c r="I17" i="8"/>
  <c r="J16" i="8"/>
  <c r="I16" i="8"/>
  <c r="J15" i="8"/>
  <c r="I15" i="8"/>
  <c r="J14" i="8"/>
  <c r="I14" i="8"/>
  <c r="J13" i="8"/>
  <c r="I13" i="8"/>
  <c r="J12" i="8"/>
  <c r="I12" i="8"/>
  <c r="J11" i="8"/>
  <c r="I11" i="8"/>
  <c r="J10" i="8"/>
  <c r="I10" i="8"/>
  <c r="J9" i="8"/>
  <c r="I9" i="8"/>
  <c r="J8" i="8"/>
  <c r="I8" i="8"/>
  <c r="J7" i="8"/>
  <c r="I7" i="8"/>
  <c r="J29" i="7"/>
  <c r="I29" i="7"/>
  <c r="J28" i="7"/>
  <c r="I28" i="7"/>
  <c r="J27" i="7"/>
  <c r="I27" i="7"/>
  <c r="J26" i="7"/>
  <c r="I26" i="7"/>
  <c r="J25" i="7"/>
  <c r="I25" i="7"/>
  <c r="J24" i="7"/>
  <c r="I24" i="7"/>
  <c r="J23" i="7"/>
  <c r="I23" i="7"/>
  <c r="J22" i="7"/>
  <c r="I22" i="7"/>
  <c r="J21" i="7"/>
  <c r="I21" i="7"/>
  <c r="J20" i="7"/>
  <c r="I20" i="7"/>
  <c r="J19" i="7"/>
  <c r="I19" i="7"/>
  <c r="J18" i="7"/>
  <c r="I18" i="7"/>
  <c r="J17" i="7"/>
  <c r="I17" i="7"/>
  <c r="J16" i="7"/>
  <c r="I16" i="7"/>
  <c r="J15" i="7"/>
  <c r="I15" i="7"/>
  <c r="J14" i="7"/>
  <c r="I14" i="7"/>
  <c r="J13" i="7"/>
  <c r="I13" i="7"/>
  <c r="J12" i="7"/>
  <c r="I12" i="7"/>
  <c r="J11" i="7"/>
  <c r="I11" i="7"/>
  <c r="J10" i="7"/>
  <c r="I10" i="7"/>
  <c r="J9" i="7"/>
  <c r="I9" i="7"/>
  <c r="J8" i="7"/>
  <c r="I8" i="7"/>
  <c r="J7" i="7"/>
  <c r="I7" i="7"/>
  <c r="J29" i="6"/>
  <c r="I29" i="6"/>
  <c r="J28" i="6"/>
  <c r="I28" i="6"/>
  <c r="J27" i="6"/>
  <c r="I27" i="6"/>
  <c r="J26" i="6"/>
  <c r="I26" i="6"/>
  <c r="J25" i="6"/>
  <c r="I25" i="6"/>
  <c r="J24" i="6"/>
  <c r="I24" i="6"/>
  <c r="J23" i="6"/>
  <c r="I23" i="6"/>
  <c r="J22" i="6"/>
  <c r="I22" i="6"/>
  <c r="J21" i="6"/>
  <c r="I21" i="6"/>
  <c r="J20" i="6"/>
  <c r="I20" i="6"/>
  <c r="J19" i="6"/>
  <c r="I19" i="6"/>
  <c r="J18" i="6"/>
  <c r="I18" i="6"/>
  <c r="J17" i="6"/>
  <c r="I17" i="6"/>
  <c r="J16" i="6"/>
  <c r="I16" i="6"/>
  <c r="J15" i="6"/>
  <c r="I15" i="6"/>
  <c r="J14" i="6"/>
  <c r="I14" i="6"/>
  <c r="J13" i="6"/>
  <c r="I13" i="6"/>
  <c r="J12" i="6"/>
  <c r="I12" i="6"/>
  <c r="J11" i="6"/>
  <c r="I11" i="6"/>
  <c r="J10" i="6"/>
  <c r="I10" i="6"/>
  <c r="J9" i="6"/>
  <c r="I9" i="6"/>
  <c r="J8" i="6"/>
  <c r="I8" i="6"/>
  <c r="J7" i="6"/>
  <c r="I7" i="6"/>
  <c r="J29" i="5"/>
  <c r="I29" i="5"/>
  <c r="J28" i="5"/>
  <c r="I28" i="5"/>
  <c r="J27" i="5"/>
  <c r="I27" i="5"/>
  <c r="J26" i="5"/>
  <c r="I26" i="5"/>
  <c r="J25" i="5"/>
  <c r="I25" i="5"/>
  <c r="J24" i="5"/>
  <c r="I24" i="5"/>
  <c r="J23" i="5"/>
  <c r="I23" i="5"/>
  <c r="J22" i="5"/>
  <c r="I22" i="5"/>
  <c r="J21" i="5"/>
  <c r="I21" i="5"/>
  <c r="J20" i="5"/>
  <c r="I20" i="5"/>
  <c r="J19" i="5"/>
  <c r="I19" i="5"/>
  <c r="J18" i="5"/>
  <c r="I18" i="5"/>
  <c r="J17" i="5"/>
  <c r="I17" i="5"/>
  <c r="J16" i="5"/>
  <c r="I16" i="5"/>
  <c r="J15" i="5"/>
  <c r="I15" i="5"/>
  <c r="J14" i="5"/>
  <c r="I14" i="5"/>
  <c r="J13" i="5"/>
  <c r="I13" i="5"/>
  <c r="J12" i="5"/>
  <c r="I12" i="5"/>
  <c r="J11" i="5"/>
  <c r="I11" i="5"/>
  <c r="J10" i="5"/>
  <c r="I10" i="5"/>
  <c r="J9" i="5"/>
  <c r="I9" i="5"/>
  <c r="J8" i="5"/>
  <c r="I8" i="5"/>
  <c r="J7" i="5"/>
  <c r="I7" i="5"/>
  <c r="J29" i="4"/>
  <c r="I29" i="4"/>
  <c r="J28" i="4"/>
  <c r="I28" i="4"/>
  <c r="J27" i="4"/>
  <c r="I27" i="4"/>
  <c r="J26" i="4"/>
  <c r="I26" i="4"/>
  <c r="J25" i="4"/>
  <c r="I25" i="4"/>
  <c r="J24" i="4"/>
  <c r="I24" i="4"/>
  <c r="J23" i="4"/>
  <c r="I23" i="4"/>
  <c r="J22" i="4"/>
  <c r="I22" i="4"/>
  <c r="J21" i="4"/>
  <c r="I21" i="4"/>
  <c r="J20" i="4"/>
  <c r="I20" i="4"/>
  <c r="J19" i="4"/>
  <c r="I19" i="4"/>
  <c r="J18" i="4"/>
  <c r="I18" i="4"/>
  <c r="J17" i="4"/>
  <c r="I17" i="4"/>
  <c r="J16" i="4"/>
  <c r="I16" i="4"/>
  <c r="J15" i="4"/>
  <c r="I15" i="4"/>
  <c r="J14" i="4"/>
  <c r="I14" i="4"/>
  <c r="J13" i="4"/>
  <c r="I13" i="4"/>
  <c r="J12" i="4"/>
  <c r="I12" i="4"/>
  <c r="J11" i="4"/>
  <c r="I11" i="4"/>
  <c r="J10" i="4"/>
  <c r="I10" i="4"/>
  <c r="J9" i="4"/>
  <c r="I9" i="4"/>
  <c r="J8" i="4"/>
  <c r="I8" i="4"/>
  <c r="J7" i="4"/>
  <c r="I7" i="4"/>
  <c r="J29" i="3"/>
  <c r="I29" i="3"/>
  <c r="J28" i="3"/>
  <c r="I28" i="3"/>
  <c r="J27" i="3"/>
  <c r="I27" i="3"/>
  <c r="J26" i="3"/>
  <c r="I26" i="3"/>
  <c r="J25" i="3"/>
  <c r="I25" i="3"/>
  <c r="J24" i="3"/>
  <c r="I24" i="3"/>
  <c r="J23" i="3"/>
  <c r="I23" i="3"/>
  <c r="J22" i="3"/>
  <c r="I22" i="3"/>
  <c r="J21" i="3"/>
  <c r="I21" i="3"/>
  <c r="J20" i="3"/>
  <c r="I20" i="3"/>
  <c r="J19" i="3"/>
  <c r="I19" i="3"/>
  <c r="J18" i="3"/>
  <c r="I18" i="3"/>
  <c r="J17" i="3"/>
  <c r="I17" i="3"/>
  <c r="J16" i="3"/>
  <c r="I16" i="3"/>
  <c r="J15" i="3"/>
  <c r="I15" i="3"/>
  <c r="J14" i="3"/>
  <c r="I14" i="3"/>
  <c r="J13" i="3"/>
  <c r="I13" i="3"/>
  <c r="J12" i="3"/>
  <c r="I12" i="3"/>
  <c r="J11" i="3"/>
  <c r="I11" i="3"/>
  <c r="J10" i="3"/>
  <c r="I10" i="3"/>
  <c r="J9" i="3"/>
  <c r="I9" i="3"/>
  <c r="J8" i="3"/>
  <c r="I8" i="3"/>
  <c r="J7" i="3"/>
  <c r="I7" i="3"/>
  <c r="J29" i="2"/>
  <c r="I29" i="2"/>
  <c r="J28" i="2"/>
  <c r="I28" i="2"/>
  <c r="J27" i="2"/>
  <c r="I27" i="2"/>
  <c r="J26" i="2"/>
  <c r="I26" i="2"/>
  <c r="J25" i="2"/>
  <c r="I25" i="2"/>
  <c r="J24" i="2"/>
  <c r="I24" i="2"/>
  <c r="J23" i="2"/>
  <c r="I23" i="2"/>
  <c r="J22" i="2"/>
  <c r="I22" i="2"/>
  <c r="J21" i="2"/>
  <c r="I21" i="2"/>
  <c r="J20" i="2"/>
  <c r="I20" i="2"/>
  <c r="J19" i="2"/>
  <c r="I19" i="2"/>
  <c r="J18" i="2"/>
  <c r="I18" i="2"/>
  <c r="J17" i="2"/>
  <c r="I17" i="2"/>
  <c r="J16" i="2"/>
  <c r="I16" i="2"/>
  <c r="J15" i="2"/>
  <c r="I15" i="2"/>
  <c r="J14" i="2"/>
  <c r="I14" i="2"/>
  <c r="J13" i="2"/>
  <c r="I13" i="2"/>
  <c r="J12" i="2"/>
  <c r="I12" i="2"/>
  <c r="J11" i="2"/>
  <c r="I11" i="2"/>
  <c r="J10" i="2"/>
  <c r="I10" i="2"/>
  <c r="J9" i="2"/>
  <c r="I9" i="2"/>
  <c r="J8" i="2"/>
  <c r="I8" i="2"/>
  <c r="J7" i="2"/>
  <c r="I7" i="2"/>
  <c r="J29" i="1"/>
  <c r="I29" i="1"/>
  <c r="J28" i="1"/>
  <c r="I28" i="1"/>
  <c r="J27" i="1"/>
  <c r="I27" i="1"/>
  <c r="J26" i="1"/>
  <c r="I26" i="1"/>
  <c r="J25" i="1"/>
  <c r="I25" i="1"/>
  <c r="J24" i="1"/>
  <c r="I24" i="1"/>
  <c r="J23" i="1"/>
  <c r="I23" i="1"/>
  <c r="J22" i="1"/>
  <c r="I22" i="1"/>
  <c r="J21" i="1"/>
  <c r="I21" i="1"/>
  <c r="J20" i="1"/>
  <c r="I20" i="1"/>
  <c r="J19" i="1"/>
  <c r="I19" i="1"/>
  <c r="J18" i="1"/>
  <c r="I18" i="1"/>
  <c r="J17" i="1"/>
  <c r="I17" i="1"/>
  <c r="J16" i="1"/>
  <c r="I16" i="1"/>
  <c r="J15" i="1"/>
  <c r="I15" i="1"/>
  <c r="J14" i="1"/>
  <c r="I14" i="1"/>
  <c r="J13" i="1"/>
  <c r="I13" i="1"/>
  <c r="J12" i="1"/>
  <c r="I12" i="1"/>
  <c r="J11" i="1"/>
  <c r="I11" i="1"/>
  <c r="J10" i="1"/>
  <c r="I10" i="1"/>
  <c r="J9" i="1"/>
  <c r="I9" i="1"/>
  <c r="J8" i="1"/>
  <c r="I8" i="1"/>
  <c r="J7" i="1"/>
  <c r="I7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victorchan</author>
  </authors>
  <commentList>
    <comment ref="B4" authorId="0" shapeId="0" xr:uid="{285FC7D3-2CCB-43C6-859F-FFAF3E4D1EB3}">
      <text>
        <r>
          <rPr>
            <b/>
            <sz val="9"/>
            <color indexed="81"/>
            <rFont val="Tahoma"/>
            <family val="2"/>
          </rPr>
          <t>victorchan:</t>
        </r>
        <r>
          <rPr>
            <sz val="9"/>
            <color indexed="81"/>
            <rFont val="Tahoma"/>
            <family val="2"/>
          </rPr>
          <t xml:space="preserve">
This file uses VBA Macros to operate.
</t>
        </r>
        <r>
          <rPr>
            <b/>
            <sz val="9"/>
            <color indexed="81"/>
            <rFont val="Tahoma"/>
            <family val="2"/>
          </rPr>
          <t xml:space="preserve">Click on Toggle Highlight to turn highlighting ON and OFF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victorchan</author>
  </authors>
  <commentList>
    <comment ref="B4" authorId="0" shapeId="0" xr:uid="{C348A0AC-8177-4335-9FC5-A398D85318DB}">
      <text>
        <r>
          <rPr>
            <b/>
            <sz val="9"/>
            <color indexed="81"/>
            <rFont val="Tahoma"/>
            <family val="2"/>
          </rPr>
          <t>victorchan: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Click on row number to select the whole row</t>
        </r>
        <r>
          <rPr>
            <sz val="9"/>
            <color indexed="81"/>
            <rFont val="Tahoma"/>
            <family val="2"/>
          </rPr>
          <t xml:space="preserve">
&gt; Shortcut: SHIFT + Space
</t>
        </r>
        <r>
          <rPr>
            <b/>
            <sz val="9"/>
            <color indexed="81"/>
            <rFont val="Tahoma"/>
            <family val="2"/>
          </rPr>
          <t>Click on column letter to select the whole column</t>
        </r>
        <r>
          <rPr>
            <sz val="9"/>
            <color indexed="81"/>
            <rFont val="Tahoma"/>
            <family val="2"/>
          </rPr>
          <t xml:space="preserve">
&gt; Shortcut: CTRL + Space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victorchan</author>
  </authors>
  <commentList>
    <comment ref="B4" authorId="0" shapeId="0" xr:uid="{FC032E79-9A72-4F14-A32B-1C6C27D3478E}">
      <text>
        <r>
          <rPr>
            <b/>
            <sz val="9"/>
            <color indexed="81"/>
            <rFont val="Tahoma"/>
            <family val="2"/>
          </rPr>
          <t>victorchan: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Select the range you want to highlight</t>
        </r>
        <r>
          <rPr>
            <sz val="9"/>
            <color indexed="81"/>
            <rFont val="Tahoma"/>
            <family val="2"/>
          </rPr>
          <t xml:space="preserve">
Apply conditional formatting formula
   =row()=celll("row")
</t>
        </r>
        <r>
          <rPr>
            <b/>
            <sz val="9"/>
            <color indexed="81"/>
            <rFont val="Tahoma"/>
            <family val="2"/>
          </rPr>
          <t>Press F9 to refresh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victorchan</author>
  </authors>
  <commentList>
    <comment ref="B4" authorId="0" shapeId="0" xr:uid="{EAC86589-7495-4C29-9AC6-AB27E56665D0}">
      <text>
        <r>
          <rPr>
            <b/>
            <sz val="9"/>
            <color indexed="81"/>
            <rFont val="Tahoma"/>
            <family val="2"/>
          </rPr>
          <t>victorchan: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Add one line of VBA code to Worksheet_SelectionChange()</t>
        </r>
        <r>
          <rPr>
            <sz val="9"/>
            <color indexed="81"/>
            <rFont val="Tahoma"/>
            <family val="2"/>
          </rPr>
          <t xml:space="preserve">
   Target.Calculate
When you select a new cell, the row highlights automatically.
</t>
        </r>
        <r>
          <rPr>
            <b/>
            <sz val="9"/>
            <color indexed="81"/>
            <rFont val="Tahoma"/>
            <family val="2"/>
          </rPr>
          <t>Save as Macro Enable workbook (.xlsm)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victorchan</author>
  </authors>
  <commentList>
    <comment ref="B4" authorId="0" shapeId="0" xr:uid="{1F8B5044-330D-490A-9EC1-6E95084CE4B9}">
      <text>
        <r>
          <rPr>
            <b/>
            <sz val="9"/>
            <color indexed="81"/>
            <rFont val="Tahoma"/>
            <family val="2"/>
          </rPr>
          <t>victorchan: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Select the range you want to highlight</t>
        </r>
        <r>
          <rPr>
            <sz val="9"/>
            <color indexed="81"/>
            <rFont val="Tahoma"/>
            <family val="2"/>
          </rPr>
          <t xml:space="preserve">
Apply conditional formatting formula
   =column()=cell("col")
</t>
        </r>
        <r>
          <rPr>
            <b/>
            <sz val="9"/>
            <color indexed="81"/>
            <rFont val="Tahoma"/>
            <family val="2"/>
          </rPr>
          <t>This highlights the active column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victorchan</author>
  </authors>
  <commentList>
    <comment ref="B4" authorId="0" shapeId="0" xr:uid="{84781748-19D2-4DC5-8F6E-AAFF7015822F}">
      <text>
        <r>
          <rPr>
            <b/>
            <sz val="9"/>
            <color indexed="81"/>
            <rFont val="Tahoma"/>
            <family val="2"/>
          </rPr>
          <t>victorchan: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Select the range you want to highlight</t>
        </r>
        <r>
          <rPr>
            <sz val="9"/>
            <color indexed="81"/>
            <rFont val="Tahoma"/>
            <family val="2"/>
          </rPr>
          <t xml:space="preserve">
Apply conditional formatting formula
   =OR(row()=cell("row"),column()=cell("col"))
</t>
        </r>
        <r>
          <rPr>
            <b/>
            <sz val="9"/>
            <color indexed="81"/>
            <rFont val="Tahoma"/>
            <family val="2"/>
          </rPr>
          <t>This highlights both row and column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victorchan</author>
  </authors>
  <commentList>
    <comment ref="B4" authorId="0" shapeId="0" xr:uid="{3FB6BDDF-3C82-4AB4-B2C9-BE0AE2106C5A}">
      <text>
        <r>
          <rPr>
            <b/>
            <sz val="9"/>
            <color indexed="81"/>
            <rFont val="Tahoma"/>
            <family val="2"/>
          </rPr>
          <t>victorchan: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Select the range you want to highlight</t>
        </r>
        <r>
          <rPr>
            <sz val="9"/>
            <color indexed="81"/>
            <rFont val="Tahoma"/>
            <family val="2"/>
          </rPr>
          <t xml:space="preserve">
Apply two conditional formatting formulas
   =AND(row()=cell("row"),column()=cell("col"))
   =OR(row()=cell("row"),column()=cell("col"))
AND -&gt; Highlights Active Cell
OR -&gt; Highlights Row or Column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victorchan</author>
  </authors>
  <commentList>
    <comment ref="B4" authorId="0" shapeId="0" xr:uid="{D6D874E9-715D-4FBD-AD40-7809AA45B024}">
      <text>
        <r>
          <rPr>
            <b/>
            <sz val="9"/>
            <color indexed="81"/>
            <rFont val="Tahoma"/>
            <family val="2"/>
          </rPr>
          <t>victorchan: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Add data validation dropdown "ON" and "OFF"
Add named range "Highlight_switch"
Add conditional formatting formula</t>
        </r>
        <r>
          <rPr>
            <sz val="9"/>
            <color indexed="81"/>
            <rFont val="Tahoma"/>
            <family val="2"/>
          </rPr>
          <t xml:space="preserve">
=IF(Highlight_switch="Off",TRUE,FALSE)
"Stop if true"
</t>
        </r>
        <r>
          <rPr>
            <b/>
            <sz val="9"/>
            <color indexed="81"/>
            <rFont val="Tahoma"/>
            <family val="2"/>
          </rPr>
          <t>This adds an ON/OFF dropdown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victorchan</author>
  </authors>
  <commentList>
    <comment ref="B4" authorId="0" shapeId="0" xr:uid="{BC25DCC3-654D-4AFB-8B68-4BF26579E433}">
      <text>
        <r>
          <rPr>
            <b/>
            <sz val="9"/>
            <color indexed="81"/>
            <rFont val="Tahoma"/>
            <family val="2"/>
          </rPr>
          <t>victorchan: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Add VBA macro:</t>
        </r>
        <r>
          <rPr>
            <sz val="9"/>
            <color indexed="81"/>
            <rFont val="Tahoma"/>
            <family val="2"/>
          </rPr>
          <t xml:space="preserve">
Sub Toggle_Click()
' This toggles the highlight on and off
    With [Highlight_switch_2]
        If .Value = "Off" Then
            .Value = "On"
        Else
            .Value = "Off"
        End If
    End With
End Sub
</t>
        </r>
        <r>
          <rPr>
            <b/>
            <sz val="9"/>
            <color indexed="81"/>
            <rFont val="Tahoma"/>
            <family val="2"/>
          </rPr>
          <t xml:space="preserve">Add Shape and Assign Macro
</t>
        </r>
        <r>
          <rPr>
            <sz val="9"/>
            <color indexed="81"/>
            <rFont val="Tahoma"/>
            <family val="2"/>
          </rPr>
          <t>This adds an ON/OFF switch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Save as .xlsm Macro Enabled File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victorchan</author>
  </authors>
  <commentList>
    <comment ref="B4" authorId="0" shapeId="0" xr:uid="{2A774B28-533F-4BCC-BDF7-84F6CEB41BE8}">
      <text>
        <r>
          <rPr>
            <b/>
            <sz val="9"/>
            <color indexed="81"/>
            <rFont val="Tahoma"/>
            <family val="2"/>
          </rPr>
          <t>victorchan: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Option 1</t>
        </r>
        <r>
          <rPr>
            <sz val="9"/>
            <color indexed="81"/>
            <rFont val="Tahoma"/>
            <family val="2"/>
          </rPr>
          <t xml:space="preserve">
View &gt; Freeze Panes
</t>
        </r>
        <r>
          <rPr>
            <b/>
            <sz val="9"/>
            <color indexed="81"/>
            <rFont val="Tahoma"/>
            <family val="2"/>
          </rPr>
          <t>Option 2</t>
        </r>
        <r>
          <rPr>
            <sz val="9"/>
            <color indexed="81"/>
            <rFont val="Tahoma"/>
            <family val="2"/>
          </rPr>
          <t xml:space="preserve">
Turn your data into a Table
Shortcut: CTRL + T</t>
        </r>
      </text>
    </comment>
  </commentList>
</comments>
</file>

<file path=xl/sharedStrings.xml><?xml version="1.0" encoding="utf-8"?>
<sst xmlns="http://schemas.openxmlformats.org/spreadsheetml/2006/main" count="2090" uniqueCount="88">
  <si>
    <t xml:space="preserve"> </t>
  </si>
  <si>
    <t>Opportunity name</t>
  </si>
  <si>
    <t>Sales 
agent</t>
  </si>
  <si>
    <t>Sales 
region</t>
  </si>
  <si>
    <t>Sales 
category</t>
  </si>
  <si>
    <t>Forecast amount</t>
  </si>
  <si>
    <t>Sales 
phase</t>
  </si>
  <si>
    <t>Probability of sale</t>
  </si>
  <si>
    <t>Forecast 
close</t>
  </si>
  <si>
    <t>Weighted forecast</t>
  </si>
  <si>
    <t>Adatum Corporation</t>
  </si>
  <si>
    <t>Rowan Murphy</t>
  </si>
  <si>
    <t>US - Northeast</t>
  </si>
  <si>
    <t>Consulting</t>
  </si>
  <si>
    <t>Formal approval</t>
  </si>
  <si>
    <t>Adventure Works</t>
  </si>
  <si>
    <t>Miho Kojima</t>
  </si>
  <si>
    <t>US - Southeast</t>
  </si>
  <si>
    <t>Products</t>
  </si>
  <si>
    <t>Opportunity</t>
  </si>
  <si>
    <t>Alpine Ski House</t>
  </si>
  <si>
    <t>Cora Thomas</t>
  </si>
  <si>
    <t>US - North Central</t>
  </si>
  <si>
    <t>Training</t>
  </si>
  <si>
    <t>Identified need</t>
  </si>
  <si>
    <t>Baldwin Museum of Science</t>
  </si>
  <si>
    <t>Ellis Turner</t>
  </si>
  <si>
    <t>US - South Central</t>
  </si>
  <si>
    <t>Mixture</t>
  </si>
  <si>
    <t>Sponsorship</t>
  </si>
  <si>
    <t>Blue Yonder Airlines</t>
  </si>
  <si>
    <t>Suma Kini</t>
  </si>
  <si>
    <t>US - Northwest</t>
  </si>
  <si>
    <t>Prof. services</t>
  </si>
  <si>
    <t>Budget validated</t>
  </si>
  <si>
    <t>City Power &amp; Light</t>
  </si>
  <si>
    <t>US - Southwest</t>
  </si>
  <si>
    <t>Support</t>
  </si>
  <si>
    <t>Needs analysis</t>
  </si>
  <si>
    <t>Coho Vineyard</t>
  </si>
  <si>
    <t>Canada - East</t>
  </si>
  <si>
    <t>Solution proposed</t>
  </si>
  <si>
    <t>Coho Winery</t>
  </si>
  <si>
    <t>Canada - West</t>
  </si>
  <si>
    <t>Written proposal</t>
  </si>
  <si>
    <t>Contoso, Ltd.</t>
  </si>
  <si>
    <t>EMEA - France</t>
  </si>
  <si>
    <t>Verbal approval</t>
  </si>
  <si>
    <t>Contoso Pharmaceuticals</t>
  </si>
  <si>
    <t>EMEA - Germany</t>
  </si>
  <si>
    <t>Consolidated Messenger</t>
  </si>
  <si>
    <t>EMEA - Italy</t>
  </si>
  <si>
    <t>Fabrikam, Inc.</t>
  </si>
  <si>
    <t>EMEA - Other</t>
  </si>
  <si>
    <t>Fourth Coffee</t>
  </si>
  <si>
    <t>APSA - Asia</t>
  </si>
  <si>
    <t>Graphic Design Institute</t>
  </si>
  <si>
    <t>APSA - Pacific</t>
  </si>
  <si>
    <t>Services</t>
  </si>
  <si>
    <t>Humongous Insurance</t>
  </si>
  <si>
    <t>APSA - Mexico</t>
  </si>
  <si>
    <t>Litware, Inc.</t>
  </si>
  <si>
    <t>APSA - Australia</t>
  </si>
  <si>
    <t>Lucerne Publishing</t>
  </si>
  <si>
    <t>APSA - Other</t>
  </si>
  <si>
    <t>Margie's Travel</t>
  </si>
  <si>
    <t>Northwind Traders</t>
  </si>
  <si>
    <t>Prof. Services</t>
  </si>
  <si>
    <t>Proseware, Inc.</t>
  </si>
  <si>
    <t>School of Fine Art</t>
  </si>
  <si>
    <t>Southridge Video</t>
  </si>
  <si>
    <t>EMEA - UK</t>
  </si>
  <si>
    <t>Tailspin Toys</t>
  </si>
  <si>
    <t>Launch Excel</t>
  </si>
  <si>
    <t>Level 1 - Highlight Row</t>
  </si>
  <si>
    <t>Level 2 - Automatic Refresh</t>
  </si>
  <si>
    <t>Level 3 - Highlight Column</t>
  </si>
  <si>
    <t>Level 4 - Highlight Row &amp; Column</t>
  </si>
  <si>
    <t>Level 0 - Manual Highlighting</t>
  </si>
  <si>
    <t>Level 5 - Special Active Cell</t>
  </si>
  <si>
    <t>Bonus - Keep headers in view</t>
  </si>
  <si>
    <t>Hover over for instructions</t>
  </si>
  <si>
    <t>Level 6 - Add On/Off Dropdown</t>
  </si>
  <si>
    <t>Level 7 - Add ON/OFF button</t>
  </si>
  <si>
    <t>On</t>
  </si>
  <si>
    <t>Highlight Switch</t>
  </si>
  <si>
    <t>Highlight row and column</t>
  </si>
  <si>
    <t>← Watch on YouTube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</si>
</sst>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&quot;$&quot;#,##0"/>
    <numFmt numFmtId="165" formatCode="mmmm\ yyyy"/>
  </numFmts>
  <fonts count="14" x14ac:knownFonts="1">
    <font>
      <sz val="11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2"/>
      <color theme="1"/>
      <name val="Aptos Display"/>
      <family val="2"/>
      <scheme val="major"/>
    </font>
    <font>
      <sz val="18"/>
      <color theme="1"/>
      <name val="Aptos Display"/>
      <family val="2"/>
      <scheme val="major"/>
    </font>
    <font>
      <sz val="12"/>
      <color theme="3" tint="-0.499984740745262"/>
      <name val="Aptos Display"/>
      <family val="2"/>
      <scheme val="major"/>
    </font>
    <font>
      <sz val="56"/>
      <color theme="1"/>
      <name val="Aptos Display"/>
      <family val="2"/>
      <scheme val="major"/>
    </font>
    <font>
      <sz val="56"/>
      <color theme="3" tint="-0.499984740745262"/>
      <name val="Aptos Display"/>
      <family val="2"/>
      <scheme val="major"/>
    </font>
    <font>
      <sz val="12"/>
      <color theme="3" tint="-0.499984740745262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14"/>
      <color theme="0"/>
      <name val="Segoe UI"/>
      <family val="2"/>
    </font>
    <font>
      <sz val="40"/>
      <color theme="1"/>
      <name val="Aptos Display"/>
      <family val="2"/>
      <scheme val="maj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u/>
      <sz val="11"/>
      <color theme="10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3" tint="0.39997558519241921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FFFFE1"/>
        <bgColor indexed="64"/>
      </patternFill>
    </fill>
  </fills>
  <borders count="17">
    <border>
      <left/>
      <right/>
      <top/>
      <bottom/>
      <diagonal/>
    </border>
    <border>
      <left style="thin">
        <color theme="3" tint="0.39994506668294322"/>
      </left>
      <right/>
      <top style="thin">
        <color theme="3" tint="0.39994506668294322"/>
      </top>
      <bottom/>
      <diagonal/>
    </border>
    <border>
      <left/>
      <right/>
      <top style="thin">
        <color theme="3" tint="0.39994506668294322"/>
      </top>
      <bottom/>
      <diagonal/>
    </border>
    <border>
      <left/>
      <right style="thin">
        <color theme="3" tint="0.39994506668294322"/>
      </right>
      <top style="thin">
        <color theme="3" tint="0.39994506668294322"/>
      </top>
      <bottom/>
      <diagonal/>
    </border>
    <border>
      <left style="thin">
        <color theme="3" tint="0.39994506668294322"/>
      </left>
      <right style="thin">
        <color theme="3" tint="0.39994506668294322"/>
      </right>
      <top style="thin">
        <color theme="3" tint="0.39994506668294322"/>
      </top>
      <bottom style="thin">
        <color theme="3" tint="0.39994506668294322"/>
      </bottom>
      <diagonal/>
    </border>
    <border>
      <left style="thin">
        <color theme="3"/>
      </left>
      <right/>
      <top style="thin">
        <color theme="3"/>
      </top>
      <bottom/>
      <diagonal/>
    </border>
    <border>
      <left style="thin">
        <color theme="3" tint="0.59996337778862885"/>
      </left>
      <right/>
      <top style="thin">
        <color theme="3"/>
      </top>
      <bottom/>
      <diagonal/>
    </border>
    <border>
      <left style="thin">
        <color theme="3" tint="0.59996337778862885"/>
      </left>
      <right style="thin">
        <color theme="3"/>
      </right>
      <top style="thin">
        <color theme="3"/>
      </top>
      <bottom/>
      <diagonal/>
    </border>
    <border>
      <left style="thin">
        <color theme="3" tint="0.39994506668294322"/>
      </left>
      <right/>
      <top style="thin">
        <color theme="3"/>
      </top>
      <bottom/>
      <diagonal/>
    </border>
    <border>
      <left style="thin">
        <color theme="3" tint="0.39994506668294322"/>
      </left>
      <right style="thin">
        <color theme="3" tint="0.39994506668294322"/>
      </right>
      <top style="thin">
        <color theme="3"/>
      </top>
      <bottom/>
      <diagonal/>
    </border>
    <border>
      <left style="thin">
        <color theme="3" tint="0.39994506668294322"/>
      </left>
      <right style="thin">
        <color theme="3" tint="0.39994506668294322"/>
      </right>
      <top style="thin">
        <color theme="3" tint="0.39994506668294322"/>
      </top>
      <bottom/>
      <diagonal/>
    </border>
    <border>
      <left style="thin">
        <color theme="3" tint="0.39994506668294322"/>
      </left>
      <right/>
      <top style="thin">
        <color theme="3" tint="0.39994506668294322"/>
      </top>
      <bottom style="thin">
        <color theme="3" tint="0.39994506668294322"/>
      </bottom>
      <diagonal/>
    </border>
    <border>
      <left style="thin">
        <color theme="3"/>
      </left>
      <right/>
      <top/>
      <bottom/>
      <diagonal/>
    </border>
    <border>
      <left style="thin">
        <color theme="3" tint="0.59996337778862885"/>
      </left>
      <right/>
      <top/>
      <bottom/>
      <diagonal/>
    </border>
    <border>
      <left style="thin">
        <color theme="3" tint="0.59996337778862885"/>
      </left>
      <right style="thin">
        <color theme="3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3" tint="0.39994506668294322"/>
      </left>
      <right/>
      <top/>
      <bottom/>
      <diagonal/>
    </border>
  </borders>
  <cellStyleXfs count="2">
    <xf numFmtId="0" fontId="0" fillId="0" borderId="0"/>
    <xf numFmtId="0" fontId="13" fillId="0" borderId="0" applyNumberFormat="0" applyFill="0" applyBorder="0" applyAlignment="0" applyProtection="0"/>
  </cellStyleXfs>
  <cellXfs count="53">
    <xf numFmtId="0" fontId="0" fillId="0" borderId="0" xfId="0"/>
    <xf numFmtId="0" fontId="1" fillId="0" borderId="0" xfId="0" applyFont="1"/>
    <xf numFmtId="0" fontId="2" fillId="0" borderId="0" xfId="0" applyFont="1"/>
    <xf numFmtId="0" fontId="5" fillId="0" borderId="0" xfId="0" applyFont="1"/>
    <xf numFmtId="0" fontId="7" fillId="2" borderId="2" xfId="0" applyFont="1" applyFill="1" applyBorder="1" applyAlignment="1">
      <alignment horizontal="left" indent="1"/>
    </xf>
    <xf numFmtId="0" fontId="7" fillId="2" borderId="2" xfId="0" applyFont="1" applyFill="1" applyBorder="1"/>
    <xf numFmtId="164" fontId="7" fillId="2" borderId="3" xfId="0" applyNumberFormat="1" applyFont="1" applyFill="1" applyBorder="1"/>
    <xf numFmtId="0" fontId="8" fillId="0" borderId="0" xfId="0" applyFont="1"/>
    <xf numFmtId="0" fontId="9" fillId="3" borderId="5" xfId="0" applyFont="1" applyFill="1" applyBorder="1" applyAlignment="1">
      <alignment horizontal="left" vertical="center" wrapText="1" indent="1"/>
    </xf>
    <xf numFmtId="0" fontId="9" fillId="3" borderId="6" xfId="0" applyFont="1" applyFill="1" applyBorder="1" applyAlignment="1">
      <alignment horizontal="left" vertical="center" wrapText="1" indent="1"/>
    </xf>
    <xf numFmtId="9" fontId="9" fillId="3" borderId="6" xfId="0" applyNumberFormat="1" applyFont="1" applyFill="1" applyBorder="1" applyAlignment="1">
      <alignment horizontal="left" vertical="center" wrapText="1" indent="1"/>
    </xf>
    <xf numFmtId="164" fontId="9" fillId="3" borderId="7" xfId="0" applyNumberFormat="1" applyFont="1" applyFill="1" applyBorder="1" applyAlignment="1">
      <alignment horizontal="left" vertical="center" wrapText="1" indent="1"/>
    </xf>
    <xf numFmtId="0" fontId="1" fillId="4" borderId="0" xfId="0" applyFont="1" applyFill="1"/>
    <xf numFmtId="0" fontId="0" fillId="4" borderId="8" xfId="0" applyFill="1" applyBorder="1" applyAlignment="1">
      <alignment horizontal="left" vertical="center" indent="1"/>
    </xf>
    <xf numFmtId="164" fontId="0" fillId="4" borderId="8" xfId="0" applyNumberFormat="1" applyFill="1" applyBorder="1" applyAlignment="1">
      <alignment horizontal="left" vertical="center" indent="1"/>
    </xf>
    <xf numFmtId="9" fontId="0" fillId="4" borderId="8" xfId="0" applyNumberFormat="1" applyFill="1" applyBorder="1" applyAlignment="1">
      <alignment horizontal="left" vertical="center" indent="1"/>
    </xf>
    <xf numFmtId="165" fontId="0" fillId="4" borderId="8" xfId="0" applyNumberFormat="1" applyFill="1" applyBorder="1" applyAlignment="1">
      <alignment horizontal="left" vertical="center" indent="1"/>
    </xf>
    <xf numFmtId="164" fontId="0" fillId="4" borderId="9" xfId="0" applyNumberFormat="1" applyFill="1" applyBorder="1" applyAlignment="1">
      <alignment horizontal="left" vertical="center" indent="1"/>
    </xf>
    <xf numFmtId="0" fontId="0" fillId="4" borderId="1" xfId="0" applyFill="1" applyBorder="1" applyAlignment="1">
      <alignment horizontal="left" vertical="center" indent="1"/>
    </xf>
    <xf numFmtId="164" fontId="0" fillId="4" borderId="1" xfId="0" applyNumberFormat="1" applyFill="1" applyBorder="1" applyAlignment="1">
      <alignment horizontal="left" vertical="center" indent="1"/>
    </xf>
    <xf numFmtId="9" fontId="0" fillId="4" borderId="1" xfId="0" applyNumberFormat="1" applyFill="1" applyBorder="1" applyAlignment="1">
      <alignment horizontal="left" vertical="center" indent="1"/>
    </xf>
    <xf numFmtId="165" fontId="0" fillId="4" borderId="1" xfId="0" applyNumberFormat="1" applyFill="1" applyBorder="1" applyAlignment="1">
      <alignment horizontal="left" vertical="center" indent="1"/>
    </xf>
    <xf numFmtId="164" fontId="0" fillId="4" borderId="10" xfId="0" applyNumberFormat="1" applyFill="1" applyBorder="1" applyAlignment="1">
      <alignment horizontal="left" vertical="center" indent="1"/>
    </xf>
    <xf numFmtId="0" fontId="0" fillId="4" borderId="11" xfId="0" applyFill="1" applyBorder="1" applyAlignment="1">
      <alignment horizontal="left" vertical="center" indent="1"/>
    </xf>
    <xf numFmtId="164" fontId="0" fillId="4" borderId="11" xfId="0" applyNumberFormat="1" applyFill="1" applyBorder="1" applyAlignment="1">
      <alignment horizontal="left" vertical="center" indent="1"/>
    </xf>
    <xf numFmtId="9" fontId="0" fillId="4" borderId="11" xfId="0" applyNumberFormat="1" applyFill="1" applyBorder="1" applyAlignment="1">
      <alignment horizontal="left" vertical="center" indent="1"/>
    </xf>
    <xf numFmtId="165" fontId="0" fillId="4" borderId="11" xfId="0" applyNumberFormat="1" applyFill="1" applyBorder="1" applyAlignment="1">
      <alignment horizontal="left" vertical="center" indent="1"/>
    </xf>
    <xf numFmtId="164" fontId="0" fillId="4" borderId="4" xfId="0" applyNumberFormat="1" applyFill="1" applyBorder="1" applyAlignment="1">
      <alignment horizontal="left" vertical="center" indent="1"/>
    </xf>
    <xf numFmtId="0" fontId="1" fillId="4" borderId="0" xfId="0" applyFont="1" applyFill="1" applyAlignment="1">
      <alignment horizontal="left" vertical="center" indent="1"/>
    </xf>
    <xf numFmtId="164" fontId="1" fillId="4" borderId="0" xfId="0" applyNumberFormat="1" applyFont="1" applyFill="1" applyAlignment="1">
      <alignment horizontal="left" vertical="center" indent="1"/>
    </xf>
    <xf numFmtId="9" fontId="1" fillId="4" borderId="0" xfId="0" applyNumberFormat="1" applyFont="1" applyFill="1" applyAlignment="1">
      <alignment horizontal="left" vertical="center" indent="1"/>
    </xf>
    <xf numFmtId="165" fontId="1" fillId="4" borderId="0" xfId="0" applyNumberFormat="1" applyFont="1" applyFill="1" applyAlignment="1">
      <alignment horizontal="left" vertical="center" indent="1"/>
    </xf>
    <xf numFmtId="0" fontId="8" fillId="4" borderId="0" xfId="0" applyFont="1" applyFill="1"/>
    <xf numFmtId="0" fontId="1" fillId="4" borderId="0" xfId="0" applyFont="1" applyFill="1" applyAlignment="1">
      <alignment horizontal="left" indent="1"/>
    </xf>
    <xf numFmtId="164" fontId="1" fillId="4" borderId="0" xfId="0" applyNumberFormat="1" applyFont="1" applyFill="1"/>
    <xf numFmtId="0" fontId="2" fillId="4" borderId="0" xfId="0" applyFont="1" applyFill="1"/>
    <xf numFmtId="0" fontId="3" fillId="4" borderId="0" xfId="0" applyFont="1" applyFill="1" applyAlignment="1">
      <alignment horizontal="left" indent="2"/>
    </xf>
    <xf numFmtId="0" fontId="2" fillId="4" borderId="0" xfId="0" applyFont="1" applyFill="1" applyAlignment="1">
      <alignment horizontal="left" indent="1"/>
    </xf>
    <xf numFmtId="0" fontId="4" fillId="4" borderId="0" xfId="0" applyFont="1" applyFill="1"/>
    <xf numFmtId="164" fontId="4" fillId="4" borderId="0" xfId="0" applyNumberFormat="1" applyFont="1" applyFill="1"/>
    <xf numFmtId="0" fontId="5" fillId="4" borderId="0" xfId="0" applyFont="1" applyFill="1"/>
    <xf numFmtId="0" fontId="5" fillId="4" borderId="0" xfId="0" applyFont="1" applyFill="1" applyAlignment="1">
      <alignment horizontal="left" indent="1"/>
    </xf>
    <xf numFmtId="0" fontId="6" fillId="4" borderId="0" xfId="0" applyFont="1" applyFill="1"/>
    <xf numFmtId="164" fontId="6" fillId="4" borderId="0" xfId="0" applyNumberFormat="1" applyFont="1" applyFill="1"/>
    <xf numFmtId="0" fontId="10" fillId="4" borderId="0" xfId="0" applyFont="1" applyFill="1" applyAlignment="1">
      <alignment horizontal="left" vertical="center" indent="1"/>
    </xf>
    <xf numFmtId="0" fontId="2" fillId="4" borderId="0" xfId="0" applyFont="1" applyFill="1" applyAlignment="1">
      <alignment horizontal="left" vertical="center"/>
    </xf>
    <xf numFmtId="0" fontId="9" fillId="3" borderId="12" xfId="0" applyFont="1" applyFill="1" applyBorder="1" applyAlignment="1">
      <alignment horizontal="left" vertical="center" wrapText="1" indent="1"/>
    </xf>
    <xf numFmtId="0" fontId="9" fillId="3" borderId="13" xfId="0" applyFont="1" applyFill="1" applyBorder="1" applyAlignment="1">
      <alignment horizontal="left" vertical="center" wrapText="1" indent="1"/>
    </xf>
    <xf numFmtId="9" fontId="9" fillId="3" borderId="13" xfId="0" applyNumberFormat="1" applyFont="1" applyFill="1" applyBorder="1" applyAlignment="1">
      <alignment horizontal="left" vertical="center" wrapText="1" indent="1"/>
    </xf>
    <xf numFmtId="164" fontId="9" fillId="3" borderId="14" xfId="0" applyNumberFormat="1" applyFont="1" applyFill="1" applyBorder="1" applyAlignment="1">
      <alignment horizontal="left" vertical="center" wrapText="1" indent="1"/>
    </xf>
    <xf numFmtId="0" fontId="13" fillId="4" borderId="0" xfId="1" applyFill="1" applyAlignment="1">
      <alignment horizontal="left" vertical="center" indent="1"/>
    </xf>
    <xf numFmtId="0" fontId="7" fillId="2" borderId="16" xfId="0" applyFont="1" applyFill="1" applyBorder="1"/>
    <xf numFmtId="0" fontId="2" fillId="5" borderId="15" xfId="0" applyFont="1" applyFill="1" applyBorder="1" applyAlignment="1">
      <alignment horizontal="left" vertical="top" indent="2"/>
    </xf>
  </cellXfs>
  <cellStyles count="2">
    <cellStyle name="Hyperlink" xfId="1" builtinId="8"/>
    <cellStyle name="Normal" xfId="0" builtinId="0"/>
  </cellStyles>
  <dxfs count="27">
    <dxf>
      <numFmt numFmtId="164" formatCode="&quot;$&quot;#,##0"/>
      <fill>
        <patternFill patternType="solid">
          <fgColor indexed="64"/>
          <bgColor theme="3" tint="0.89999084444715716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theme="3" tint="0.39994506668294322"/>
        </left>
        <right style="thin">
          <color theme="3" tint="0.39994506668294322"/>
        </right>
        <top style="thin">
          <color theme="3" tint="0.39994506668294322"/>
        </top>
        <bottom/>
        <vertical/>
        <horizontal/>
      </border>
    </dxf>
    <dxf>
      <numFmt numFmtId="165" formatCode="mmmm\ yyyy"/>
      <fill>
        <patternFill patternType="solid">
          <fgColor indexed="64"/>
          <bgColor theme="3" tint="0.89999084444715716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theme="3" tint="0.39994506668294322"/>
        </left>
        <right/>
        <top style="thin">
          <color theme="3" tint="0.39994506668294322"/>
        </top>
        <bottom/>
        <vertical/>
        <horizontal/>
      </border>
    </dxf>
    <dxf>
      <numFmt numFmtId="13" formatCode="0%"/>
      <fill>
        <patternFill patternType="solid">
          <fgColor indexed="64"/>
          <bgColor theme="3" tint="0.89999084444715716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theme="3" tint="0.39994506668294322"/>
        </left>
        <right/>
        <top style="thin">
          <color theme="3" tint="0.39994506668294322"/>
        </top>
        <bottom/>
        <vertical/>
        <horizontal/>
      </border>
    </dxf>
    <dxf>
      <fill>
        <patternFill patternType="solid">
          <fgColor indexed="64"/>
          <bgColor theme="3" tint="0.89999084444715716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theme="3" tint="0.39994506668294322"/>
        </left>
        <right/>
        <top style="thin">
          <color theme="3" tint="0.39994506668294322"/>
        </top>
        <bottom/>
        <vertical/>
        <horizontal/>
      </border>
    </dxf>
    <dxf>
      <numFmt numFmtId="164" formatCode="&quot;$&quot;#,##0"/>
      <fill>
        <patternFill patternType="solid">
          <fgColor indexed="64"/>
          <bgColor theme="3" tint="0.89999084444715716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theme="3" tint="0.39994506668294322"/>
        </left>
        <right/>
        <top style="thin">
          <color theme="3" tint="0.39994506668294322"/>
        </top>
        <bottom/>
        <vertical/>
        <horizontal/>
      </border>
    </dxf>
    <dxf>
      <fill>
        <patternFill patternType="solid">
          <fgColor indexed="64"/>
          <bgColor theme="3" tint="0.89999084444715716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theme="3" tint="0.39994506668294322"/>
        </left>
        <right/>
        <top style="thin">
          <color theme="3" tint="0.39994506668294322"/>
        </top>
        <bottom/>
        <vertical/>
        <horizontal/>
      </border>
    </dxf>
    <dxf>
      <fill>
        <patternFill patternType="solid">
          <fgColor indexed="64"/>
          <bgColor theme="3" tint="0.89999084444715716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theme="3" tint="0.39994506668294322"/>
        </left>
        <right/>
        <top style="thin">
          <color theme="3" tint="0.39994506668294322"/>
        </top>
        <bottom/>
        <vertical/>
        <horizontal/>
      </border>
    </dxf>
    <dxf>
      <fill>
        <patternFill patternType="solid">
          <fgColor indexed="64"/>
          <bgColor theme="3" tint="0.89999084444715716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theme="3" tint="0.39994506668294322"/>
        </left>
        <right/>
        <top style="thin">
          <color theme="3" tint="0.39994506668294322"/>
        </top>
        <bottom/>
        <vertical/>
        <horizontal/>
      </border>
    </dxf>
    <dxf>
      <fill>
        <patternFill patternType="solid">
          <fgColor indexed="64"/>
          <bgColor theme="3" tint="0.89999084444715716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theme="3" tint="0.39994506668294322"/>
        </left>
        <right/>
        <top style="thin">
          <color theme="3" tint="0.39994506668294322"/>
        </top>
        <bottom/>
        <vertical/>
        <horizontal/>
      </border>
    </dxf>
    <dxf>
      <border outline="0">
        <top style="thin">
          <color theme="3"/>
        </top>
        <bottom style="thin">
          <color theme="3" tint="0.39994506668294322"/>
        </bottom>
      </border>
    </dxf>
    <dxf>
      <fill>
        <patternFill patternType="solid">
          <fgColor indexed="64"/>
          <bgColor theme="3" tint="0.89999084444715716"/>
        </patternFill>
      </fill>
      <alignment horizontal="left" vertical="center" textRotation="0" wrapText="0" indent="1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Segoe UI"/>
        <family val="2"/>
        <scheme val="none"/>
      </font>
      <fill>
        <patternFill patternType="solid">
          <fgColor indexed="64"/>
          <bgColor theme="3"/>
        </patternFill>
      </fill>
      <alignment horizontal="left" vertical="center" textRotation="0" wrapText="1" indent="1" justifyLastLine="0" shrinkToFit="0" readingOrder="0"/>
    </dxf>
    <dxf>
      <fill>
        <patternFill>
          <bgColor theme="5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39994506668294322"/>
        </patternFill>
      </fill>
    </dxf>
    <dxf>
      <fill>
        <patternFill>
          <bgColor theme="3" tint="0.59996337778862885"/>
        </patternFill>
      </fill>
    </dxf>
    <dxf>
      <font>
        <b/>
        <i val="0"/>
        <strike val="0"/>
        <color auto="1"/>
      </font>
      <fill>
        <patternFill>
          <bgColor theme="3"/>
        </patternFill>
      </fill>
      <border>
        <left style="thin">
          <color theme="3"/>
        </left>
        <right style="thin">
          <color theme="3"/>
        </right>
        <top style="thin">
          <color theme="3"/>
        </top>
        <bottom style="thin">
          <color theme="3"/>
        </bottom>
        <vertical style="thin">
          <color theme="3" tint="0.59996337778862885"/>
        </vertical>
        <horizontal style="thin">
          <color theme="3"/>
        </horizontal>
      </border>
    </dxf>
    <dxf>
      <fill>
        <patternFill>
          <bgColor theme="3" tint="0.79998168889431442"/>
        </patternFill>
      </fill>
      <border>
        <left style="thin">
          <color theme="3" tint="0.39994506668294322"/>
        </left>
        <right style="thin">
          <color theme="3" tint="0.39994506668294322"/>
        </right>
        <top style="thin">
          <color theme="3" tint="0.39994506668294322"/>
        </top>
        <bottom style="thin">
          <color theme="3" tint="0.39994506668294322"/>
        </bottom>
        <vertical style="thin">
          <color theme="3" tint="0.39994506668294322"/>
        </vertical>
        <horizontal style="thin">
          <color theme="3" tint="0.39994506668294322"/>
        </horizontal>
      </border>
    </dxf>
  </dxfs>
  <tableStyles count="1" defaultTableStyle="TableStyleMedium2" defaultPivotStyle="PivotStyleLight16">
    <tableStyle name="Business Table" pivot="0" count="3" xr9:uid="{5DCCE904-F70B-4936-8867-34DCFF652453}">
      <tableStyleElement type="wholeTable" dxfId="26"/>
      <tableStyleElement type="headerRow" dxfId="25"/>
      <tableStyleElement type="firstRowStripe" dxfId="24"/>
    </tableStyle>
  </tableStyles>
  <colors>
    <mruColors>
      <color rgb="FFFF0000"/>
      <color rgb="FFFFFFE1"/>
      <color rgb="FFFFF7D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s://www.youtube.com/watch?v=2bWObFD_CEI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3928</xdr:colOff>
      <xdr:row>1</xdr:row>
      <xdr:rowOff>213202</xdr:rowOff>
    </xdr:from>
    <xdr:to>
      <xdr:col>9</xdr:col>
      <xdr:colOff>949758</xdr:colOff>
      <xdr:row>3</xdr:row>
      <xdr:rowOff>27964</xdr:rowOff>
    </xdr:to>
    <xdr:sp macro="" textlink="">
      <xdr:nvSpPr>
        <xdr:cNvPr id="2" name="Freeform: Shape 1">
          <a:extLst>
            <a:ext uri="{FF2B5EF4-FFF2-40B4-BE49-F238E27FC236}">
              <a16:creationId xmlns:a16="http://schemas.microsoft.com/office/drawing/2014/main" id="{0A8E8789-F44A-41FD-A5D7-FAD39E6F7250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SpPr/>
      </xdr:nvSpPr>
      <xdr:spPr>
        <a:xfrm>
          <a:off x="7704891" y="413227"/>
          <a:ext cx="6889430" cy="1029200"/>
        </a:xfrm>
        <a:custGeom>
          <a:avLst/>
          <a:gdLst>
            <a:gd name="connsiteX0" fmla="*/ 1428724 w 6889430"/>
            <a:gd name="connsiteY0" fmla="*/ 1029201 h 1029200"/>
            <a:gd name="connsiteX1" fmla="*/ 1174534 w 6889430"/>
            <a:gd name="connsiteY1" fmla="*/ 763292 h 1029200"/>
            <a:gd name="connsiteX2" fmla="*/ 987543 w 6889430"/>
            <a:gd name="connsiteY2" fmla="*/ 539470 h 1029200"/>
            <a:gd name="connsiteX3" fmla="*/ 987543 w 6889430"/>
            <a:gd name="connsiteY3" fmla="*/ 539470 h 1029200"/>
            <a:gd name="connsiteX4" fmla="*/ 818083 w 6889430"/>
            <a:gd name="connsiteY4" fmla="*/ 696337 h 1029200"/>
            <a:gd name="connsiteX5" fmla="*/ 590189 w 6889430"/>
            <a:gd name="connsiteY5" fmla="*/ 879986 h 1029200"/>
            <a:gd name="connsiteX6" fmla="*/ 347685 w 6889430"/>
            <a:gd name="connsiteY6" fmla="*/ 679120 h 1029200"/>
            <a:gd name="connsiteX7" fmla="*/ 20452 w 6889430"/>
            <a:gd name="connsiteY7" fmla="*/ 430428 h 1029200"/>
            <a:gd name="connsiteX8" fmla="*/ 20452 w 6889430"/>
            <a:gd name="connsiteY8" fmla="*/ 430428 h 1029200"/>
            <a:gd name="connsiteX9" fmla="*/ 0 w 6889430"/>
            <a:gd name="connsiteY9" fmla="*/ 417037 h 1029200"/>
            <a:gd name="connsiteX10" fmla="*/ 20452 w 6889430"/>
            <a:gd name="connsiteY10" fmla="*/ 403646 h 1029200"/>
            <a:gd name="connsiteX11" fmla="*/ 20452 w 6889430"/>
            <a:gd name="connsiteY11" fmla="*/ 403646 h 1029200"/>
            <a:gd name="connsiteX12" fmla="*/ 385668 w 6889430"/>
            <a:gd name="connsiteY12" fmla="*/ 669555 h 1029200"/>
            <a:gd name="connsiteX13" fmla="*/ 587267 w 6889430"/>
            <a:gd name="connsiteY13" fmla="*/ 853204 h 1029200"/>
            <a:gd name="connsiteX14" fmla="*/ 771336 w 6889430"/>
            <a:gd name="connsiteY14" fmla="*/ 688685 h 1029200"/>
            <a:gd name="connsiteX15" fmla="*/ 981700 w 6889430"/>
            <a:gd name="connsiteY15" fmla="*/ 512687 h 1029200"/>
            <a:gd name="connsiteX16" fmla="*/ 981700 w 6889430"/>
            <a:gd name="connsiteY16" fmla="*/ 512687 h 1029200"/>
            <a:gd name="connsiteX17" fmla="*/ 1209595 w 6889430"/>
            <a:gd name="connsiteY17" fmla="*/ 759466 h 1029200"/>
            <a:gd name="connsiteX18" fmla="*/ 1422881 w 6889430"/>
            <a:gd name="connsiteY18" fmla="*/ 1002419 h 1029200"/>
            <a:gd name="connsiteX19" fmla="*/ 1425802 w 6889430"/>
            <a:gd name="connsiteY19" fmla="*/ 1002419 h 1029200"/>
            <a:gd name="connsiteX20" fmla="*/ 1633245 w 6889430"/>
            <a:gd name="connsiteY20" fmla="*/ 682946 h 1029200"/>
            <a:gd name="connsiteX21" fmla="*/ 1878670 w 6889430"/>
            <a:gd name="connsiteY21" fmla="*/ 344342 h 1029200"/>
            <a:gd name="connsiteX22" fmla="*/ 2097800 w 6889430"/>
            <a:gd name="connsiteY22" fmla="*/ 552861 h 1029200"/>
            <a:gd name="connsiteX23" fmla="*/ 2273103 w 6889430"/>
            <a:gd name="connsiteY23" fmla="*/ 740336 h 1029200"/>
            <a:gd name="connsiteX24" fmla="*/ 2486389 w 6889430"/>
            <a:gd name="connsiteY24" fmla="*/ 384516 h 1029200"/>
            <a:gd name="connsiteX25" fmla="*/ 2746423 w 6889430"/>
            <a:gd name="connsiteY25" fmla="*/ 0 h 1029200"/>
            <a:gd name="connsiteX26" fmla="*/ 2974317 w 6889430"/>
            <a:gd name="connsiteY26" fmla="*/ 476340 h 1029200"/>
            <a:gd name="connsiteX27" fmla="*/ 3213899 w 6889430"/>
            <a:gd name="connsiteY27" fmla="*/ 998593 h 1029200"/>
            <a:gd name="connsiteX28" fmla="*/ 3438872 w 6889430"/>
            <a:gd name="connsiteY28" fmla="*/ 648511 h 1029200"/>
            <a:gd name="connsiteX29" fmla="*/ 3643393 w 6889430"/>
            <a:gd name="connsiteY29" fmla="*/ 330951 h 1029200"/>
            <a:gd name="connsiteX30" fmla="*/ 3646314 w 6889430"/>
            <a:gd name="connsiteY30" fmla="*/ 330951 h 1029200"/>
            <a:gd name="connsiteX31" fmla="*/ 3824540 w 6889430"/>
            <a:gd name="connsiteY31" fmla="*/ 554774 h 1029200"/>
            <a:gd name="connsiteX32" fmla="*/ 4002765 w 6889430"/>
            <a:gd name="connsiteY32" fmla="*/ 790074 h 1029200"/>
            <a:gd name="connsiteX33" fmla="*/ 4143008 w 6889430"/>
            <a:gd name="connsiteY33" fmla="*/ 686772 h 1029200"/>
            <a:gd name="connsiteX34" fmla="*/ 4335842 w 6889430"/>
            <a:gd name="connsiteY34" fmla="*/ 560513 h 1029200"/>
            <a:gd name="connsiteX35" fmla="*/ 4522832 w 6889430"/>
            <a:gd name="connsiteY35" fmla="*/ 747988 h 1029200"/>
            <a:gd name="connsiteX36" fmla="*/ 4727353 w 6889430"/>
            <a:gd name="connsiteY36" fmla="*/ 956507 h 1029200"/>
            <a:gd name="connsiteX37" fmla="*/ 4955248 w 6889430"/>
            <a:gd name="connsiteY37" fmla="*/ 596860 h 1029200"/>
            <a:gd name="connsiteX38" fmla="*/ 5215281 w 6889430"/>
            <a:gd name="connsiteY38" fmla="*/ 221910 h 1029200"/>
            <a:gd name="connsiteX39" fmla="*/ 5451941 w 6889430"/>
            <a:gd name="connsiteY39" fmla="*/ 552861 h 1029200"/>
            <a:gd name="connsiteX40" fmla="*/ 5638932 w 6889430"/>
            <a:gd name="connsiteY40" fmla="*/ 855117 h 1029200"/>
            <a:gd name="connsiteX41" fmla="*/ 5828844 w 6889430"/>
            <a:gd name="connsiteY41" fmla="*/ 658077 h 1029200"/>
            <a:gd name="connsiteX42" fmla="*/ 6062582 w 6889430"/>
            <a:gd name="connsiteY42" fmla="*/ 441906 h 1029200"/>
            <a:gd name="connsiteX43" fmla="*/ 6275868 w 6889430"/>
            <a:gd name="connsiteY43" fmla="*/ 686772 h 1029200"/>
            <a:gd name="connsiteX44" fmla="*/ 6445328 w 6889430"/>
            <a:gd name="connsiteY44" fmla="*/ 906768 h 1029200"/>
            <a:gd name="connsiteX45" fmla="*/ 6603101 w 6889430"/>
            <a:gd name="connsiteY45" fmla="*/ 692511 h 1029200"/>
            <a:gd name="connsiteX46" fmla="*/ 6866057 w 6889430"/>
            <a:gd name="connsiteY46" fmla="*/ 392168 h 1029200"/>
            <a:gd name="connsiteX47" fmla="*/ 6889431 w 6889430"/>
            <a:gd name="connsiteY47" fmla="*/ 403646 h 1029200"/>
            <a:gd name="connsiteX48" fmla="*/ 6871900 w 6889430"/>
            <a:gd name="connsiteY48" fmla="*/ 418950 h 1029200"/>
            <a:gd name="connsiteX49" fmla="*/ 6644005 w 6889430"/>
            <a:gd name="connsiteY49" fmla="*/ 698250 h 1029200"/>
            <a:gd name="connsiteX50" fmla="*/ 6442406 w 6889430"/>
            <a:gd name="connsiteY50" fmla="*/ 933550 h 1029200"/>
            <a:gd name="connsiteX51" fmla="*/ 6232042 w 6889430"/>
            <a:gd name="connsiteY51" fmla="*/ 690598 h 1029200"/>
            <a:gd name="connsiteX52" fmla="*/ 6062582 w 6889430"/>
            <a:gd name="connsiteY52" fmla="*/ 468688 h 1029200"/>
            <a:gd name="connsiteX53" fmla="*/ 5872670 w 6889430"/>
            <a:gd name="connsiteY53" fmla="*/ 665729 h 1029200"/>
            <a:gd name="connsiteX54" fmla="*/ 5638932 w 6889430"/>
            <a:gd name="connsiteY54" fmla="*/ 881899 h 1029200"/>
            <a:gd name="connsiteX55" fmla="*/ 5408116 w 6889430"/>
            <a:gd name="connsiteY55" fmla="*/ 554774 h 1029200"/>
            <a:gd name="connsiteX56" fmla="*/ 5215281 w 6889430"/>
            <a:gd name="connsiteY56" fmla="*/ 248692 h 1029200"/>
            <a:gd name="connsiteX57" fmla="*/ 4996152 w 6889430"/>
            <a:gd name="connsiteY57" fmla="*/ 600686 h 1029200"/>
            <a:gd name="connsiteX58" fmla="*/ 4727353 w 6889430"/>
            <a:gd name="connsiteY58" fmla="*/ 985202 h 1029200"/>
            <a:gd name="connsiteX59" fmla="*/ 4481928 w 6889430"/>
            <a:gd name="connsiteY59" fmla="*/ 755640 h 1029200"/>
            <a:gd name="connsiteX60" fmla="*/ 4335842 w 6889430"/>
            <a:gd name="connsiteY60" fmla="*/ 587295 h 1029200"/>
            <a:gd name="connsiteX61" fmla="*/ 4180990 w 6889430"/>
            <a:gd name="connsiteY61" fmla="*/ 698250 h 1029200"/>
            <a:gd name="connsiteX62" fmla="*/ 3999843 w 6889430"/>
            <a:gd name="connsiteY62" fmla="*/ 818770 h 1029200"/>
            <a:gd name="connsiteX63" fmla="*/ 3777792 w 6889430"/>
            <a:gd name="connsiteY63" fmla="*/ 560513 h 1029200"/>
            <a:gd name="connsiteX64" fmla="*/ 3643393 w 6889430"/>
            <a:gd name="connsiteY64" fmla="*/ 359646 h 1029200"/>
            <a:gd name="connsiteX65" fmla="*/ 3643393 w 6889430"/>
            <a:gd name="connsiteY65" fmla="*/ 359646 h 1029200"/>
            <a:gd name="connsiteX66" fmla="*/ 3482698 w 6889430"/>
            <a:gd name="connsiteY66" fmla="*/ 652337 h 1029200"/>
            <a:gd name="connsiteX67" fmla="*/ 3213899 w 6889430"/>
            <a:gd name="connsiteY67" fmla="*/ 1027288 h 1029200"/>
            <a:gd name="connsiteX68" fmla="*/ 2930492 w 6889430"/>
            <a:gd name="connsiteY68" fmla="*/ 478253 h 1029200"/>
            <a:gd name="connsiteX69" fmla="*/ 2746423 w 6889430"/>
            <a:gd name="connsiteY69" fmla="*/ 26782 h 1029200"/>
            <a:gd name="connsiteX70" fmla="*/ 2530215 w 6889430"/>
            <a:gd name="connsiteY70" fmla="*/ 386429 h 1029200"/>
            <a:gd name="connsiteX71" fmla="*/ 2276025 w 6889430"/>
            <a:gd name="connsiteY71" fmla="*/ 767118 h 1029200"/>
            <a:gd name="connsiteX72" fmla="*/ 2056895 w 6889430"/>
            <a:gd name="connsiteY72" fmla="*/ 558600 h 1029200"/>
            <a:gd name="connsiteX73" fmla="*/ 1881592 w 6889430"/>
            <a:gd name="connsiteY73" fmla="*/ 371125 h 1029200"/>
            <a:gd name="connsiteX74" fmla="*/ 1679993 w 6889430"/>
            <a:gd name="connsiteY74" fmla="*/ 686772 h 1029200"/>
            <a:gd name="connsiteX75" fmla="*/ 1431646 w 6889430"/>
            <a:gd name="connsiteY75" fmla="*/ 1029201 h 1029200"/>
            <a:gd name="connsiteX76" fmla="*/ 1428724 w 6889430"/>
            <a:gd name="connsiteY76" fmla="*/ 1029201 h 1029200"/>
            <a:gd name="connsiteX77" fmla="*/ 1428724 w 6889430"/>
            <a:gd name="connsiteY77" fmla="*/ 1029201 h 10292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  <a:cxn ang="0">
              <a:pos x="connsiteX55" y="connsiteY55"/>
            </a:cxn>
            <a:cxn ang="0">
              <a:pos x="connsiteX56" y="connsiteY56"/>
            </a:cxn>
            <a:cxn ang="0">
              <a:pos x="connsiteX57" y="connsiteY57"/>
            </a:cxn>
            <a:cxn ang="0">
              <a:pos x="connsiteX58" y="connsiteY58"/>
            </a:cxn>
            <a:cxn ang="0">
              <a:pos x="connsiteX59" y="connsiteY59"/>
            </a:cxn>
            <a:cxn ang="0">
              <a:pos x="connsiteX60" y="connsiteY60"/>
            </a:cxn>
            <a:cxn ang="0">
              <a:pos x="connsiteX61" y="connsiteY61"/>
            </a:cxn>
            <a:cxn ang="0">
              <a:pos x="connsiteX62" y="connsiteY62"/>
            </a:cxn>
            <a:cxn ang="0">
              <a:pos x="connsiteX63" y="connsiteY63"/>
            </a:cxn>
            <a:cxn ang="0">
              <a:pos x="connsiteX64" y="connsiteY64"/>
            </a:cxn>
            <a:cxn ang="0">
              <a:pos x="connsiteX65" y="connsiteY65"/>
            </a:cxn>
            <a:cxn ang="0">
              <a:pos x="connsiteX66" y="connsiteY66"/>
            </a:cxn>
            <a:cxn ang="0">
              <a:pos x="connsiteX67" y="connsiteY67"/>
            </a:cxn>
            <a:cxn ang="0">
              <a:pos x="connsiteX68" y="connsiteY68"/>
            </a:cxn>
            <a:cxn ang="0">
              <a:pos x="connsiteX69" y="connsiteY69"/>
            </a:cxn>
            <a:cxn ang="0">
              <a:pos x="connsiteX70" y="connsiteY70"/>
            </a:cxn>
            <a:cxn ang="0">
              <a:pos x="connsiteX71" y="connsiteY71"/>
            </a:cxn>
            <a:cxn ang="0">
              <a:pos x="connsiteX72" y="connsiteY72"/>
            </a:cxn>
            <a:cxn ang="0">
              <a:pos x="connsiteX73" y="connsiteY73"/>
            </a:cxn>
            <a:cxn ang="0">
              <a:pos x="connsiteX74" y="connsiteY74"/>
            </a:cxn>
            <a:cxn ang="0">
              <a:pos x="connsiteX75" y="connsiteY75"/>
            </a:cxn>
            <a:cxn ang="0">
              <a:pos x="connsiteX76" y="connsiteY76"/>
            </a:cxn>
            <a:cxn ang="0">
              <a:pos x="connsiteX77" y="connsiteY77"/>
            </a:cxn>
          </a:cxnLst>
          <a:rect l="l" t="t" r="r" b="b"/>
          <a:pathLst>
            <a:path w="6889430" h="1029200">
              <a:moveTo>
                <a:pt x="1428724" y="1029201"/>
              </a:moveTo>
              <a:cubicBezTo>
                <a:pt x="1276794" y="1029201"/>
                <a:pt x="1224203" y="895290"/>
                <a:pt x="1174534" y="763292"/>
              </a:cubicBezTo>
              <a:cubicBezTo>
                <a:pt x="1130708" y="652337"/>
                <a:pt x="1086882" y="539470"/>
                <a:pt x="987543" y="539470"/>
              </a:cubicBezTo>
              <a:lnTo>
                <a:pt x="987543" y="539470"/>
              </a:lnTo>
              <a:cubicBezTo>
                <a:pt x="899892" y="539470"/>
                <a:pt x="858988" y="615990"/>
                <a:pt x="818083" y="696337"/>
              </a:cubicBezTo>
              <a:cubicBezTo>
                <a:pt x="771336" y="786248"/>
                <a:pt x="721666" y="879986"/>
                <a:pt x="590189" y="879986"/>
              </a:cubicBezTo>
              <a:cubicBezTo>
                <a:pt x="467476" y="879986"/>
                <a:pt x="409042" y="782422"/>
                <a:pt x="347685" y="679120"/>
              </a:cubicBezTo>
              <a:cubicBezTo>
                <a:pt x="274642" y="556687"/>
                <a:pt x="198677" y="430428"/>
                <a:pt x="20452" y="430428"/>
              </a:cubicBezTo>
              <a:cubicBezTo>
                <a:pt x="20452" y="430428"/>
                <a:pt x="20452" y="430428"/>
                <a:pt x="20452" y="430428"/>
              </a:cubicBezTo>
              <a:cubicBezTo>
                <a:pt x="8765" y="430428"/>
                <a:pt x="0" y="424689"/>
                <a:pt x="0" y="417037"/>
              </a:cubicBezTo>
              <a:cubicBezTo>
                <a:pt x="0" y="409385"/>
                <a:pt x="8765" y="403646"/>
                <a:pt x="20452" y="403646"/>
              </a:cubicBezTo>
              <a:lnTo>
                <a:pt x="20452" y="403646"/>
              </a:lnTo>
              <a:cubicBezTo>
                <a:pt x="227895" y="403646"/>
                <a:pt x="312625" y="545209"/>
                <a:pt x="385668" y="669555"/>
              </a:cubicBezTo>
              <a:cubicBezTo>
                <a:pt x="441181" y="763292"/>
                <a:pt x="496693" y="853204"/>
                <a:pt x="587267" y="853204"/>
              </a:cubicBezTo>
              <a:cubicBezTo>
                <a:pt x="686606" y="853204"/>
                <a:pt x="727510" y="772857"/>
                <a:pt x="771336" y="688685"/>
              </a:cubicBezTo>
              <a:cubicBezTo>
                <a:pt x="815162" y="602599"/>
                <a:pt x="861909" y="514601"/>
                <a:pt x="981700" y="512687"/>
              </a:cubicBezTo>
              <a:lnTo>
                <a:pt x="981700" y="512687"/>
              </a:lnTo>
              <a:cubicBezTo>
                <a:pt x="1113178" y="512687"/>
                <a:pt x="1159925" y="631294"/>
                <a:pt x="1209595" y="759466"/>
              </a:cubicBezTo>
              <a:cubicBezTo>
                <a:pt x="1256342" y="879986"/>
                <a:pt x="1306012" y="1002419"/>
                <a:pt x="1422881" y="1002419"/>
              </a:cubicBezTo>
              <a:cubicBezTo>
                <a:pt x="1422881" y="1002419"/>
                <a:pt x="1422881" y="1002419"/>
                <a:pt x="1425802" y="1002419"/>
              </a:cubicBezTo>
              <a:cubicBezTo>
                <a:pt x="1536828" y="1000506"/>
                <a:pt x="1586497" y="832161"/>
                <a:pt x="1633245" y="682946"/>
              </a:cubicBezTo>
              <a:cubicBezTo>
                <a:pt x="1685836" y="508862"/>
                <a:pt x="1735505" y="344342"/>
                <a:pt x="1878670" y="344342"/>
              </a:cubicBezTo>
              <a:cubicBezTo>
                <a:pt x="2001382" y="344342"/>
                <a:pt x="2051052" y="449558"/>
                <a:pt x="2097800" y="552861"/>
              </a:cubicBezTo>
              <a:cubicBezTo>
                <a:pt x="2141625" y="644685"/>
                <a:pt x="2185451" y="740336"/>
                <a:pt x="2273103" y="740336"/>
              </a:cubicBezTo>
              <a:cubicBezTo>
                <a:pt x="2395816" y="740336"/>
                <a:pt x="2439641" y="558600"/>
                <a:pt x="2486389" y="384516"/>
              </a:cubicBezTo>
              <a:cubicBezTo>
                <a:pt x="2536059" y="187475"/>
                <a:pt x="2582806" y="0"/>
                <a:pt x="2746423" y="0"/>
              </a:cubicBezTo>
              <a:cubicBezTo>
                <a:pt x="2904196" y="0"/>
                <a:pt x="2936335" y="219996"/>
                <a:pt x="2974317" y="476340"/>
              </a:cubicBezTo>
              <a:cubicBezTo>
                <a:pt x="3009378" y="721206"/>
                <a:pt x="3050282" y="998593"/>
                <a:pt x="3213899" y="998593"/>
              </a:cubicBezTo>
              <a:cubicBezTo>
                <a:pt x="3377516" y="998593"/>
                <a:pt x="3409654" y="820683"/>
                <a:pt x="3438872" y="648511"/>
              </a:cubicBezTo>
              <a:cubicBezTo>
                <a:pt x="3468089" y="485905"/>
                <a:pt x="3494385" y="332864"/>
                <a:pt x="3643393" y="330951"/>
              </a:cubicBezTo>
              <a:cubicBezTo>
                <a:pt x="3643393" y="330951"/>
                <a:pt x="3643393" y="330951"/>
                <a:pt x="3646314" y="330951"/>
              </a:cubicBezTo>
              <a:cubicBezTo>
                <a:pt x="3763184" y="330951"/>
                <a:pt x="3792401" y="439993"/>
                <a:pt x="3824540" y="554774"/>
              </a:cubicBezTo>
              <a:cubicBezTo>
                <a:pt x="3856679" y="669555"/>
                <a:pt x="3885896" y="790074"/>
                <a:pt x="4002765" y="790074"/>
              </a:cubicBezTo>
              <a:cubicBezTo>
                <a:pt x="4069965" y="790074"/>
                <a:pt x="4105025" y="740336"/>
                <a:pt x="4143008" y="686772"/>
              </a:cubicBezTo>
              <a:cubicBezTo>
                <a:pt x="4183912" y="627468"/>
                <a:pt x="4230660" y="560513"/>
                <a:pt x="4335842" y="560513"/>
              </a:cubicBezTo>
              <a:cubicBezTo>
                <a:pt x="4426415" y="560513"/>
                <a:pt x="4470241" y="648511"/>
                <a:pt x="4522832" y="747988"/>
              </a:cubicBezTo>
              <a:cubicBezTo>
                <a:pt x="4572502" y="845552"/>
                <a:pt x="4630936" y="956507"/>
                <a:pt x="4727353" y="956507"/>
              </a:cubicBezTo>
              <a:cubicBezTo>
                <a:pt x="4858831" y="956507"/>
                <a:pt x="4908500" y="772857"/>
                <a:pt x="4955248" y="596860"/>
              </a:cubicBezTo>
              <a:cubicBezTo>
                <a:pt x="5004917" y="403646"/>
                <a:pt x="5054587" y="221910"/>
                <a:pt x="5215281" y="221910"/>
              </a:cubicBezTo>
              <a:cubicBezTo>
                <a:pt x="5367211" y="221910"/>
                <a:pt x="5408116" y="382603"/>
                <a:pt x="5451941" y="552861"/>
              </a:cubicBezTo>
              <a:cubicBezTo>
                <a:pt x="5489924" y="702076"/>
                <a:pt x="5527906" y="855117"/>
                <a:pt x="5638932" y="855117"/>
              </a:cubicBezTo>
              <a:cubicBezTo>
                <a:pt x="5729505" y="855117"/>
                <a:pt x="5779175" y="755640"/>
                <a:pt x="5828844" y="658077"/>
              </a:cubicBezTo>
              <a:cubicBezTo>
                <a:pt x="5884357" y="550948"/>
                <a:pt x="5939870" y="441906"/>
                <a:pt x="6062582" y="441906"/>
              </a:cubicBezTo>
              <a:cubicBezTo>
                <a:pt x="6185294" y="441906"/>
                <a:pt x="6229120" y="560513"/>
                <a:pt x="6275868" y="686772"/>
              </a:cubicBezTo>
              <a:cubicBezTo>
                <a:pt x="6316772" y="795813"/>
                <a:pt x="6354755" y="906768"/>
                <a:pt x="6445328" y="906768"/>
              </a:cubicBezTo>
              <a:cubicBezTo>
                <a:pt x="6524215" y="906768"/>
                <a:pt x="6565119" y="797726"/>
                <a:pt x="6603101" y="692511"/>
              </a:cubicBezTo>
              <a:cubicBezTo>
                <a:pt x="6652771" y="558600"/>
                <a:pt x="6708284" y="405559"/>
                <a:pt x="6866057" y="392168"/>
              </a:cubicBezTo>
              <a:cubicBezTo>
                <a:pt x="6877743" y="390255"/>
                <a:pt x="6889431" y="395994"/>
                <a:pt x="6889431" y="403646"/>
              </a:cubicBezTo>
              <a:cubicBezTo>
                <a:pt x="6889431" y="411298"/>
                <a:pt x="6883587" y="418950"/>
                <a:pt x="6871900" y="418950"/>
              </a:cubicBezTo>
              <a:cubicBezTo>
                <a:pt x="6743344" y="430428"/>
                <a:pt x="6690753" y="571991"/>
                <a:pt x="6644005" y="698250"/>
              </a:cubicBezTo>
              <a:cubicBezTo>
                <a:pt x="6597258" y="824509"/>
                <a:pt x="6556354" y="933550"/>
                <a:pt x="6442406" y="933550"/>
              </a:cubicBezTo>
              <a:cubicBezTo>
                <a:pt x="6319694" y="933550"/>
                <a:pt x="6278790" y="814944"/>
                <a:pt x="6232042" y="690598"/>
              </a:cubicBezTo>
              <a:cubicBezTo>
                <a:pt x="6191138" y="581556"/>
                <a:pt x="6150234" y="468688"/>
                <a:pt x="6062582" y="468688"/>
              </a:cubicBezTo>
              <a:cubicBezTo>
                <a:pt x="5972008" y="468688"/>
                <a:pt x="5922339" y="568165"/>
                <a:pt x="5872670" y="665729"/>
              </a:cubicBezTo>
              <a:cubicBezTo>
                <a:pt x="5817157" y="772857"/>
                <a:pt x="5761644" y="881899"/>
                <a:pt x="5638932" y="881899"/>
              </a:cubicBezTo>
              <a:cubicBezTo>
                <a:pt x="5489924" y="881899"/>
                <a:pt x="5451941" y="723119"/>
                <a:pt x="5408116" y="554774"/>
              </a:cubicBezTo>
              <a:cubicBezTo>
                <a:pt x="5370133" y="403646"/>
                <a:pt x="5329229" y="248692"/>
                <a:pt x="5215281" y="248692"/>
              </a:cubicBezTo>
              <a:cubicBezTo>
                <a:pt x="5089647" y="248692"/>
                <a:pt x="5042900" y="428515"/>
                <a:pt x="4996152" y="600686"/>
              </a:cubicBezTo>
              <a:cubicBezTo>
                <a:pt x="4943561" y="797726"/>
                <a:pt x="4893892" y="985202"/>
                <a:pt x="4727353" y="985202"/>
              </a:cubicBezTo>
              <a:cubicBezTo>
                <a:pt x="4598797" y="985202"/>
                <a:pt x="4537441" y="868508"/>
                <a:pt x="4481928" y="755640"/>
              </a:cubicBezTo>
              <a:cubicBezTo>
                <a:pt x="4438102" y="673381"/>
                <a:pt x="4394276" y="587295"/>
                <a:pt x="4335842" y="587295"/>
              </a:cubicBezTo>
              <a:cubicBezTo>
                <a:pt x="4259877" y="587295"/>
                <a:pt x="4221895" y="640859"/>
                <a:pt x="4180990" y="698250"/>
              </a:cubicBezTo>
              <a:cubicBezTo>
                <a:pt x="4140086" y="757553"/>
                <a:pt x="4096260" y="818770"/>
                <a:pt x="3999843" y="818770"/>
              </a:cubicBezTo>
              <a:cubicBezTo>
                <a:pt x="3847913" y="818770"/>
                <a:pt x="3812853" y="686772"/>
                <a:pt x="3777792" y="560513"/>
              </a:cubicBezTo>
              <a:cubicBezTo>
                <a:pt x="3751496" y="462949"/>
                <a:pt x="3725201" y="359646"/>
                <a:pt x="3643393" y="359646"/>
              </a:cubicBezTo>
              <a:lnTo>
                <a:pt x="3643393" y="359646"/>
              </a:lnTo>
              <a:cubicBezTo>
                <a:pt x="3535289" y="361559"/>
                <a:pt x="3508993" y="508862"/>
                <a:pt x="3482698" y="652337"/>
              </a:cubicBezTo>
              <a:cubicBezTo>
                <a:pt x="3450559" y="835987"/>
                <a:pt x="3415498" y="1027288"/>
                <a:pt x="3213899" y="1027288"/>
              </a:cubicBezTo>
              <a:cubicBezTo>
                <a:pt x="3009378" y="1027288"/>
                <a:pt x="2968474" y="747988"/>
                <a:pt x="2930492" y="478253"/>
              </a:cubicBezTo>
              <a:cubicBezTo>
                <a:pt x="2901274" y="267822"/>
                <a:pt x="2866213" y="26782"/>
                <a:pt x="2746423" y="26782"/>
              </a:cubicBezTo>
              <a:cubicBezTo>
                <a:pt x="2620788" y="26782"/>
                <a:pt x="2574041" y="218084"/>
                <a:pt x="2530215" y="386429"/>
              </a:cubicBezTo>
              <a:cubicBezTo>
                <a:pt x="2480546" y="581556"/>
                <a:pt x="2433798" y="767118"/>
                <a:pt x="2276025" y="767118"/>
              </a:cubicBezTo>
              <a:cubicBezTo>
                <a:pt x="2153312" y="767118"/>
                <a:pt x="2103643" y="661903"/>
                <a:pt x="2056895" y="558600"/>
              </a:cubicBezTo>
              <a:cubicBezTo>
                <a:pt x="2013069" y="466775"/>
                <a:pt x="1969244" y="371125"/>
                <a:pt x="1881592" y="371125"/>
              </a:cubicBezTo>
              <a:cubicBezTo>
                <a:pt x="1773488" y="371125"/>
                <a:pt x="1723819" y="537557"/>
                <a:pt x="1679993" y="686772"/>
              </a:cubicBezTo>
              <a:cubicBezTo>
                <a:pt x="1627401" y="860856"/>
                <a:pt x="1577732" y="1027288"/>
                <a:pt x="1431646" y="1029201"/>
              </a:cubicBezTo>
              <a:cubicBezTo>
                <a:pt x="1431646" y="1029201"/>
                <a:pt x="1431646" y="1029201"/>
                <a:pt x="1428724" y="1029201"/>
              </a:cubicBezTo>
              <a:lnTo>
                <a:pt x="1428724" y="1029201"/>
              </a:lnTo>
              <a:close/>
            </a:path>
          </a:pathLst>
        </a:custGeom>
        <a:solidFill>
          <a:schemeClr val="accent3">
            <a:lumMod val="60000"/>
            <a:lumOff val="40000"/>
          </a:schemeClr>
        </a:solidFill>
        <a:ln w="29208" cap="flat">
          <a:noFill/>
          <a:prstDash val="solid"/>
          <a:miter/>
        </a:ln>
      </xdr:spPr>
      <xdr:txBody>
        <a:bodyPr rtlCol="0" anchor="ctr"/>
        <a:lstStyle/>
        <a:p>
          <a:endParaRPr lang="en-US"/>
        </a:p>
      </xdr:txBody>
    </xdr:sp>
    <xdr:clientData/>
  </xdr:twoCellAnchor>
  <xdr:twoCellAnchor>
    <xdr:from>
      <xdr:col>5</xdr:col>
      <xdr:colOff>6850</xdr:colOff>
      <xdr:row>0</xdr:row>
      <xdr:rowOff>197057</xdr:rowOff>
    </xdr:from>
    <xdr:to>
      <xdr:col>9</xdr:col>
      <xdr:colOff>952680</xdr:colOff>
      <xdr:row>2</xdr:row>
      <xdr:rowOff>901216</xdr:rowOff>
    </xdr:to>
    <xdr:sp macro="" textlink="">
      <xdr:nvSpPr>
        <xdr:cNvPr id="3" name="Freeform: Shape 2">
          <a:extLst>
            <a:ext uri="{FF2B5EF4-FFF2-40B4-BE49-F238E27FC236}">
              <a16:creationId xmlns:a16="http://schemas.microsoft.com/office/drawing/2014/main" id="{223DF4E0-E742-4A03-89FC-AF3C0D1EB6DF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SpPr/>
      </xdr:nvSpPr>
      <xdr:spPr>
        <a:xfrm>
          <a:off x="7707813" y="197057"/>
          <a:ext cx="6889430" cy="1199459"/>
        </a:xfrm>
        <a:custGeom>
          <a:avLst/>
          <a:gdLst>
            <a:gd name="connsiteX0" fmla="*/ 2974317 w 6889430"/>
            <a:gd name="connsiteY0" fmla="*/ 1199459 h 1199459"/>
            <a:gd name="connsiteX1" fmla="*/ 2679223 w 6889430"/>
            <a:gd name="connsiteY1" fmla="*/ 537557 h 1199459"/>
            <a:gd name="connsiteX2" fmla="*/ 2512685 w 6889430"/>
            <a:gd name="connsiteY2" fmla="*/ 28695 h 1199459"/>
            <a:gd name="connsiteX3" fmla="*/ 2311085 w 6889430"/>
            <a:gd name="connsiteY3" fmla="*/ 441906 h 1199459"/>
            <a:gd name="connsiteX4" fmla="*/ 2071504 w 6889430"/>
            <a:gd name="connsiteY4" fmla="*/ 876160 h 1199459"/>
            <a:gd name="connsiteX5" fmla="*/ 1855296 w 6889430"/>
            <a:gd name="connsiteY5" fmla="*/ 589208 h 1199459"/>
            <a:gd name="connsiteX6" fmla="*/ 1679993 w 6889430"/>
            <a:gd name="connsiteY6" fmla="*/ 325212 h 1199459"/>
            <a:gd name="connsiteX7" fmla="*/ 1484237 w 6889430"/>
            <a:gd name="connsiteY7" fmla="*/ 681033 h 1199459"/>
            <a:gd name="connsiteX8" fmla="*/ 1206673 w 6889430"/>
            <a:gd name="connsiteY8" fmla="*/ 1099983 h 1199459"/>
            <a:gd name="connsiteX9" fmla="*/ 955404 w 6889430"/>
            <a:gd name="connsiteY9" fmla="*/ 791987 h 1199459"/>
            <a:gd name="connsiteX10" fmla="*/ 777179 w 6889430"/>
            <a:gd name="connsiteY10" fmla="*/ 529905 h 1199459"/>
            <a:gd name="connsiteX11" fmla="*/ 777179 w 6889430"/>
            <a:gd name="connsiteY11" fmla="*/ 529905 h 1199459"/>
            <a:gd name="connsiteX12" fmla="*/ 587267 w 6889430"/>
            <a:gd name="connsiteY12" fmla="*/ 747988 h 1199459"/>
            <a:gd name="connsiteX13" fmla="*/ 350607 w 6889430"/>
            <a:gd name="connsiteY13" fmla="*/ 989028 h 1199459"/>
            <a:gd name="connsiteX14" fmla="*/ 350607 w 6889430"/>
            <a:gd name="connsiteY14" fmla="*/ 989028 h 1199459"/>
            <a:gd name="connsiteX15" fmla="*/ 178225 w 6889430"/>
            <a:gd name="connsiteY15" fmla="*/ 816857 h 1199459"/>
            <a:gd name="connsiteX16" fmla="*/ 20452 w 6889430"/>
            <a:gd name="connsiteY16" fmla="*/ 644685 h 1199459"/>
            <a:gd name="connsiteX17" fmla="*/ 0 w 6889430"/>
            <a:gd name="connsiteY17" fmla="*/ 629381 h 1199459"/>
            <a:gd name="connsiteX18" fmla="*/ 23374 w 6889430"/>
            <a:gd name="connsiteY18" fmla="*/ 615990 h 1199459"/>
            <a:gd name="connsiteX19" fmla="*/ 219129 w 6889430"/>
            <a:gd name="connsiteY19" fmla="*/ 809204 h 1199459"/>
            <a:gd name="connsiteX20" fmla="*/ 350607 w 6889430"/>
            <a:gd name="connsiteY20" fmla="*/ 958419 h 1199459"/>
            <a:gd name="connsiteX21" fmla="*/ 350607 w 6889430"/>
            <a:gd name="connsiteY21" fmla="*/ 958419 h 1199459"/>
            <a:gd name="connsiteX22" fmla="*/ 546363 w 6889430"/>
            <a:gd name="connsiteY22" fmla="*/ 736510 h 1199459"/>
            <a:gd name="connsiteX23" fmla="*/ 780101 w 6889430"/>
            <a:gd name="connsiteY23" fmla="*/ 497383 h 1199459"/>
            <a:gd name="connsiteX24" fmla="*/ 780101 w 6889430"/>
            <a:gd name="connsiteY24" fmla="*/ 497383 h 1199459"/>
            <a:gd name="connsiteX25" fmla="*/ 1002152 w 6889430"/>
            <a:gd name="connsiteY25" fmla="*/ 780509 h 1199459"/>
            <a:gd name="connsiteX26" fmla="*/ 1209595 w 6889430"/>
            <a:gd name="connsiteY26" fmla="*/ 1065548 h 1199459"/>
            <a:gd name="connsiteX27" fmla="*/ 1443333 w 6889430"/>
            <a:gd name="connsiteY27" fmla="*/ 671468 h 1199459"/>
            <a:gd name="connsiteX28" fmla="*/ 1682914 w 6889430"/>
            <a:gd name="connsiteY28" fmla="*/ 292691 h 1199459"/>
            <a:gd name="connsiteX29" fmla="*/ 1899122 w 6889430"/>
            <a:gd name="connsiteY29" fmla="*/ 579643 h 1199459"/>
            <a:gd name="connsiteX30" fmla="*/ 2074426 w 6889430"/>
            <a:gd name="connsiteY30" fmla="*/ 843639 h 1199459"/>
            <a:gd name="connsiteX31" fmla="*/ 2270181 w 6889430"/>
            <a:gd name="connsiteY31" fmla="*/ 434254 h 1199459"/>
            <a:gd name="connsiteX32" fmla="*/ 2512685 w 6889430"/>
            <a:gd name="connsiteY32" fmla="*/ 0 h 1199459"/>
            <a:gd name="connsiteX33" fmla="*/ 2720127 w 6889430"/>
            <a:gd name="connsiteY33" fmla="*/ 535644 h 1199459"/>
            <a:gd name="connsiteX34" fmla="*/ 2971396 w 6889430"/>
            <a:gd name="connsiteY34" fmla="*/ 1170764 h 1199459"/>
            <a:gd name="connsiteX35" fmla="*/ 3199290 w 6889430"/>
            <a:gd name="connsiteY35" fmla="*/ 732684 h 1199459"/>
            <a:gd name="connsiteX36" fmla="*/ 3459324 w 6889430"/>
            <a:gd name="connsiteY36" fmla="*/ 281213 h 1199459"/>
            <a:gd name="connsiteX37" fmla="*/ 3669688 w 6889430"/>
            <a:gd name="connsiteY37" fmla="*/ 594947 h 1199459"/>
            <a:gd name="connsiteX38" fmla="*/ 3818696 w 6889430"/>
            <a:gd name="connsiteY38" fmla="*/ 864682 h 1199459"/>
            <a:gd name="connsiteX39" fmla="*/ 3958939 w 6889430"/>
            <a:gd name="connsiteY39" fmla="*/ 736510 h 1199459"/>
            <a:gd name="connsiteX40" fmla="*/ 4154695 w 6889430"/>
            <a:gd name="connsiteY40" fmla="*/ 581556 h 1199459"/>
            <a:gd name="connsiteX41" fmla="*/ 4341685 w 6889430"/>
            <a:gd name="connsiteY41" fmla="*/ 784335 h 1199459"/>
            <a:gd name="connsiteX42" fmla="*/ 4546206 w 6889430"/>
            <a:gd name="connsiteY42" fmla="*/ 1011984 h 1199459"/>
            <a:gd name="connsiteX43" fmla="*/ 4777023 w 6889430"/>
            <a:gd name="connsiteY43" fmla="*/ 583469 h 1199459"/>
            <a:gd name="connsiteX44" fmla="*/ 5042900 w 6889430"/>
            <a:gd name="connsiteY44" fmla="*/ 139650 h 1199459"/>
            <a:gd name="connsiteX45" fmla="*/ 5279560 w 6889430"/>
            <a:gd name="connsiteY45" fmla="*/ 558600 h 1199459"/>
            <a:gd name="connsiteX46" fmla="*/ 5469472 w 6889430"/>
            <a:gd name="connsiteY46" fmla="*/ 946941 h 1199459"/>
            <a:gd name="connsiteX47" fmla="*/ 5662305 w 6889430"/>
            <a:gd name="connsiteY47" fmla="*/ 694424 h 1199459"/>
            <a:gd name="connsiteX48" fmla="*/ 5896043 w 6889430"/>
            <a:gd name="connsiteY48" fmla="*/ 420863 h 1199459"/>
            <a:gd name="connsiteX49" fmla="*/ 6129782 w 6889430"/>
            <a:gd name="connsiteY49" fmla="*/ 700163 h 1199459"/>
            <a:gd name="connsiteX50" fmla="*/ 6386894 w 6889430"/>
            <a:gd name="connsiteY50" fmla="*/ 1013897 h 1199459"/>
            <a:gd name="connsiteX51" fmla="*/ 6389815 w 6889430"/>
            <a:gd name="connsiteY51" fmla="*/ 1013897 h 1199459"/>
            <a:gd name="connsiteX52" fmla="*/ 6565119 w 6889430"/>
            <a:gd name="connsiteY52" fmla="*/ 845552 h 1199459"/>
            <a:gd name="connsiteX53" fmla="*/ 6868978 w 6889430"/>
            <a:gd name="connsiteY53" fmla="*/ 608338 h 1199459"/>
            <a:gd name="connsiteX54" fmla="*/ 6889430 w 6889430"/>
            <a:gd name="connsiteY54" fmla="*/ 621729 h 1199459"/>
            <a:gd name="connsiteX55" fmla="*/ 6868978 w 6889430"/>
            <a:gd name="connsiteY55" fmla="*/ 635120 h 1199459"/>
            <a:gd name="connsiteX56" fmla="*/ 6606023 w 6889430"/>
            <a:gd name="connsiteY56" fmla="*/ 853204 h 1199459"/>
            <a:gd name="connsiteX57" fmla="*/ 6386894 w 6889430"/>
            <a:gd name="connsiteY57" fmla="*/ 1040679 h 1199459"/>
            <a:gd name="connsiteX58" fmla="*/ 6088878 w 6889430"/>
            <a:gd name="connsiteY58" fmla="*/ 705902 h 1199459"/>
            <a:gd name="connsiteX59" fmla="*/ 5896043 w 6889430"/>
            <a:gd name="connsiteY59" fmla="*/ 447645 h 1199459"/>
            <a:gd name="connsiteX60" fmla="*/ 5703210 w 6889430"/>
            <a:gd name="connsiteY60" fmla="*/ 700163 h 1199459"/>
            <a:gd name="connsiteX61" fmla="*/ 5469472 w 6889430"/>
            <a:gd name="connsiteY61" fmla="*/ 973724 h 1199459"/>
            <a:gd name="connsiteX62" fmla="*/ 5235734 w 6889430"/>
            <a:gd name="connsiteY62" fmla="*/ 560513 h 1199459"/>
            <a:gd name="connsiteX63" fmla="*/ 5042900 w 6889430"/>
            <a:gd name="connsiteY63" fmla="*/ 166432 h 1199459"/>
            <a:gd name="connsiteX64" fmla="*/ 4820849 w 6889430"/>
            <a:gd name="connsiteY64" fmla="*/ 585382 h 1199459"/>
            <a:gd name="connsiteX65" fmla="*/ 4546206 w 6889430"/>
            <a:gd name="connsiteY65" fmla="*/ 1038766 h 1199459"/>
            <a:gd name="connsiteX66" fmla="*/ 4300781 w 6889430"/>
            <a:gd name="connsiteY66" fmla="*/ 791987 h 1199459"/>
            <a:gd name="connsiteX67" fmla="*/ 4154695 w 6889430"/>
            <a:gd name="connsiteY67" fmla="*/ 608338 h 1199459"/>
            <a:gd name="connsiteX68" fmla="*/ 3999843 w 6889430"/>
            <a:gd name="connsiteY68" fmla="*/ 744162 h 1199459"/>
            <a:gd name="connsiteX69" fmla="*/ 3818696 w 6889430"/>
            <a:gd name="connsiteY69" fmla="*/ 891464 h 1199459"/>
            <a:gd name="connsiteX70" fmla="*/ 3625862 w 6889430"/>
            <a:gd name="connsiteY70" fmla="*/ 596860 h 1199459"/>
            <a:gd name="connsiteX71" fmla="*/ 3456402 w 6889430"/>
            <a:gd name="connsiteY71" fmla="*/ 307995 h 1199459"/>
            <a:gd name="connsiteX72" fmla="*/ 3240194 w 6889430"/>
            <a:gd name="connsiteY72" fmla="*/ 734597 h 1199459"/>
            <a:gd name="connsiteX73" fmla="*/ 2974317 w 6889430"/>
            <a:gd name="connsiteY73" fmla="*/ 1199459 h 1199459"/>
            <a:gd name="connsiteX74" fmla="*/ 2974317 w 6889430"/>
            <a:gd name="connsiteY74" fmla="*/ 1199459 h 1199459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  <a:cxn ang="0">
              <a:pos x="connsiteX55" y="connsiteY55"/>
            </a:cxn>
            <a:cxn ang="0">
              <a:pos x="connsiteX56" y="connsiteY56"/>
            </a:cxn>
            <a:cxn ang="0">
              <a:pos x="connsiteX57" y="connsiteY57"/>
            </a:cxn>
            <a:cxn ang="0">
              <a:pos x="connsiteX58" y="connsiteY58"/>
            </a:cxn>
            <a:cxn ang="0">
              <a:pos x="connsiteX59" y="connsiteY59"/>
            </a:cxn>
            <a:cxn ang="0">
              <a:pos x="connsiteX60" y="connsiteY60"/>
            </a:cxn>
            <a:cxn ang="0">
              <a:pos x="connsiteX61" y="connsiteY61"/>
            </a:cxn>
            <a:cxn ang="0">
              <a:pos x="connsiteX62" y="connsiteY62"/>
            </a:cxn>
            <a:cxn ang="0">
              <a:pos x="connsiteX63" y="connsiteY63"/>
            </a:cxn>
            <a:cxn ang="0">
              <a:pos x="connsiteX64" y="connsiteY64"/>
            </a:cxn>
            <a:cxn ang="0">
              <a:pos x="connsiteX65" y="connsiteY65"/>
            </a:cxn>
            <a:cxn ang="0">
              <a:pos x="connsiteX66" y="connsiteY66"/>
            </a:cxn>
            <a:cxn ang="0">
              <a:pos x="connsiteX67" y="connsiteY67"/>
            </a:cxn>
            <a:cxn ang="0">
              <a:pos x="connsiteX68" y="connsiteY68"/>
            </a:cxn>
            <a:cxn ang="0">
              <a:pos x="connsiteX69" y="connsiteY69"/>
            </a:cxn>
            <a:cxn ang="0">
              <a:pos x="connsiteX70" y="connsiteY70"/>
            </a:cxn>
            <a:cxn ang="0">
              <a:pos x="connsiteX71" y="connsiteY71"/>
            </a:cxn>
            <a:cxn ang="0">
              <a:pos x="connsiteX72" y="connsiteY72"/>
            </a:cxn>
            <a:cxn ang="0">
              <a:pos x="connsiteX73" y="connsiteY73"/>
            </a:cxn>
            <a:cxn ang="0">
              <a:pos x="connsiteX74" y="connsiteY74"/>
            </a:cxn>
          </a:cxnLst>
          <a:rect l="l" t="t" r="r" b="b"/>
          <a:pathLst>
            <a:path w="6889430" h="1199459">
              <a:moveTo>
                <a:pt x="2974317" y="1199459"/>
              </a:moveTo>
              <a:cubicBezTo>
                <a:pt x="2743501" y="1199459"/>
                <a:pt x="2711362" y="862769"/>
                <a:pt x="2679223" y="537557"/>
              </a:cubicBezTo>
              <a:cubicBezTo>
                <a:pt x="2655849" y="298430"/>
                <a:pt x="2629554" y="28695"/>
                <a:pt x="2512685" y="28695"/>
              </a:cubicBezTo>
              <a:cubicBezTo>
                <a:pt x="2387050" y="28695"/>
                <a:pt x="2346146" y="248692"/>
                <a:pt x="2311085" y="441906"/>
              </a:cubicBezTo>
              <a:cubicBezTo>
                <a:pt x="2270181" y="665729"/>
                <a:pt x="2232199" y="876160"/>
                <a:pt x="2071504" y="876160"/>
              </a:cubicBezTo>
              <a:cubicBezTo>
                <a:pt x="1945870" y="876160"/>
                <a:pt x="1902044" y="736510"/>
                <a:pt x="1855296" y="589208"/>
              </a:cubicBezTo>
              <a:cubicBezTo>
                <a:pt x="1814392" y="464862"/>
                <a:pt x="1770566" y="325212"/>
                <a:pt x="1679993" y="325212"/>
              </a:cubicBezTo>
              <a:cubicBezTo>
                <a:pt x="1577732" y="325212"/>
                <a:pt x="1528063" y="514601"/>
                <a:pt x="1484237" y="681033"/>
              </a:cubicBezTo>
              <a:cubicBezTo>
                <a:pt x="1428724" y="895290"/>
                <a:pt x="1373211" y="1099983"/>
                <a:pt x="1206673" y="1099983"/>
              </a:cubicBezTo>
              <a:cubicBezTo>
                <a:pt x="1051821" y="1099983"/>
                <a:pt x="1002152" y="943115"/>
                <a:pt x="955404" y="791987"/>
              </a:cubicBezTo>
              <a:cubicBezTo>
                <a:pt x="914500" y="663816"/>
                <a:pt x="873596" y="529905"/>
                <a:pt x="777179" y="529905"/>
              </a:cubicBezTo>
              <a:lnTo>
                <a:pt x="777179" y="529905"/>
              </a:lnTo>
              <a:cubicBezTo>
                <a:pt x="686606" y="529905"/>
                <a:pt x="636936" y="640859"/>
                <a:pt x="587267" y="747988"/>
              </a:cubicBezTo>
              <a:cubicBezTo>
                <a:pt x="531754" y="866595"/>
                <a:pt x="476241" y="989028"/>
                <a:pt x="350607" y="989028"/>
              </a:cubicBezTo>
              <a:lnTo>
                <a:pt x="350607" y="989028"/>
              </a:lnTo>
              <a:cubicBezTo>
                <a:pt x="236660" y="989028"/>
                <a:pt x="207443" y="901029"/>
                <a:pt x="178225" y="816857"/>
              </a:cubicBezTo>
              <a:cubicBezTo>
                <a:pt x="149008" y="734597"/>
                <a:pt x="119791" y="650424"/>
                <a:pt x="20452" y="644685"/>
              </a:cubicBezTo>
              <a:cubicBezTo>
                <a:pt x="8765" y="644685"/>
                <a:pt x="0" y="637033"/>
                <a:pt x="0" y="629381"/>
              </a:cubicBezTo>
              <a:cubicBezTo>
                <a:pt x="0" y="621729"/>
                <a:pt x="11687" y="615990"/>
                <a:pt x="23374" y="615990"/>
              </a:cubicBezTo>
              <a:cubicBezTo>
                <a:pt x="154851" y="621729"/>
                <a:pt x="189912" y="721206"/>
                <a:pt x="219129" y="809204"/>
              </a:cubicBezTo>
              <a:cubicBezTo>
                <a:pt x="245425" y="885725"/>
                <a:pt x="271721" y="958419"/>
                <a:pt x="350607" y="958419"/>
              </a:cubicBezTo>
              <a:lnTo>
                <a:pt x="350607" y="958419"/>
              </a:lnTo>
              <a:cubicBezTo>
                <a:pt x="444102" y="958419"/>
                <a:pt x="496693" y="845552"/>
                <a:pt x="546363" y="736510"/>
              </a:cubicBezTo>
              <a:cubicBezTo>
                <a:pt x="601876" y="614077"/>
                <a:pt x="657388" y="499296"/>
                <a:pt x="780101" y="497383"/>
              </a:cubicBezTo>
              <a:lnTo>
                <a:pt x="780101" y="497383"/>
              </a:lnTo>
              <a:cubicBezTo>
                <a:pt x="914500" y="497383"/>
                <a:pt x="955404" y="635120"/>
                <a:pt x="1002152" y="780509"/>
              </a:cubicBezTo>
              <a:cubicBezTo>
                <a:pt x="1045978" y="920159"/>
                <a:pt x="1089804" y="1065548"/>
                <a:pt x="1209595" y="1065548"/>
              </a:cubicBezTo>
              <a:cubicBezTo>
                <a:pt x="1341072" y="1065548"/>
                <a:pt x="1396585" y="855117"/>
                <a:pt x="1443333" y="671468"/>
              </a:cubicBezTo>
              <a:cubicBezTo>
                <a:pt x="1495924" y="468688"/>
                <a:pt x="1542672" y="292691"/>
                <a:pt x="1682914" y="292691"/>
              </a:cubicBezTo>
              <a:cubicBezTo>
                <a:pt x="1808549" y="292691"/>
                <a:pt x="1852374" y="432341"/>
                <a:pt x="1899122" y="579643"/>
              </a:cubicBezTo>
              <a:cubicBezTo>
                <a:pt x="1940026" y="703989"/>
                <a:pt x="1983852" y="843639"/>
                <a:pt x="2074426" y="843639"/>
              </a:cubicBezTo>
              <a:cubicBezTo>
                <a:pt x="2197138" y="843639"/>
                <a:pt x="2235121" y="625555"/>
                <a:pt x="2270181" y="434254"/>
              </a:cubicBezTo>
              <a:cubicBezTo>
                <a:pt x="2311085" y="212344"/>
                <a:pt x="2349068" y="0"/>
                <a:pt x="2512685" y="0"/>
              </a:cubicBezTo>
              <a:cubicBezTo>
                <a:pt x="2670458" y="0"/>
                <a:pt x="2693832" y="248692"/>
                <a:pt x="2720127" y="535644"/>
              </a:cubicBezTo>
              <a:cubicBezTo>
                <a:pt x="2749344" y="834074"/>
                <a:pt x="2781484" y="1170764"/>
                <a:pt x="2971396" y="1170764"/>
              </a:cubicBezTo>
              <a:cubicBezTo>
                <a:pt x="3126247" y="1170764"/>
                <a:pt x="3164230" y="946941"/>
                <a:pt x="3199290" y="732684"/>
              </a:cubicBezTo>
              <a:cubicBezTo>
                <a:pt x="3237273" y="499296"/>
                <a:pt x="3272333" y="281213"/>
                <a:pt x="3459324" y="281213"/>
              </a:cubicBezTo>
              <a:cubicBezTo>
                <a:pt x="3622941" y="281213"/>
                <a:pt x="3646314" y="439993"/>
                <a:pt x="3669688" y="594947"/>
              </a:cubicBezTo>
              <a:cubicBezTo>
                <a:pt x="3690140" y="726945"/>
                <a:pt x="3710593" y="864682"/>
                <a:pt x="3818696" y="864682"/>
              </a:cubicBezTo>
              <a:cubicBezTo>
                <a:pt x="3885896" y="864682"/>
                <a:pt x="3920957" y="801552"/>
                <a:pt x="3958939" y="736510"/>
              </a:cubicBezTo>
              <a:cubicBezTo>
                <a:pt x="4002765" y="659989"/>
                <a:pt x="4046591" y="581556"/>
                <a:pt x="4154695" y="581556"/>
              </a:cubicBezTo>
              <a:cubicBezTo>
                <a:pt x="4245268" y="581556"/>
                <a:pt x="4289094" y="675294"/>
                <a:pt x="4341685" y="784335"/>
              </a:cubicBezTo>
              <a:cubicBezTo>
                <a:pt x="4391354" y="891464"/>
                <a:pt x="4446868" y="1011984"/>
                <a:pt x="4546206" y="1011984"/>
              </a:cubicBezTo>
              <a:cubicBezTo>
                <a:pt x="4677684" y="1011984"/>
                <a:pt x="4730275" y="784335"/>
                <a:pt x="4777023" y="583469"/>
              </a:cubicBezTo>
              <a:cubicBezTo>
                <a:pt x="4829613" y="355820"/>
                <a:pt x="4879283" y="139650"/>
                <a:pt x="5042900" y="139650"/>
              </a:cubicBezTo>
              <a:cubicBezTo>
                <a:pt x="5194829" y="139650"/>
                <a:pt x="5235734" y="342429"/>
                <a:pt x="5279560" y="558600"/>
              </a:cubicBezTo>
              <a:cubicBezTo>
                <a:pt x="5317542" y="740336"/>
                <a:pt x="5358446" y="946941"/>
                <a:pt x="5469472" y="946941"/>
              </a:cubicBezTo>
              <a:cubicBezTo>
                <a:pt x="5560045" y="946941"/>
                <a:pt x="5612636" y="813031"/>
                <a:pt x="5662305" y="694424"/>
              </a:cubicBezTo>
              <a:cubicBezTo>
                <a:pt x="5720740" y="552861"/>
                <a:pt x="5773331" y="420863"/>
                <a:pt x="5896043" y="420863"/>
              </a:cubicBezTo>
              <a:cubicBezTo>
                <a:pt x="6012913" y="420863"/>
                <a:pt x="6068426" y="549035"/>
                <a:pt x="6129782" y="700163"/>
              </a:cubicBezTo>
              <a:cubicBezTo>
                <a:pt x="6191138" y="845552"/>
                <a:pt x="6261259" y="1010071"/>
                <a:pt x="6386894" y="1013897"/>
              </a:cubicBezTo>
              <a:cubicBezTo>
                <a:pt x="6386894" y="1013897"/>
                <a:pt x="6389815" y="1013897"/>
                <a:pt x="6389815" y="1013897"/>
              </a:cubicBezTo>
              <a:cubicBezTo>
                <a:pt x="6474545" y="1013897"/>
                <a:pt x="6518371" y="931637"/>
                <a:pt x="6565119" y="845552"/>
              </a:cubicBezTo>
              <a:cubicBezTo>
                <a:pt x="6623554" y="734597"/>
                <a:pt x="6693675" y="608338"/>
                <a:pt x="6868978" y="608338"/>
              </a:cubicBezTo>
              <a:cubicBezTo>
                <a:pt x="6880666" y="608338"/>
                <a:pt x="6889430" y="614077"/>
                <a:pt x="6889430" y="621729"/>
              </a:cubicBezTo>
              <a:cubicBezTo>
                <a:pt x="6889430" y="629381"/>
                <a:pt x="6880666" y="635120"/>
                <a:pt x="6868978" y="635120"/>
              </a:cubicBezTo>
              <a:cubicBezTo>
                <a:pt x="6722892" y="635120"/>
                <a:pt x="6664458" y="746075"/>
                <a:pt x="6606023" y="853204"/>
              </a:cubicBezTo>
              <a:cubicBezTo>
                <a:pt x="6553432" y="950767"/>
                <a:pt x="6503763" y="1044505"/>
                <a:pt x="6386894" y="1040679"/>
              </a:cubicBezTo>
              <a:cubicBezTo>
                <a:pt x="6226199" y="1036853"/>
                <a:pt x="6156077" y="868508"/>
                <a:pt x="6088878" y="705902"/>
              </a:cubicBezTo>
              <a:cubicBezTo>
                <a:pt x="6036286" y="579643"/>
                <a:pt x="5980774" y="447645"/>
                <a:pt x="5896043" y="447645"/>
              </a:cubicBezTo>
              <a:cubicBezTo>
                <a:pt x="5805470" y="447645"/>
                <a:pt x="5752879" y="581556"/>
                <a:pt x="5703210" y="700163"/>
              </a:cubicBezTo>
              <a:cubicBezTo>
                <a:pt x="5644775" y="839813"/>
                <a:pt x="5592184" y="973724"/>
                <a:pt x="5469472" y="973724"/>
              </a:cubicBezTo>
              <a:cubicBezTo>
                <a:pt x="5320464" y="973724"/>
                <a:pt x="5279560" y="772857"/>
                <a:pt x="5235734" y="560513"/>
              </a:cubicBezTo>
              <a:cubicBezTo>
                <a:pt x="5197751" y="376864"/>
                <a:pt x="5156847" y="166432"/>
                <a:pt x="5042900" y="166432"/>
              </a:cubicBezTo>
              <a:cubicBezTo>
                <a:pt x="4917265" y="166432"/>
                <a:pt x="4864674" y="388342"/>
                <a:pt x="4820849" y="585382"/>
              </a:cubicBezTo>
              <a:cubicBezTo>
                <a:pt x="4768257" y="818770"/>
                <a:pt x="4715666" y="1038766"/>
                <a:pt x="4546206" y="1038766"/>
              </a:cubicBezTo>
              <a:cubicBezTo>
                <a:pt x="4414728" y="1038766"/>
                <a:pt x="4356294" y="912507"/>
                <a:pt x="4300781" y="791987"/>
              </a:cubicBezTo>
              <a:cubicBezTo>
                <a:pt x="4259877" y="705902"/>
                <a:pt x="4216051" y="608338"/>
                <a:pt x="4154695" y="608338"/>
              </a:cubicBezTo>
              <a:cubicBezTo>
                <a:pt x="4078730" y="608338"/>
                <a:pt x="4037826" y="677207"/>
                <a:pt x="3999843" y="744162"/>
              </a:cubicBezTo>
              <a:cubicBezTo>
                <a:pt x="3958939" y="816857"/>
                <a:pt x="3915113" y="891464"/>
                <a:pt x="3818696" y="891464"/>
              </a:cubicBezTo>
              <a:cubicBezTo>
                <a:pt x="3672610" y="891464"/>
                <a:pt x="3649236" y="747988"/>
                <a:pt x="3625862" y="596860"/>
              </a:cubicBezTo>
              <a:cubicBezTo>
                <a:pt x="3602488" y="455297"/>
                <a:pt x="3582036" y="307995"/>
                <a:pt x="3456402" y="307995"/>
              </a:cubicBezTo>
              <a:cubicBezTo>
                <a:pt x="3310316" y="307995"/>
                <a:pt x="3275255" y="524166"/>
                <a:pt x="3240194" y="734597"/>
              </a:cubicBezTo>
              <a:cubicBezTo>
                <a:pt x="3205134" y="973724"/>
                <a:pt x="3170073" y="1199459"/>
                <a:pt x="2974317" y="1199459"/>
              </a:cubicBezTo>
              <a:lnTo>
                <a:pt x="2974317" y="1199459"/>
              </a:lnTo>
              <a:close/>
            </a:path>
          </a:pathLst>
        </a:custGeom>
        <a:solidFill>
          <a:schemeClr val="accent1">
            <a:lumMod val="40000"/>
            <a:lumOff val="60000"/>
          </a:schemeClr>
        </a:solidFill>
        <a:ln w="29208" cap="flat">
          <a:noFill/>
          <a:prstDash val="solid"/>
          <a:miter/>
        </a:ln>
      </xdr:spPr>
      <xdr:txBody>
        <a:bodyPr rtlCol="0" anchor="ctr"/>
        <a:lstStyle/>
        <a:p>
          <a:endParaRPr lang="en-US"/>
        </a:p>
      </xdr:txBody>
    </xdr:sp>
    <xdr:clientData/>
  </xdr:twoCellAnchor>
  <xdr:twoCellAnchor>
    <xdr:from>
      <xdr:col>5</xdr:col>
      <xdr:colOff>3928</xdr:colOff>
      <xdr:row>1</xdr:row>
      <xdr:rowOff>142421</xdr:rowOff>
    </xdr:from>
    <xdr:to>
      <xdr:col>9</xdr:col>
      <xdr:colOff>961445</xdr:colOff>
      <xdr:row>2</xdr:row>
      <xdr:rowOff>794087</xdr:rowOff>
    </xdr:to>
    <xdr:sp macro="" textlink="">
      <xdr:nvSpPr>
        <xdr:cNvPr id="4" name="Freeform: Shape 3">
          <a:extLst>
            <a:ext uri="{FF2B5EF4-FFF2-40B4-BE49-F238E27FC236}">
              <a16:creationId xmlns:a16="http://schemas.microsoft.com/office/drawing/2014/main" id="{382F7638-4647-4601-9598-FF333CBCA93B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SpPr/>
      </xdr:nvSpPr>
      <xdr:spPr>
        <a:xfrm>
          <a:off x="7704891" y="342446"/>
          <a:ext cx="6901117" cy="946941"/>
        </a:xfrm>
        <a:custGeom>
          <a:avLst/>
          <a:gdLst>
            <a:gd name="connsiteX0" fmla="*/ 2968474 w 6901117"/>
            <a:gd name="connsiteY0" fmla="*/ 946941 h 946941"/>
            <a:gd name="connsiteX1" fmla="*/ 2690910 w 6901117"/>
            <a:gd name="connsiteY1" fmla="*/ 441906 h 946941"/>
            <a:gd name="connsiteX2" fmla="*/ 2512685 w 6901117"/>
            <a:gd name="connsiteY2" fmla="*/ 28695 h 946941"/>
            <a:gd name="connsiteX3" fmla="*/ 2316929 w 6901117"/>
            <a:gd name="connsiteY3" fmla="*/ 350081 h 946941"/>
            <a:gd name="connsiteX4" fmla="*/ 2080269 w 6901117"/>
            <a:gd name="connsiteY4" fmla="*/ 692511 h 946941"/>
            <a:gd name="connsiteX5" fmla="*/ 1855296 w 6901117"/>
            <a:gd name="connsiteY5" fmla="*/ 472514 h 946941"/>
            <a:gd name="connsiteX6" fmla="*/ 1674149 w 6901117"/>
            <a:gd name="connsiteY6" fmla="*/ 271648 h 946941"/>
            <a:gd name="connsiteX7" fmla="*/ 1446255 w 6901117"/>
            <a:gd name="connsiteY7" fmla="*/ 570078 h 946941"/>
            <a:gd name="connsiteX8" fmla="*/ 1206673 w 6901117"/>
            <a:gd name="connsiteY8" fmla="*/ 866595 h 946941"/>
            <a:gd name="connsiteX9" fmla="*/ 972935 w 6901117"/>
            <a:gd name="connsiteY9" fmla="*/ 627468 h 946941"/>
            <a:gd name="connsiteX10" fmla="*/ 809318 w 6901117"/>
            <a:gd name="connsiteY10" fmla="*/ 428515 h 946941"/>
            <a:gd name="connsiteX11" fmla="*/ 809318 w 6901117"/>
            <a:gd name="connsiteY11" fmla="*/ 428515 h 946941"/>
            <a:gd name="connsiteX12" fmla="*/ 639858 w 6901117"/>
            <a:gd name="connsiteY12" fmla="*/ 583469 h 946941"/>
            <a:gd name="connsiteX13" fmla="*/ 414885 w 6901117"/>
            <a:gd name="connsiteY13" fmla="*/ 767118 h 946941"/>
            <a:gd name="connsiteX14" fmla="*/ 186990 w 6901117"/>
            <a:gd name="connsiteY14" fmla="*/ 619816 h 946941"/>
            <a:gd name="connsiteX15" fmla="*/ 20452 w 6901117"/>
            <a:gd name="connsiteY15" fmla="*/ 499296 h 946941"/>
            <a:gd name="connsiteX16" fmla="*/ 20452 w 6901117"/>
            <a:gd name="connsiteY16" fmla="*/ 499296 h 946941"/>
            <a:gd name="connsiteX17" fmla="*/ 0 w 6901117"/>
            <a:gd name="connsiteY17" fmla="*/ 485905 h 946941"/>
            <a:gd name="connsiteX18" fmla="*/ 20452 w 6901117"/>
            <a:gd name="connsiteY18" fmla="*/ 472514 h 946941"/>
            <a:gd name="connsiteX19" fmla="*/ 20452 w 6901117"/>
            <a:gd name="connsiteY19" fmla="*/ 472514 h 946941"/>
            <a:gd name="connsiteX20" fmla="*/ 227895 w 6901117"/>
            <a:gd name="connsiteY20" fmla="*/ 610251 h 946941"/>
            <a:gd name="connsiteX21" fmla="*/ 414885 w 6901117"/>
            <a:gd name="connsiteY21" fmla="*/ 740336 h 946941"/>
            <a:gd name="connsiteX22" fmla="*/ 598954 w 6901117"/>
            <a:gd name="connsiteY22" fmla="*/ 575817 h 946941"/>
            <a:gd name="connsiteX23" fmla="*/ 809318 w 6901117"/>
            <a:gd name="connsiteY23" fmla="*/ 399820 h 946941"/>
            <a:gd name="connsiteX24" fmla="*/ 809318 w 6901117"/>
            <a:gd name="connsiteY24" fmla="*/ 399820 h 946941"/>
            <a:gd name="connsiteX25" fmla="*/ 1016761 w 6901117"/>
            <a:gd name="connsiteY25" fmla="*/ 621729 h 946941"/>
            <a:gd name="connsiteX26" fmla="*/ 1209595 w 6901117"/>
            <a:gd name="connsiteY26" fmla="*/ 839813 h 946941"/>
            <a:gd name="connsiteX27" fmla="*/ 1408272 w 6901117"/>
            <a:gd name="connsiteY27" fmla="*/ 564339 h 946941"/>
            <a:gd name="connsiteX28" fmla="*/ 1677071 w 6901117"/>
            <a:gd name="connsiteY28" fmla="*/ 242953 h 946941"/>
            <a:gd name="connsiteX29" fmla="*/ 1902044 w 6901117"/>
            <a:gd name="connsiteY29" fmla="*/ 462949 h 946941"/>
            <a:gd name="connsiteX30" fmla="*/ 2083191 w 6901117"/>
            <a:gd name="connsiteY30" fmla="*/ 663815 h 946941"/>
            <a:gd name="connsiteX31" fmla="*/ 2276025 w 6901117"/>
            <a:gd name="connsiteY31" fmla="*/ 346255 h 946941"/>
            <a:gd name="connsiteX32" fmla="*/ 2515606 w 6901117"/>
            <a:gd name="connsiteY32" fmla="*/ 0 h 946941"/>
            <a:gd name="connsiteX33" fmla="*/ 2737657 w 6901117"/>
            <a:gd name="connsiteY33" fmla="*/ 438080 h 946941"/>
            <a:gd name="connsiteX34" fmla="*/ 2971396 w 6901117"/>
            <a:gd name="connsiteY34" fmla="*/ 916333 h 946941"/>
            <a:gd name="connsiteX35" fmla="*/ 3225586 w 6901117"/>
            <a:gd name="connsiteY35" fmla="*/ 549035 h 946941"/>
            <a:gd name="connsiteX36" fmla="*/ 3450559 w 6901117"/>
            <a:gd name="connsiteY36" fmla="*/ 218083 h 946941"/>
            <a:gd name="connsiteX37" fmla="*/ 3453480 w 6901117"/>
            <a:gd name="connsiteY37" fmla="*/ 218083 h 946941"/>
            <a:gd name="connsiteX38" fmla="*/ 3628784 w 6901117"/>
            <a:gd name="connsiteY38" fmla="*/ 441906 h 946941"/>
            <a:gd name="connsiteX39" fmla="*/ 3807009 w 6901117"/>
            <a:gd name="connsiteY39" fmla="*/ 675294 h 946941"/>
            <a:gd name="connsiteX40" fmla="*/ 3947252 w 6901117"/>
            <a:gd name="connsiteY40" fmla="*/ 571991 h 946941"/>
            <a:gd name="connsiteX41" fmla="*/ 4140086 w 6901117"/>
            <a:gd name="connsiteY41" fmla="*/ 445732 h 946941"/>
            <a:gd name="connsiteX42" fmla="*/ 4324155 w 6901117"/>
            <a:gd name="connsiteY42" fmla="*/ 610251 h 946941"/>
            <a:gd name="connsiteX43" fmla="*/ 4525754 w 6901117"/>
            <a:gd name="connsiteY43" fmla="*/ 791987 h 946941"/>
            <a:gd name="connsiteX44" fmla="*/ 4753649 w 6901117"/>
            <a:gd name="connsiteY44" fmla="*/ 459123 h 946941"/>
            <a:gd name="connsiteX45" fmla="*/ 5016604 w 6901117"/>
            <a:gd name="connsiteY45" fmla="*/ 109042 h 946941"/>
            <a:gd name="connsiteX46" fmla="*/ 5250342 w 6901117"/>
            <a:gd name="connsiteY46" fmla="*/ 438080 h 946941"/>
            <a:gd name="connsiteX47" fmla="*/ 5437333 w 6901117"/>
            <a:gd name="connsiteY47" fmla="*/ 740336 h 946941"/>
            <a:gd name="connsiteX48" fmla="*/ 5627245 w 6901117"/>
            <a:gd name="connsiteY48" fmla="*/ 543296 h 946941"/>
            <a:gd name="connsiteX49" fmla="*/ 5858061 w 6901117"/>
            <a:gd name="connsiteY49" fmla="*/ 327125 h 946941"/>
            <a:gd name="connsiteX50" fmla="*/ 6080113 w 6901117"/>
            <a:gd name="connsiteY50" fmla="*/ 568165 h 946941"/>
            <a:gd name="connsiteX51" fmla="*/ 6258338 w 6901117"/>
            <a:gd name="connsiteY51" fmla="*/ 790074 h 946941"/>
            <a:gd name="connsiteX52" fmla="*/ 6258338 w 6901117"/>
            <a:gd name="connsiteY52" fmla="*/ 790074 h 946941"/>
            <a:gd name="connsiteX53" fmla="*/ 6389815 w 6901117"/>
            <a:gd name="connsiteY53" fmla="*/ 692511 h 946941"/>
            <a:gd name="connsiteX54" fmla="*/ 6880665 w 6901117"/>
            <a:gd name="connsiteY54" fmla="*/ 457210 h 946941"/>
            <a:gd name="connsiteX55" fmla="*/ 6901117 w 6901117"/>
            <a:gd name="connsiteY55" fmla="*/ 470601 h 946941"/>
            <a:gd name="connsiteX56" fmla="*/ 6880665 w 6901117"/>
            <a:gd name="connsiteY56" fmla="*/ 483992 h 946941"/>
            <a:gd name="connsiteX57" fmla="*/ 6424876 w 6901117"/>
            <a:gd name="connsiteY57" fmla="*/ 703989 h 946941"/>
            <a:gd name="connsiteX58" fmla="*/ 6255416 w 6901117"/>
            <a:gd name="connsiteY58" fmla="*/ 816857 h 946941"/>
            <a:gd name="connsiteX59" fmla="*/ 6252494 w 6901117"/>
            <a:gd name="connsiteY59" fmla="*/ 816857 h 946941"/>
            <a:gd name="connsiteX60" fmla="*/ 6033365 w 6901117"/>
            <a:gd name="connsiteY60" fmla="*/ 573904 h 946941"/>
            <a:gd name="connsiteX61" fmla="*/ 5855139 w 6901117"/>
            <a:gd name="connsiteY61" fmla="*/ 353907 h 946941"/>
            <a:gd name="connsiteX62" fmla="*/ 5665227 w 6901117"/>
            <a:gd name="connsiteY62" fmla="*/ 550948 h 946941"/>
            <a:gd name="connsiteX63" fmla="*/ 5434411 w 6901117"/>
            <a:gd name="connsiteY63" fmla="*/ 767118 h 946941"/>
            <a:gd name="connsiteX64" fmla="*/ 5206516 w 6901117"/>
            <a:gd name="connsiteY64" fmla="*/ 441906 h 946941"/>
            <a:gd name="connsiteX65" fmla="*/ 5016604 w 6901117"/>
            <a:gd name="connsiteY65" fmla="*/ 135824 h 946941"/>
            <a:gd name="connsiteX66" fmla="*/ 4797475 w 6901117"/>
            <a:gd name="connsiteY66" fmla="*/ 461036 h 946941"/>
            <a:gd name="connsiteX67" fmla="*/ 4528676 w 6901117"/>
            <a:gd name="connsiteY67" fmla="*/ 816857 h 946941"/>
            <a:gd name="connsiteX68" fmla="*/ 4286172 w 6901117"/>
            <a:gd name="connsiteY68" fmla="*/ 617903 h 946941"/>
            <a:gd name="connsiteX69" fmla="*/ 4143008 w 6901117"/>
            <a:gd name="connsiteY69" fmla="*/ 472514 h 946941"/>
            <a:gd name="connsiteX70" fmla="*/ 3991078 w 6901117"/>
            <a:gd name="connsiteY70" fmla="*/ 581556 h 946941"/>
            <a:gd name="connsiteX71" fmla="*/ 3812853 w 6901117"/>
            <a:gd name="connsiteY71" fmla="*/ 702076 h 946941"/>
            <a:gd name="connsiteX72" fmla="*/ 3593723 w 6901117"/>
            <a:gd name="connsiteY72" fmla="*/ 443819 h 946941"/>
            <a:gd name="connsiteX73" fmla="*/ 3459324 w 6901117"/>
            <a:gd name="connsiteY73" fmla="*/ 244866 h 946941"/>
            <a:gd name="connsiteX74" fmla="*/ 3459324 w 6901117"/>
            <a:gd name="connsiteY74" fmla="*/ 244866 h 946941"/>
            <a:gd name="connsiteX75" fmla="*/ 3275255 w 6901117"/>
            <a:gd name="connsiteY75" fmla="*/ 550948 h 946941"/>
            <a:gd name="connsiteX76" fmla="*/ 2968474 w 6901117"/>
            <a:gd name="connsiteY76" fmla="*/ 946941 h 946941"/>
            <a:gd name="connsiteX77" fmla="*/ 2968474 w 6901117"/>
            <a:gd name="connsiteY77" fmla="*/ 946941 h 946941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  <a:cxn ang="0">
              <a:pos x="connsiteX55" y="connsiteY55"/>
            </a:cxn>
            <a:cxn ang="0">
              <a:pos x="connsiteX56" y="connsiteY56"/>
            </a:cxn>
            <a:cxn ang="0">
              <a:pos x="connsiteX57" y="connsiteY57"/>
            </a:cxn>
            <a:cxn ang="0">
              <a:pos x="connsiteX58" y="connsiteY58"/>
            </a:cxn>
            <a:cxn ang="0">
              <a:pos x="connsiteX59" y="connsiteY59"/>
            </a:cxn>
            <a:cxn ang="0">
              <a:pos x="connsiteX60" y="connsiteY60"/>
            </a:cxn>
            <a:cxn ang="0">
              <a:pos x="connsiteX61" y="connsiteY61"/>
            </a:cxn>
            <a:cxn ang="0">
              <a:pos x="connsiteX62" y="connsiteY62"/>
            </a:cxn>
            <a:cxn ang="0">
              <a:pos x="connsiteX63" y="connsiteY63"/>
            </a:cxn>
            <a:cxn ang="0">
              <a:pos x="connsiteX64" y="connsiteY64"/>
            </a:cxn>
            <a:cxn ang="0">
              <a:pos x="connsiteX65" y="connsiteY65"/>
            </a:cxn>
            <a:cxn ang="0">
              <a:pos x="connsiteX66" y="connsiteY66"/>
            </a:cxn>
            <a:cxn ang="0">
              <a:pos x="connsiteX67" y="connsiteY67"/>
            </a:cxn>
            <a:cxn ang="0">
              <a:pos x="connsiteX68" y="connsiteY68"/>
            </a:cxn>
            <a:cxn ang="0">
              <a:pos x="connsiteX69" y="connsiteY69"/>
            </a:cxn>
            <a:cxn ang="0">
              <a:pos x="connsiteX70" y="connsiteY70"/>
            </a:cxn>
            <a:cxn ang="0">
              <a:pos x="connsiteX71" y="connsiteY71"/>
            </a:cxn>
            <a:cxn ang="0">
              <a:pos x="connsiteX72" y="connsiteY72"/>
            </a:cxn>
            <a:cxn ang="0">
              <a:pos x="connsiteX73" y="connsiteY73"/>
            </a:cxn>
            <a:cxn ang="0">
              <a:pos x="connsiteX74" y="connsiteY74"/>
            </a:cxn>
            <a:cxn ang="0">
              <a:pos x="connsiteX75" y="connsiteY75"/>
            </a:cxn>
            <a:cxn ang="0">
              <a:pos x="connsiteX76" y="connsiteY76"/>
            </a:cxn>
            <a:cxn ang="0">
              <a:pos x="connsiteX77" y="connsiteY77"/>
            </a:cxn>
          </a:cxnLst>
          <a:rect l="l" t="t" r="r" b="b"/>
          <a:pathLst>
            <a:path w="6901117" h="946941">
              <a:moveTo>
                <a:pt x="2968474" y="946941"/>
              </a:moveTo>
              <a:cubicBezTo>
                <a:pt x="2763953" y="946941"/>
                <a:pt x="2728892" y="690598"/>
                <a:pt x="2690910" y="441906"/>
              </a:cubicBezTo>
              <a:cubicBezTo>
                <a:pt x="2661693" y="239127"/>
                <a:pt x="2632475" y="28695"/>
                <a:pt x="2512685" y="28695"/>
              </a:cubicBezTo>
              <a:cubicBezTo>
                <a:pt x="2389972" y="28695"/>
                <a:pt x="2351990" y="191301"/>
                <a:pt x="2316929" y="350081"/>
              </a:cubicBezTo>
              <a:cubicBezTo>
                <a:pt x="2276025" y="526079"/>
                <a:pt x="2238042" y="692511"/>
                <a:pt x="2080269" y="692511"/>
              </a:cubicBezTo>
              <a:cubicBezTo>
                <a:pt x="1960478" y="692511"/>
                <a:pt x="1907887" y="579643"/>
                <a:pt x="1855296" y="472514"/>
              </a:cubicBezTo>
              <a:cubicBezTo>
                <a:pt x="1808549" y="373038"/>
                <a:pt x="1761801" y="271648"/>
                <a:pt x="1674149" y="271648"/>
              </a:cubicBezTo>
              <a:cubicBezTo>
                <a:pt x="1563124" y="271648"/>
                <a:pt x="1501767" y="430428"/>
                <a:pt x="1446255" y="570078"/>
              </a:cubicBezTo>
              <a:cubicBezTo>
                <a:pt x="1387820" y="723119"/>
                <a:pt x="1332307" y="866595"/>
                <a:pt x="1206673" y="866595"/>
              </a:cubicBezTo>
              <a:cubicBezTo>
                <a:pt x="1054743" y="866595"/>
                <a:pt x="1010917" y="744162"/>
                <a:pt x="972935" y="627468"/>
              </a:cubicBezTo>
              <a:cubicBezTo>
                <a:pt x="937874" y="526079"/>
                <a:pt x="905735" y="428515"/>
                <a:pt x="809318" y="428515"/>
              </a:cubicBezTo>
              <a:lnTo>
                <a:pt x="809318" y="428515"/>
              </a:lnTo>
              <a:cubicBezTo>
                <a:pt x="721666" y="428515"/>
                <a:pt x="683684" y="505035"/>
                <a:pt x="639858" y="583469"/>
              </a:cubicBezTo>
              <a:cubicBezTo>
                <a:pt x="593110" y="673381"/>
                <a:pt x="546363" y="767118"/>
                <a:pt x="414885" y="767118"/>
              </a:cubicBezTo>
              <a:cubicBezTo>
                <a:pt x="280486" y="767118"/>
                <a:pt x="230816" y="688685"/>
                <a:pt x="186990" y="619816"/>
              </a:cubicBezTo>
              <a:cubicBezTo>
                <a:pt x="146086" y="554774"/>
                <a:pt x="111026" y="499296"/>
                <a:pt x="20452" y="499296"/>
              </a:cubicBezTo>
              <a:lnTo>
                <a:pt x="20452" y="499296"/>
              </a:lnTo>
              <a:cubicBezTo>
                <a:pt x="8765" y="499296"/>
                <a:pt x="0" y="493557"/>
                <a:pt x="0" y="485905"/>
              </a:cubicBezTo>
              <a:cubicBezTo>
                <a:pt x="0" y="478253"/>
                <a:pt x="8765" y="472514"/>
                <a:pt x="20452" y="472514"/>
              </a:cubicBezTo>
              <a:lnTo>
                <a:pt x="20452" y="472514"/>
              </a:lnTo>
              <a:cubicBezTo>
                <a:pt x="140243" y="472514"/>
                <a:pt x="184069" y="543296"/>
                <a:pt x="227895" y="610251"/>
              </a:cubicBezTo>
              <a:cubicBezTo>
                <a:pt x="268799" y="677207"/>
                <a:pt x="306781" y="740336"/>
                <a:pt x="414885" y="740336"/>
              </a:cubicBezTo>
              <a:cubicBezTo>
                <a:pt x="514224" y="740336"/>
                <a:pt x="555128" y="659989"/>
                <a:pt x="598954" y="575817"/>
              </a:cubicBezTo>
              <a:cubicBezTo>
                <a:pt x="642780" y="489731"/>
                <a:pt x="689527" y="401733"/>
                <a:pt x="809318" y="399820"/>
              </a:cubicBezTo>
              <a:lnTo>
                <a:pt x="809318" y="399820"/>
              </a:lnTo>
              <a:cubicBezTo>
                <a:pt x="940796" y="399820"/>
                <a:pt x="978778" y="512688"/>
                <a:pt x="1016761" y="621729"/>
              </a:cubicBezTo>
              <a:cubicBezTo>
                <a:pt x="1051821" y="728858"/>
                <a:pt x="1089804" y="839813"/>
                <a:pt x="1209595" y="839813"/>
              </a:cubicBezTo>
              <a:cubicBezTo>
                <a:pt x="1300168" y="839813"/>
                <a:pt x="1358603" y="694424"/>
                <a:pt x="1408272" y="564339"/>
              </a:cubicBezTo>
              <a:cubicBezTo>
                <a:pt x="1472550" y="399820"/>
                <a:pt x="1533906" y="242953"/>
                <a:pt x="1677071" y="242953"/>
              </a:cubicBezTo>
              <a:cubicBezTo>
                <a:pt x="1796862" y="242953"/>
                <a:pt x="1849453" y="355820"/>
                <a:pt x="1902044" y="462949"/>
              </a:cubicBezTo>
              <a:cubicBezTo>
                <a:pt x="1948791" y="562426"/>
                <a:pt x="1995539" y="663815"/>
                <a:pt x="2083191" y="663815"/>
              </a:cubicBezTo>
              <a:cubicBezTo>
                <a:pt x="2202982" y="663815"/>
                <a:pt x="2240964" y="501209"/>
                <a:pt x="2276025" y="346255"/>
              </a:cubicBezTo>
              <a:cubicBezTo>
                <a:pt x="2316929" y="168345"/>
                <a:pt x="2354911" y="0"/>
                <a:pt x="2515606" y="0"/>
              </a:cubicBezTo>
              <a:cubicBezTo>
                <a:pt x="2673380" y="0"/>
                <a:pt x="2702597" y="202779"/>
                <a:pt x="2737657" y="438080"/>
              </a:cubicBezTo>
              <a:cubicBezTo>
                <a:pt x="2769797" y="661903"/>
                <a:pt x="2807779" y="916333"/>
                <a:pt x="2971396" y="916333"/>
              </a:cubicBezTo>
              <a:cubicBezTo>
                <a:pt x="3135012" y="916333"/>
                <a:pt x="3181760" y="721206"/>
                <a:pt x="3225586" y="549035"/>
              </a:cubicBezTo>
              <a:cubicBezTo>
                <a:pt x="3266490" y="380690"/>
                <a:pt x="3307394" y="219996"/>
                <a:pt x="3450559" y="218083"/>
              </a:cubicBezTo>
              <a:cubicBezTo>
                <a:pt x="3450559" y="218083"/>
                <a:pt x="3450559" y="218083"/>
                <a:pt x="3453480" y="218083"/>
              </a:cubicBezTo>
              <a:cubicBezTo>
                <a:pt x="3570349" y="218083"/>
                <a:pt x="3599567" y="327125"/>
                <a:pt x="3628784" y="441906"/>
              </a:cubicBezTo>
              <a:cubicBezTo>
                <a:pt x="3658001" y="556687"/>
                <a:pt x="3690140" y="675294"/>
                <a:pt x="3807009" y="675294"/>
              </a:cubicBezTo>
              <a:cubicBezTo>
                <a:pt x="3874209" y="675294"/>
                <a:pt x="3909270" y="625555"/>
                <a:pt x="3947252" y="571991"/>
              </a:cubicBezTo>
              <a:cubicBezTo>
                <a:pt x="3988156" y="512688"/>
                <a:pt x="4034904" y="445732"/>
                <a:pt x="4140086" y="445732"/>
              </a:cubicBezTo>
              <a:cubicBezTo>
                <a:pt x="4230660" y="445732"/>
                <a:pt x="4274486" y="526079"/>
                <a:pt x="4324155" y="610251"/>
              </a:cubicBezTo>
              <a:cubicBezTo>
                <a:pt x="4373824" y="700163"/>
                <a:pt x="4429337" y="791987"/>
                <a:pt x="4525754" y="791987"/>
              </a:cubicBezTo>
              <a:cubicBezTo>
                <a:pt x="4657232" y="791987"/>
                <a:pt x="4706901" y="621729"/>
                <a:pt x="4753649" y="459123"/>
              </a:cubicBezTo>
              <a:cubicBezTo>
                <a:pt x="4806240" y="279300"/>
                <a:pt x="4852988" y="109042"/>
                <a:pt x="5016604" y="109042"/>
              </a:cubicBezTo>
              <a:cubicBezTo>
                <a:pt x="5168534" y="109042"/>
                <a:pt x="5206516" y="269735"/>
                <a:pt x="5250342" y="438080"/>
              </a:cubicBezTo>
              <a:cubicBezTo>
                <a:pt x="5288325" y="585382"/>
                <a:pt x="5326307" y="740336"/>
                <a:pt x="5437333" y="740336"/>
              </a:cubicBezTo>
              <a:cubicBezTo>
                <a:pt x="5527906" y="740336"/>
                <a:pt x="5577575" y="640859"/>
                <a:pt x="5627245" y="543296"/>
              </a:cubicBezTo>
              <a:cubicBezTo>
                <a:pt x="5682758" y="438080"/>
                <a:pt x="5738270" y="327125"/>
                <a:pt x="5858061" y="327125"/>
              </a:cubicBezTo>
              <a:cubicBezTo>
                <a:pt x="5980774" y="327125"/>
                <a:pt x="6027521" y="443819"/>
                <a:pt x="6080113" y="568165"/>
              </a:cubicBezTo>
              <a:cubicBezTo>
                <a:pt x="6123938" y="677207"/>
                <a:pt x="6170686" y="788161"/>
                <a:pt x="6258338" y="790074"/>
              </a:cubicBezTo>
              <a:cubicBezTo>
                <a:pt x="6258338" y="790074"/>
                <a:pt x="6258338" y="790074"/>
                <a:pt x="6258338" y="790074"/>
              </a:cubicBezTo>
              <a:cubicBezTo>
                <a:pt x="6305085" y="790074"/>
                <a:pt x="6343068" y="746075"/>
                <a:pt x="6389815" y="692511"/>
              </a:cubicBezTo>
              <a:cubicBezTo>
                <a:pt x="6474546" y="593034"/>
                <a:pt x="6594336" y="457210"/>
                <a:pt x="6880665" y="457210"/>
              </a:cubicBezTo>
              <a:cubicBezTo>
                <a:pt x="6892352" y="457210"/>
                <a:pt x="6901117" y="462949"/>
                <a:pt x="6901117" y="470601"/>
              </a:cubicBezTo>
              <a:cubicBezTo>
                <a:pt x="6901117" y="478253"/>
                <a:pt x="6892352" y="483992"/>
                <a:pt x="6880665" y="483992"/>
              </a:cubicBezTo>
              <a:cubicBezTo>
                <a:pt x="6617710" y="483992"/>
                <a:pt x="6512528" y="606425"/>
                <a:pt x="6424876" y="703989"/>
              </a:cubicBezTo>
              <a:cubicBezTo>
                <a:pt x="6369363" y="767118"/>
                <a:pt x="6328459" y="816857"/>
                <a:pt x="6255416" y="816857"/>
              </a:cubicBezTo>
              <a:cubicBezTo>
                <a:pt x="6255416" y="816857"/>
                <a:pt x="6252494" y="816857"/>
                <a:pt x="6252494" y="816857"/>
              </a:cubicBezTo>
              <a:cubicBezTo>
                <a:pt x="6132703" y="814944"/>
                <a:pt x="6083034" y="698250"/>
                <a:pt x="6033365" y="573904"/>
              </a:cubicBezTo>
              <a:cubicBezTo>
                <a:pt x="5989539" y="464862"/>
                <a:pt x="5942791" y="353907"/>
                <a:pt x="5855139" y="353907"/>
              </a:cubicBezTo>
              <a:cubicBezTo>
                <a:pt x="5764566" y="353907"/>
                <a:pt x="5714897" y="453384"/>
                <a:pt x="5665227" y="550948"/>
              </a:cubicBezTo>
              <a:cubicBezTo>
                <a:pt x="5609714" y="656163"/>
                <a:pt x="5554202" y="767118"/>
                <a:pt x="5434411" y="767118"/>
              </a:cubicBezTo>
              <a:cubicBezTo>
                <a:pt x="5288325" y="767118"/>
                <a:pt x="5247421" y="608338"/>
                <a:pt x="5206516" y="441906"/>
              </a:cubicBezTo>
              <a:cubicBezTo>
                <a:pt x="5168534" y="290778"/>
                <a:pt x="5127630" y="135824"/>
                <a:pt x="5016604" y="135824"/>
              </a:cubicBezTo>
              <a:cubicBezTo>
                <a:pt x="4890970" y="135824"/>
                <a:pt x="4844222" y="302256"/>
                <a:pt x="4797475" y="461036"/>
              </a:cubicBezTo>
              <a:cubicBezTo>
                <a:pt x="4744883" y="644685"/>
                <a:pt x="4695214" y="816857"/>
                <a:pt x="4528676" y="816857"/>
              </a:cubicBezTo>
              <a:cubicBezTo>
                <a:pt x="4400120" y="816857"/>
                <a:pt x="4341686" y="709728"/>
                <a:pt x="4286172" y="617903"/>
              </a:cubicBezTo>
              <a:cubicBezTo>
                <a:pt x="4245268" y="545209"/>
                <a:pt x="4201443" y="472514"/>
                <a:pt x="4143008" y="472514"/>
              </a:cubicBezTo>
              <a:cubicBezTo>
                <a:pt x="4067043" y="472514"/>
                <a:pt x="4029060" y="526079"/>
                <a:pt x="3991078" y="581556"/>
              </a:cubicBezTo>
              <a:cubicBezTo>
                <a:pt x="3950174" y="640859"/>
                <a:pt x="3906348" y="702076"/>
                <a:pt x="3812853" y="702076"/>
              </a:cubicBezTo>
              <a:cubicBezTo>
                <a:pt x="3660923" y="702076"/>
                <a:pt x="3625862" y="571991"/>
                <a:pt x="3593723" y="443819"/>
              </a:cubicBezTo>
              <a:cubicBezTo>
                <a:pt x="3567428" y="346255"/>
                <a:pt x="3541132" y="244866"/>
                <a:pt x="3459324" y="244866"/>
              </a:cubicBezTo>
              <a:cubicBezTo>
                <a:pt x="3459324" y="244866"/>
                <a:pt x="3459324" y="244866"/>
                <a:pt x="3459324" y="244866"/>
              </a:cubicBezTo>
              <a:cubicBezTo>
                <a:pt x="3351220" y="246779"/>
                <a:pt x="3313238" y="401733"/>
                <a:pt x="3275255" y="550948"/>
              </a:cubicBezTo>
              <a:cubicBezTo>
                <a:pt x="3216821" y="747988"/>
                <a:pt x="3170073" y="946941"/>
                <a:pt x="2968474" y="946941"/>
              </a:cubicBezTo>
              <a:lnTo>
                <a:pt x="2968474" y="946941"/>
              </a:lnTo>
              <a:close/>
            </a:path>
          </a:pathLst>
        </a:custGeom>
        <a:solidFill>
          <a:schemeClr val="tx2">
            <a:lumMod val="50000"/>
            <a:lumOff val="50000"/>
          </a:schemeClr>
        </a:solidFill>
        <a:ln w="29208" cap="flat">
          <a:noFill/>
          <a:prstDash val="solid"/>
          <a:miter/>
        </a:ln>
      </xdr:spPr>
      <xdr:txBody>
        <a:bodyPr rtlCol="0" anchor="ctr"/>
        <a:lstStyle/>
        <a:p>
          <a:endParaRPr lang="en-US"/>
        </a:p>
      </xdr:txBody>
    </xdr:sp>
    <xdr:clientData/>
  </xdr:twoCellAnchor>
  <xdr:twoCellAnchor>
    <xdr:from>
      <xdr:col>4</xdr:col>
      <xdr:colOff>0</xdr:colOff>
      <xdr:row>1</xdr:row>
      <xdr:rowOff>0</xdr:rowOff>
    </xdr:from>
    <xdr:to>
      <xdr:col>5</xdr:col>
      <xdr:colOff>0</xdr:colOff>
      <xdr:row>2</xdr:row>
      <xdr:rowOff>0</xdr:rowOff>
    </xdr:to>
    <xdr:sp macro="[0]!End_Result.Toggle_Click" textlink="">
      <xdr:nvSpPr>
        <xdr:cNvPr id="6" name="Rectangle 5">
          <a:extLst>
            <a:ext uri="{FF2B5EF4-FFF2-40B4-BE49-F238E27FC236}">
              <a16:creationId xmlns:a16="http://schemas.microsoft.com/office/drawing/2014/main" id="{08FA4E6D-6627-4954-9F44-434B81BBCA58}"/>
            </a:ext>
          </a:extLst>
        </xdr:cNvPr>
        <xdr:cNvSpPr/>
      </xdr:nvSpPr>
      <xdr:spPr>
        <a:xfrm>
          <a:off x="6276975" y="200025"/>
          <a:ext cx="1423988" cy="295275"/>
        </a:xfrm>
        <a:prstGeom prst="rect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Toggle Highlight</a:t>
          </a:r>
        </a:p>
      </xdr:txBody>
    </xdr:sp>
    <xdr:clientData/>
  </xdr:twoCellAnchor>
  <xdr:twoCellAnchor editAs="oneCell">
    <xdr:from>
      <xdr:col>1</xdr:col>
      <xdr:colOff>47624</xdr:colOff>
      <xdr:row>0</xdr:row>
      <xdr:rowOff>154781</xdr:rowOff>
    </xdr:from>
    <xdr:to>
      <xdr:col>2</xdr:col>
      <xdr:colOff>13530</xdr:colOff>
      <xdr:row>2</xdr:row>
      <xdr:rowOff>83343</xdr:rowOff>
    </xdr:to>
    <xdr:pic>
      <xdr:nvPicPr>
        <xdr:cNvPr id="10" name="Picture 9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BE7A012-B1F0-1DAB-D1BA-132A157A3A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9406" y="154781"/>
          <a:ext cx="2533687" cy="762000"/>
        </a:xfrm>
        <a:prstGeom prst="rect">
          <a:avLst/>
        </a:prstGeom>
      </xdr:spPr>
    </xdr:pic>
    <xdr:clientData/>
  </xdr:twoCellAnchor>
  <xdr:twoCellAnchor editAs="absolute">
    <xdr:from>
      <xdr:col>1</xdr:col>
      <xdr:colOff>2539916</xdr:colOff>
      <xdr:row>0</xdr:row>
      <xdr:rowOff>81319</xdr:rowOff>
    </xdr:from>
    <xdr:to>
      <xdr:col>2</xdr:col>
      <xdr:colOff>502449</xdr:colOff>
      <xdr:row>1</xdr:row>
      <xdr:rowOff>273986</xdr:rowOff>
    </xdr:to>
    <xdr:sp macro="" textlink="">
      <xdr:nvSpPr>
        <xdr:cNvPr id="13" name="Graphic 11" descr="Back with solid fill">
          <a:extLst>
            <a:ext uri="{FF2B5EF4-FFF2-40B4-BE49-F238E27FC236}">
              <a16:creationId xmlns:a16="http://schemas.microsoft.com/office/drawing/2014/main" id="{35A5CCE5-DD5B-03F3-3286-E7C4EDF826D3}"/>
            </a:ext>
          </a:extLst>
        </xdr:cNvPr>
        <xdr:cNvSpPr/>
      </xdr:nvSpPr>
      <xdr:spPr>
        <a:xfrm rot="20353836">
          <a:off x="2821698" y="81319"/>
          <a:ext cx="530314" cy="391105"/>
        </a:xfrm>
        <a:custGeom>
          <a:avLst/>
          <a:gdLst>
            <a:gd name="connsiteX0" fmla="*/ 0 w 530314"/>
            <a:gd name="connsiteY0" fmla="*/ 159094 h 391105"/>
            <a:gd name="connsiteX1" fmla="*/ 189587 w 530314"/>
            <a:gd name="connsiteY1" fmla="*/ 0 h 391105"/>
            <a:gd name="connsiteX2" fmla="*/ 189587 w 530314"/>
            <a:gd name="connsiteY2" fmla="*/ 92805 h 391105"/>
            <a:gd name="connsiteX3" fmla="*/ 530315 w 530314"/>
            <a:gd name="connsiteY3" fmla="*/ 391106 h 391105"/>
            <a:gd name="connsiteX4" fmla="*/ 189587 w 530314"/>
            <a:gd name="connsiteY4" fmla="*/ 232012 h 391105"/>
            <a:gd name="connsiteX5" fmla="*/ 189587 w 530314"/>
            <a:gd name="connsiteY5" fmla="*/ 318188 h 391105"/>
            <a:gd name="connsiteX6" fmla="*/ 0 w 530314"/>
            <a:gd name="connsiteY6" fmla="*/ 159094 h 39110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530314" h="391105">
              <a:moveTo>
                <a:pt x="0" y="159094"/>
              </a:moveTo>
              <a:lnTo>
                <a:pt x="189587" y="0"/>
              </a:lnTo>
              <a:lnTo>
                <a:pt x="189587" y="92805"/>
              </a:lnTo>
              <a:cubicBezTo>
                <a:pt x="480598" y="95456"/>
                <a:pt x="530315" y="391106"/>
                <a:pt x="530315" y="391106"/>
              </a:cubicBezTo>
              <a:cubicBezTo>
                <a:pt x="530315" y="391106"/>
                <a:pt x="422263" y="234001"/>
                <a:pt x="189587" y="232012"/>
              </a:cubicBezTo>
              <a:lnTo>
                <a:pt x="189587" y="318188"/>
              </a:lnTo>
              <a:lnTo>
                <a:pt x="0" y="159094"/>
              </a:lnTo>
              <a:close/>
            </a:path>
          </a:pathLst>
        </a:custGeom>
        <a:solidFill>
          <a:srgbClr val="FF0000"/>
        </a:solidFill>
        <a:ln w="6052" cap="flat">
          <a:noFill/>
          <a:prstDash val="solid"/>
          <a:miter/>
        </a:ln>
      </xdr:spPr>
      <xdr:txBody>
        <a:bodyPr rtlCol="0" anchor="ctr"/>
        <a:lstStyle/>
        <a:p>
          <a:endParaRPr lang="en-US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3928</xdr:colOff>
      <xdr:row>1</xdr:row>
      <xdr:rowOff>213202</xdr:rowOff>
    </xdr:from>
    <xdr:to>
      <xdr:col>9</xdr:col>
      <xdr:colOff>949758</xdr:colOff>
      <xdr:row>3</xdr:row>
      <xdr:rowOff>27964</xdr:rowOff>
    </xdr:to>
    <xdr:sp macro="" textlink="">
      <xdr:nvSpPr>
        <xdr:cNvPr id="6" name="Freeform: Shape 5">
          <a:extLst>
            <a:ext uri="{FF2B5EF4-FFF2-40B4-BE49-F238E27FC236}">
              <a16:creationId xmlns:a16="http://schemas.microsoft.com/office/drawing/2014/main" id="{263212A2-7F59-A748-841A-2AC237EAEB5A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SpPr/>
      </xdr:nvSpPr>
      <xdr:spPr>
        <a:xfrm>
          <a:off x="7704891" y="413227"/>
          <a:ext cx="6889430" cy="1029200"/>
        </a:xfrm>
        <a:custGeom>
          <a:avLst/>
          <a:gdLst>
            <a:gd name="connsiteX0" fmla="*/ 1428724 w 6889430"/>
            <a:gd name="connsiteY0" fmla="*/ 1029201 h 1029200"/>
            <a:gd name="connsiteX1" fmla="*/ 1174534 w 6889430"/>
            <a:gd name="connsiteY1" fmla="*/ 763292 h 1029200"/>
            <a:gd name="connsiteX2" fmla="*/ 987543 w 6889430"/>
            <a:gd name="connsiteY2" fmla="*/ 539470 h 1029200"/>
            <a:gd name="connsiteX3" fmla="*/ 987543 w 6889430"/>
            <a:gd name="connsiteY3" fmla="*/ 539470 h 1029200"/>
            <a:gd name="connsiteX4" fmla="*/ 818083 w 6889430"/>
            <a:gd name="connsiteY4" fmla="*/ 696337 h 1029200"/>
            <a:gd name="connsiteX5" fmla="*/ 590189 w 6889430"/>
            <a:gd name="connsiteY5" fmla="*/ 879986 h 1029200"/>
            <a:gd name="connsiteX6" fmla="*/ 347685 w 6889430"/>
            <a:gd name="connsiteY6" fmla="*/ 679120 h 1029200"/>
            <a:gd name="connsiteX7" fmla="*/ 20452 w 6889430"/>
            <a:gd name="connsiteY7" fmla="*/ 430428 h 1029200"/>
            <a:gd name="connsiteX8" fmla="*/ 20452 w 6889430"/>
            <a:gd name="connsiteY8" fmla="*/ 430428 h 1029200"/>
            <a:gd name="connsiteX9" fmla="*/ 0 w 6889430"/>
            <a:gd name="connsiteY9" fmla="*/ 417037 h 1029200"/>
            <a:gd name="connsiteX10" fmla="*/ 20452 w 6889430"/>
            <a:gd name="connsiteY10" fmla="*/ 403646 h 1029200"/>
            <a:gd name="connsiteX11" fmla="*/ 20452 w 6889430"/>
            <a:gd name="connsiteY11" fmla="*/ 403646 h 1029200"/>
            <a:gd name="connsiteX12" fmla="*/ 385668 w 6889430"/>
            <a:gd name="connsiteY12" fmla="*/ 669555 h 1029200"/>
            <a:gd name="connsiteX13" fmla="*/ 587267 w 6889430"/>
            <a:gd name="connsiteY13" fmla="*/ 853204 h 1029200"/>
            <a:gd name="connsiteX14" fmla="*/ 771336 w 6889430"/>
            <a:gd name="connsiteY14" fmla="*/ 688685 h 1029200"/>
            <a:gd name="connsiteX15" fmla="*/ 981700 w 6889430"/>
            <a:gd name="connsiteY15" fmla="*/ 512687 h 1029200"/>
            <a:gd name="connsiteX16" fmla="*/ 981700 w 6889430"/>
            <a:gd name="connsiteY16" fmla="*/ 512687 h 1029200"/>
            <a:gd name="connsiteX17" fmla="*/ 1209595 w 6889430"/>
            <a:gd name="connsiteY17" fmla="*/ 759466 h 1029200"/>
            <a:gd name="connsiteX18" fmla="*/ 1422881 w 6889430"/>
            <a:gd name="connsiteY18" fmla="*/ 1002419 h 1029200"/>
            <a:gd name="connsiteX19" fmla="*/ 1425802 w 6889430"/>
            <a:gd name="connsiteY19" fmla="*/ 1002419 h 1029200"/>
            <a:gd name="connsiteX20" fmla="*/ 1633245 w 6889430"/>
            <a:gd name="connsiteY20" fmla="*/ 682946 h 1029200"/>
            <a:gd name="connsiteX21" fmla="*/ 1878670 w 6889430"/>
            <a:gd name="connsiteY21" fmla="*/ 344342 h 1029200"/>
            <a:gd name="connsiteX22" fmla="*/ 2097800 w 6889430"/>
            <a:gd name="connsiteY22" fmla="*/ 552861 h 1029200"/>
            <a:gd name="connsiteX23" fmla="*/ 2273103 w 6889430"/>
            <a:gd name="connsiteY23" fmla="*/ 740336 h 1029200"/>
            <a:gd name="connsiteX24" fmla="*/ 2486389 w 6889430"/>
            <a:gd name="connsiteY24" fmla="*/ 384516 h 1029200"/>
            <a:gd name="connsiteX25" fmla="*/ 2746423 w 6889430"/>
            <a:gd name="connsiteY25" fmla="*/ 0 h 1029200"/>
            <a:gd name="connsiteX26" fmla="*/ 2974317 w 6889430"/>
            <a:gd name="connsiteY26" fmla="*/ 476340 h 1029200"/>
            <a:gd name="connsiteX27" fmla="*/ 3213899 w 6889430"/>
            <a:gd name="connsiteY27" fmla="*/ 998593 h 1029200"/>
            <a:gd name="connsiteX28" fmla="*/ 3438872 w 6889430"/>
            <a:gd name="connsiteY28" fmla="*/ 648511 h 1029200"/>
            <a:gd name="connsiteX29" fmla="*/ 3643393 w 6889430"/>
            <a:gd name="connsiteY29" fmla="*/ 330951 h 1029200"/>
            <a:gd name="connsiteX30" fmla="*/ 3646314 w 6889430"/>
            <a:gd name="connsiteY30" fmla="*/ 330951 h 1029200"/>
            <a:gd name="connsiteX31" fmla="*/ 3824540 w 6889430"/>
            <a:gd name="connsiteY31" fmla="*/ 554774 h 1029200"/>
            <a:gd name="connsiteX32" fmla="*/ 4002765 w 6889430"/>
            <a:gd name="connsiteY32" fmla="*/ 790074 h 1029200"/>
            <a:gd name="connsiteX33" fmla="*/ 4143008 w 6889430"/>
            <a:gd name="connsiteY33" fmla="*/ 686772 h 1029200"/>
            <a:gd name="connsiteX34" fmla="*/ 4335842 w 6889430"/>
            <a:gd name="connsiteY34" fmla="*/ 560513 h 1029200"/>
            <a:gd name="connsiteX35" fmla="*/ 4522832 w 6889430"/>
            <a:gd name="connsiteY35" fmla="*/ 747988 h 1029200"/>
            <a:gd name="connsiteX36" fmla="*/ 4727353 w 6889430"/>
            <a:gd name="connsiteY36" fmla="*/ 956507 h 1029200"/>
            <a:gd name="connsiteX37" fmla="*/ 4955248 w 6889430"/>
            <a:gd name="connsiteY37" fmla="*/ 596860 h 1029200"/>
            <a:gd name="connsiteX38" fmla="*/ 5215281 w 6889430"/>
            <a:gd name="connsiteY38" fmla="*/ 221910 h 1029200"/>
            <a:gd name="connsiteX39" fmla="*/ 5451941 w 6889430"/>
            <a:gd name="connsiteY39" fmla="*/ 552861 h 1029200"/>
            <a:gd name="connsiteX40" fmla="*/ 5638932 w 6889430"/>
            <a:gd name="connsiteY40" fmla="*/ 855117 h 1029200"/>
            <a:gd name="connsiteX41" fmla="*/ 5828844 w 6889430"/>
            <a:gd name="connsiteY41" fmla="*/ 658077 h 1029200"/>
            <a:gd name="connsiteX42" fmla="*/ 6062582 w 6889430"/>
            <a:gd name="connsiteY42" fmla="*/ 441906 h 1029200"/>
            <a:gd name="connsiteX43" fmla="*/ 6275868 w 6889430"/>
            <a:gd name="connsiteY43" fmla="*/ 686772 h 1029200"/>
            <a:gd name="connsiteX44" fmla="*/ 6445328 w 6889430"/>
            <a:gd name="connsiteY44" fmla="*/ 906768 h 1029200"/>
            <a:gd name="connsiteX45" fmla="*/ 6603101 w 6889430"/>
            <a:gd name="connsiteY45" fmla="*/ 692511 h 1029200"/>
            <a:gd name="connsiteX46" fmla="*/ 6866057 w 6889430"/>
            <a:gd name="connsiteY46" fmla="*/ 392168 h 1029200"/>
            <a:gd name="connsiteX47" fmla="*/ 6889431 w 6889430"/>
            <a:gd name="connsiteY47" fmla="*/ 403646 h 1029200"/>
            <a:gd name="connsiteX48" fmla="*/ 6871900 w 6889430"/>
            <a:gd name="connsiteY48" fmla="*/ 418950 h 1029200"/>
            <a:gd name="connsiteX49" fmla="*/ 6644005 w 6889430"/>
            <a:gd name="connsiteY49" fmla="*/ 698250 h 1029200"/>
            <a:gd name="connsiteX50" fmla="*/ 6442406 w 6889430"/>
            <a:gd name="connsiteY50" fmla="*/ 933550 h 1029200"/>
            <a:gd name="connsiteX51" fmla="*/ 6232042 w 6889430"/>
            <a:gd name="connsiteY51" fmla="*/ 690598 h 1029200"/>
            <a:gd name="connsiteX52" fmla="*/ 6062582 w 6889430"/>
            <a:gd name="connsiteY52" fmla="*/ 468688 h 1029200"/>
            <a:gd name="connsiteX53" fmla="*/ 5872670 w 6889430"/>
            <a:gd name="connsiteY53" fmla="*/ 665729 h 1029200"/>
            <a:gd name="connsiteX54" fmla="*/ 5638932 w 6889430"/>
            <a:gd name="connsiteY54" fmla="*/ 881899 h 1029200"/>
            <a:gd name="connsiteX55" fmla="*/ 5408116 w 6889430"/>
            <a:gd name="connsiteY55" fmla="*/ 554774 h 1029200"/>
            <a:gd name="connsiteX56" fmla="*/ 5215281 w 6889430"/>
            <a:gd name="connsiteY56" fmla="*/ 248692 h 1029200"/>
            <a:gd name="connsiteX57" fmla="*/ 4996152 w 6889430"/>
            <a:gd name="connsiteY57" fmla="*/ 600686 h 1029200"/>
            <a:gd name="connsiteX58" fmla="*/ 4727353 w 6889430"/>
            <a:gd name="connsiteY58" fmla="*/ 985202 h 1029200"/>
            <a:gd name="connsiteX59" fmla="*/ 4481928 w 6889430"/>
            <a:gd name="connsiteY59" fmla="*/ 755640 h 1029200"/>
            <a:gd name="connsiteX60" fmla="*/ 4335842 w 6889430"/>
            <a:gd name="connsiteY60" fmla="*/ 587295 h 1029200"/>
            <a:gd name="connsiteX61" fmla="*/ 4180990 w 6889430"/>
            <a:gd name="connsiteY61" fmla="*/ 698250 h 1029200"/>
            <a:gd name="connsiteX62" fmla="*/ 3999843 w 6889430"/>
            <a:gd name="connsiteY62" fmla="*/ 818770 h 1029200"/>
            <a:gd name="connsiteX63" fmla="*/ 3777792 w 6889430"/>
            <a:gd name="connsiteY63" fmla="*/ 560513 h 1029200"/>
            <a:gd name="connsiteX64" fmla="*/ 3643393 w 6889430"/>
            <a:gd name="connsiteY64" fmla="*/ 359646 h 1029200"/>
            <a:gd name="connsiteX65" fmla="*/ 3643393 w 6889430"/>
            <a:gd name="connsiteY65" fmla="*/ 359646 h 1029200"/>
            <a:gd name="connsiteX66" fmla="*/ 3482698 w 6889430"/>
            <a:gd name="connsiteY66" fmla="*/ 652337 h 1029200"/>
            <a:gd name="connsiteX67" fmla="*/ 3213899 w 6889430"/>
            <a:gd name="connsiteY67" fmla="*/ 1027288 h 1029200"/>
            <a:gd name="connsiteX68" fmla="*/ 2930492 w 6889430"/>
            <a:gd name="connsiteY68" fmla="*/ 478253 h 1029200"/>
            <a:gd name="connsiteX69" fmla="*/ 2746423 w 6889430"/>
            <a:gd name="connsiteY69" fmla="*/ 26782 h 1029200"/>
            <a:gd name="connsiteX70" fmla="*/ 2530215 w 6889430"/>
            <a:gd name="connsiteY70" fmla="*/ 386429 h 1029200"/>
            <a:gd name="connsiteX71" fmla="*/ 2276025 w 6889430"/>
            <a:gd name="connsiteY71" fmla="*/ 767118 h 1029200"/>
            <a:gd name="connsiteX72" fmla="*/ 2056895 w 6889430"/>
            <a:gd name="connsiteY72" fmla="*/ 558600 h 1029200"/>
            <a:gd name="connsiteX73" fmla="*/ 1881592 w 6889430"/>
            <a:gd name="connsiteY73" fmla="*/ 371125 h 1029200"/>
            <a:gd name="connsiteX74" fmla="*/ 1679993 w 6889430"/>
            <a:gd name="connsiteY74" fmla="*/ 686772 h 1029200"/>
            <a:gd name="connsiteX75" fmla="*/ 1431646 w 6889430"/>
            <a:gd name="connsiteY75" fmla="*/ 1029201 h 1029200"/>
            <a:gd name="connsiteX76" fmla="*/ 1428724 w 6889430"/>
            <a:gd name="connsiteY76" fmla="*/ 1029201 h 1029200"/>
            <a:gd name="connsiteX77" fmla="*/ 1428724 w 6889430"/>
            <a:gd name="connsiteY77" fmla="*/ 1029201 h 10292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  <a:cxn ang="0">
              <a:pos x="connsiteX55" y="connsiteY55"/>
            </a:cxn>
            <a:cxn ang="0">
              <a:pos x="connsiteX56" y="connsiteY56"/>
            </a:cxn>
            <a:cxn ang="0">
              <a:pos x="connsiteX57" y="connsiteY57"/>
            </a:cxn>
            <a:cxn ang="0">
              <a:pos x="connsiteX58" y="connsiteY58"/>
            </a:cxn>
            <a:cxn ang="0">
              <a:pos x="connsiteX59" y="connsiteY59"/>
            </a:cxn>
            <a:cxn ang="0">
              <a:pos x="connsiteX60" y="connsiteY60"/>
            </a:cxn>
            <a:cxn ang="0">
              <a:pos x="connsiteX61" y="connsiteY61"/>
            </a:cxn>
            <a:cxn ang="0">
              <a:pos x="connsiteX62" y="connsiteY62"/>
            </a:cxn>
            <a:cxn ang="0">
              <a:pos x="connsiteX63" y="connsiteY63"/>
            </a:cxn>
            <a:cxn ang="0">
              <a:pos x="connsiteX64" y="connsiteY64"/>
            </a:cxn>
            <a:cxn ang="0">
              <a:pos x="connsiteX65" y="connsiteY65"/>
            </a:cxn>
            <a:cxn ang="0">
              <a:pos x="connsiteX66" y="connsiteY66"/>
            </a:cxn>
            <a:cxn ang="0">
              <a:pos x="connsiteX67" y="connsiteY67"/>
            </a:cxn>
            <a:cxn ang="0">
              <a:pos x="connsiteX68" y="connsiteY68"/>
            </a:cxn>
            <a:cxn ang="0">
              <a:pos x="connsiteX69" y="connsiteY69"/>
            </a:cxn>
            <a:cxn ang="0">
              <a:pos x="connsiteX70" y="connsiteY70"/>
            </a:cxn>
            <a:cxn ang="0">
              <a:pos x="connsiteX71" y="connsiteY71"/>
            </a:cxn>
            <a:cxn ang="0">
              <a:pos x="connsiteX72" y="connsiteY72"/>
            </a:cxn>
            <a:cxn ang="0">
              <a:pos x="connsiteX73" y="connsiteY73"/>
            </a:cxn>
            <a:cxn ang="0">
              <a:pos x="connsiteX74" y="connsiteY74"/>
            </a:cxn>
            <a:cxn ang="0">
              <a:pos x="connsiteX75" y="connsiteY75"/>
            </a:cxn>
            <a:cxn ang="0">
              <a:pos x="connsiteX76" y="connsiteY76"/>
            </a:cxn>
            <a:cxn ang="0">
              <a:pos x="connsiteX77" y="connsiteY77"/>
            </a:cxn>
          </a:cxnLst>
          <a:rect l="l" t="t" r="r" b="b"/>
          <a:pathLst>
            <a:path w="6889430" h="1029200">
              <a:moveTo>
                <a:pt x="1428724" y="1029201"/>
              </a:moveTo>
              <a:cubicBezTo>
                <a:pt x="1276794" y="1029201"/>
                <a:pt x="1224203" y="895290"/>
                <a:pt x="1174534" y="763292"/>
              </a:cubicBezTo>
              <a:cubicBezTo>
                <a:pt x="1130708" y="652337"/>
                <a:pt x="1086882" y="539470"/>
                <a:pt x="987543" y="539470"/>
              </a:cubicBezTo>
              <a:lnTo>
                <a:pt x="987543" y="539470"/>
              </a:lnTo>
              <a:cubicBezTo>
                <a:pt x="899892" y="539470"/>
                <a:pt x="858988" y="615990"/>
                <a:pt x="818083" y="696337"/>
              </a:cubicBezTo>
              <a:cubicBezTo>
                <a:pt x="771336" y="786248"/>
                <a:pt x="721666" y="879986"/>
                <a:pt x="590189" y="879986"/>
              </a:cubicBezTo>
              <a:cubicBezTo>
                <a:pt x="467476" y="879986"/>
                <a:pt x="409042" y="782422"/>
                <a:pt x="347685" y="679120"/>
              </a:cubicBezTo>
              <a:cubicBezTo>
                <a:pt x="274642" y="556687"/>
                <a:pt x="198677" y="430428"/>
                <a:pt x="20452" y="430428"/>
              </a:cubicBezTo>
              <a:cubicBezTo>
                <a:pt x="20452" y="430428"/>
                <a:pt x="20452" y="430428"/>
                <a:pt x="20452" y="430428"/>
              </a:cubicBezTo>
              <a:cubicBezTo>
                <a:pt x="8765" y="430428"/>
                <a:pt x="0" y="424689"/>
                <a:pt x="0" y="417037"/>
              </a:cubicBezTo>
              <a:cubicBezTo>
                <a:pt x="0" y="409385"/>
                <a:pt x="8765" y="403646"/>
                <a:pt x="20452" y="403646"/>
              </a:cubicBezTo>
              <a:lnTo>
                <a:pt x="20452" y="403646"/>
              </a:lnTo>
              <a:cubicBezTo>
                <a:pt x="227895" y="403646"/>
                <a:pt x="312625" y="545209"/>
                <a:pt x="385668" y="669555"/>
              </a:cubicBezTo>
              <a:cubicBezTo>
                <a:pt x="441181" y="763292"/>
                <a:pt x="496693" y="853204"/>
                <a:pt x="587267" y="853204"/>
              </a:cubicBezTo>
              <a:cubicBezTo>
                <a:pt x="686606" y="853204"/>
                <a:pt x="727510" y="772857"/>
                <a:pt x="771336" y="688685"/>
              </a:cubicBezTo>
              <a:cubicBezTo>
                <a:pt x="815162" y="602599"/>
                <a:pt x="861909" y="514601"/>
                <a:pt x="981700" y="512687"/>
              </a:cubicBezTo>
              <a:lnTo>
                <a:pt x="981700" y="512687"/>
              </a:lnTo>
              <a:cubicBezTo>
                <a:pt x="1113178" y="512687"/>
                <a:pt x="1159925" y="631294"/>
                <a:pt x="1209595" y="759466"/>
              </a:cubicBezTo>
              <a:cubicBezTo>
                <a:pt x="1256342" y="879986"/>
                <a:pt x="1306012" y="1002419"/>
                <a:pt x="1422881" y="1002419"/>
              </a:cubicBezTo>
              <a:cubicBezTo>
                <a:pt x="1422881" y="1002419"/>
                <a:pt x="1422881" y="1002419"/>
                <a:pt x="1425802" y="1002419"/>
              </a:cubicBezTo>
              <a:cubicBezTo>
                <a:pt x="1536828" y="1000506"/>
                <a:pt x="1586497" y="832161"/>
                <a:pt x="1633245" y="682946"/>
              </a:cubicBezTo>
              <a:cubicBezTo>
                <a:pt x="1685836" y="508862"/>
                <a:pt x="1735505" y="344342"/>
                <a:pt x="1878670" y="344342"/>
              </a:cubicBezTo>
              <a:cubicBezTo>
                <a:pt x="2001382" y="344342"/>
                <a:pt x="2051052" y="449558"/>
                <a:pt x="2097800" y="552861"/>
              </a:cubicBezTo>
              <a:cubicBezTo>
                <a:pt x="2141625" y="644685"/>
                <a:pt x="2185451" y="740336"/>
                <a:pt x="2273103" y="740336"/>
              </a:cubicBezTo>
              <a:cubicBezTo>
                <a:pt x="2395816" y="740336"/>
                <a:pt x="2439641" y="558600"/>
                <a:pt x="2486389" y="384516"/>
              </a:cubicBezTo>
              <a:cubicBezTo>
                <a:pt x="2536059" y="187475"/>
                <a:pt x="2582806" y="0"/>
                <a:pt x="2746423" y="0"/>
              </a:cubicBezTo>
              <a:cubicBezTo>
                <a:pt x="2904196" y="0"/>
                <a:pt x="2936335" y="219996"/>
                <a:pt x="2974317" y="476340"/>
              </a:cubicBezTo>
              <a:cubicBezTo>
                <a:pt x="3009378" y="721206"/>
                <a:pt x="3050282" y="998593"/>
                <a:pt x="3213899" y="998593"/>
              </a:cubicBezTo>
              <a:cubicBezTo>
                <a:pt x="3377516" y="998593"/>
                <a:pt x="3409654" y="820683"/>
                <a:pt x="3438872" y="648511"/>
              </a:cubicBezTo>
              <a:cubicBezTo>
                <a:pt x="3468089" y="485905"/>
                <a:pt x="3494385" y="332864"/>
                <a:pt x="3643393" y="330951"/>
              </a:cubicBezTo>
              <a:cubicBezTo>
                <a:pt x="3643393" y="330951"/>
                <a:pt x="3643393" y="330951"/>
                <a:pt x="3646314" y="330951"/>
              </a:cubicBezTo>
              <a:cubicBezTo>
                <a:pt x="3763184" y="330951"/>
                <a:pt x="3792401" y="439993"/>
                <a:pt x="3824540" y="554774"/>
              </a:cubicBezTo>
              <a:cubicBezTo>
                <a:pt x="3856679" y="669555"/>
                <a:pt x="3885896" y="790074"/>
                <a:pt x="4002765" y="790074"/>
              </a:cubicBezTo>
              <a:cubicBezTo>
                <a:pt x="4069965" y="790074"/>
                <a:pt x="4105025" y="740336"/>
                <a:pt x="4143008" y="686772"/>
              </a:cubicBezTo>
              <a:cubicBezTo>
                <a:pt x="4183912" y="627468"/>
                <a:pt x="4230660" y="560513"/>
                <a:pt x="4335842" y="560513"/>
              </a:cubicBezTo>
              <a:cubicBezTo>
                <a:pt x="4426415" y="560513"/>
                <a:pt x="4470241" y="648511"/>
                <a:pt x="4522832" y="747988"/>
              </a:cubicBezTo>
              <a:cubicBezTo>
                <a:pt x="4572502" y="845552"/>
                <a:pt x="4630936" y="956507"/>
                <a:pt x="4727353" y="956507"/>
              </a:cubicBezTo>
              <a:cubicBezTo>
                <a:pt x="4858831" y="956507"/>
                <a:pt x="4908500" y="772857"/>
                <a:pt x="4955248" y="596860"/>
              </a:cubicBezTo>
              <a:cubicBezTo>
                <a:pt x="5004917" y="403646"/>
                <a:pt x="5054587" y="221910"/>
                <a:pt x="5215281" y="221910"/>
              </a:cubicBezTo>
              <a:cubicBezTo>
                <a:pt x="5367211" y="221910"/>
                <a:pt x="5408116" y="382603"/>
                <a:pt x="5451941" y="552861"/>
              </a:cubicBezTo>
              <a:cubicBezTo>
                <a:pt x="5489924" y="702076"/>
                <a:pt x="5527906" y="855117"/>
                <a:pt x="5638932" y="855117"/>
              </a:cubicBezTo>
              <a:cubicBezTo>
                <a:pt x="5729505" y="855117"/>
                <a:pt x="5779175" y="755640"/>
                <a:pt x="5828844" y="658077"/>
              </a:cubicBezTo>
              <a:cubicBezTo>
                <a:pt x="5884357" y="550948"/>
                <a:pt x="5939870" y="441906"/>
                <a:pt x="6062582" y="441906"/>
              </a:cubicBezTo>
              <a:cubicBezTo>
                <a:pt x="6185294" y="441906"/>
                <a:pt x="6229120" y="560513"/>
                <a:pt x="6275868" y="686772"/>
              </a:cubicBezTo>
              <a:cubicBezTo>
                <a:pt x="6316772" y="795813"/>
                <a:pt x="6354755" y="906768"/>
                <a:pt x="6445328" y="906768"/>
              </a:cubicBezTo>
              <a:cubicBezTo>
                <a:pt x="6524215" y="906768"/>
                <a:pt x="6565119" y="797726"/>
                <a:pt x="6603101" y="692511"/>
              </a:cubicBezTo>
              <a:cubicBezTo>
                <a:pt x="6652771" y="558600"/>
                <a:pt x="6708284" y="405559"/>
                <a:pt x="6866057" y="392168"/>
              </a:cubicBezTo>
              <a:cubicBezTo>
                <a:pt x="6877743" y="390255"/>
                <a:pt x="6889431" y="395994"/>
                <a:pt x="6889431" y="403646"/>
              </a:cubicBezTo>
              <a:cubicBezTo>
                <a:pt x="6889431" y="411298"/>
                <a:pt x="6883587" y="418950"/>
                <a:pt x="6871900" y="418950"/>
              </a:cubicBezTo>
              <a:cubicBezTo>
                <a:pt x="6743344" y="430428"/>
                <a:pt x="6690753" y="571991"/>
                <a:pt x="6644005" y="698250"/>
              </a:cubicBezTo>
              <a:cubicBezTo>
                <a:pt x="6597258" y="824509"/>
                <a:pt x="6556354" y="933550"/>
                <a:pt x="6442406" y="933550"/>
              </a:cubicBezTo>
              <a:cubicBezTo>
                <a:pt x="6319694" y="933550"/>
                <a:pt x="6278790" y="814944"/>
                <a:pt x="6232042" y="690598"/>
              </a:cubicBezTo>
              <a:cubicBezTo>
                <a:pt x="6191138" y="581556"/>
                <a:pt x="6150234" y="468688"/>
                <a:pt x="6062582" y="468688"/>
              </a:cubicBezTo>
              <a:cubicBezTo>
                <a:pt x="5972008" y="468688"/>
                <a:pt x="5922339" y="568165"/>
                <a:pt x="5872670" y="665729"/>
              </a:cubicBezTo>
              <a:cubicBezTo>
                <a:pt x="5817157" y="772857"/>
                <a:pt x="5761644" y="881899"/>
                <a:pt x="5638932" y="881899"/>
              </a:cubicBezTo>
              <a:cubicBezTo>
                <a:pt x="5489924" y="881899"/>
                <a:pt x="5451941" y="723119"/>
                <a:pt x="5408116" y="554774"/>
              </a:cubicBezTo>
              <a:cubicBezTo>
                <a:pt x="5370133" y="403646"/>
                <a:pt x="5329229" y="248692"/>
                <a:pt x="5215281" y="248692"/>
              </a:cubicBezTo>
              <a:cubicBezTo>
                <a:pt x="5089647" y="248692"/>
                <a:pt x="5042900" y="428515"/>
                <a:pt x="4996152" y="600686"/>
              </a:cubicBezTo>
              <a:cubicBezTo>
                <a:pt x="4943561" y="797726"/>
                <a:pt x="4893892" y="985202"/>
                <a:pt x="4727353" y="985202"/>
              </a:cubicBezTo>
              <a:cubicBezTo>
                <a:pt x="4598797" y="985202"/>
                <a:pt x="4537441" y="868508"/>
                <a:pt x="4481928" y="755640"/>
              </a:cubicBezTo>
              <a:cubicBezTo>
                <a:pt x="4438102" y="673381"/>
                <a:pt x="4394276" y="587295"/>
                <a:pt x="4335842" y="587295"/>
              </a:cubicBezTo>
              <a:cubicBezTo>
                <a:pt x="4259877" y="587295"/>
                <a:pt x="4221895" y="640859"/>
                <a:pt x="4180990" y="698250"/>
              </a:cubicBezTo>
              <a:cubicBezTo>
                <a:pt x="4140086" y="757553"/>
                <a:pt x="4096260" y="818770"/>
                <a:pt x="3999843" y="818770"/>
              </a:cubicBezTo>
              <a:cubicBezTo>
                <a:pt x="3847913" y="818770"/>
                <a:pt x="3812853" y="686772"/>
                <a:pt x="3777792" y="560513"/>
              </a:cubicBezTo>
              <a:cubicBezTo>
                <a:pt x="3751496" y="462949"/>
                <a:pt x="3725201" y="359646"/>
                <a:pt x="3643393" y="359646"/>
              </a:cubicBezTo>
              <a:lnTo>
                <a:pt x="3643393" y="359646"/>
              </a:lnTo>
              <a:cubicBezTo>
                <a:pt x="3535289" y="361559"/>
                <a:pt x="3508993" y="508862"/>
                <a:pt x="3482698" y="652337"/>
              </a:cubicBezTo>
              <a:cubicBezTo>
                <a:pt x="3450559" y="835987"/>
                <a:pt x="3415498" y="1027288"/>
                <a:pt x="3213899" y="1027288"/>
              </a:cubicBezTo>
              <a:cubicBezTo>
                <a:pt x="3009378" y="1027288"/>
                <a:pt x="2968474" y="747988"/>
                <a:pt x="2930492" y="478253"/>
              </a:cubicBezTo>
              <a:cubicBezTo>
                <a:pt x="2901274" y="267822"/>
                <a:pt x="2866213" y="26782"/>
                <a:pt x="2746423" y="26782"/>
              </a:cubicBezTo>
              <a:cubicBezTo>
                <a:pt x="2620788" y="26782"/>
                <a:pt x="2574041" y="218084"/>
                <a:pt x="2530215" y="386429"/>
              </a:cubicBezTo>
              <a:cubicBezTo>
                <a:pt x="2480546" y="581556"/>
                <a:pt x="2433798" y="767118"/>
                <a:pt x="2276025" y="767118"/>
              </a:cubicBezTo>
              <a:cubicBezTo>
                <a:pt x="2153312" y="767118"/>
                <a:pt x="2103643" y="661903"/>
                <a:pt x="2056895" y="558600"/>
              </a:cubicBezTo>
              <a:cubicBezTo>
                <a:pt x="2013069" y="466775"/>
                <a:pt x="1969244" y="371125"/>
                <a:pt x="1881592" y="371125"/>
              </a:cubicBezTo>
              <a:cubicBezTo>
                <a:pt x="1773488" y="371125"/>
                <a:pt x="1723819" y="537557"/>
                <a:pt x="1679993" y="686772"/>
              </a:cubicBezTo>
              <a:cubicBezTo>
                <a:pt x="1627401" y="860856"/>
                <a:pt x="1577732" y="1027288"/>
                <a:pt x="1431646" y="1029201"/>
              </a:cubicBezTo>
              <a:cubicBezTo>
                <a:pt x="1431646" y="1029201"/>
                <a:pt x="1431646" y="1029201"/>
                <a:pt x="1428724" y="1029201"/>
              </a:cubicBezTo>
              <a:lnTo>
                <a:pt x="1428724" y="1029201"/>
              </a:lnTo>
              <a:close/>
            </a:path>
          </a:pathLst>
        </a:custGeom>
        <a:solidFill>
          <a:schemeClr val="accent3">
            <a:lumMod val="60000"/>
            <a:lumOff val="40000"/>
          </a:schemeClr>
        </a:solidFill>
        <a:ln w="29208" cap="flat">
          <a:noFill/>
          <a:prstDash val="solid"/>
          <a:miter/>
        </a:ln>
      </xdr:spPr>
      <xdr:txBody>
        <a:bodyPr rtlCol="0" anchor="ctr"/>
        <a:lstStyle/>
        <a:p>
          <a:endParaRPr lang="en-US"/>
        </a:p>
      </xdr:txBody>
    </xdr:sp>
    <xdr:clientData/>
  </xdr:twoCellAnchor>
  <xdr:twoCellAnchor>
    <xdr:from>
      <xdr:col>5</xdr:col>
      <xdr:colOff>6850</xdr:colOff>
      <xdr:row>0</xdr:row>
      <xdr:rowOff>197057</xdr:rowOff>
    </xdr:from>
    <xdr:to>
      <xdr:col>9</xdr:col>
      <xdr:colOff>952680</xdr:colOff>
      <xdr:row>2</xdr:row>
      <xdr:rowOff>901216</xdr:rowOff>
    </xdr:to>
    <xdr:sp macro="" textlink="">
      <xdr:nvSpPr>
        <xdr:cNvPr id="4" name="Freeform: Shape 3">
          <a:extLst>
            <a:ext uri="{FF2B5EF4-FFF2-40B4-BE49-F238E27FC236}">
              <a16:creationId xmlns:a16="http://schemas.microsoft.com/office/drawing/2014/main" id="{DB784EF3-5832-FC17-D4FF-28ADF8DB1F96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SpPr/>
      </xdr:nvSpPr>
      <xdr:spPr>
        <a:xfrm>
          <a:off x="7707813" y="197057"/>
          <a:ext cx="6889430" cy="1199459"/>
        </a:xfrm>
        <a:custGeom>
          <a:avLst/>
          <a:gdLst>
            <a:gd name="connsiteX0" fmla="*/ 2974317 w 6889430"/>
            <a:gd name="connsiteY0" fmla="*/ 1199459 h 1199459"/>
            <a:gd name="connsiteX1" fmla="*/ 2679223 w 6889430"/>
            <a:gd name="connsiteY1" fmla="*/ 537557 h 1199459"/>
            <a:gd name="connsiteX2" fmla="*/ 2512685 w 6889430"/>
            <a:gd name="connsiteY2" fmla="*/ 28695 h 1199459"/>
            <a:gd name="connsiteX3" fmla="*/ 2311085 w 6889430"/>
            <a:gd name="connsiteY3" fmla="*/ 441906 h 1199459"/>
            <a:gd name="connsiteX4" fmla="*/ 2071504 w 6889430"/>
            <a:gd name="connsiteY4" fmla="*/ 876160 h 1199459"/>
            <a:gd name="connsiteX5" fmla="*/ 1855296 w 6889430"/>
            <a:gd name="connsiteY5" fmla="*/ 589208 h 1199459"/>
            <a:gd name="connsiteX6" fmla="*/ 1679993 w 6889430"/>
            <a:gd name="connsiteY6" fmla="*/ 325212 h 1199459"/>
            <a:gd name="connsiteX7" fmla="*/ 1484237 w 6889430"/>
            <a:gd name="connsiteY7" fmla="*/ 681033 h 1199459"/>
            <a:gd name="connsiteX8" fmla="*/ 1206673 w 6889430"/>
            <a:gd name="connsiteY8" fmla="*/ 1099983 h 1199459"/>
            <a:gd name="connsiteX9" fmla="*/ 955404 w 6889430"/>
            <a:gd name="connsiteY9" fmla="*/ 791987 h 1199459"/>
            <a:gd name="connsiteX10" fmla="*/ 777179 w 6889430"/>
            <a:gd name="connsiteY10" fmla="*/ 529905 h 1199459"/>
            <a:gd name="connsiteX11" fmla="*/ 777179 w 6889430"/>
            <a:gd name="connsiteY11" fmla="*/ 529905 h 1199459"/>
            <a:gd name="connsiteX12" fmla="*/ 587267 w 6889430"/>
            <a:gd name="connsiteY12" fmla="*/ 747988 h 1199459"/>
            <a:gd name="connsiteX13" fmla="*/ 350607 w 6889430"/>
            <a:gd name="connsiteY13" fmla="*/ 989028 h 1199459"/>
            <a:gd name="connsiteX14" fmla="*/ 350607 w 6889430"/>
            <a:gd name="connsiteY14" fmla="*/ 989028 h 1199459"/>
            <a:gd name="connsiteX15" fmla="*/ 178225 w 6889430"/>
            <a:gd name="connsiteY15" fmla="*/ 816857 h 1199459"/>
            <a:gd name="connsiteX16" fmla="*/ 20452 w 6889430"/>
            <a:gd name="connsiteY16" fmla="*/ 644685 h 1199459"/>
            <a:gd name="connsiteX17" fmla="*/ 0 w 6889430"/>
            <a:gd name="connsiteY17" fmla="*/ 629381 h 1199459"/>
            <a:gd name="connsiteX18" fmla="*/ 23374 w 6889430"/>
            <a:gd name="connsiteY18" fmla="*/ 615990 h 1199459"/>
            <a:gd name="connsiteX19" fmla="*/ 219129 w 6889430"/>
            <a:gd name="connsiteY19" fmla="*/ 809204 h 1199459"/>
            <a:gd name="connsiteX20" fmla="*/ 350607 w 6889430"/>
            <a:gd name="connsiteY20" fmla="*/ 958419 h 1199459"/>
            <a:gd name="connsiteX21" fmla="*/ 350607 w 6889430"/>
            <a:gd name="connsiteY21" fmla="*/ 958419 h 1199459"/>
            <a:gd name="connsiteX22" fmla="*/ 546363 w 6889430"/>
            <a:gd name="connsiteY22" fmla="*/ 736510 h 1199459"/>
            <a:gd name="connsiteX23" fmla="*/ 780101 w 6889430"/>
            <a:gd name="connsiteY23" fmla="*/ 497383 h 1199459"/>
            <a:gd name="connsiteX24" fmla="*/ 780101 w 6889430"/>
            <a:gd name="connsiteY24" fmla="*/ 497383 h 1199459"/>
            <a:gd name="connsiteX25" fmla="*/ 1002152 w 6889430"/>
            <a:gd name="connsiteY25" fmla="*/ 780509 h 1199459"/>
            <a:gd name="connsiteX26" fmla="*/ 1209595 w 6889430"/>
            <a:gd name="connsiteY26" fmla="*/ 1065548 h 1199459"/>
            <a:gd name="connsiteX27" fmla="*/ 1443333 w 6889430"/>
            <a:gd name="connsiteY27" fmla="*/ 671468 h 1199459"/>
            <a:gd name="connsiteX28" fmla="*/ 1682914 w 6889430"/>
            <a:gd name="connsiteY28" fmla="*/ 292691 h 1199459"/>
            <a:gd name="connsiteX29" fmla="*/ 1899122 w 6889430"/>
            <a:gd name="connsiteY29" fmla="*/ 579643 h 1199459"/>
            <a:gd name="connsiteX30" fmla="*/ 2074426 w 6889430"/>
            <a:gd name="connsiteY30" fmla="*/ 843639 h 1199459"/>
            <a:gd name="connsiteX31" fmla="*/ 2270181 w 6889430"/>
            <a:gd name="connsiteY31" fmla="*/ 434254 h 1199459"/>
            <a:gd name="connsiteX32" fmla="*/ 2512685 w 6889430"/>
            <a:gd name="connsiteY32" fmla="*/ 0 h 1199459"/>
            <a:gd name="connsiteX33" fmla="*/ 2720127 w 6889430"/>
            <a:gd name="connsiteY33" fmla="*/ 535644 h 1199459"/>
            <a:gd name="connsiteX34" fmla="*/ 2971396 w 6889430"/>
            <a:gd name="connsiteY34" fmla="*/ 1170764 h 1199459"/>
            <a:gd name="connsiteX35" fmla="*/ 3199290 w 6889430"/>
            <a:gd name="connsiteY35" fmla="*/ 732684 h 1199459"/>
            <a:gd name="connsiteX36" fmla="*/ 3459324 w 6889430"/>
            <a:gd name="connsiteY36" fmla="*/ 281213 h 1199459"/>
            <a:gd name="connsiteX37" fmla="*/ 3669688 w 6889430"/>
            <a:gd name="connsiteY37" fmla="*/ 594947 h 1199459"/>
            <a:gd name="connsiteX38" fmla="*/ 3818696 w 6889430"/>
            <a:gd name="connsiteY38" fmla="*/ 864682 h 1199459"/>
            <a:gd name="connsiteX39" fmla="*/ 3958939 w 6889430"/>
            <a:gd name="connsiteY39" fmla="*/ 736510 h 1199459"/>
            <a:gd name="connsiteX40" fmla="*/ 4154695 w 6889430"/>
            <a:gd name="connsiteY40" fmla="*/ 581556 h 1199459"/>
            <a:gd name="connsiteX41" fmla="*/ 4341685 w 6889430"/>
            <a:gd name="connsiteY41" fmla="*/ 784335 h 1199459"/>
            <a:gd name="connsiteX42" fmla="*/ 4546206 w 6889430"/>
            <a:gd name="connsiteY42" fmla="*/ 1011984 h 1199459"/>
            <a:gd name="connsiteX43" fmla="*/ 4777023 w 6889430"/>
            <a:gd name="connsiteY43" fmla="*/ 583469 h 1199459"/>
            <a:gd name="connsiteX44" fmla="*/ 5042900 w 6889430"/>
            <a:gd name="connsiteY44" fmla="*/ 139650 h 1199459"/>
            <a:gd name="connsiteX45" fmla="*/ 5279560 w 6889430"/>
            <a:gd name="connsiteY45" fmla="*/ 558600 h 1199459"/>
            <a:gd name="connsiteX46" fmla="*/ 5469472 w 6889430"/>
            <a:gd name="connsiteY46" fmla="*/ 946941 h 1199459"/>
            <a:gd name="connsiteX47" fmla="*/ 5662305 w 6889430"/>
            <a:gd name="connsiteY47" fmla="*/ 694424 h 1199459"/>
            <a:gd name="connsiteX48" fmla="*/ 5896043 w 6889430"/>
            <a:gd name="connsiteY48" fmla="*/ 420863 h 1199459"/>
            <a:gd name="connsiteX49" fmla="*/ 6129782 w 6889430"/>
            <a:gd name="connsiteY49" fmla="*/ 700163 h 1199459"/>
            <a:gd name="connsiteX50" fmla="*/ 6386894 w 6889430"/>
            <a:gd name="connsiteY50" fmla="*/ 1013897 h 1199459"/>
            <a:gd name="connsiteX51" fmla="*/ 6389815 w 6889430"/>
            <a:gd name="connsiteY51" fmla="*/ 1013897 h 1199459"/>
            <a:gd name="connsiteX52" fmla="*/ 6565119 w 6889430"/>
            <a:gd name="connsiteY52" fmla="*/ 845552 h 1199459"/>
            <a:gd name="connsiteX53" fmla="*/ 6868978 w 6889430"/>
            <a:gd name="connsiteY53" fmla="*/ 608338 h 1199459"/>
            <a:gd name="connsiteX54" fmla="*/ 6889430 w 6889430"/>
            <a:gd name="connsiteY54" fmla="*/ 621729 h 1199459"/>
            <a:gd name="connsiteX55" fmla="*/ 6868978 w 6889430"/>
            <a:gd name="connsiteY55" fmla="*/ 635120 h 1199459"/>
            <a:gd name="connsiteX56" fmla="*/ 6606023 w 6889430"/>
            <a:gd name="connsiteY56" fmla="*/ 853204 h 1199459"/>
            <a:gd name="connsiteX57" fmla="*/ 6386894 w 6889430"/>
            <a:gd name="connsiteY57" fmla="*/ 1040679 h 1199459"/>
            <a:gd name="connsiteX58" fmla="*/ 6088878 w 6889430"/>
            <a:gd name="connsiteY58" fmla="*/ 705902 h 1199459"/>
            <a:gd name="connsiteX59" fmla="*/ 5896043 w 6889430"/>
            <a:gd name="connsiteY59" fmla="*/ 447645 h 1199459"/>
            <a:gd name="connsiteX60" fmla="*/ 5703210 w 6889430"/>
            <a:gd name="connsiteY60" fmla="*/ 700163 h 1199459"/>
            <a:gd name="connsiteX61" fmla="*/ 5469472 w 6889430"/>
            <a:gd name="connsiteY61" fmla="*/ 973724 h 1199459"/>
            <a:gd name="connsiteX62" fmla="*/ 5235734 w 6889430"/>
            <a:gd name="connsiteY62" fmla="*/ 560513 h 1199459"/>
            <a:gd name="connsiteX63" fmla="*/ 5042900 w 6889430"/>
            <a:gd name="connsiteY63" fmla="*/ 166432 h 1199459"/>
            <a:gd name="connsiteX64" fmla="*/ 4820849 w 6889430"/>
            <a:gd name="connsiteY64" fmla="*/ 585382 h 1199459"/>
            <a:gd name="connsiteX65" fmla="*/ 4546206 w 6889430"/>
            <a:gd name="connsiteY65" fmla="*/ 1038766 h 1199459"/>
            <a:gd name="connsiteX66" fmla="*/ 4300781 w 6889430"/>
            <a:gd name="connsiteY66" fmla="*/ 791987 h 1199459"/>
            <a:gd name="connsiteX67" fmla="*/ 4154695 w 6889430"/>
            <a:gd name="connsiteY67" fmla="*/ 608338 h 1199459"/>
            <a:gd name="connsiteX68" fmla="*/ 3999843 w 6889430"/>
            <a:gd name="connsiteY68" fmla="*/ 744162 h 1199459"/>
            <a:gd name="connsiteX69" fmla="*/ 3818696 w 6889430"/>
            <a:gd name="connsiteY69" fmla="*/ 891464 h 1199459"/>
            <a:gd name="connsiteX70" fmla="*/ 3625862 w 6889430"/>
            <a:gd name="connsiteY70" fmla="*/ 596860 h 1199459"/>
            <a:gd name="connsiteX71" fmla="*/ 3456402 w 6889430"/>
            <a:gd name="connsiteY71" fmla="*/ 307995 h 1199459"/>
            <a:gd name="connsiteX72" fmla="*/ 3240194 w 6889430"/>
            <a:gd name="connsiteY72" fmla="*/ 734597 h 1199459"/>
            <a:gd name="connsiteX73" fmla="*/ 2974317 w 6889430"/>
            <a:gd name="connsiteY73" fmla="*/ 1199459 h 1199459"/>
            <a:gd name="connsiteX74" fmla="*/ 2974317 w 6889430"/>
            <a:gd name="connsiteY74" fmla="*/ 1199459 h 1199459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  <a:cxn ang="0">
              <a:pos x="connsiteX55" y="connsiteY55"/>
            </a:cxn>
            <a:cxn ang="0">
              <a:pos x="connsiteX56" y="connsiteY56"/>
            </a:cxn>
            <a:cxn ang="0">
              <a:pos x="connsiteX57" y="connsiteY57"/>
            </a:cxn>
            <a:cxn ang="0">
              <a:pos x="connsiteX58" y="connsiteY58"/>
            </a:cxn>
            <a:cxn ang="0">
              <a:pos x="connsiteX59" y="connsiteY59"/>
            </a:cxn>
            <a:cxn ang="0">
              <a:pos x="connsiteX60" y="connsiteY60"/>
            </a:cxn>
            <a:cxn ang="0">
              <a:pos x="connsiteX61" y="connsiteY61"/>
            </a:cxn>
            <a:cxn ang="0">
              <a:pos x="connsiteX62" y="connsiteY62"/>
            </a:cxn>
            <a:cxn ang="0">
              <a:pos x="connsiteX63" y="connsiteY63"/>
            </a:cxn>
            <a:cxn ang="0">
              <a:pos x="connsiteX64" y="connsiteY64"/>
            </a:cxn>
            <a:cxn ang="0">
              <a:pos x="connsiteX65" y="connsiteY65"/>
            </a:cxn>
            <a:cxn ang="0">
              <a:pos x="connsiteX66" y="connsiteY66"/>
            </a:cxn>
            <a:cxn ang="0">
              <a:pos x="connsiteX67" y="connsiteY67"/>
            </a:cxn>
            <a:cxn ang="0">
              <a:pos x="connsiteX68" y="connsiteY68"/>
            </a:cxn>
            <a:cxn ang="0">
              <a:pos x="connsiteX69" y="connsiteY69"/>
            </a:cxn>
            <a:cxn ang="0">
              <a:pos x="connsiteX70" y="connsiteY70"/>
            </a:cxn>
            <a:cxn ang="0">
              <a:pos x="connsiteX71" y="connsiteY71"/>
            </a:cxn>
            <a:cxn ang="0">
              <a:pos x="connsiteX72" y="connsiteY72"/>
            </a:cxn>
            <a:cxn ang="0">
              <a:pos x="connsiteX73" y="connsiteY73"/>
            </a:cxn>
            <a:cxn ang="0">
              <a:pos x="connsiteX74" y="connsiteY74"/>
            </a:cxn>
          </a:cxnLst>
          <a:rect l="l" t="t" r="r" b="b"/>
          <a:pathLst>
            <a:path w="6889430" h="1199459">
              <a:moveTo>
                <a:pt x="2974317" y="1199459"/>
              </a:moveTo>
              <a:cubicBezTo>
                <a:pt x="2743501" y="1199459"/>
                <a:pt x="2711362" y="862769"/>
                <a:pt x="2679223" y="537557"/>
              </a:cubicBezTo>
              <a:cubicBezTo>
                <a:pt x="2655849" y="298430"/>
                <a:pt x="2629554" y="28695"/>
                <a:pt x="2512685" y="28695"/>
              </a:cubicBezTo>
              <a:cubicBezTo>
                <a:pt x="2387050" y="28695"/>
                <a:pt x="2346146" y="248692"/>
                <a:pt x="2311085" y="441906"/>
              </a:cubicBezTo>
              <a:cubicBezTo>
                <a:pt x="2270181" y="665729"/>
                <a:pt x="2232199" y="876160"/>
                <a:pt x="2071504" y="876160"/>
              </a:cubicBezTo>
              <a:cubicBezTo>
                <a:pt x="1945870" y="876160"/>
                <a:pt x="1902044" y="736510"/>
                <a:pt x="1855296" y="589208"/>
              </a:cubicBezTo>
              <a:cubicBezTo>
                <a:pt x="1814392" y="464862"/>
                <a:pt x="1770566" y="325212"/>
                <a:pt x="1679993" y="325212"/>
              </a:cubicBezTo>
              <a:cubicBezTo>
                <a:pt x="1577732" y="325212"/>
                <a:pt x="1528063" y="514601"/>
                <a:pt x="1484237" y="681033"/>
              </a:cubicBezTo>
              <a:cubicBezTo>
                <a:pt x="1428724" y="895290"/>
                <a:pt x="1373211" y="1099983"/>
                <a:pt x="1206673" y="1099983"/>
              </a:cubicBezTo>
              <a:cubicBezTo>
                <a:pt x="1051821" y="1099983"/>
                <a:pt x="1002152" y="943115"/>
                <a:pt x="955404" y="791987"/>
              </a:cubicBezTo>
              <a:cubicBezTo>
                <a:pt x="914500" y="663816"/>
                <a:pt x="873596" y="529905"/>
                <a:pt x="777179" y="529905"/>
              </a:cubicBezTo>
              <a:lnTo>
                <a:pt x="777179" y="529905"/>
              </a:lnTo>
              <a:cubicBezTo>
                <a:pt x="686606" y="529905"/>
                <a:pt x="636936" y="640859"/>
                <a:pt x="587267" y="747988"/>
              </a:cubicBezTo>
              <a:cubicBezTo>
                <a:pt x="531754" y="866595"/>
                <a:pt x="476241" y="989028"/>
                <a:pt x="350607" y="989028"/>
              </a:cubicBezTo>
              <a:lnTo>
                <a:pt x="350607" y="989028"/>
              </a:lnTo>
              <a:cubicBezTo>
                <a:pt x="236660" y="989028"/>
                <a:pt x="207443" y="901029"/>
                <a:pt x="178225" y="816857"/>
              </a:cubicBezTo>
              <a:cubicBezTo>
                <a:pt x="149008" y="734597"/>
                <a:pt x="119791" y="650424"/>
                <a:pt x="20452" y="644685"/>
              </a:cubicBezTo>
              <a:cubicBezTo>
                <a:pt x="8765" y="644685"/>
                <a:pt x="0" y="637033"/>
                <a:pt x="0" y="629381"/>
              </a:cubicBezTo>
              <a:cubicBezTo>
                <a:pt x="0" y="621729"/>
                <a:pt x="11687" y="615990"/>
                <a:pt x="23374" y="615990"/>
              </a:cubicBezTo>
              <a:cubicBezTo>
                <a:pt x="154851" y="621729"/>
                <a:pt x="189912" y="721206"/>
                <a:pt x="219129" y="809204"/>
              </a:cubicBezTo>
              <a:cubicBezTo>
                <a:pt x="245425" y="885725"/>
                <a:pt x="271721" y="958419"/>
                <a:pt x="350607" y="958419"/>
              </a:cubicBezTo>
              <a:lnTo>
                <a:pt x="350607" y="958419"/>
              </a:lnTo>
              <a:cubicBezTo>
                <a:pt x="444102" y="958419"/>
                <a:pt x="496693" y="845552"/>
                <a:pt x="546363" y="736510"/>
              </a:cubicBezTo>
              <a:cubicBezTo>
                <a:pt x="601876" y="614077"/>
                <a:pt x="657388" y="499296"/>
                <a:pt x="780101" y="497383"/>
              </a:cubicBezTo>
              <a:lnTo>
                <a:pt x="780101" y="497383"/>
              </a:lnTo>
              <a:cubicBezTo>
                <a:pt x="914500" y="497383"/>
                <a:pt x="955404" y="635120"/>
                <a:pt x="1002152" y="780509"/>
              </a:cubicBezTo>
              <a:cubicBezTo>
                <a:pt x="1045978" y="920159"/>
                <a:pt x="1089804" y="1065548"/>
                <a:pt x="1209595" y="1065548"/>
              </a:cubicBezTo>
              <a:cubicBezTo>
                <a:pt x="1341072" y="1065548"/>
                <a:pt x="1396585" y="855117"/>
                <a:pt x="1443333" y="671468"/>
              </a:cubicBezTo>
              <a:cubicBezTo>
                <a:pt x="1495924" y="468688"/>
                <a:pt x="1542672" y="292691"/>
                <a:pt x="1682914" y="292691"/>
              </a:cubicBezTo>
              <a:cubicBezTo>
                <a:pt x="1808549" y="292691"/>
                <a:pt x="1852374" y="432341"/>
                <a:pt x="1899122" y="579643"/>
              </a:cubicBezTo>
              <a:cubicBezTo>
                <a:pt x="1940026" y="703989"/>
                <a:pt x="1983852" y="843639"/>
                <a:pt x="2074426" y="843639"/>
              </a:cubicBezTo>
              <a:cubicBezTo>
                <a:pt x="2197138" y="843639"/>
                <a:pt x="2235121" y="625555"/>
                <a:pt x="2270181" y="434254"/>
              </a:cubicBezTo>
              <a:cubicBezTo>
                <a:pt x="2311085" y="212344"/>
                <a:pt x="2349068" y="0"/>
                <a:pt x="2512685" y="0"/>
              </a:cubicBezTo>
              <a:cubicBezTo>
                <a:pt x="2670458" y="0"/>
                <a:pt x="2693832" y="248692"/>
                <a:pt x="2720127" y="535644"/>
              </a:cubicBezTo>
              <a:cubicBezTo>
                <a:pt x="2749344" y="834074"/>
                <a:pt x="2781484" y="1170764"/>
                <a:pt x="2971396" y="1170764"/>
              </a:cubicBezTo>
              <a:cubicBezTo>
                <a:pt x="3126247" y="1170764"/>
                <a:pt x="3164230" y="946941"/>
                <a:pt x="3199290" y="732684"/>
              </a:cubicBezTo>
              <a:cubicBezTo>
                <a:pt x="3237273" y="499296"/>
                <a:pt x="3272333" y="281213"/>
                <a:pt x="3459324" y="281213"/>
              </a:cubicBezTo>
              <a:cubicBezTo>
                <a:pt x="3622941" y="281213"/>
                <a:pt x="3646314" y="439993"/>
                <a:pt x="3669688" y="594947"/>
              </a:cubicBezTo>
              <a:cubicBezTo>
                <a:pt x="3690140" y="726945"/>
                <a:pt x="3710593" y="864682"/>
                <a:pt x="3818696" y="864682"/>
              </a:cubicBezTo>
              <a:cubicBezTo>
                <a:pt x="3885896" y="864682"/>
                <a:pt x="3920957" y="801552"/>
                <a:pt x="3958939" y="736510"/>
              </a:cubicBezTo>
              <a:cubicBezTo>
                <a:pt x="4002765" y="659989"/>
                <a:pt x="4046591" y="581556"/>
                <a:pt x="4154695" y="581556"/>
              </a:cubicBezTo>
              <a:cubicBezTo>
                <a:pt x="4245268" y="581556"/>
                <a:pt x="4289094" y="675294"/>
                <a:pt x="4341685" y="784335"/>
              </a:cubicBezTo>
              <a:cubicBezTo>
                <a:pt x="4391354" y="891464"/>
                <a:pt x="4446868" y="1011984"/>
                <a:pt x="4546206" y="1011984"/>
              </a:cubicBezTo>
              <a:cubicBezTo>
                <a:pt x="4677684" y="1011984"/>
                <a:pt x="4730275" y="784335"/>
                <a:pt x="4777023" y="583469"/>
              </a:cubicBezTo>
              <a:cubicBezTo>
                <a:pt x="4829613" y="355820"/>
                <a:pt x="4879283" y="139650"/>
                <a:pt x="5042900" y="139650"/>
              </a:cubicBezTo>
              <a:cubicBezTo>
                <a:pt x="5194829" y="139650"/>
                <a:pt x="5235734" y="342429"/>
                <a:pt x="5279560" y="558600"/>
              </a:cubicBezTo>
              <a:cubicBezTo>
                <a:pt x="5317542" y="740336"/>
                <a:pt x="5358446" y="946941"/>
                <a:pt x="5469472" y="946941"/>
              </a:cubicBezTo>
              <a:cubicBezTo>
                <a:pt x="5560045" y="946941"/>
                <a:pt x="5612636" y="813031"/>
                <a:pt x="5662305" y="694424"/>
              </a:cubicBezTo>
              <a:cubicBezTo>
                <a:pt x="5720740" y="552861"/>
                <a:pt x="5773331" y="420863"/>
                <a:pt x="5896043" y="420863"/>
              </a:cubicBezTo>
              <a:cubicBezTo>
                <a:pt x="6012913" y="420863"/>
                <a:pt x="6068426" y="549035"/>
                <a:pt x="6129782" y="700163"/>
              </a:cubicBezTo>
              <a:cubicBezTo>
                <a:pt x="6191138" y="845552"/>
                <a:pt x="6261259" y="1010071"/>
                <a:pt x="6386894" y="1013897"/>
              </a:cubicBezTo>
              <a:cubicBezTo>
                <a:pt x="6386894" y="1013897"/>
                <a:pt x="6389815" y="1013897"/>
                <a:pt x="6389815" y="1013897"/>
              </a:cubicBezTo>
              <a:cubicBezTo>
                <a:pt x="6474545" y="1013897"/>
                <a:pt x="6518371" y="931637"/>
                <a:pt x="6565119" y="845552"/>
              </a:cubicBezTo>
              <a:cubicBezTo>
                <a:pt x="6623554" y="734597"/>
                <a:pt x="6693675" y="608338"/>
                <a:pt x="6868978" y="608338"/>
              </a:cubicBezTo>
              <a:cubicBezTo>
                <a:pt x="6880666" y="608338"/>
                <a:pt x="6889430" y="614077"/>
                <a:pt x="6889430" y="621729"/>
              </a:cubicBezTo>
              <a:cubicBezTo>
                <a:pt x="6889430" y="629381"/>
                <a:pt x="6880666" y="635120"/>
                <a:pt x="6868978" y="635120"/>
              </a:cubicBezTo>
              <a:cubicBezTo>
                <a:pt x="6722892" y="635120"/>
                <a:pt x="6664458" y="746075"/>
                <a:pt x="6606023" y="853204"/>
              </a:cubicBezTo>
              <a:cubicBezTo>
                <a:pt x="6553432" y="950767"/>
                <a:pt x="6503763" y="1044505"/>
                <a:pt x="6386894" y="1040679"/>
              </a:cubicBezTo>
              <a:cubicBezTo>
                <a:pt x="6226199" y="1036853"/>
                <a:pt x="6156077" y="868508"/>
                <a:pt x="6088878" y="705902"/>
              </a:cubicBezTo>
              <a:cubicBezTo>
                <a:pt x="6036286" y="579643"/>
                <a:pt x="5980774" y="447645"/>
                <a:pt x="5896043" y="447645"/>
              </a:cubicBezTo>
              <a:cubicBezTo>
                <a:pt x="5805470" y="447645"/>
                <a:pt x="5752879" y="581556"/>
                <a:pt x="5703210" y="700163"/>
              </a:cubicBezTo>
              <a:cubicBezTo>
                <a:pt x="5644775" y="839813"/>
                <a:pt x="5592184" y="973724"/>
                <a:pt x="5469472" y="973724"/>
              </a:cubicBezTo>
              <a:cubicBezTo>
                <a:pt x="5320464" y="973724"/>
                <a:pt x="5279560" y="772857"/>
                <a:pt x="5235734" y="560513"/>
              </a:cubicBezTo>
              <a:cubicBezTo>
                <a:pt x="5197751" y="376864"/>
                <a:pt x="5156847" y="166432"/>
                <a:pt x="5042900" y="166432"/>
              </a:cubicBezTo>
              <a:cubicBezTo>
                <a:pt x="4917265" y="166432"/>
                <a:pt x="4864674" y="388342"/>
                <a:pt x="4820849" y="585382"/>
              </a:cubicBezTo>
              <a:cubicBezTo>
                <a:pt x="4768257" y="818770"/>
                <a:pt x="4715666" y="1038766"/>
                <a:pt x="4546206" y="1038766"/>
              </a:cubicBezTo>
              <a:cubicBezTo>
                <a:pt x="4414728" y="1038766"/>
                <a:pt x="4356294" y="912507"/>
                <a:pt x="4300781" y="791987"/>
              </a:cubicBezTo>
              <a:cubicBezTo>
                <a:pt x="4259877" y="705902"/>
                <a:pt x="4216051" y="608338"/>
                <a:pt x="4154695" y="608338"/>
              </a:cubicBezTo>
              <a:cubicBezTo>
                <a:pt x="4078730" y="608338"/>
                <a:pt x="4037826" y="677207"/>
                <a:pt x="3999843" y="744162"/>
              </a:cubicBezTo>
              <a:cubicBezTo>
                <a:pt x="3958939" y="816857"/>
                <a:pt x="3915113" y="891464"/>
                <a:pt x="3818696" y="891464"/>
              </a:cubicBezTo>
              <a:cubicBezTo>
                <a:pt x="3672610" y="891464"/>
                <a:pt x="3649236" y="747988"/>
                <a:pt x="3625862" y="596860"/>
              </a:cubicBezTo>
              <a:cubicBezTo>
                <a:pt x="3602488" y="455297"/>
                <a:pt x="3582036" y="307995"/>
                <a:pt x="3456402" y="307995"/>
              </a:cubicBezTo>
              <a:cubicBezTo>
                <a:pt x="3310316" y="307995"/>
                <a:pt x="3275255" y="524166"/>
                <a:pt x="3240194" y="734597"/>
              </a:cubicBezTo>
              <a:cubicBezTo>
                <a:pt x="3205134" y="973724"/>
                <a:pt x="3170073" y="1199459"/>
                <a:pt x="2974317" y="1199459"/>
              </a:cubicBezTo>
              <a:lnTo>
                <a:pt x="2974317" y="1199459"/>
              </a:lnTo>
              <a:close/>
            </a:path>
          </a:pathLst>
        </a:custGeom>
        <a:solidFill>
          <a:schemeClr val="accent1">
            <a:lumMod val="40000"/>
            <a:lumOff val="60000"/>
          </a:schemeClr>
        </a:solidFill>
        <a:ln w="29208" cap="flat">
          <a:noFill/>
          <a:prstDash val="solid"/>
          <a:miter/>
        </a:ln>
      </xdr:spPr>
      <xdr:txBody>
        <a:bodyPr rtlCol="0" anchor="ctr"/>
        <a:lstStyle/>
        <a:p>
          <a:endParaRPr lang="en-US"/>
        </a:p>
      </xdr:txBody>
    </xdr:sp>
    <xdr:clientData/>
  </xdr:twoCellAnchor>
  <xdr:twoCellAnchor>
    <xdr:from>
      <xdr:col>5</xdr:col>
      <xdr:colOff>3928</xdr:colOff>
      <xdr:row>1</xdr:row>
      <xdr:rowOff>142421</xdr:rowOff>
    </xdr:from>
    <xdr:to>
      <xdr:col>9</xdr:col>
      <xdr:colOff>961445</xdr:colOff>
      <xdr:row>2</xdr:row>
      <xdr:rowOff>794087</xdr:rowOff>
    </xdr:to>
    <xdr:sp macro="" textlink="">
      <xdr:nvSpPr>
        <xdr:cNvPr id="5" name="Freeform: Shape 4">
          <a:extLst>
            <a:ext uri="{FF2B5EF4-FFF2-40B4-BE49-F238E27FC236}">
              <a16:creationId xmlns:a16="http://schemas.microsoft.com/office/drawing/2014/main" id="{B766E345-14C8-BF3C-7275-68852F9BE893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SpPr/>
      </xdr:nvSpPr>
      <xdr:spPr>
        <a:xfrm>
          <a:off x="7704891" y="342446"/>
          <a:ext cx="6901117" cy="946941"/>
        </a:xfrm>
        <a:custGeom>
          <a:avLst/>
          <a:gdLst>
            <a:gd name="connsiteX0" fmla="*/ 2968474 w 6901117"/>
            <a:gd name="connsiteY0" fmla="*/ 946941 h 946941"/>
            <a:gd name="connsiteX1" fmla="*/ 2690910 w 6901117"/>
            <a:gd name="connsiteY1" fmla="*/ 441906 h 946941"/>
            <a:gd name="connsiteX2" fmla="*/ 2512685 w 6901117"/>
            <a:gd name="connsiteY2" fmla="*/ 28695 h 946941"/>
            <a:gd name="connsiteX3" fmla="*/ 2316929 w 6901117"/>
            <a:gd name="connsiteY3" fmla="*/ 350081 h 946941"/>
            <a:gd name="connsiteX4" fmla="*/ 2080269 w 6901117"/>
            <a:gd name="connsiteY4" fmla="*/ 692511 h 946941"/>
            <a:gd name="connsiteX5" fmla="*/ 1855296 w 6901117"/>
            <a:gd name="connsiteY5" fmla="*/ 472514 h 946941"/>
            <a:gd name="connsiteX6" fmla="*/ 1674149 w 6901117"/>
            <a:gd name="connsiteY6" fmla="*/ 271648 h 946941"/>
            <a:gd name="connsiteX7" fmla="*/ 1446255 w 6901117"/>
            <a:gd name="connsiteY7" fmla="*/ 570078 h 946941"/>
            <a:gd name="connsiteX8" fmla="*/ 1206673 w 6901117"/>
            <a:gd name="connsiteY8" fmla="*/ 866595 h 946941"/>
            <a:gd name="connsiteX9" fmla="*/ 972935 w 6901117"/>
            <a:gd name="connsiteY9" fmla="*/ 627468 h 946941"/>
            <a:gd name="connsiteX10" fmla="*/ 809318 w 6901117"/>
            <a:gd name="connsiteY10" fmla="*/ 428515 h 946941"/>
            <a:gd name="connsiteX11" fmla="*/ 809318 w 6901117"/>
            <a:gd name="connsiteY11" fmla="*/ 428515 h 946941"/>
            <a:gd name="connsiteX12" fmla="*/ 639858 w 6901117"/>
            <a:gd name="connsiteY12" fmla="*/ 583469 h 946941"/>
            <a:gd name="connsiteX13" fmla="*/ 414885 w 6901117"/>
            <a:gd name="connsiteY13" fmla="*/ 767118 h 946941"/>
            <a:gd name="connsiteX14" fmla="*/ 186990 w 6901117"/>
            <a:gd name="connsiteY14" fmla="*/ 619816 h 946941"/>
            <a:gd name="connsiteX15" fmla="*/ 20452 w 6901117"/>
            <a:gd name="connsiteY15" fmla="*/ 499296 h 946941"/>
            <a:gd name="connsiteX16" fmla="*/ 20452 w 6901117"/>
            <a:gd name="connsiteY16" fmla="*/ 499296 h 946941"/>
            <a:gd name="connsiteX17" fmla="*/ 0 w 6901117"/>
            <a:gd name="connsiteY17" fmla="*/ 485905 h 946941"/>
            <a:gd name="connsiteX18" fmla="*/ 20452 w 6901117"/>
            <a:gd name="connsiteY18" fmla="*/ 472514 h 946941"/>
            <a:gd name="connsiteX19" fmla="*/ 20452 w 6901117"/>
            <a:gd name="connsiteY19" fmla="*/ 472514 h 946941"/>
            <a:gd name="connsiteX20" fmla="*/ 227895 w 6901117"/>
            <a:gd name="connsiteY20" fmla="*/ 610251 h 946941"/>
            <a:gd name="connsiteX21" fmla="*/ 414885 w 6901117"/>
            <a:gd name="connsiteY21" fmla="*/ 740336 h 946941"/>
            <a:gd name="connsiteX22" fmla="*/ 598954 w 6901117"/>
            <a:gd name="connsiteY22" fmla="*/ 575817 h 946941"/>
            <a:gd name="connsiteX23" fmla="*/ 809318 w 6901117"/>
            <a:gd name="connsiteY23" fmla="*/ 399820 h 946941"/>
            <a:gd name="connsiteX24" fmla="*/ 809318 w 6901117"/>
            <a:gd name="connsiteY24" fmla="*/ 399820 h 946941"/>
            <a:gd name="connsiteX25" fmla="*/ 1016761 w 6901117"/>
            <a:gd name="connsiteY25" fmla="*/ 621729 h 946941"/>
            <a:gd name="connsiteX26" fmla="*/ 1209595 w 6901117"/>
            <a:gd name="connsiteY26" fmla="*/ 839813 h 946941"/>
            <a:gd name="connsiteX27" fmla="*/ 1408272 w 6901117"/>
            <a:gd name="connsiteY27" fmla="*/ 564339 h 946941"/>
            <a:gd name="connsiteX28" fmla="*/ 1677071 w 6901117"/>
            <a:gd name="connsiteY28" fmla="*/ 242953 h 946941"/>
            <a:gd name="connsiteX29" fmla="*/ 1902044 w 6901117"/>
            <a:gd name="connsiteY29" fmla="*/ 462949 h 946941"/>
            <a:gd name="connsiteX30" fmla="*/ 2083191 w 6901117"/>
            <a:gd name="connsiteY30" fmla="*/ 663815 h 946941"/>
            <a:gd name="connsiteX31" fmla="*/ 2276025 w 6901117"/>
            <a:gd name="connsiteY31" fmla="*/ 346255 h 946941"/>
            <a:gd name="connsiteX32" fmla="*/ 2515606 w 6901117"/>
            <a:gd name="connsiteY32" fmla="*/ 0 h 946941"/>
            <a:gd name="connsiteX33" fmla="*/ 2737657 w 6901117"/>
            <a:gd name="connsiteY33" fmla="*/ 438080 h 946941"/>
            <a:gd name="connsiteX34" fmla="*/ 2971396 w 6901117"/>
            <a:gd name="connsiteY34" fmla="*/ 916333 h 946941"/>
            <a:gd name="connsiteX35" fmla="*/ 3225586 w 6901117"/>
            <a:gd name="connsiteY35" fmla="*/ 549035 h 946941"/>
            <a:gd name="connsiteX36" fmla="*/ 3450559 w 6901117"/>
            <a:gd name="connsiteY36" fmla="*/ 218083 h 946941"/>
            <a:gd name="connsiteX37" fmla="*/ 3453480 w 6901117"/>
            <a:gd name="connsiteY37" fmla="*/ 218083 h 946941"/>
            <a:gd name="connsiteX38" fmla="*/ 3628784 w 6901117"/>
            <a:gd name="connsiteY38" fmla="*/ 441906 h 946941"/>
            <a:gd name="connsiteX39" fmla="*/ 3807009 w 6901117"/>
            <a:gd name="connsiteY39" fmla="*/ 675294 h 946941"/>
            <a:gd name="connsiteX40" fmla="*/ 3947252 w 6901117"/>
            <a:gd name="connsiteY40" fmla="*/ 571991 h 946941"/>
            <a:gd name="connsiteX41" fmla="*/ 4140086 w 6901117"/>
            <a:gd name="connsiteY41" fmla="*/ 445732 h 946941"/>
            <a:gd name="connsiteX42" fmla="*/ 4324155 w 6901117"/>
            <a:gd name="connsiteY42" fmla="*/ 610251 h 946941"/>
            <a:gd name="connsiteX43" fmla="*/ 4525754 w 6901117"/>
            <a:gd name="connsiteY43" fmla="*/ 791987 h 946941"/>
            <a:gd name="connsiteX44" fmla="*/ 4753649 w 6901117"/>
            <a:gd name="connsiteY44" fmla="*/ 459123 h 946941"/>
            <a:gd name="connsiteX45" fmla="*/ 5016604 w 6901117"/>
            <a:gd name="connsiteY45" fmla="*/ 109042 h 946941"/>
            <a:gd name="connsiteX46" fmla="*/ 5250342 w 6901117"/>
            <a:gd name="connsiteY46" fmla="*/ 438080 h 946941"/>
            <a:gd name="connsiteX47" fmla="*/ 5437333 w 6901117"/>
            <a:gd name="connsiteY47" fmla="*/ 740336 h 946941"/>
            <a:gd name="connsiteX48" fmla="*/ 5627245 w 6901117"/>
            <a:gd name="connsiteY48" fmla="*/ 543296 h 946941"/>
            <a:gd name="connsiteX49" fmla="*/ 5858061 w 6901117"/>
            <a:gd name="connsiteY49" fmla="*/ 327125 h 946941"/>
            <a:gd name="connsiteX50" fmla="*/ 6080113 w 6901117"/>
            <a:gd name="connsiteY50" fmla="*/ 568165 h 946941"/>
            <a:gd name="connsiteX51" fmla="*/ 6258338 w 6901117"/>
            <a:gd name="connsiteY51" fmla="*/ 790074 h 946941"/>
            <a:gd name="connsiteX52" fmla="*/ 6258338 w 6901117"/>
            <a:gd name="connsiteY52" fmla="*/ 790074 h 946941"/>
            <a:gd name="connsiteX53" fmla="*/ 6389815 w 6901117"/>
            <a:gd name="connsiteY53" fmla="*/ 692511 h 946941"/>
            <a:gd name="connsiteX54" fmla="*/ 6880665 w 6901117"/>
            <a:gd name="connsiteY54" fmla="*/ 457210 h 946941"/>
            <a:gd name="connsiteX55" fmla="*/ 6901117 w 6901117"/>
            <a:gd name="connsiteY55" fmla="*/ 470601 h 946941"/>
            <a:gd name="connsiteX56" fmla="*/ 6880665 w 6901117"/>
            <a:gd name="connsiteY56" fmla="*/ 483992 h 946941"/>
            <a:gd name="connsiteX57" fmla="*/ 6424876 w 6901117"/>
            <a:gd name="connsiteY57" fmla="*/ 703989 h 946941"/>
            <a:gd name="connsiteX58" fmla="*/ 6255416 w 6901117"/>
            <a:gd name="connsiteY58" fmla="*/ 816857 h 946941"/>
            <a:gd name="connsiteX59" fmla="*/ 6252494 w 6901117"/>
            <a:gd name="connsiteY59" fmla="*/ 816857 h 946941"/>
            <a:gd name="connsiteX60" fmla="*/ 6033365 w 6901117"/>
            <a:gd name="connsiteY60" fmla="*/ 573904 h 946941"/>
            <a:gd name="connsiteX61" fmla="*/ 5855139 w 6901117"/>
            <a:gd name="connsiteY61" fmla="*/ 353907 h 946941"/>
            <a:gd name="connsiteX62" fmla="*/ 5665227 w 6901117"/>
            <a:gd name="connsiteY62" fmla="*/ 550948 h 946941"/>
            <a:gd name="connsiteX63" fmla="*/ 5434411 w 6901117"/>
            <a:gd name="connsiteY63" fmla="*/ 767118 h 946941"/>
            <a:gd name="connsiteX64" fmla="*/ 5206516 w 6901117"/>
            <a:gd name="connsiteY64" fmla="*/ 441906 h 946941"/>
            <a:gd name="connsiteX65" fmla="*/ 5016604 w 6901117"/>
            <a:gd name="connsiteY65" fmla="*/ 135824 h 946941"/>
            <a:gd name="connsiteX66" fmla="*/ 4797475 w 6901117"/>
            <a:gd name="connsiteY66" fmla="*/ 461036 h 946941"/>
            <a:gd name="connsiteX67" fmla="*/ 4528676 w 6901117"/>
            <a:gd name="connsiteY67" fmla="*/ 816857 h 946941"/>
            <a:gd name="connsiteX68" fmla="*/ 4286172 w 6901117"/>
            <a:gd name="connsiteY68" fmla="*/ 617903 h 946941"/>
            <a:gd name="connsiteX69" fmla="*/ 4143008 w 6901117"/>
            <a:gd name="connsiteY69" fmla="*/ 472514 h 946941"/>
            <a:gd name="connsiteX70" fmla="*/ 3991078 w 6901117"/>
            <a:gd name="connsiteY70" fmla="*/ 581556 h 946941"/>
            <a:gd name="connsiteX71" fmla="*/ 3812853 w 6901117"/>
            <a:gd name="connsiteY71" fmla="*/ 702076 h 946941"/>
            <a:gd name="connsiteX72" fmla="*/ 3593723 w 6901117"/>
            <a:gd name="connsiteY72" fmla="*/ 443819 h 946941"/>
            <a:gd name="connsiteX73" fmla="*/ 3459324 w 6901117"/>
            <a:gd name="connsiteY73" fmla="*/ 244866 h 946941"/>
            <a:gd name="connsiteX74" fmla="*/ 3459324 w 6901117"/>
            <a:gd name="connsiteY74" fmla="*/ 244866 h 946941"/>
            <a:gd name="connsiteX75" fmla="*/ 3275255 w 6901117"/>
            <a:gd name="connsiteY75" fmla="*/ 550948 h 946941"/>
            <a:gd name="connsiteX76" fmla="*/ 2968474 w 6901117"/>
            <a:gd name="connsiteY76" fmla="*/ 946941 h 946941"/>
            <a:gd name="connsiteX77" fmla="*/ 2968474 w 6901117"/>
            <a:gd name="connsiteY77" fmla="*/ 946941 h 946941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  <a:cxn ang="0">
              <a:pos x="connsiteX55" y="connsiteY55"/>
            </a:cxn>
            <a:cxn ang="0">
              <a:pos x="connsiteX56" y="connsiteY56"/>
            </a:cxn>
            <a:cxn ang="0">
              <a:pos x="connsiteX57" y="connsiteY57"/>
            </a:cxn>
            <a:cxn ang="0">
              <a:pos x="connsiteX58" y="connsiteY58"/>
            </a:cxn>
            <a:cxn ang="0">
              <a:pos x="connsiteX59" y="connsiteY59"/>
            </a:cxn>
            <a:cxn ang="0">
              <a:pos x="connsiteX60" y="connsiteY60"/>
            </a:cxn>
            <a:cxn ang="0">
              <a:pos x="connsiteX61" y="connsiteY61"/>
            </a:cxn>
            <a:cxn ang="0">
              <a:pos x="connsiteX62" y="connsiteY62"/>
            </a:cxn>
            <a:cxn ang="0">
              <a:pos x="connsiteX63" y="connsiteY63"/>
            </a:cxn>
            <a:cxn ang="0">
              <a:pos x="connsiteX64" y="connsiteY64"/>
            </a:cxn>
            <a:cxn ang="0">
              <a:pos x="connsiteX65" y="connsiteY65"/>
            </a:cxn>
            <a:cxn ang="0">
              <a:pos x="connsiteX66" y="connsiteY66"/>
            </a:cxn>
            <a:cxn ang="0">
              <a:pos x="connsiteX67" y="connsiteY67"/>
            </a:cxn>
            <a:cxn ang="0">
              <a:pos x="connsiteX68" y="connsiteY68"/>
            </a:cxn>
            <a:cxn ang="0">
              <a:pos x="connsiteX69" y="connsiteY69"/>
            </a:cxn>
            <a:cxn ang="0">
              <a:pos x="connsiteX70" y="connsiteY70"/>
            </a:cxn>
            <a:cxn ang="0">
              <a:pos x="connsiteX71" y="connsiteY71"/>
            </a:cxn>
            <a:cxn ang="0">
              <a:pos x="connsiteX72" y="connsiteY72"/>
            </a:cxn>
            <a:cxn ang="0">
              <a:pos x="connsiteX73" y="connsiteY73"/>
            </a:cxn>
            <a:cxn ang="0">
              <a:pos x="connsiteX74" y="connsiteY74"/>
            </a:cxn>
            <a:cxn ang="0">
              <a:pos x="connsiteX75" y="connsiteY75"/>
            </a:cxn>
            <a:cxn ang="0">
              <a:pos x="connsiteX76" y="connsiteY76"/>
            </a:cxn>
            <a:cxn ang="0">
              <a:pos x="connsiteX77" y="connsiteY77"/>
            </a:cxn>
          </a:cxnLst>
          <a:rect l="l" t="t" r="r" b="b"/>
          <a:pathLst>
            <a:path w="6901117" h="946941">
              <a:moveTo>
                <a:pt x="2968474" y="946941"/>
              </a:moveTo>
              <a:cubicBezTo>
                <a:pt x="2763953" y="946941"/>
                <a:pt x="2728892" y="690598"/>
                <a:pt x="2690910" y="441906"/>
              </a:cubicBezTo>
              <a:cubicBezTo>
                <a:pt x="2661693" y="239127"/>
                <a:pt x="2632475" y="28695"/>
                <a:pt x="2512685" y="28695"/>
              </a:cubicBezTo>
              <a:cubicBezTo>
                <a:pt x="2389972" y="28695"/>
                <a:pt x="2351990" y="191301"/>
                <a:pt x="2316929" y="350081"/>
              </a:cubicBezTo>
              <a:cubicBezTo>
                <a:pt x="2276025" y="526079"/>
                <a:pt x="2238042" y="692511"/>
                <a:pt x="2080269" y="692511"/>
              </a:cubicBezTo>
              <a:cubicBezTo>
                <a:pt x="1960478" y="692511"/>
                <a:pt x="1907887" y="579643"/>
                <a:pt x="1855296" y="472514"/>
              </a:cubicBezTo>
              <a:cubicBezTo>
                <a:pt x="1808549" y="373038"/>
                <a:pt x="1761801" y="271648"/>
                <a:pt x="1674149" y="271648"/>
              </a:cubicBezTo>
              <a:cubicBezTo>
                <a:pt x="1563124" y="271648"/>
                <a:pt x="1501767" y="430428"/>
                <a:pt x="1446255" y="570078"/>
              </a:cubicBezTo>
              <a:cubicBezTo>
                <a:pt x="1387820" y="723119"/>
                <a:pt x="1332307" y="866595"/>
                <a:pt x="1206673" y="866595"/>
              </a:cubicBezTo>
              <a:cubicBezTo>
                <a:pt x="1054743" y="866595"/>
                <a:pt x="1010917" y="744162"/>
                <a:pt x="972935" y="627468"/>
              </a:cubicBezTo>
              <a:cubicBezTo>
                <a:pt x="937874" y="526079"/>
                <a:pt x="905735" y="428515"/>
                <a:pt x="809318" y="428515"/>
              </a:cubicBezTo>
              <a:lnTo>
                <a:pt x="809318" y="428515"/>
              </a:lnTo>
              <a:cubicBezTo>
                <a:pt x="721666" y="428515"/>
                <a:pt x="683684" y="505035"/>
                <a:pt x="639858" y="583469"/>
              </a:cubicBezTo>
              <a:cubicBezTo>
                <a:pt x="593110" y="673381"/>
                <a:pt x="546363" y="767118"/>
                <a:pt x="414885" y="767118"/>
              </a:cubicBezTo>
              <a:cubicBezTo>
                <a:pt x="280486" y="767118"/>
                <a:pt x="230816" y="688685"/>
                <a:pt x="186990" y="619816"/>
              </a:cubicBezTo>
              <a:cubicBezTo>
                <a:pt x="146086" y="554774"/>
                <a:pt x="111026" y="499296"/>
                <a:pt x="20452" y="499296"/>
              </a:cubicBezTo>
              <a:lnTo>
                <a:pt x="20452" y="499296"/>
              </a:lnTo>
              <a:cubicBezTo>
                <a:pt x="8765" y="499296"/>
                <a:pt x="0" y="493557"/>
                <a:pt x="0" y="485905"/>
              </a:cubicBezTo>
              <a:cubicBezTo>
                <a:pt x="0" y="478253"/>
                <a:pt x="8765" y="472514"/>
                <a:pt x="20452" y="472514"/>
              </a:cubicBezTo>
              <a:lnTo>
                <a:pt x="20452" y="472514"/>
              </a:lnTo>
              <a:cubicBezTo>
                <a:pt x="140243" y="472514"/>
                <a:pt x="184069" y="543296"/>
                <a:pt x="227895" y="610251"/>
              </a:cubicBezTo>
              <a:cubicBezTo>
                <a:pt x="268799" y="677207"/>
                <a:pt x="306781" y="740336"/>
                <a:pt x="414885" y="740336"/>
              </a:cubicBezTo>
              <a:cubicBezTo>
                <a:pt x="514224" y="740336"/>
                <a:pt x="555128" y="659989"/>
                <a:pt x="598954" y="575817"/>
              </a:cubicBezTo>
              <a:cubicBezTo>
                <a:pt x="642780" y="489731"/>
                <a:pt x="689527" y="401733"/>
                <a:pt x="809318" y="399820"/>
              </a:cubicBezTo>
              <a:lnTo>
                <a:pt x="809318" y="399820"/>
              </a:lnTo>
              <a:cubicBezTo>
                <a:pt x="940796" y="399820"/>
                <a:pt x="978778" y="512688"/>
                <a:pt x="1016761" y="621729"/>
              </a:cubicBezTo>
              <a:cubicBezTo>
                <a:pt x="1051821" y="728858"/>
                <a:pt x="1089804" y="839813"/>
                <a:pt x="1209595" y="839813"/>
              </a:cubicBezTo>
              <a:cubicBezTo>
                <a:pt x="1300168" y="839813"/>
                <a:pt x="1358603" y="694424"/>
                <a:pt x="1408272" y="564339"/>
              </a:cubicBezTo>
              <a:cubicBezTo>
                <a:pt x="1472550" y="399820"/>
                <a:pt x="1533906" y="242953"/>
                <a:pt x="1677071" y="242953"/>
              </a:cubicBezTo>
              <a:cubicBezTo>
                <a:pt x="1796862" y="242953"/>
                <a:pt x="1849453" y="355820"/>
                <a:pt x="1902044" y="462949"/>
              </a:cubicBezTo>
              <a:cubicBezTo>
                <a:pt x="1948791" y="562426"/>
                <a:pt x="1995539" y="663815"/>
                <a:pt x="2083191" y="663815"/>
              </a:cubicBezTo>
              <a:cubicBezTo>
                <a:pt x="2202982" y="663815"/>
                <a:pt x="2240964" y="501209"/>
                <a:pt x="2276025" y="346255"/>
              </a:cubicBezTo>
              <a:cubicBezTo>
                <a:pt x="2316929" y="168345"/>
                <a:pt x="2354911" y="0"/>
                <a:pt x="2515606" y="0"/>
              </a:cubicBezTo>
              <a:cubicBezTo>
                <a:pt x="2673380" y="0"/>
                <a:pt x="2702597" y="202779"/>
                <a:pt x="2737657" y="438080"/>
              </a:cubicBezTo>
              <a:cubicBezTo>
                <a:pt x="2769797" y="661903"/>
                <a:pt x="2807779" y="916333"/>
                <a:pt x="2971396" y="916333"/>
              </a:cubicBezTo>
              <a:cubicBezTo>
                <a:pt x="3135012" y="916333"/>
                <a:pt x="3181760" y="721206"/>
                <a:pt x="3225586" y="549035"/>
              </a:cubicBezTo>
              <a:cubicBezTo>
                <a:pt x="3266490" y="380690"/>
                <a:pt x="3307394" y="219996"/>
                <a:pt x="3450559" y="218083"/>
              </a:cubicBezTo>
              <a:cubicBezTo>
                <a:pt x="3450559" y="218083"/>
                <a:pt x="3450559" y="218083"/>
                <a:pt x="3453480" y="218083"/>
              </a:cubicBezTo>
              <a:cubicBezTo>
                <a:pt x="3570349" y="218083"/>
                <a:pt x="3599567" y="327125"/>
                <a:pt x="3628784" y="441906"/>
              </a:cubicBezTo>
              <a:cubicBezTo>
                <a:pt x="3658001" y="556687"/>
                <a:pt x="3690140" y="675294"/>
                <a:pt x="3807009" y="675294"/>
              </a:cubicBezTo>
              <a:cubicBezTo>
                <a:pt x="3874209" y="675294"/>
                <a:pt x="3909270" y="625555"/>
                <a:pt x="3947252" y="571991"/>
              </a:cubicBezTo>
              <a:cubicBezTo>
                <a:pt x="3988156" y="512688"/>
                <a:pt x="4034904" y="445732"/>
                <a:pt x="4140086" y="445732"/>
              </a:cubicBezTo>
              <a:cubicBezTo>
                <a:pt x="4230660" y="445732"/>
                <a:pt x="4274486" y="526079"/>
                <a:pt x="4324155" y="610251"/>
              </a:cubicBezTo>
              <a:cubicBezTo>
                <a:pt x="4373824" y="700163"/>
                <a:pt x="4429337" y="791987"/>
                <a:pt x="4525754" y="791987"/>
              </a:cubicBezTo>
              <a:cubicBezTo>
                <a:pt x="4657232" y="791987"/>
                <a:pt x="4706901" y="621729"/>
                <a:pt x="4753649" y="459123"/>
              </a:cubicBezTo>
              <a:cubicBezTo>
                <a:pt x="4806240" y="279300"/>
                <a:pt x="4852988" y="109042"/>
                <a:pt x="5016604" y="109042"/>
              </a:cubicBezTo>
              <a:cubicBezTo>
                <a:pt x="5168534" y="109042"/>
                <a:pt x="5206516" y="269735"/>
                <a:pt x="5250342" y="438080"/>
              </a:cubicBezTo>
              <a:cubicBezTo>
                <a:pt x="5288325" y="585382"/>
                <a:pt x="5326307" y="740336"/>
                <a:pt x="5437333" y="740336"/>
              </a:cubicBezTo>
              <a:cubicBezTo>
                <a:pt x="5527906" y="740336"/>
                <a:pt x="5577575" y="640859"/>
                <a:pt x="5627245" y="543296"/>
              </a:cubicBezTo>
              <a:cubicBezTo>
                <a:pt x="5682758" y="438080"/>
                <a:pt x="5738270" y="327125"/>
                <a:pt x="5858061" y="327125"/>
              </a:cubicBezTo>
              <a:cubicBezTo>
                <a:pt x="5980774" y="327125"/>
                <a:pt x="6027521" y="443819"/>
                <a:pt x="6080113" y="568165"/>
              </a:cubicBezTo>
              <a:cubicBezTo>
                <a:pt x="6123938" y="677207"/>
                <a:pt x="6170686" y="788161"/>
                <a:pt x="6258338" y="790074"/>
              </a:cubicBezTo>
              <a:cubicBezTo>
                <a:pt x="6258338" y="790074"/>
                <a:pt x="6258338" y="790074"/>
                <a:pt x="6258338" y="790074"/>
              </a:cubicBezTo>
              <a:cubicBezTo>
                <a:pt x="6305085" y="790074"/>
                <a:pt x="6343068" y="746075"/>
                <a:pt x="6389815" y="692511"/>
              </a:cubicBezTo>
              <a:cubicBezTo>
                <a:pt x="6474546" y="593034"/>
                <a:pt x="6594336" y="457210"/>
                <a:pt x="6880665" y="457210"/>
              </a:cubicBezTo>
              <a:cubicBezTo>
                <a:pt x="6892352" y="457210"/>
                <a:pt x="6901117" y="462949"/>
                <a:pt x="6901117" y="470601"/>
              </a:cubicBezTo>
              <a:cubicBezTo>
                <a:pt x="6901117" y="478253"/>
                <a:pt x="6892352" y="483992"/>
                <a:pt x="6880665" y="483992"/>
              </a:cubicBezTo>
              <a:cubicBezTo>
                <a:pt x="6617710" y="483992"/>
                <a:pt x="6512528" y="606425"/>
                <a:pt x="6424876" y="703989"/>
              </a:cubicBezTo>
              <a:cubicBezTo>
                <a:pt x="6369363" y="767118"/>
                <a:pt x="6328459" y="816857"/>
                <a:pt x="6255416" y="816857"/>
              </a:cubicBezTo>
              <a:cubicBezTo>
                <a:pt x="6255416" y="816857"/>
                <a:pt x="6252494" y="816857"/>
                <a:pt x="6252494" y="816857"/>
              </a:cubicBezTo>
              <a:cubicBezTo>
                <a:pt x="6132703" y="814944"/>
                <a:pt x="6083034" y="698250"/>
                <a:pt x="6033365" y="573904"/>
              </a:cubicBezTo>
              <a:cubicBezTo>
                <a:pt x="5989539" y="464862"/>
                <a:pt x="5942791" y="353907"/>
                <a:pt x="5855139" y="353907"/>
              </a:cubicBezTo>
              <a:cubicBezTo>
                <a:pt x="5764566" y="353907"/>
                <a:pt x="5714897" y="453384"/>
                <a:pt x="5665227" y="550948"/>
              </a:cubicBezTo>
              <a:cubicBezTo>
                <a:pt x="5609714" y="656163"/>
                <a:pt x="5554202" y="767118"/>
                <a:pt x="5434411" y="767118"/>
              </a:cubicBezTo>
              <a:cubicBezTo>
                <a:pt x="5288325" y="767118"/>
                <a:pt x="5247421" y="608338"/>
                <a:pt x="5206516" y="441906"/>
              </a:cubicBezTo>
              <a:cubicBezTo>
                <a:pt x="5168534" y="290778"/>
                <a:pt x="5127630" y="135824"/>
                <a:pt x="5016604" y="135824"/>
              </a:cubicBezTo>
              <a:cubicBezTo>
                <a:pt x="4890970" y="135824"/>
                <a:pt x="4844222" y="302256"/>
                <a:pt x="4797475" y="461036"/>
              </a:cubicBezTo>
              <a:cubicBezTo>
                <a:pt x="4744883" y="644685"/>
                <a:pt x="4695214" y="816857"/>
                <a:pt x="4528676" y="816857"/>
              </a:cubicBezTo>
              <a:cubicBezTo>
                <a:pt x="4400120" y="816857"/>
                <a:pt x="4341686" y="709728"/>
                <a:pt x="4286172" y="617903"/>
              </a:cubicBezTo>
              <a:cubicBezTo>
                <a:pt x="4245268" y="545209"/>
                <a:pt x="4201443" y="472514"/>
                <a:pt x="4143008" y="472514"/>
              </a:cubicBezTo>
              <a:cubicBezTo>
                <a:pt x="4067043" y="472514"/>
                <a:pt x="4029060" y="526079"/>
                <a:pt x="3991078" y="581556"/>
              </a:cubicBezTo>
              <a:cubicBezTo>
                <a:pt x="3950174" y="640859"/>
                <a:pt x="3906348" y="702076"/>
                <a:pt x="3812853" y="702076"/>
              </a:cubicBezTo>
              <a:cubicBezTo>
                <a:pt x="3660923" y="702076"/>
                <a:pt x="3625862" y="571991"/>
                <a:pt x="3593723" y="443819"/>
              </a:cubicBezTo>
              <a:cubicBezTo>
                <a:pt x="3567428" y="346255"/>
                <a:pt x="3541132" y="244866"/>
                <a:pt x="3459324" y="244866"/>
              </a:cubicBezTo>
              <a:cubicBezTo>
                <a:pt x="3459324" y="244866"/>
                <a:pt x="3459324" y="244866"/>
                <a:pt x="3459324" y="244866"/>
              </a:cubicBezTo>
              <a:cubicBezTo>
                <a:pt x="3351220" y="246779"/>
                <a:pt x="3313238" y="401733"/>
                <a:pt x="3275255" y="550948"/>
              </a:cubicBezTo>
              <a:cubicBezTo>
                <a:pt x="3216821" y="747988"/>
                <a:pt x="3170073" y="946941"/>
                <a:pt x="2968474" y="946941"/>
              </a:cubicBezTo>
              <a:lnTo>
                <a:pt x="2968474" y="946941"/>
              </a:lnTo>
              <a:close/>
            </a:path>
          </a:pathLst>
        </a:custGeom>
        <a:solidFill>
          <a:schemeClr val="tx2">
            <a:lumMod val="50000"/>
            <a:lumOff val="50000"/>
          </a:schemeClr>
        </a:solidFill>
        <a:ln w="29208" cap="flat">
          <a:noFill/>
          <a:prstDash val="solid"/>
          <a:miter/>
        </a:ln>
      </xdr:spPr>
      <xdr:txBody>
        <a:bodyPr rtlCol="0" anchor="ctr"/>
        <a:lstStyle/>
        <a:p>
          <a:endParaRPr lang="en-US"/>
        </a:p>
      </xdr:txBody>
    </xdr:sp>
    <xdr:clientData/>
  </xdr:twoCellAnchor>
  <xdr:twoCellAnchor editAs="oneCell">
    <xdr:from>
      <xdr:col>1</xdr:col>
      <xdr:colOff>1480344</xdr:colOff>
      <xdr:row>0</xdr:row>
      <xdr:rowOff>79376</xdr:rowOff>
    </xdr:from>
    <xdr:to>
      <xdr:col>1</xdr:col>
      <xdr:colOff>2059781</xdr:colOff>
      <xdr:row>2</xdr:row>
      <xdr:rowOff>164342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7B8F7D8F-4D3A-0650-7E80-C53603B553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62126" y="79376"/>
          <a:ext cx="579437" cy="57709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3928</xdr:colOff>
      <xdr:row>1</xdr:row>
      <xdr:rowOff>213202</xdr:rowOff>
    </xdr:from>
    <xdr:to>
      <xdr:col>9</xdr:col>
      <xdr:colOff>949758</xdr:colOff>
      <xdr:row>3</xdr:row>
      <xdr:rowOff>27964</xdr:rowOff>
    </xdr:to>
    <xdr:sp macro="" textlink="">
      <xdr:nvSpPr>
        <xdr:cNvPr id="2" name="Freeform: Shape 1">
          <a:extLst>
            <a:ext uri="{FF2B5EF4-FFF2-40B4-BE49-F238E27FC236}">
              <a16:creationId xmlns:a16="http://schemas.microsoft.com/office/drawing/2014/main" id="{EDD844ED-83BA-4BEC-A179-D7A54C770443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SpPr/>
      </xdr:nvSpPr>
      <xdr:spPr>
        <a:xfrm>
          <a:off x="7704891" y="413227"/>
          <a:ext cx="6889430" cy="1029200"/>
        </a:xfrm>
        <a:custGeom>
          <a:avLst/>
          <a:gdLst>
            <a:gd name="connsiteX0" fmla="*/ 1428724 w 6889430"/>
            <a:gd name="connsiteY0" fmla="*/ 1029201 h 1029200"/>
            <a:gd name="connsiteX1" fmla="*/ 1174534 w 6889430"/>
            <a:gd name="connsiteY1" fmla="*/ 763292 h 1029200"/>
            <a:gd name="connsiteX2" fmla="*/ 987543 w 6889430"/>
            <a:gd name="connsiteY2" fmla="*/ 539470 h 1029200"/>
            <a:gd name="connsiteX3" fmla="*/ 987543 w 6889430"/>
            <a:gd name="connsiteY3" fmla="*/ 539470 h 1029200"/>
            <a:gd name="connsiteX4" fmla="*/ 818083 w 6889430"/>
            <a:gd name="connsiteY4" fmla="*/ 696337 h 1029200"/>
            <a:gd name="connsiteX5" fmla="*/ 590189 w 6889430"/>
            <a:gd name="connsiteY5" fmla="*/ 879986 h 1029200"/>
            <a:gd name="connsiteX6" fmla="*/ 347685 w 6889430"/>
            <a:gd name="connsiteY6" fmla="*/ 679120 h 1029200"/>
            <a:gd name="connsiteX7" fmla="*/ 20452 w 6889430"/>
            <a:gd name="connsiteY7" fmla="*/ 430428 h 1029200"/>
            <a:gd name="connsiteX8" fmla="*/ 20452 w 6889430"/>
            <a:gd name="connsiteY8" fmla="*/ 430428 h 1029200"/>
            <a:gd name="connsiteX9" fmla="*/ 0 w 6889430"/>
            <a:gd name="connsiteY9" fmla="*/ 417037 h 1029200"/>
            <a:gd name="connsiteX10" fmla="*/ 20452 w 6889430"/>
            <a:gd name="connsiteY10" fmla="*/ 403646 h 1029200"/>
            <a:gd name="connsiteX11" fmla="*/ 20452 w 6889430"/>
            <a:gd name="connsiteY11" fmla="*/ 403646 h 1029200"/>
            <a:gd name="connsiteX12" fmla="*/ 385668 w 6889430"/>
            <a:gd name="connsiteY12" fmla="*/ 669555 h 1029200"/>
            <a:gd name="connsiteX13" fmla="*/ 587267 w 6889430"/>
            <a:gd name="connsiteY13" fmla="*/ 853204 h 1029200"/>
            <a:gd name="connsiteX14" fmla="*/ 771336 w 6889430"/>
            <a:gd name="connsiteY14" fmla="*/ 688685 h 1029200"/>
            <a:gd name="connsiteX15" fmla="*/ 981700 w 6889430"/>
            <a:gd name="connsiteY15" fmla="*/ 512687 h 1029200"/>
            <a:gd name="connsiteX16" fmla="*/ 981700 w 6889430"/>
            <a:gd name="connsiteY16" fmla="*/ 512687 h 1029200"/>
            <a:gd name="connsiteX17" fmla="*/ 1209595 w 6889430"/>
            <a:gd name="connsiteY17" fmla="*/ 759466 h 1029200"/>
            <a:gd name="connsiteX18" fmla="*/ 1422881 w 6889430"/>
            <a:gd name="connsiteY18" fmla="*/ 1002419 h 1029200"/>
            <a:gd name="connsiteX19" fmla="*/ 1425802 w 6889430"/>
            <a:gd name="connsiteY19" fmla="*/ 1002419 h 1029200"/>
            <a:gd name="connsiteX20" fmla="*/ 1633245 w 6889430"/>
            <a:gd name="connsiteY20" fmla="*/ 682946 h 1029200"/>
            <a:gd name="connsiteX21" fmla="*/ 1878670 w 6889430"/>
            <a:gd name="connsiteY21" fmla="*/ 344342 h 1029200"/>
            <a:gd name="connsiteX22" fmla="*/ 2097800 w 6889430"/>
            <a:gd name="connsiteY22" fmla="*/ 552861 h 1029200"/>
            <a:gd name="connsiteX23" fmla="*/ 2273103 w 6889430"/>
            <a:gd name="connsiteY23" fmla="*/ 740336 h 1029200"/>
            <a:gd name="connsiteX24" fmla="*/ 2486389 w 6889430"/>
            <a:gd name="connsiteY24" fmla="*/ 384516 h 1029200"/>
            <a:gd name="connsiteX25" fmla="*/ 2746423 w 6889430"/>
            <a:gd name="connsiteY25" fmla="*/ 0 h 1029200"/>
            <a:gd name="connsiteX26" fmla="*/ 2974317 w 6889430"/>
            <a:gd name="connsiteY26" fmla="*/ 476340 h 1029200"/>
            <a:gd name="connsiteX27" fmla="*/ 3213899 w 6889430"/>
            <a:gd name="connsiteY27" fmla="*/ 998593 h 1029200"/>
            <a:gd name="connsiteX28" fmla="*/ 3438872 w 6889430"/>
            <a:gd name="connsiteY28" fmla="*/ 648511 h 1029200"/>
            <a:gd name="connsiteX29" fmla="*/ 3643393 w 6889430"/>
            <a:gd name="connsiteY29" fmla="*/ 330951 h 1029200"/>
            <a:gd name="connsiteX30" fmla="*/ 3646314 w 6889430"/>
            <a:gd name="connsiteY30" fmla="*/ 330951 h 1029200"/>
            <a:gd name="connsiteX31" fmla="*/ 3824540 w 6889430"/>
            <a:gd name="connsiteY31" fmla="*/ 554774 h 1029200"/>
            <a:gd name="connsiteX32" fmla="*/ 4002765 w 6889430"/>
            <a:gd name="connsiteY32" fmla="*/ 790074 h 1029200"/>
            <a:gd name="connsiteX33" fmla="*/ 4143008 w 6889430"/>
            <a:gd name="connsiteY33" fmla="*/ 686772 h 1029200"/>
            <a:gd name="connsiteX34" fmla="*/ 4335842 w 6889430"/>
            <a:gd name="connsiteY34" fmla="*/ 560513 h 1029200"/>
            <a:gd name="connsiteX35" fmla="*/ 4522832 w 6889430"/>
            <a:gd name="connsiteY35" fmla="*/ 747988 h 1029200"/>
            <a:gd name="connsiteX36" fmla="*/ 4727353 w 6889430"/>
            <a:gd name="connsiteY36" fmla="*/ 956507 h 1029200"/>
            <a:gd name="connsiteX37" fmla="*/ 4955248 w 6889430"/>
            <a:gd name="connsiteY37" fmla="*/ 596860 h 1029200"/>
            <a:gd name="connsiteX38" fmla="*/ 5215281 w 6889430"/>
            <a:gd name="connsiteY38" fmla="*/ 221910 h 1029200"/>
            <a:gd name="connsiteX39" fmla="*/ 5451941 w 6889430"/>
            <a:gd name="connsiteY39" fmla="*/ 552861 h 1029200"/>
            <a:gd name="connsiteX40" fmla="*/ 5638932 w 6889430"/>
            <a:gd name="connsiteY40" fmla="*/ 855117 h 1029200"/>
            <a:gd name="connsiteX41" fmla="*/ 5828844 w 6889430"/>
            <a:gd name="connsiteY41" fmla="*/ 658077 h 1029200"/>
            <a:gd name="connsiteX42" fmla="*/ 6062582 w 6889430"/>
            <a:gd name="connsiteY42" fmla="*/ 441906 h 1029200"/>
            <a:gd name="connsiteX43" fmla="*/ 6275868 w 6889430"/>
            <a:gd name="connsiteY43" fmla="*/ 686772 h 1029200"/>
            <a:gd name="connsiteX44" fmla="*/ 6445328 w 6889430"/>
            <a:gd name="connsiteY44" fmla="*/ 906768 h 1029200"/>
            <a:gd name="connsiteX45" fmla="*/ 6603101 w 6889430"/>
            <a:gd name="connsiteY45" fmla="*/ 692511 h 1029200"/>
            <a:gd name="connsiteX46" fmla="*/ 6866057 w 6889430"/>
            <a:gd name="connsiteY46" fmla="*/ 392168 h 1029200"/>
            <a:gd name="connsiteX47" fmla="*/ 6889431 w 6889430"/>
            <a:gd name="connsiteY47" fmla="*/ 403646 h 1029200"/>
            <a:gd name="connsiteX48" fmla="*/ 6871900 w 6889430"/>
            <a:gd name="connsiteY48" fmla="*/ 418950 h 1029200"/>
            <a:gd name="connsiteX49" fmla="*/ 6644005 w 6889430"/>
            <a:gd name="connsiteY49" fmla="*/ 698250 h 1029200"/>
            <a:gd name="connsiteX50" fmla="*/ 6442406 w 6889430"/>
            <a:gd name="connsiteY50" fmla="*/ 933550 h 1029200"/>
            <a:gd name="connsiteX51" fmla="*/ 6232042 w 6889430"/>
            <a:gd name="connsiteY51" fmla="*/ 690598 h 1029200"/>
            <a:gd name="connsiteX52" fmla="*/ 6062582 w 6889430"/>
            <a:gd name="connsiteY52" fmla="*/ 468688 h 1029200"/>
            <a:gd name="connsiteX53" fmla="*/ 5872670 w 6889430"/>
            <a:gd name="connsiteY53" fmla="*/ 665729 h 1029200"/>
            <a:gd name="connsiteX54" fmla="*/ 5638932 w 6889430"/>
            <a:gd name="connsiteY54" fmla="*/ 881899 h 1029200"/>
            <a:gd name="connsiteX55" fmla="*/ 5408116 w 6889430"/>
            <a:gd name="connsiteY55" fmla="*/ 554774 h 1029200"/>
            <a:gd name="connsiteX56" fmla="*/ 5215281 w 6889430"/>
            <a:gd name="connsiteY56" fmla="*/ 248692 h 1029200"/>
            <a:gd name="connsiteX57" fmla="*/ 4996152 w 6889430"/>
            <a:gd name="connsiteY57" fmla="*/ 600686 h 1029200"/>
            <a:gd name="connsiteX58" fmla="*/ 4727353 w 6889430"/>
            <a:gd name="connsiteY58" fmla="*/ 985202 h 1029200"/>
            <a:gd name="connsiteX59" fmla="*/ 4481928 w 6889430"/>
            <a:gd name="connsiteY59" fmla="*/ 755640 h 1029200"/>
            <a:gd name="connsiteX60" fmla="*/ 4335842 w 6889430"/>
            <a:gd name="connsiteY60" fmla="*/ 587295 h 1029200"/>
            <a:gd name="connsiteX61" fmla="*/ 4180990 w 6889430"/>
            <a:gd name="connsiteY61" fmla="*/ 698250 h 1029200"/>
            <a:gd name="connsiteX62" fmla="*/ 3999843 w 6889430"/>
            <a:gd name="connsiteY62" fmla="*/ 818770 h 1029200"/>
            <a:gd name="connsiteX63" fmla="*/ 3777792 w 6889430"/>
            <a:gd name="connsiteY63" fmla="*/ 560513 h 1029200"/>
            <a:gd name="connsiteX64" fmla="*/ 3643393 w 6889430"/>
            <a:gd name="connsiteY64" fmla="*/ 359646 h 1029200"/>
            <a:gd name="connsiteX65" fmla="*/ 3643393 w 6889430"/>
            <a:gd name="connsiteY65" fmla="*/ 359646 h 1029200"/>
            <a:gd name="connsiteX66" fmla="*/ 3482698 w 6889430"/>
            <a:gd name="connsiteY66" fmla="*/ 652337 h 1029200"/>
            <a:gd name="connsiteX67" fmla="*/ 3213899 w 6889430"/>
            <a:gd name="connsiteY67" fmla="*/ 1027288 h 1029200"/>
            <a:gd name="connsiteX68" fmla="*/ 2930492 w 6889430"/>
            <a:gd name="connsiteY68" fmla="*/ 478253 h 1029200"/>
            <a:gd name="connsiteX69" fmla="*/ 2746423 w 6889430"/>
            <a:gd name="connsiteY69" fmla="*/ 26782 h 1029200"/>
            <a:gd name="connsiteX70" fmla="*/ 2530215 w 6889430"/>
            <a:gd name="connsiteY70" fmla="*/ 386429 h 1029200"/>
            <a:gd name="connsiteX71" fmla="*/ 2276025 w 6889430"/>
            <a:gd name="connsiteY71" fmla="*/ 767118 h 1029200"/>
            <a:gd name="connsiteX72" fmla="*/ 2056895 w 6889430"/>
            <a:gd name="connsiteY72" fmla="*/ 558600 h 1029200"/>
            <a:gd name="connsiteX73" fmla="*/ 1881592 w 6889430"/>
            <a:gd name="connsiteY73" fmla="*/ 371125 h 1029200"/>
            <a:gd name="connsiteX74" fmla="*/ 1679993 w 6889430"/>
            <a:gd name="connsiteY74" fmla="*/ 686772 h 1029200"/>
            <a:gd name="connsiteX75" fmla="*/ 1431646 w 6889430"/>
            <a:gd name="connsiteY75" fmla="*/ 1029201 h 1029200"/>
            <a:gd name="connsiteX76" fmla="*/ 1428724 w 6889430"/>
            <a:gd name="connsiteY76" fmla="*/ 1029201 h 1029200"/>
            <a:gd name="connsiteX77" fmla="*/ 1428724 w 6889430"/>
            <a:gd name="connsiteY77" fmla="*/ 1029201 h 10292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  <a:cxn ang="0">
              <a:pos x="connsiteX55" y="connsiteY55"/>
            </a:cxn>
            <a:cxn ang="0">
              <a:pos x="connsiteX56" y="connsiteY56"/>
            </a:cxn>
            <a:cxn ang="0">
              <a:pos x="connsiteX57" y="connsiteY57"/>
            </a:cxn>
            <a:cxn ang="0">
              <a:pos x="connsiteX58" y="connsiteY58"/>
            </a:cxn>
            <a:cxn ang="0">
              <a:pos x="connsiteX59" y="connsiteY59"/>
            </a:cxn>
            <a:cxn ang="0">
              <a:pos x="connsiteX60" y="connsiteY60"/>
            </a:cxn>
            <a:cxn ang="0">
              <a:pos x="connsiteX61" y="connsiteY61"/>
            </a:cxn>
            <a:cxn ang="0">
              <a:pos x="connsiteX62" y="connsiteY62"/>
            </a:cxn>
            <a:cxn ang="0">
              <a:pos x="connsiteX63" y="connsiteY63"/>
            </a:cxn>
            <a:cxn ang="0">
              <a:pos x="connsiteX64" y="connsiteY64"/>
            </a:cxn>
            <a:cxn ang="0">
              <a:pos x="connsiteX65" y="connsiteY65"/>
            </a:cxn>
            <a:cxn ang="0">
              <a:pos x="connsiteX66" y="connsiteY66"/>
            </a:cxn>
            <a:cxn ang="0">
              <a:pos x="connsiteX67" y="connsiteY67"/>
            </a:cxn>
            <a:cxn ang="0">
              <a:pos x="connsiteX68" y="connsiteY68"/>
            </a:cxn>
            <a:cxn ang="0">
              <a:pos x="connsiteX69" y="connsiteY69"/>
            </a:cxn>
            <a:cxn ang="0">
              <a:pos x="connsiteX70" y="connsiteY70"/>
            </a:cxn>
            <a:cxn ang="0">
              <a:pos x="connsiteX71" y="connsiteY71"/>
            </a:cxn>
            <a:cxn ang="0">
              <a:pos x="connsiteX72" y="connsiteY72"/>
            </a:cxn>
            <a:cxn ang="0">
              <a:pos x="connsiteX73" y="connsiteY73"/>
            </a:cxn>
            <a:cxn ang="0">
              <a:pos x="connsiteX74" y="connsiteY74"/>
            </a:cxn>
            <a:cxn ang="0">
              <a:pos x="connsiteX75" y="connsiteY75"/>
            </a:cxn>
            <a:cxn ang="0">
              <a:pos x="connsiteX76" y="connsiteY76"/>
            </a:cxn>
            <a:cxn ang="0">
              <a:pos x="connsiteX77" y="connsiteY77"/>
            </a:cxn>
          </a:cxnLst>
          <a:rect l="l" t="t" r="r" b="b"/>
          <a:pathLst>
            <a:path w="6889430" h="1029200">
              <a:moveTo>
                <a:pt x="1428724" y="1029201"/>
              </a:moveTo>
              <a:cubicBezTo>
                <a:pt x="1276794" y="1029201"/>
                <a:pt x="1224203" y="895290"/>
                <a:pt x="1174534" y="763292"/>
              </a:cubicBezTo>
              <a:cubicBezTo>
                <a:pt x="1130708" y="652337"/>
                <a:pt x="1086882" y="539470"/>
                <a:pt x="987543" y="539470"/>
              </a:cubicBezTo>
              <a:lnTo>
                <a:pt x="987543" y="539470"/>
              </a:lnTo>
              <a:cubicBezTo>
                <a:pt x="899892" y="539470"/>
                <a:pt x="858988" y="615990"/>
                <a:pt x="818083" y="696337"/>
              </a:cubicBezTo>
              <a:cubicBezTo>
                <a:pt x="771336" y="786248"/>
                <a:pt x="721666" y="879986"/>
                <a:pt x="590189" y="879986"/>
              </a:cubicBezTo>
              <a:cubicBezTo>
                <a:pt x="467476" y="879986"/>
                <a:pt x="409042" y="782422"/>
                <a:pt x="347685" y="679120"/>
              </a:cubicBezTo>
              <a:cubicBezTo>
                <a:pt x="274642" y="556687"/>
                <a:pt x="198677" y="430428"/>
                <a:pt x="20452" y="430428"/>
              </a:cubicBezTo>
              <a:cubicBezTo>
                <a:pt x="20452" y="430428"/>
                <a:pt x="20452" y="430428"/>
                <a:pt x="20452" y="430428"/>
              </a:cubicBezTo>
              <a:cubicBezTo>
                <a:pt x="8765" y="430428"/>
                <a:pt x="0" y="424689"/>
                <a:pt x="0" y="417037"/>
              </a:cubicBezTo>
              <a:cubicBezTo>
                <a:pt x="0" y="409385"/>
                <a:pt x="8765" y="403646"/>
                <a:pt x="20452" y="403646"/>
              </a:cubicBezTo>
              <a:lnTo>
                <a:pt x="20452" y="403646"/>
              </a:lnTo>
              <a:cubicBezTo>
                <a:pt x="227895" y="403646"/>
                <a:pt x="312625" y="545209"/>
                <a:pt x="385668" y="669555"/>
              </a:cubicBezTo>
              <a:cubicBezTo>
                <a:pt x="441181" y="763292"/>
                <a:pt x="496693" y="853204"/>
                <a:pt x="587267" y="853204"/>
              </a:cubicBezTo>
              <a:cubicBezTo>
                <a:pt x="686606" y="853204"/>
                <a:pt x="727510" y="772857"/>
                <a:pt x="771336" y="688685"/>
              </a:cubicBezTo>
              <a:cubicBezTo>
                <a:pt x="815162" y="602599"/>
                <a:pt x="861909" y="514601"/>
                <a:pt x="981700" y="512687"/>
              </a:cubicBezTo>
              <a:lnTo>
                <a:pt x="981700" y="512687"/>
              </a:lnTo>
              <a:cubicBezTo>
                <a:pt x="1113178" y="512687"/>
                <a:pt x="1159925" y="631294"/>
                <a:pt x="1209595" y="759466"/>
              </a:cubicBezTo>
              <a:cubicBezTo>
                <a:pt x="1256342" y="879986"/>
                <a:pt x="1306012" y="1002419"/>
                <a:pt x="1422881" y="1002419"/>
              </a:cubicBezTo>
              <a:cubicBezTo>
                <a:pt x="1422881" y="1002419"/>
                <a:pt x="1422881" y="1002419"/>
                <a:pt x="1425802" y="1002419"/>
              </a:cubicBezTo>
              <a:cubicBezTo>
                <a:pt x="1536828" y="1000506"/>
                <a:pt x="1586497" y="832161"/>
                <a:pt x="1633245" y="682946"/>
              </a:cubicBezTo>
              <a:cubicBezTo>
                <a:pt x="1685836" y="508862"/>
                <a:pt x="1735505" y="344342"/>
                <a:pt x="1878670" y="344342"/>
              </a:cubicBezTo>
              <a:cubicBezTo>
                <a:pt x="2001382" y="344342"/>
                <a:pt x="2051052" y="449558"/>
                <a:pt x="2097800" y="552861"/>
              </a:cubicBezTo>
              <a:cubicBezTo>
                <a:pt x="2141625" y="644685"/>
                <a:pt x="2185451" y="740336"/>
                <a:pt x="2273103" y="740336"/>
              </a:cubicBezTo>
              <a:cubicBezTo>
                <a:pt x="2395816" y="740336"/>
                <a:pt x="2439641" y="558600"/>
                <a:pt x="2486389" y="384516"/>
              </a:cubicBezTo>
              <a:cubicBezTo>
                <a:pt x="2536059" y="187475"/>
                <a:pt x="2582806" y="0"/>
                <a:pt x="2746423" y="0"/>
              </a:cubicBezTo>
              <a:cubicBezTo>
                <a:pt x="2904196" y="0"/>
                <a:pt x="2936335" y="219996"/>
                <a:pt x="2974317" y="476340"/>
              </a:cubicBezTo>
              <a:cubicBezTo>
                <a:pt x="3009378" y="721206"/>
                <a:pt x="3050282" y="998593"/>
                <a:pt x="3213899" y="998593"/>
              </a:cubicBezTo>
              <a:cubicBezTo>
                <a:pt x="3377516" y="998593"/>
                <a:pt x="3409654" y="820683"/>
                <a:pt x="3438872" y="648511"/>
              </a:cubicBezTo>
              <a:cubicBezTo>
                <a:pt x="3468089" y="485905"/>
                <a:pt x="3494385" y="332864"/>
                <a:pt x="3643393" y="330951"/>
              </a:cubicBezTo>
              <a:cubicBezTo>
                <a:pt x="3643393" y="330951"/>
                <a:pt x="3643393" y="330951"/>
                <a:pt x="3646314" y="330951"/>
              </a:cubicBezTo>
              <a:cubicBezTo>
                <a:pt x="3763184" y="330951"/>
                <a:pt x="3792401" y="439993"/>
                <a:pt x="3824540" y="554774"/>
              </a:cubicBezTo>
              <a:cubicBezTo>
                <a:pt x="3856679" y="669555"/>
                <a:pt x="3885896" y="790074"/>
                <a:pt x="4002765" y="790074"/>
              </a:cubicBezTo>
              <a:cubicBezTo>
                <a:pt x="4069965" y="790074"/>
                <a:pt x="4105025" y="740336"/>
                <a:pt x="4143008" y="686772"/>
              </a:cubicBezTo>
              <a:cubicBezTo>
                <a:pt x="4183912" y="627468"/>
                <a:pt x="4230660" y="560513"/>
                <a:pt x="4335842" y="560513"/>
              </a:cubicBezTo>
              <a:cubicBezTo>
                <a:pt x="4426415" y="560513"/>
                <a:pt x="4470241" y="648511"/>
                <a:pt x="4522832" y="747988"/>
              </a:cubicBezTo>
              <a:cubicBezTo>
                <a:pt x="4572502" y="845552"/>
                <a:pt x="4630936" y="956507"/>
                <a:pt x="4727353" y="956507"/>
              </a:cubicBezTo>
              <a:cubicBezTo>
                <a:pt x="4858831" y="956507"/>
                <a:pt x="4908500" y="772857"/>
                <a:pt x="4955248" y="596860"/>
              </a:cubicBezTo>
              <a:cubicBezTo>
                <a:pt x="5004917" y="403646"/>
                <a:pt x="5054587" y="221910"/>
                <a:pt x="5215281" y="221910"/>
              </a:cubicBezTo>
              <a:cubicBezTo>
                <a:pt x="5367211" y="221910"/>
                <a:pt x="5408116" y="382603"/>
                <a:pt x="5451941" y="552861"/>
              </a:cubicBezTo>
              <a:cubicBezTo>
                <a:pt x="5489924" y="702076"/>
                <a:pt x="5527906" y="855117"/>
                <a:pt x="5638932" y="855117"/>
              </a:cubicBezTo>
              <a:cubicBezTo>
                <a:pt x="5729505" y="855117"/>
                <a:pt x="5779175" y="755640"/>
                <a:pt x="5828844" y="658077"/>
              </a:cubicBezTo>
              <a:cubicBezTo>
                <a:pt x="5884357" y="550948"/>
                <a:pt x="5939870" y="441906"/>
                <a:pt x="6062582" y="441906"/>
              </a:cubicBezTo>
              <a:cubicBezTo>
                <a:pt x="6185294" y="441906"/>
                <a:pt x="6229120" y="560513"/>
                <a:pt x="6275868" y="686772"/>
              </a:cubicBezTo>
              <a:cubicBezTo>
                <a:pt x="6316772" y="795813"/>
                <a:pt x="6354755" y="906768"/>
                <a:pt x="6445328" y="906768"/>
              </a:cubicBezTo>
              <a:cubicBezTo>
                <a:pt x="6524215" y="906768"/>
                <a:pt x="6565119" y="797726"/>
                <a:pt x="6603101" y="692511"/>
              </a:cubicBezTo>
              <a:cubicBezTo>
                <a:pt x="6652771" y="558600"/>
                <a:pt x="6708284" y="405559"/>
                <a:pt x="6866057" y="392168"/>
              </a:cubicBezTo>
              <a:cubicBezTo>
                <a:pt x="6877743" y="390255"/>
                <a:pt x="6889431" y="395994"/>
                <a:pt x="6889431" y="403646"/>
              </a:cubicBezTo>
              <a:cubicBezTo>
                <a:pt x="6889431" y="411298"/>
                <a:pt x="6883587" y="418950"/>
                <a:pt x="6871900" y="418950"/>
              </a:cubicBezTo>
              <a:cubicBezTo>
                <a:pt x="6743344" y="430428"/>
                <a:pt x="6690753" y="571991"/>
                <a:pt x="6644005" y="698250"/>
              </a:cubicBezTo>
              <a:cubicBezTo>
                <a:pt x="6597258" y="824509"/>
                <a:pt x="6556354" y="933550"/>
                <a:pt x="6442406" y="933550"/>
              </a:cubicBezTo>
              <a:cubicBezTo>
                <a:pt x="6319694" y="933550"/>
                <a:pt x="6278790" y="814944"/>
                <a:pt x="6232042" y="690598"/>
              </a:cubicBezTo>
              <a:cubicBezTo>
                <a:pt x="6191138" y="581556"/>
                <a:pt x="6150234" y="468688"/>
                <a:pt x="6062582" y="468688"/>
              </a:cubicBezTo>
              <a:cubicBezTo>
                <a:pt x="5972008" y="468688"/>
                <a:pt x="5922339" y="568165"/>
                <a:pt x="5872670" y="665729"/>
              </a:cubicBezTo>
              <a:cubicBezTo>
                <a:pt x="5817157" y="772857"/>
                <a:pt x="5761644" y="881899"/>
                <a:pt x="5638932" y="881899"/>
              </a:cubicBezTo>
              <a:cubicBezTo>
                <a:pt x="5489924" y="881899"/>
                <a:pt x="5451941" y="723119"/>
                <a:pt x="5408116" y="554774"/>
              </a:cubicBezTo>
              <a:cubicBezTo>
                <a:pt x="5370133" y="403646"/>
                <a:pt x="5329229" y="248692"/>
                <a:pt x="5215281" y="248692"/>
              </a:cubicBezTo>
              <a:cubicBezTo>
                <a:pt x="5089647" y="248692"/>
                <a:pt x="5042900" y="428515"/>
                <a:pt x="4996152" y="600686"/>
              </a:cubicBezTo>
              <a:cubicBezTo>
                <a:pt x="4943561" y="797726"/>
                <a:pt x="4893892" y="985202"/>
                <a:pt x="4727353" y="985202"/>
              </a:cubicBezTo>
              <a:cubicBezTo>
                <a:pt x="4598797" y="985202"/>
                <a:pt x="4537441" y="868508"/>
                <a:pt x="4481928" y="755640"/>
              </a:cubicBezTo>
              <a:cubicBezTo>
                <a:pt x="4438102" y="673381"/>
                <a:pt x="4394276" y="587295"/>
                <a:pt x="4335842" y="587295"/>
              </a:cubicBezTo>
              <a:cubicBezTo>
                <a:pt x="4259877" y="587295"/>
                <a:pt x="4221895" y="640859"/>
                <a:pt x="4180990" y="698250"/>
              </a:cubicBezTo>
              <a:cubicBezTo>
                <a:pt x="4140086" y="757553"/>
                <a:pt x="4096260" y="818770"/>
                <a:pt x="3999843" y="818770"/>
              </a:cubicBezTo>
              <a:cubicBezTo>
                <a:pt x="3847913" y="818770"/>
                <a:pt x="3812853" y="686772"/>
                <a:pt x="3777792" y="560513"/>
              </a:cubicBezTo>
              <a:cubicBezTo>
                <a:pt x="3751496" y="462949"/>
                <a:pt x="3725201" y="359646"/>
                <a:pt x="3643393" y="359646"/>
              </a:cubicBezTo>
              <a:lnTo>
                <a:pt x="3643393" y="359646"/>
              </a:lnTo>
              <a:cubicBezTo>
                <a:pt x="3535289" y="361559"/>
                <a:pt x="3508993" y="508862"/>
                <a:pt x="3482698" y="652337"/>
              </a:cubicBezTo>
              <a:cubicBezTo>
                <a:pt x="3450559" y="835987"/>
                <a:pt x="3415498" y="1027288"/>
                <a:pt x="3213899" y="1027288"/>
              </a:cubicBezTo>
              <a:cubicBezTo>
                <a:pt x="3009378" y="1027288"/>
                <a:pt x="2968474" y="747988"/>
                <a:pt x="2930492" y="478253"/>
              </a:cubicBezTo>
              <a:cubicBezTo>
                <a:pt x="2901274" y="267822"/>
                <a:pt x="2866213" y="26782"/>
                <a:pt x="2746423" y="26782"/>
              </a:cubicBezTo>
              <a:cubicBezTo>
                <a:pt x="2620788" y="26782"/>
                <a:pt x="2574041" y="218084"/>
                <a:pt x="2530215" y="386429"/>
              </a:cubicBezTo>
              <a:cubicBezTo>
                <a:pt x="2480546" y="581556"/>
                <a:pt x="2433798" y="767118"/>
                <a:pt x="2276025" y="767118"/>
              </a:cubicBezTo>
              <a:cubicBezTo>
                <a:pt x="2153312" y="767118"/>
                <a:pt x="2103643" y="661903"/>
                <a:pt x="2056895" y="558600"/>
              </a:cubicBezTo>
              <a:cubicBezTo>
                <a:pt x="2013069" y="466775"/>
                <a:pt x="1969244" y="371125"/>
                <a:pt x="1881592" y="371125"/>
              </a:cubicBezTo>
              <a:cubicBezTo>
                <a:pt x="1773488" y="371125"/>
                <a:pt x="1723819" y="537557"/>
                <a:pt x="1679993" y="686772"/>
              </a:cubicBezTo>
              <a:cubicBezTo>
                <a:pt x="1627401" y="860856"/>
                <a:pt x="1577732" y="1027288"/>
                <a:pt x="1431646" y="1029201"/>
              </a:cubicBezTo>
              <a:cubicBezTo>
                <a:pt x="1431646" y="1029201"/>
                <a:pt x="1431646" y="1029201"/>
                <a:pt x="1428724" y="1029201"/>
              </a:cubicBezTo>
              <a:lnTo>
                <a:pt x="1428724" y="1029201"/>
              </a:lnTo>
              <a:close/>
            </a:path>
          </a:pathLst>
        </a:custGeom>
        <a:solidFill>
          <a:schemeClr val="accent3">
            <a:lumMod val="60000"/>
            <a:lumOff val="40000"/>
          </a:schemeClr>
        </a:solidFill>
        <a:ln w="29208" cap="flat">
          <a:noFill/>
          <a:prstDash val="solid"/>
          <a:miter/>
        </a:ln>
      </xdr:spPr>
      <xdr:txBody>
        <a:bodyPr rtlCol="0" anchor="ctr"/>
        <a:lstStyle/>
        <a:p>
          <a:endParaRPr lang="en-US"/>
        </a:p>
      </xdr:txBody>
    </xdr:sp>
    <xdr:clientData/>
  </xdr:twoCellAnchor>
  <xdr:twoCellAnchor>
    <xdr:from>
      <xdr:col>5</xdr:col>
      <xdr:colOff>6850</xdr:colOff>
      <xdr:row>0</xdr:row>
      <xdr:rowOff>197057</xdr:rowOff>
    </xdr:from>
    <xdr:to>
      <xdr:col>9</xdr:col>
      <xdr:colOff>952680</xdr:colOff>
      <xdr:row>2</xdr:row>
      <xdr:rowOff>901216</xdr:rowOff>
    </xdr:to>
    <xdr:sp macro="" textlink="">
      <xdr:nvSpPr>
        <xdr:cNvPr id="3" name="Freeform: Shape 2">
          <a:extLst>
            <a:ext uri="{FF2B5EF4-FFF2-40B4-BE49-F238E27FC236}">
              <a16:creationId xmlns:a16="http://schemas.microsoft.com/office/drawing/2014/main" id="{CE9F4D7E-2291-43FB-9C10-395ED9EE560E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SpPr/>
      </xdr:nvSpPr>
      <xdr:spPr>
        <a:xfrm>
          <a:off x="7707813" y="197057"/>
          <a:ext cx="6889430" cy="1199459"/>
        </a:xfrm>
        <a:custGeom>
          <a:avLst/>
          <a:gdLst>
            <a:gd name="connsiteX0" fmla="*/ 2974317 w 6889430"/>
            <a:gd name="connsiteY0" fmla="*/ 1199459 h 1199459"/>
            <a:gd name="connsiteX1" fmla="*/ 2679223 w 6889430"/>
            <a:gd name="connsiteY1" fmla="*/ 537557 h 1199459"/>
            <a:gd name="connsiteX2" fmla="*/ 2512685 w 6889430"/>
            <a:gd name="connsiteY2" fmla="*/ 28695 h 1199459"/>
            <a:gd name="connsiteX3" fmla="*/ 2311085 w 6889430"/>
            <a:gd name="connsiteY3" fmla="*/ 441906 h 1199459"/>
            <a:gd name="connsiteX4" fmla="*/ 2071504 w 6889430"/>
            <a:gd name="connsiteY4" fmla="*/ 876160 h 1199459"/>
            <a:gd name="connsiteX5" fmla="*/ 1855296 w 6889430"/>
            <a:gd name="connsiteY5" fmla="*/ 589208 h 1199459"/>
            <a:gd name="connsiteX6" fmla="*/ 1679993 w 6889430"/>
            <a:gd name="connsiteY6" fmla="*/ 325212 h 1199459"/>
            <a:gd name="connsiteX7" fmla="*/ 1484237 w 6889430"/>
            <a:gd name="connsiteY7" fmla="*/ 681033 h 1199459"/>
            <a:gd name="connsiteX8" fmla="*/ 1206673 w 6889430"/>
            <a:gd name="connsiteY8" fmla="*/ 1099983 h 1199459"/>
            <a:gd name="connsiteX9" fmla="*/ 955404 w 6889430"/>
            <a:gd name="connsiteY9" fmla="*/ 791987 h 1199459"/>
            <a:gd name="connsiteX10" fmla="*/ 777179 w 6889430"/>
            <a:gd name="connsiteY10" fmla="*/ 529905 h 1199459"/>
            <a:gd name="connsiteX11" fmla="*/ 777179 w 6889430"/>
            <a:gd name="connsiteY11" fmla="*/ 529905 h 1199459"/>
            <a:gd name="connsiteX12" fmla="*/ 587267 w 6889430"/>
            <a:gd name="connsiteY12" fmla="*/ 747988 h 1199459"/>
            <a:gd name="connsiteX13" fmla="*/ 350607 w 6889430"/>
            <a:gd name="connsiteY13" fmla="*/ 989028 h 1199459"/>
            <a:gd name="connsiteX14" fmla="*/ 350607 w 6889430"/>
            <a:gd name="connsiteY14" fmla="*/ 989028 h 1199459"/>
            <a:gd name="connsiteX15" fmla="*/ 178225 w 6889430"/>
            <a:gd name="connsiteY15" fmla="*/ 816857 h 1199459"/>
            <a:gd name="connsiteX16" fmla="*/ 20452 w 6889430"/>
            <a:gd name="connsiteY16" fmla="*/ 644685 h 1199459"/>
            <a:gd name="connsiteX17" fmla="*/ 0 w 6889430"/>
            <a:gd name="connsiteY17" fmla="*/ 629381 h 1199459"/>
            <a:gd name="connsiteX18" fmla="*/ 23374 w 6889430"/>
            <a:gd name="connsiteY18" fmla="*/ 615990 h 1199459"/>
            <a:gd name="connsiteX19" fmla="*/ 219129 w 6889430"/>
            <a:gd name="connsiteY19" fmla="*/ 809204 h 1199459"/>
            <a:gd name="connsiteX20" fmla="*/ 350607 w 6889430"/>
            <a:gd name="connsiteY20" fmla="*/ 958419 h 1199459"/>
            <a:gd name="connsiteX21" fmla="*/ 350607 w 6889430"/>
            <a:gd name="connsiteY21" fmla="*/ 958419 h 1199459"/>
            <a:gd name="connsiteX22" fmla="*/ 546363 w 6889430"/>
            <a:gd name="connsiteY22" fmla="*/ 736510 h 1199459"/>
            <a:gd name="connsiteX23" fmla="*/ 780101 w 6889430"/>
            <a:gd name="connsiteY23" fmla="*/ 497383 h 1199459"/>
            <a:gd name="connsiteX24" fmla="*/ 780101 w 6889430"/>
            <a:gd name="connsiteY24" fmla="*/ 497383 h 1199459"/>
            <a:gd name="connsiteX25" fmla="*/ 1002152 w 6889430"/>
            <a:gd name="connsiteY25" fmla="*/ 780509 h 1199459"/>
            <a:gd name="connsiteX26" fmla="*/ 1209595 w 6889430"/>
            <a:gd name="connsiteY26" fmla="*/ 1065548 h 1199459"/>
            <a:gd name="connsiteX27" fmla="*/ 1443333 w 6889430"/>
            <a:gd name="connsiteY27" fmla="*/ 671468 h 1199459"/>
            <a:gd name="connsiteX28" fmla="*/ 1682914 w 6889430"/>
            <a:gd name="connsiteY28" fmla="*/ 292691 h 1199459"/>
            <a:gd name="connsiteX29" fmla="*/ 1899122 w 6889430"/>
            <a:gd name="connsiteY29" fmla="*/ 579643 h 1199459"/>
            <a:gd name="connsiteX30" fmla="*/ 2074426 w 6889430"/>
            <a:gd name="connsiteY30" fmla="*/ 843639 h 1199459"/>
            <a:gd name="connsiteX31" fmla="*/ 2270181 w 6889430"/>
            <a:gd name="connsiteY31" fmla="*/ 434254 h 1199459"/>
            <a:gd name="connsiteX32" fmla="*/ 2512685 w 6889430"/>
            <a:gd name="connsiteY32" fmla="*/ 0 h 1199459"/>
            <a:gd name="connsiteX33" fmla="*/ 2720127 w 6889430"/>
            <a:gd name="connsiteY33" fmla="*/ 535644 h 1199459"/>
            <a:gd name="connsiteX34" fmla="*/ 2971396 w 6889430"/>
            <a:gd name="connsiteY34" fmla="*/ 1170764 h 1199459"/>
            <a:gd name="connsiteX35" fmla="*/ 3199290 w 6889430"/>
            <a:gd name="connsiteY35" fmla="*/ 732684 h 1199459"/>
            <a:gd name="connsiteX36" fmla="*/ 3459324 w 6889430"/>
            <a:gd name="connsiteY36" fmla="*/ 281213 h 1199459"/>
            <a:gd name="connsiteX37" fmla="*/ 3669688 w 6889430"/>
            <a:gd name="connsiteY37" fmla="*/ 594947 h 1199459"/>
            <a:gd name="connsiteX38" fmla="*/ 3818696 w 6889430"/>
            <a:gd name="connsiteY38" fmla="*/ 864682 h 1199459"/>
            <a:gd name="connsiteX39" fmla="*/ 3958939 w 6889430"/>
            <a:gd name="connsiteY39" fmla="*/ 736510 h 1199459"/>
            <a:gd name="connsiteX40" fmla="*/ 4154695 w 6889430"/>
            <a:gd name="connsiteY40" fmla="*/ 581556 h 1199459"/>
            <a:gd name="connsiteX41" fmla="*/ 4341685 w 6889430"/>
            <a:gd name="connsiteY41" fmla="*/ 784335 h 1199459"/>
            <a:gd name="connsiteX42" fmla="*/ 4546206 w 6889430"/>
            <a:gd name="connsiteY42" fmla="*/ 1011984 h 1199459"/>
            <a:gd name="connsiteX43" fmla="*/ 4777023 w 6889430"/>
            <a:gd name="connsiteY43" fmla="*/ 583469 h 1199459"/>
            <a:gd name="connsiteX44" fmla="*/ 5042900 w 6889430"/>
            <a:gd name="connsiteY44" fmla="*/ 139650 h 1199459"/>
            <a:gd name="connsiteX45" fmla="*/ 5279560 w 6889430"/>
            <a:gd name="connsiteY45" fmla="*/ 558600 h 1199459"/>
            <a:gd name="connsiteX46" fmla="*/ 5469472 w 6889430"/>
            <a:gd name="connsiteY46" fmla="*/ 946941 h 1199459"/>
            <a:gd name="connsiteX47" fmla="*/ 5662305 w 6889430"/>
            <a:gd name="connsiteY47" fmla="*/ 694424 h 1199459"/>
            <a:gd name="connsiteX48" fmla="*/ 5896043 w 6889430"/>
            <a:gd name="connsiteY48" fmla="*/ 420863 h 1199459"/>
            <a:gd name="connsiteX49" fmla="*/ 6129782 w 6889430"/>
            <a:gd name="connsiteY49" fmla="*/ 700163 h 1199459"/>
            <a:gd name="connsiteX50" fmla="*/ 6386894 w 6889430"/>
            <a:gd name="connsiteY50" fmla="*/ 1013897 h 1199459"/>
            <a:gd name="connsiteX51" fmla="*/ 6389815 w 6889430"/>
            <a:gd name="connsiteY51" fmla="*/ 1013897 h 1199459"/>
            <a:gd name="connsiteX52" fmla="*/ 6565119 w 6889430"/>
            <a:gd name="connsiteY52" fmla="*/ 845552 h 1199459"/>
            <a:gd name="connsiteX53" fmla="*/ 6868978 w 6889430"/>
            <a:gd name="connsiteY53" fmla="*/ 608338 h 1199459"/>
            <a:gd name="connsiteX54" fmla="*/ 6889430 w 6889430"/>
            <a:gd name="connsiteY54" fmla="*/ 621729 h 1199459"/>
            <a:gd name="connsiteX55" fmla="*/ 6868978 w 6889430"/>
            <a:gd name="connsiteY55" fmla="*/ 635120 h 1199459"/>
            <a:gd name="connsiteX56" fmla="*/ 6606023 w 6889430"/>
            <a:gd name="connsiteY56" fmla="*/ 853204 h 1199459"/>
            <a:gd name="connsiteX57" fmla="*/ 6386894 w 6889430"/>
            <a:gd name="connsiteY57" fmla="*/ 1040679 h 1199459"/>
            <a:gd name="connsiteX58" fmla="*/ 6088878 w 6889430"/>
            <a:gd name="connsiteY58" fmla="*/ 705902 h 1199459"/>
            <a:gd name="connsiteX59" fmla="*/ 5896043 w 6889430"/>
            <a:gd name="connsiteY59" fmla="*/ 447645 h 1199459"/>
            <a:gd name="connsiteX60" fmla="*/ 5703210 w 6889430"/>
            <a:gd name="connsiteY60" fmla="*/ 700163 h 1199459"/>
            <a:gd name="connsiteX61" fmla="*/ 5469472 w 6889430"/>
            <a:gd name="connsiteY61" fmla="*/ 973724 h 1199459"/>
            <a:gd name="connsiteX62" fmla="*/ 5235734 w 6889430"/>
            <a:gd name="connsiteY62" fmla="*/ 560513 h 1199459"/>
            <a:gd name="connsiteX63" fmla="*/ 5042900 w 6889430"/>
            <a:gd name="connsiteY63" fmla="*/ 166432 h 1199459"/>
            <a:gd name="connsiteX64" fmla="*/ 4820849 w 6889430"/>
            <a:gd name="connsiteY64" fmla="*/ 585382 h 1199459"/>
            <a:gd name="connsiteX65" fmla="*/ 4546206 w 6889430"/>
            <a:gd name="connsiteY65" fmla="*/ 1038766 h 1199459"/>
            <a:gd name="connsiteX66" fmla="*/ 4300781 w 6889430"/>
            <a:gd name="connsiteY66" fmla="*/ 791987 h 1199459"/>
            <a:gd name="connsiteX67" fmla="*/ 4154695 w 6889430"/>
            <a:gd name="connsiteY67" fmla="*/ 608338 h 1199459"/>
            <a:gd name="connsiteX68" fmla="*/ 3999843 w 6889430"/>
            <a:gd name="connsiteY68" fmla="*/ 744162 h 1199459"/>
            <a:gd name="connsiteX69" fmla="*/ 3818696 w 6889430"/>
            <a:gd name="connsiteY69" fmla="*/ 891464 h 1199459"/>
            <a:gd name="connsiteX70" fmla="*/ 3625862 w 6889430"/>
            <a:gd name="connsiteY70" fmla="*/ 596860 h 1199459"/>
            <a:gd name="connsiteX71" fmla="*/ 3456402 w 6889430"/>
            <a:gd name="connsiteY71" fmla="*/ 307995 h 1199459"/>
            <a:gd name="connsiteX72" fmla="*/ 3240194 w 6889430"/>
            <a:gd name="connsiteY72" fmla="*/ 734597 h 1199459"/>
            <a:gd name="connsiteX73" fmla="*/ 2974317 w 6889430"/>
            <a:gd name="connsiteY73" fmla="*/ 1199459 h 1199459"/>
            <a:gd name="connsiteX74" fmla="*/ 2974317 w 6889430"/>
            <a:gd name="connsiteY74" fmla="*/ 1199459 h 1199459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  <a:cxn ang="0">
              <a:pos x="connsiteX55" y="connsiteY55"/>
            </a:cxn>
            <a:cxn ang="0">
              <a:pos x="connsiteX56" y="connsiteY56"/>
            </a:cxn>
            <a:cxn ang="0">
              <a:pos x="connsiteX57" y="connsiteY57"/>
            </a:cxn>
            <a:cxn ang="0">
              <a:pos x="connsiteX58" y="connsiteY58"/>
            </a:cxn>
            <a:cxn ang="0">
              <a:pos x="connsiteX59" y="connsiteY59"/>
            </a:cxn>
            <a:cxn ang="0">
              <a:pos x="connsiteX60" y="connsiteY60"/>
            </a:cxn>
            <a:cxn ang="0">
              <a:pos x="connsiteX61" y="connsiteY61"/>
            </a:cxn>
            <a:cxn ang="0">
              <a:pos x="connsiteX62" y="connsiteY62"/>
            </a:cxn>
            <a:cxn ang="0">
              <a:pos x="connsiteX63" y="connsiteY63"/>
            </a:cxn>
            <a:cxn ang="0">
              <a:pos x="connsiteX64" y="connsiteY64"/>
            </a:cxn>
            <a:cxn ang="0">
              <a:pos x="connsiteX65" y="connsiteY65"/>
            </a:cxn>
            <a:cxn ang="0">
              <a:pos x="connsiteX66" y="connsiteY66"/>
            </a:cxn>
            <a:cxn ang="0">
              <a:pos x="connsiteX67" y="connsiteY67"/>
            </a:cxn>
            <a:cxn ang="0">
              <a:pos x="connsiteX68" y="connsiteY68"/>
            </a:cxn>
            <a:cxn ang="0">
              <a:pos x="connsiteX69" y="connsiteY69"/>
            </a:cxn>
            <a:cxn ang="0">
              <a:pos x="connsiteX70" y="connsiteY70"/>
            </a:cxn>
            <a:cxn ang="0">
              <a:pos x="connsiteX71" y="connsiteY71"/>
            </a:cxn>
            <a:cxn ang="0">
              <a:pos x="connsiteX72" y="connsiteY72"/>
            </a:cxn>
            <a:cxn ang="0">
              <a:pos x="connsiteX73" y="connsiteY73"/>
            </a:cxn>
            <a:cxn ang="0">
              <a:pos x="connsiteX74" y="connsiteY74"/>
            </a:cxn>
          </a:cxnLst>
          <a:rect l="l" t="t" r="r" b="b"/>
          <a:pathLst>
            <a:path w="6889430" h="1199459">
              <a:moveTo>
                <a:pt x="2974317" y="1199459"/>
              </a:moveTo>
              <a:cubicBezTo>
                <a:pt x="2743501" y="1199459"/>
                <a:pt x="2711362" y="862769"/>
                <a:pt x="2679223" y="537557"/>
              </a:cubicBezTo>
              <a:cubicBezTo>
                <a:pt x="2655849" y="298430"/>
                <a:pt x="2629554" y="28695"/>
                <a:pt x="2512685" y="28695"/>
              </a:cubicBezTo>
              <a:cubicBezTo>
                <a:pt x="2387050" y="28695"/>
                <a:pt x="2346146" y="248692"/>
                <a:pt x="2311085" y="441906"/>
              </a:cubicBezTo>
              <a:cubicBezTo>
                <a:pt x="2270181" y="665729"/>
                <a:pt x="2232199" y="876160"/>
                <a:pt x="2071504" y="876160"/>
              </a:cubicBezTo>
              <a:cubicBezTo>
                <a:pt x="1945870" y="876160"/>
                <a:pt x="1902044" y="736510"/>
                <a:pt x="1855296" y="589208"/>
              </a:cubicBezTo>
              <a:cubicBezTo>
                <a:pt x="1814392" y="464862"/>
                <a:pt x="1770566" y="325212"/>
                <a:pt x="1679993" y="325212"/>
              </a:cubicBezTo>
              <a:cubicBezTo>
                <a:pt x="1577732" y="325212"/>
                <a:pt x="1528063" y="514601"/>
                <a:pt x="1484237" y="681033"/>
              </a:cubicBezTo>
              <a:cubicBezTo>
                <a:pt x="1428724" y="895290"/>
                <a:pt x="1373211" y="1099983"/>
                <a:pt x="1206673" y="1099983"/>
              </a:cubicBezTo>
              <a:cubicBezTo>
                <a:pt x="1051821" y="1099983"/>
                <a:pt x="1002152" y="943115"/>
                <a:pt x="955404" y="791987"/>
              </a:cubicBezTo>
              <a:cubicBezTo>
                <a:pt x="914500" y="663816"/>
                <a:pt x="873596" y="529905"/>
                <a:pt x="777179" y="529905"/>
              </a:cubicBezTo>
              <a:lnTo>
                <a:pt x="777179" y="529905"/>
              </a:lnTo>
              <a:cubicBezTo>
                <a:pt x="686606" y="529905"/>
                <a:pt x="636936" y="640859"/>
                <a:pt x="587267" y="747988"/>
              </a:cubicBezTo>
              <a:cubicBezTo>
                <a:pt x="531754" y="866595"/>
                <a:pt x="476241" y="989028"/>
                <a:pt x="350607" y="989028"/>
              </a:cubicBezTo>
              <a:lnTo>
                <a:pt x="350607" y="989028"/>
              </a:lnTo>
              <a:cubicBezTo>
                <a:pt x="236660" y="989028"/>
                <a:pt x="207443" y="901029"/>
                <a:pt x="178225" y="816857"/>
              </a:cubicBezTo>
              <a:cubicBezTo>
                <a:pt x="149008" y="734597"/>
                <a:pt x="119791" y="650424"/>
                <a:pt x="20452" y="644685"/>
              </a:cubicBezTo>
              <a:cubicBezTo>
                <a:pt x="8765" y="644685"/>
                <a:pt x="0" y="637033"/>
                <a:pt x="0" y="629381"/>
              </a:cubicBezTo>
              <a:cubicBezTo>
                <a:pt x="0" y="621729"/>
                <a:pt x="11687" y="615990"/>
                <a:pt x="23374" y="615990"/>
              </a:cubicBezTo>
              <a:cubicBezTo>
                <a:pt x="154851" y="621729"/>
                <a:pt x="189912" y="721206"/>
                <a:pt x="219129" y="809204"/>
              </a:cubicBezTo>
              <a:cubicBezTo>
                <a:pt x="245425" y="885725"/>
                <a:pt x="271721" y="958419"/>
                <a:pt x="350607" y="958419"/>
              </a:cubicBezTo>
              <a:lnTo>
                <a:pt x="350607" y="958419"/>
              </a:lnTo>
              <a:cubicBezTo>
                <a:pt x="444102" y="958419"/>
                <a:pt x="496693" y="845552"/>
                <a:pt x="546363" y="736510"/>
              </a:cubicBezTo>
              <a:cubicBezTo>
                <a:pt x="601876" y="614077"/>
                <a:pt x="657388" y="499296"/>
                <a:pt x="780101" y="497383"/>
              </a:cubicBezTo>
              <a:lnTo>
                <a:pt x="780101" y="497383"/>
              </a:lnTo>
              <a:cubicBezTo>
                <a:pt x="914500" y="497383"/>
                <a:pt x="955404" y="635120"/>
                <a:pt x="1002152" y="780509"/>
              </a:cubicBezTo>
              <a:cubicBezTo>
                <a:pt x="1045978" y="920159"/>
                <a:pt x="1089804" y="1065548"/>
                <a:pt x="1209595" y="1065548"/>
              </a:cubicBezTo>
              <a:cubicBezTo>
                <a:pt x="1341072" y="1065548"/>
                <a:pt x="1396585" y="855117"/>
                <a:pt x="1443333" y="671468"/>
              </a:cubicBezTo>
              <a:cubicBezTo>
                <a:pt x="1495924" y="468688"/>
                <a:pt x="1542672" y="292691"/>
                <a:pt x="1682914" y="292691"/>
              </a:cubicBezTo>
              <a:cubicBezTo>
                <a:pt x="1808549" y="292691"/>
                <a:pt x="1852374" y="432341"/>
                <a:pt x="1899122" y="579643"/>
              </a:cubicBezTo>
              <a:cubicBezTo>
                <a:pt x="1940026" y="703989"/>
                <a:pt x="1983852" y="843639"/>
                <a:pt x="2074426" y="843639"/>
              </a:cubicBezTo>
              <a:cubicBezTo>
                <a:pt x="2197138" y="843639"/>
                <a:pt x="2235121" y="625555"/>
                <a:pt x="2270181" y="434254"/>
              </a:cubicBezTo>
              <a:cubicBezTo>
                <a:pt x="2311085" y="212344"/>
                <a:pt x="2349068" y="0"/>
                <a:pt x="2512685" y="0"/>
              </a:cubicBezTo>
              <a:cubicBezTo>
                <a:pt x="2670458" y="0"/>
                <a:pt x="2693832" y="248692"/>
                <a:pt x="2720127" y="535644"/>
              </a:cubicBezTo>
              <a:cubicBezTo>
                <a:pt x="2749344" y="834074"/>
                <a:pt x="2781484" y="1170764"/>
                <a:pt x="2971396" y="1170764"/>
              </a:cubicBezTo>
              <a:cubicBezTo>
                <a:pt x="3126247" y="1170764"/>
                <a:pt x="3164230" y="946941"/>
                <a:pt x="3199290" y="732684"/>
              </a:cubicBezTo>
              <a:cubicBezTo>
                <a:pt x="3237273" y="499296"/>
                <a:pt x="3272333" y="281213"/>
                <a:pt x="3459324" y="281213"/>
              </a:cubicBezTo>
              <a:cubicBezTo>
                <a:pt x="3622941" y="281213"/>
                <a:pt x="3646314" y="439993"/>
                <a:pt x="3669688" y="594947"/>
              </a:cubicBezTo>
              <a:cubicBezTo>
                <a:pt x="3690140" y="726945"/>
                <a:pt x="3710593" y="864682"/>
                <a:pt x="3818696" y="864682"/>
              </a:cubicBezTo>
              <a:cubicBezTo>
                <a:pt x="3885896" y="864682"/>
                <a:pt x="3920957" y="801552"/>
                <a:pt x="3958939" y="736510"/>
              </a:cubicBezTo>
              <a:cubicBezTo>
                <a:pt x="4002765" y="659989"/>
                <a:pt x="4046591" y="581556"/>
                <a:pt x="4154695" y="581556"/>
              </a:cubicBezTo>
              <a:cubicBezTo>
                <a:pt x="4245268" y="581556"/>
                <a:pt x="4289094" y="675294"/>
                <a:pt x="4341685" y="784335"/>
              </a:cubicBezTo>
              <a:cubicBezTo>
                <a:pt x="4391354" y="891464"/>
                <a:pt x="4446868" y="1011984"/>
                <a:pt x="4546206" y="1011984"/>
              </a:cubicBezTo>
              <a:cubicBezTo>
                <a:pt x="4677684" y="1011984"/>
                <a:pt x="4730275" y="784335"/>
                <a:pt x="4777023" y="583469"/>
              </a:cubicBezTo>
              <a:cubicBezTo>
                <a:pt x="4829613" y="355820"/>
                <a:pt x="4879283" y="139650"/>
                <a:pt x="5042900" y="139650"/>
              </a:cubicBezTo>
              <a:cubicBezTo>
                <a:pt x="5194829" y="139650"/>
                <a:pt x="5235734" y="342429"/>
                <a:pt x="5279560" y="558600"/>
              </a:cubicBezTo>
              <a:cubicBezTo>
                <a:pt x="5317542" y="740336"/>
                <a:pt x="5358446" y="946941"/>
                <a:pt x="5469472" y="946941"/>
              </a:cubicBezTo>
              <a:cubicBezTo>
                <a:pt x="5560045" y="946941"/>
                <a:pt x="5612636" y="813031"/>
                <a:pt x="5662305" y="694424"/>
              </a:cubicBezTo>
              <a:cubicBezTo>
                <a:pt x="5720740" y="552861"/>
                <a:pt x="5773331" y="420863"/>
                <a:pt x="5896043" y="420863"/>
              </a:cubicBezTo>
              <a:cubicBezTo>
                <a:pt x="6012913" y="420863"/>
                <a:pt x="6068426" y="549035"/>
                <a:pt x="6129782" y="700163"/>
              </a:cubicBezTo>
              <a:cubicBezTo>
                <a:pt x="6191138" y="845552"/>
                <a:pt x="6261259" y="1010071"/>
                <a:pt x="6386894" y="1013897"/>
              </a:cubicBezTo>
              <a:cubicBezTo>
                <a:pt x="6386894" y="1013897"/>
                <a:pt x="6389815" y="1013897"/>
                <a:pt x="6389815" y="1013897"/>
              </a:cubicBezTo>
              <a:cubicBezTo>
                <a:pt x="6474545" y="1013897"/>
                <a:pt x="6518371" y="931637"/>
                <a:pt x="6565119" y="845552"/>
              </a:cubicBezTo>
              <a:cubicBezTo>
                <a:pt x="6623554" y="734597"/>
                <a:pt x="6693675" y="608338"/>
                <a:pt x="6868978" y="608338"/>
              </a:cubicBezTo>
              <a:cubicBezTo>
                <a:pt x="6880666" y="608338"/>
                <a:pt x="6889430" y="614077"/>
                <a:pt x="6889430" y="621729"/>
              </a:cubicBezTo>
              <a:cubicBezTo>
                <a:pt x="6889430" y="629381"/>
                <a:pt x="6880666" y="635120"/>
                <a:pt x="6868978" y="635120"/>
              </a:cubicBezTo>
              <a:cubicBezTo>
                <a:pt x="6722892" y="635120"/>
                <a:pt x="6664458" y="746075"/>
                <a:pt x="6606023" y="853204"/>
              </a:cubicBezTo>
              <a:cubicBezTo>
                <a:pt x="6553432" y="950767"/>
                <a:pt x="6503763" y="1044505"/>
                <a:pt x="6386894" y="1040679"/>
              </a:cubicBezTo>
              <a:cubicBezTo>
                <a:pt x="6226199" y="1036853"/>
                <a:pt x="6156077" y="868508"/>
                <a:pt x="6088878" y="705902"/>
              </a:cubicBezTo>
              <a:cubicBezTo>
                <a:pt x="6036286" y="579643"/>
                <a:pt x="5980774" y="447645"/>
                <a:pt x="5896043" y="447645"/>
              </a:cubicBezTo>
              <a:cubicBezTo>
                <a:pt x="5805470" y="447645"/>
                <a:pt x="5752879" y="581556"/>
                <a:pt x="5703210" y="700163"/>
              </a:cubicBezTo>
              <a:cubicBezTo>
                <a:pt x="5644775" y="839813"/>
                <a:pt x="5592184" y="973724"/>
                <a:pt x="5469472" y="973724"/>
              </a:cubicBezTo>
              <a:cubicBezTo>
                <a:pt x="5320464" y="973724"/>
                <a:pt x="5279560" y="772857"/>
                <a:pt x="5235734" y="560513"/>
              </a:cubicBezTo>
              <a:cubicBezTo>
                <a:pt x="5197751" y="376864"/>
                <a:pt x="5156847" y="166432"/>
                <a:pt x="5042900" y="166432"/>
              </a:cubicBezTo>
              <a:cubicBezTo>
                <a:pt x="4917265" y="166432"/>
                <a:pt x="4864674" y="388342"/>
                <a:pt x="4820849" y="585382"/>
              </a:cubicBezTo>
              <a:cubicBezTo>
                <a:pt x="4768257" y="818770"/>
                <a:pt x="4715666" y="1038766"/>
                <a:pt x="4546206" y="1038766"/>
              </a:cubicBezTo>
              <a:cubicBezTo>
                <a:pt x="4414728" y="1038766"/>
                <a:pt x="4356294" y="912507"/>
                <a:pt x="4300781" y="791987"/>
              </a:cubicBezTo>
              <a:cubicBezTo>
                <a:pt x="4259877" y="705902"/>
                <a:pt x="4216051" y="608338"/>
                <a:pt x="4154695" y="608338"/>
              </a:cubicBezTo>
              <a:cubicBezTo>
                <a:pt x="4078730" y="608338"/>
                <a:pt x="4037826" y="677207"/>
                <a:pt x="3999843" y="744162"/>
              </a:cubicBezTo>
              <a:cubicBezTo>
                <a:pt x="3958939" y="816857"/>
                <a:pt x="3915113" y="891464"/>
                <a:pt x="3818696" y="891464"/>
              </a:cubicBezTo>
              <a:cubicBezTo>
                <a:pt x="3672610" y="891464"/>
                <a:pt x="3649236" y="747988"/>
                <a:pt x="3625862" y="596860"/>
              </a:cubicBezTo>
              <a:cubicBezTo>
                <a:pt x="3602488" y="455297"/>
                <a:pt x="3582036" y="307995"/>
                <a:pt x="3456402" y="307995"/>
              </a:cubicBezTo>
              <a:cubicBezTo>
                <a:pt x="3310316" y="307995"/>
                <a:pt x="3275255" y="524166"/>
                <a:pt x="3240194" y="734597"/>
              </a:cubicBezTo>
              <a:cubicBezTo>
                <a:pt x="3205134" y="973724"/>
                <a:pt x="3170073" y="1199459"/>
                <a:pt x="2974317" y="1199459"/>
              </a:cubicBezTo>
              <a:lnTo>
                <a:pt x="2974317" y="1199459"/>
              </a:lnTo>
              <a:close/>
            </a:path>
          </a:pathLst>
        </a:custGeom>
        <a:solidFill>
          <a:schemeClr val="accent1">
            <a:lumMod val="40000"/>
            <a:lumOff val="60000"/>
          </a:schemeClr>
        </a:solidFill>
        <a:ln w="29208" cap="flat">
          <a:noFill/>
          <a:prstDash val="solid"/>
          <a:miter/>
        </a:ln>
      </xdr:spPr>
      <xdr:txBody>
        <a:bodyPr rtlCol="0" anchor="ctr"/>
        <a:lstStyle/>
        <a:p>
          <a:endParaRPr lang="en-US"/>
        </a:p>
      </xdr:txBody>
    </xdr:sp>
    <xdr:clientData/>
  </xdr:twoCellAnchor>
  <xdr:twoCellAnchor>
    <xdr:from>
      <xdr:col>5</xdr:col>
      <xdr:colOff>3928</xdr:colOff>
      <xdr:row>1</xdr:row>
      <xdr:rowOff>142421</xdr:rowOff>
    </xdr:from>
    <xdr:to>
      <xdr:col>9</xdr:col>
      <xdr:colOff>961445</xdr:colOff>
      <xdr:row>2</xdr:row>
      <xdr:rowOff>794087</xdr:rowOff>
    </xdr:to>
    <xdr:sp macro="" textlink="">
      <xdr:nvSpPr>
        <xdr:cNvPr id="4" name="Freeform: Shape 3">
          <a:extLst>
            <a:ext uri="{FF2B5EF4-FFF2-40B4-BE49-F238E27FC236}">
              <a16:creationId xmlns:a16="http://schemas.microsoft.com/office/drawing/2014/main" id="{D8EBE192-35E2-4425-B4DD-5477B899548D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SpPr/>
      </xdr:nvSpPr>
      <xdr:spPr>
        <a:xfrm>
          <a:off x="7704891" y="342446"/>
          <a:ext cx="6901117" cy="946941"/>
        </a:xfrm>
        <a:custGeom>
          <a:avLst/>
          <a:gdLst>
            <a:gd name="connsiteX0" fmla="*/ 2968474 w 6901117"/>
            <a:gd name="connsiteY0" fmla="*/ 946941 h 946941"/>
            <a:gd name="connsiteX1" fmla="*/ 2690910 w 6901117"/>
            <a:gd name="connsiteY1" fmla="*/ 441906 h 946941"/>
            <a:gd name="connsiteX2" fmla="*/ 2512685 w 6901117"/>
            <a:gd name="connsiteY2" fmla="*/ 28695 h 946941"/>
            <a:gd name="connsiteX3" fmla="*/ 2316929 w 6901117"/>
            <a:gd name="connsiteY3" fmla="*/ 350081 h 946941"/>
            <a:gd name="connsiteX4" fmla="*/ 2080269 w 6901117"/>
            <a:gd name="connsiteY4" fmla="*/ 692511 h 946941"/>
            <a:gd name="connsiteX5" fmla="*/ 1855296 w 6901117"/>
            <a:gd name="connsiteY5" fmla="*/ 472514 h 946941"/>
            <a:gd name="connsiteX6" fmla="*/ 1674149 w 6901117"/>
            <a:gd name="connsiteY6" fmla="*/ 271648 h 946941"/>
            <a:gd name="connsiteX7" fmla="*/ 1446255 w 6901117"/>
            <a:gd name="connsiteY7" fmla="*/ 570078 h 946941"/>
            <a:gd name="connsiteX8" fmla="*/ 1206673 w 6901117"/>
            <a:gd name="connsiteY8" fmla="*/ 866595 h 946941"/>
            <a:gd name="connsiteX9" fmla="*/ 972935 w 6901117"/>
            <a:gd name="connsiteY9" fmla="*/ 627468 h 946941"/>
            <a:gd name="connsiteX10" fmla="*/ 809318 w 6901117"/>
            <a:gd name="connsiteY10" fmla="*/ 428515 h 946941"/>
            <a:gd name="connsiteX11" fmla="*/ 809318 w 6901117"/>
            <a:gd name="connsiteY11" fmla="*/ 428515 h 946941"/>
            <a:gd name="connsiteX12" fmla="*/ 639858 w 6901117"/>
            <a:gd name="connsiteY12" fmla="*/ 583469 h 946941"/>
            <a:gd name="connsiteX13" fmla="*/ 414885 w 6901117"/>
            <a:gd name="connsiteY13" fmla="*/ 767118 h 946941"/>
            <a:gd name="connsiteX14" fmla="*/ 186990 w 6901117"/>
            <a:gd name="connsiteY14" fmla="*/ 619816 h 946941"/>
            <a:gd name="connsiteX15" fmla="*/ 20452 w 6901117"/>
            <a:gd name="connsiteY15" fmla="*/ 499296 h 946941"/>
            <a:gd name="connsiteX16" fmla="*/ 20452 w 6901117"/>
            <a:gd name="connsiteY16" fmla="*/ 499296 h 946941"/>
            <a:gd name="connsiteX17" fmla="*/ 0 w 6901117"/>
            <a:gd name="connsiteY17" fmla="*/ 485905 h 946941"/>
            <a:gd name="connsiteX18" fmla="*/ 20452 w 6901117"/>
            <a:gd name="connsiteY18" fmla="*/ 472514 h 946941"/>
            <a:gd name="connsiteX19" fmla="*/ 20452 w 6901117"/>
            <a:gd name="connsiteY19" fmla="*/ 472514 h 946941"/>
            <a:gd name="connsiteX20" fmla="*/ 227895 w 6901117"/>
            <a:gd name="connsiteY20" fmla="*/ 610251 h 946941"/>
            <a:gd name="connsiteX21" fmla="*/ 414885 w 6901117"/>
            <a:gd name="connsiteY21" fmla="*/ 740336 h 946941"/>
            <a:gd name="connsiteX22" fmla="*/ 598954 w 6901117"/>
            <a:gd name="connsiteY22" fmla="*/ 575817 h 946941"/>
            <a:gd name="connsiteX23" fmla="*/ 809318 w 6901117"/>
            <a:gd name="connsiteY23" fmla="*/ 399820 h 946941"/>
            <a:gd name="connsiteX24" fmla="*/ 809318 w 6901117"/>
            <a:gd name="connsiteY24" fmla="*/ 399820 h 946941"/>
            <a:gd name="connsiteX25" fmla="*/ 1016761 w 6901117"/>
            <a:gd name="connsiteY25" fmla="*/ 621729 h 946941"/>
            <a:gd name="connsiteX26" fmla="*/ 1209595 w 6901117"/>
            <a:gd name="connsiteY26" fmla="*/ 839813 h 946941"/>
            <a:gd name="connsiteX27" fmla="*/ 1408272 w 6901117"/>
            <a:gd name="connsiteY27" fmla="*/ 564339 h 946941"/>
            <a:gd name="connsiteX28" fmla="*/ 1677071 w 6901117"/>
            <a:gd name="connsiteY28" fmla="*/ 242953 h 946941"/>
            <a:gd name="connsiteX29" fmla="*/ 1902044 w 6901117"/>
            <a:gd name="connsiteY29" fmla="*/ 462949 h 946941"/>
            <a:gd name="connsiteX30" fmla="*/ 2083191 w 6901117"/>
            <a:gd name="connsiteY30" fmla="*/ 663815 h 946941"/>
            <a:gd name="connsiteX31" fmla="*/ 2276025 w 6901117"/>
            <a:gd name="connsiteY31" fmla="*/ 346255 h 946941"/>
            <a:gd name="connsiteX32" fmla="*/ 2515606 w 6901117"/>
            <a:gd name="connsiteY32" fmla="*/ 0 h 946941"/>
            <a:gd name="connsiteX33" fmla="*/ 2737657 w 6901117"/>
            <a:gd name="connsiteY33" fmla="*/ 438080 h 946941"/>
            <a:gd name="connsiteX34" fmla="*/ 2971396 w 6901117"/>
            <a:gd name="connsiteY34" fmla="*/ 916333 h 946941"/>
            <a:gd name="connsiteX35" fmla="*/ 3225586 w 6901117"/>
            <a:gd name="connsiteY35" fmla="*/ 549035 h 946941"/>
            <a:gd name="connsiteX36" fmla="*/ 3450559 w 6901117"/>
            <a:gd name="connsiteY36" fmla="*/ 218083 h 946941"/>
            <a:gd name="connsiteX37" fmla="*/ 3453480 w 6901117"/>
            <a:gd name="connsiteY37" fmla="*/ 218083 h 946941"/>
            <a:gd name="connsiteX38" fmla="*/ 3628784 w 6901117"/>
            <a:gd name="connsiteY38" fmla="*/ 441906 h 946941"/>
            <a:gd name="connsiteX39" fmla="*/ 3807009 w 6901117"/>
            <a:gd name="connsiteY39" fmla="*/ 675294 h 946941"/>
            <a:gd name="connsiteX40" fmla="*/ 3947252 w 6901117"/>
            <a:gd name="connsiteY40" fmla="*/ 571991 h 946941"/>
            <a:gd name="connsiteX41" fmla="*/ 4140086 w 6901117"/>
            <a:gd name="connsiteY41" fmla="*/ 445732 h 946941"/>
            <a:gd name="connsiteX42" fmla="*/ 4324155 w 6901117"/>
            <a:gd name="connsiteY42" fmla="*/ 610251 h 946941"/>
            <a:gd name="connsiteX43" fmla="*/ 4525754 w 6901117"/>
            <a:gd name="connsiteY43" fmla="*/ 791987 h 946941"/>
            <a:gd name="connsiteX44" fmla="*/ 4753649 w 6901117"/>
            <a:gd name="connsiteY44" fmla="*/ 459123 h 946941"/>
            <a:gd name="connsiteX45" fmla="*/ 5016604 w 6901117"/>
            <a:gd name="connsiteY45" fmla="*/ 109042 h 946941"/>
            <a:gd name="connsiteX46" fmla="*/ 5250342 w 6901117"/>
            <a:gd name="connsiteY46" fmla="*/ 438080 h 946941"/>
            <a:gd name="connsiteX47" fmla="*/ 5437333 w 6901117"/>
            <a:gd name="connsiteY47" fmla="*/ 740336 h 946941"/>
            <a:gd name="connsiteX48" fmla="*/ 5627245 w 6901117"/>
            <a:gd name="connsiteY48" fmla="*/ 543296 h 946941"/>
            <a:gd name="connsiteX49" fmla="*/ 5858061 w 6901117"/>
            <a:gd name="connsiteY49" fmla="*/ 327125 h 946941"/>
            <a:gd name="connsiteX50" fmla="*/ 6080113 w 6901117"/>
            <a:gd name="connsiteY50" fmla="*/ 568165 h 946941"/>
            <a:gd name="connsiteX51" fmla="*/ 6258338 w 6901117"/>
            <a:gd name="connsiteY51" fmla="*/ 790074 h 946941"/>
            <a:gd name="connsiteX52" fmla="*/ 6258338 w 6901117"/>
            <a:gd name="connsiteY52" fmla="*/ 790074 h 946941"/>
            <a:gd name="connsiteX53" fmla="*/ 6389815 w 6901117"/>
            <a:gd name="connsiteY53" fmla="*/ 692511 h 946941"/>
            <a:gd name="connsiteX54" fmla="*/ 6880665 w 6901117"/>
            <a:gd name="connsiteY54" fmla="*/ 457210 h 946941"/>
            <a:gd name="connsiteX55" fmla="*/ 6901117 w 6901117"/>
            <a:gd name="connsiteY55" fmla="*/ 470601 h 946941"/>
            <a:gd name="connsiteX56" fmla="*/ 6880665 w 6901117"/>
            <a:gd name="connsiteY56" fmla="*/ 483992 h 946941"/>
            <a:gd name="connsiteX57" fmla="*/ 6424876 w 6901117"/>
            <a:gd name="connsiteY57" fmla="*/ 703989 h 946941"/>
            <a:gd name="connsiteX58" fmla="*/ 6255416 w 6901117"/>
            <a:gd name="connsiteY58" fmla="*/ 816857 h 946941"/>
            <a:gd name="connsiteX59" fmla="*/ 6252494 w 6901117"/>
            <a:gd name="connsiteY59" fmla="*/ 816857 h 946941"/>
            <a:gd name="connsiteX60" fmla="*/ 6033365 w 6901117"/>
            <a:gd name="connsiteY60" fmla="*/ 573904 h 946941"/>
            <a:gd name="connsiteX61" fmla="*/ 5855139 w 6901117"/>
            <a:gd name="connsiteY61" fmla="*/ 353907 h 946941"/>
            <a:gd name="connsiteX62" fmla="*/ 5665227 w 6901117"/>
            <a:gd name="connsiteY62" fmla="*/ 550948 h 946941"/>
            <a:gd name="connsiteX63" fmla="*/ 5434411 w 6901117"/>
            <a:gd name="connsiteY63" fmla="*/ 767118 h 946941"/>
            <a:gd name="connsiteX64" fmla="*/ 5206516 w 6901117"/>
            <a:gd name="connsiteY64" fmla="*/ 441906 h 946941"/>
            <a:gd name="connsiteX65" fmla="*/ 5016604 w 6901117"/>
            <a:gd name="connsiteY65" fmla="*/ 135824 h 946941"/>
            <a:gd name="connsiteX66" fmla="*/ 4797475 w 6901117"/>
            <a:gd name="connsiteY66" fmla="*/ 461036 h 946941"/>
            <a:gd name="connsiteX67" fmla="*/ 4528676 w 6901117"/>
            <a:gd name="connsiteY67" fmla="*/ 816857 h 946941"/>
            <a:gd name="connsiteX68" fmla="*/ 4286172 w 6901117"/>
            <a:gd name="connsiteY68" fmla="*/ 617903 h 946941"/>
            <a:gd name="connsiteX69" fmla="*/ 4143008 w 6901117"/>
            <a:gd name="connsiteY69" fmla="*/ 472514 h 946941"/>
            <a:gd name="connsiteX70" fmla="*/ 3991078 w 6901117"/>
            <a:gd name="connsiteY70" fmla="*/ 581556 h 946941"/>
            <a:gd name="connsiteX71" fmla="*/ 3812853 w 6901117"/>
            <a:gd name="connsiteY71" fmla="*/ 702076 h 946941"/>
            <a:gd name="connsiteX72" fmla="*/ 3593723 w 6901117"/>
            <a:gd name="connsiteY72" fmla="*/ 443819 h 946941"/>
            <a:gd name="connsiteX73" fmla="*/ 3459324 w 6901117"/>
            <a:gd name="connsiteY73" fmla="*/ 244866 h 946941"/>
            <a:gd name="connsiteX74" fmla="*/ 3459324 w 6901117"/>
            <a:gd name="connsiteY74" fmla="*/ 244866 h 946941"/>
            <a:gd name="connsiteX75" fmla="*/ 3275255 w 6901117"/>
            <a:gd name="connsiteY75" fmla="*/ 550948 h 946941"/>
            <a:gd name="connsiteX76" fmla="*/ 2968474 w 6901117"/>
            <a:gd name="connsiteY76" fmla="*/ 946941 h 946941"/>
            <a:gd name="connsiteX77" fmla="*/ 2968474 w 6901117"/>
            <a:gd name="connsiteY77" fmla="*/ 946941 h 946941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  <a:cxn ang="0">
              <a:pos x="connsiteX55" y="connsiteY55"/>
            </a:cxn>
            <a:cxn ang="0">
              <a:pos x="connsiteX56" y="connsiteY56"/>
            </a:cxn>
            <a:cxn ang="0">
              <a:pos x="connsiteX57" y="connsiteY57"/>
            </a:cxn>
            <a:cxn ang="0">
              <a:pos x="connsiteX58" y="connsiteY58"/>
            </a:cxn>
            <a:cxn ang="0">
              <a:pos x="connsiteX59" y="connsiteY59"/>
            </a:cxn>
            <a:cxn ang="0">
              <a:pos x="connsiteX60" y="connsiteY60"/>
            </a:cxn>
            <a:cxn ang="0">
              <a:pos x="connsiteX61" y="connsiteY61"/>
            </a:cxn>
            <a:cxn ang="0">
              <a:pos x="connsiteX62" y="connsiteY62"/>
            </a:cxn>
            <a:cxn ang="0">
              <a:pos x="connsiteX63" y="connsiteY63"/>
            </a:cxn>
            <a:cxn ang="0">
              <a:pos x="connsiteX64" y="connsiteY64"/>
            </a:cxn>
            <a:cxn ang="0">
              <a:pos x="connsiteX65" y="connsiteY65"/>
            </a:cxn>
            <a:cxn ang="0">
              <a:pos x="connsiteX66" y="connsiteY66"/>
            </a:cxn>
            <a:cxn ang="0">
              <a:pos x="connsiteX67" y="connsiteY67"/>
            </a:cxn>
            <a:cxn ang="0">
              <a:pos x="connsiteX68" y="connsiteY68"/>
            </a:cxn>
            <a:cxn ang="0">
              <a:pos x="connsiteX69" y="connsiteY69"/>
            </a:cxn>
            <a:cxn ang="0">
              <a:pos x="connsiteX70" y="connsiteY70"/>
            </a:cxn>
            <a:cxn ang="0">
              <a:pos x="connsiteX71" y="connsiteY71"/>
            </a:cxn>
            <a:cxn ang="0">
              <a:pos x="connsiteX72" y="connsiteY72"/>
            </a:cxn>
            <a:cxn ang="0">
              <a:pos x="connsiteX73" y="connsiteY73"/>
            </a:cxn>
            <a:cxn ang="0">
              <a:pos x="connsiteX74" y="connsiteY74"/>
            </a:cxn>
            <a:cxn ang="0">
              <a:pos x="connsiteX75" y="connsiteY75"/>
            </a:cxn>
            <a:cxn ang="0">
              <a:pos x="connsiteX76" y="connsiteY76"/>
            </a:cxn>
            <a:cxn ang="0">
              <a:pos x="connsiteX77" y="connsiteY77"/>
            </a:cxn>
          </a:cxnLst>
          <a:rect l="l" t="t" r="r" b="b"/>
          <a:pathLst>
            <a:path w="6901117" h="946941">
              <a:moveTo>
                <a:pt x="2968474" y="946941"/>
              </a:moveTo>
              <a:cubicBezTo>
                <a:pt x="2763953" y="946941"/>
                <a:pt x="2728892" y="690598"/>
                <a:pt x="2690910" y="441906"/>
              </a:cubicBezTo>
              <a:cubicBezTo>
                <a:pt x="2661693" y="239127"/>
                <a:pt x="2632475" y="28695"/>
                <a:pt x="2512685" y="28695"/>
              </a:cubicBezTo>
              <a:cubicBezTo>
                <a:pt x="2389972" y="28695"/>
                <a:pt x="2351990" y="191301"/>
                <a:pt x="2316929" y="350081"/>
              </a:cubicBezTo>
              <a:cubicBezTo>
                <a:pt x="2276025" y="526079"/>
                <a:pt x="2238042" y="692511"/>
                <a:pt x="2080269" y="692511"/>
              </a:cubicBezTo>
              <a:cubicBezTo>
                <a:pt x="1960478" y="692511"/>
                <a:pt x="1907887" y="579643"/>
                <a:pt x="1855296" y="472514"/>
              </a:cubicBezTo>
              <a:cubicBezTo>
                <a:pt x="1808549" y="373038"/>
                <a:pt x="1761801" y="271648"/>
                <a:pt x="1674149" y="271648"/>
              </a:cubicBezTo>
              <a:cubicBezTo>
                <a:pt x="1563124" y="271648"/>
                <a:pt x="1501767" y="430428"/>
                <a:pt x="1446255" y="570078"/>
              </a:cubicBezTo>
              <a:cubicBezTo>
                <a:pt x="1387820" y="723119"/>
                <a:pt x="1332307" y="866595"/>
                <a:pt x="1206673" y="866595"/>
              </a:cubicBezTo>
              <a:cubicBezTo>
                <a:pt x="1054743" y="866595"/>
                <a:pt x="1010917" y="744162"/>
                <a:pt x="972935" y="627468"/>
              </a:cubicBezTo>
              <a:cubicBezTo>
                <a:pt x="937874" y="526079"/>
                <a:pt x="905735" y="428515"/>
                <a:pt x="809318" y="428515"/>
              </a:cubicBezTo>
              <a:lnTo>
                <a:pt x="809318" y="428515"/>
              </a:lnTo>
              <a:cubicBezTo>
                <a:pt x="721666" y="428515"/>
                <a:pt x="683684" y="505035"/>
                <a:pt x="639858" y="583469"/>
              </a:cubicBezTo>
              <a:cubicBezTo>
                <a:pt x="593110" y="673381"/>
                <a:pt x="546363" y="767118"/>
                <a:pt x="414885" y="767118"/>
              </a:cubicBezTo>
              <a:cubicBezTo>
                <a:pt x="280486" y="767118"/>
                <a:pt x="230816" y="688685"/>
                <a:pt x="186990" y="619816"/>
              </a:cubicBezTo>
              <a:cubicBezTo>
                <a:pt x="146086" y="554774"/>
                <a:pt x="111026" y="499296"/>
                <a:pt x="20452" y="499296"/>
              </a:cubicBezTo>
              <a:lnTo>
                <a:pt x="20452" y="499296"/>
              </a:lnTo>
              <a:cubicBezTo>
                <a:pt x="8765" y="499296"/>
                <a:pt x="0" y="493557"/>
                <a:pt x="0" y="485905"/>
              </a:cubicBezTo>
              <a:cubicBezTo>
                <a:pt x="0" y="478253"/>
                <a:pt x="8765" y="472514"/>
                <a:pt x="20452" y="472514"/>
              </a:cubicBezTo>
              <a:lnTo>
                <a:pt x="20452" y="472514"/>
              </a:lnTo>
              <a:cubicBezTo>
                <a:pt x="140243" y="472514"/>
                <a:pt x="184069" y="543296"/>
                <a:pt x="227895" y="610251"/>
              </a:cubicBezTo>
              <a:cubicBezTo>
                <a:pt x="268799" y="677207"/>
                <a:pt x="306781" y="740336"/>
                <a:pt x="414885" y="740336"/>
              </a:cubicBezTo>
              <a:cubicBezTo>
                <a:pt x="514224" y="740336"/>
                <a:pt x="555128" y="659989"/>
                <a:pt x="598954" y="575817"/>
              </a:cubicBezTo>
              <a:cubicBezTo>
                <a:pt x="642780" y="489731"/>
                <a:pt x="689527" y="401733"/>
                <a:pt x="809318" y="399820"/>
              </a:cubicBezTo>
              <a:lnTo>
                <a:pt x="809318" y="399820"/>
              </a:lnTo>
              <a:cubicBezTo>
                <a:pt x="940796" y="399820"/>
                <a:pt x="978778" y="512688"/>
                <a:pt x="1016761" y="621729"/>
              </a:cubicBezTo>
              <a:cubicBezTo>
                <a:pt x="1051821" y="728858"/>
                <a:pt x="1089804" y="839813"/>
                <a:pt x="1209595" y="839813"/>
              </a:cubicBezTo>
              <a:cubicBezTo>
                <a:pt x="1300168" y="839813"/>
                <a:pt x="1358603" y="694424"/>
                <a:pt x="1408272" y="564339"/>
              </a:cubicBezTo>
              <a:cubicBezTo>
                <a:pt x="1472550" y="399820"/>
                <a:pt x="1533906" y="242953"/>
                <a:pt x="1677071" y="242953"/>
              </a:cubicBezTo>
              <a:cubicBezTo>
                <a:pt x="1796862" y="242953"/>
                <a:pt x="1849453" y="355820"/>
                <a:pt x="1902044" y="462949"/>
              </a:cubicBezTo>
              <a:cubicBezTo>
                <a:pt x="1948791" y="562426"/>
                <a:pt x="1995539" y="663815"/>
                <a:pt x="2083191" y="663815"/>
              </a:cubicBezTo>
              <a:cubicBezTo>
                <a:pt x="2202982" y="663815"/>
                <a:pt x="2240964" y="501209"/>
                <a:pt x="2276025" y="346255"/>
              </a:cubicBezTo>
              <a:cubicBezTo>
                <a:pt x="2316929" y="168345"/>
                <a:pt x="2354911" y="0"/>
                <a:pt x="2515606" y="0"/>
              </a:cubicBezTo>
              <a:cubicBezTo>
                <a:pt x="2673380" y="0"/>
                <a:pt x="2702597" y="202779"/>
                <a:pt x="2737657" y="438080"/>
              </a:cubicBezTo>
              <a:cubicBezTo>
                <a:pt x="2769797" y="661903"/>
                <a:pt x="2807779" y="916333"/>
                <a:pt x="2971396" y="916333"/>
              </a:cubicBezTo>
              <a:cubicBezTo>
                <a:pt x="3135012" y="916333"/>
                <a:pt x="3181760" y="721206"/>
                <a:pt x="3225586" y="549035"/>
              </a:cubicBezTo>
              <a:cubicBezTo>
                <a:pt x="3266490" y="380690"/>
                <a:pt x="3307394" y="219996"/>
                <a:pt x="3450559" y="218083"/>
              </a:cubicBezTo>
              <a:cubicBezTo>
                <a:pt x="3450559" y="218083"/>
                <a:pt x="3450559" y="218083"/>
                <a:pt x="3453480" y="218083"/>
              </a:cubicBezTo>
              <a:cubicBezTo>
                <a:pt x="3570349" y="218083"/>
                <a:pt x="3599567" y="327125"/>
                <a:pt x="3628784" y="441906"/>
              </a:cubicBezTo>
              <a:cubicBezTo>
                <a:pt x="3658001" y="556687"/>
                <a:pt x="3690140" y="675294"/>
                <a:pt x="3807009" y="675294"/>
              </a:cubicBezTo>
              <a:cubicBezTo>
                <a:pt x="3874209" y="675294"/>
                <a:pt x="3909270" y="625555"/>
                <a:pt x="3947252" y="571991"/>
              </a:cubicBezTo>
              <a:cubicBezTo>
                <a:pt x="3988156" y="512688"/>
                <a:pt x="4034904" y="445732"/>
                <a:pt x="4140086" y="445732"/>
              </a:cubicBezTo>
              <a:cubicBezTo>
                <a:pt x="4230660" y="445732"/>
                <a:pt x="4274486" y="526079"/>
                <a:pt x="4324155" y="610251"/>
              </a:cubicBezTo>
              <a:cubicBezTo>
                <a:pt x="4373824" y="700163"/>
                <a:pt x="4429337" y="791987"/>
                <a:pt x="4525754" y="791987"/>
              </a:cubicBezTo>
              <a:cubicBezTo>
                <a:pt x="4657232" y="791987"/>
                <a:pt x="4706901" y="621729"/>
                <a:pt x="4753649" y="459123"/>
              </a:cubicBezTo>
              <a:cubicBezTo>
                <a:pt x="4806240" y="279300"/>
                <a:pt x="4852988" y="109042"/>
                <a:pt x="5016604" y="109042"/>
              </a:cubicBezTo>
              <a:cubicBezTo>
                <a:pt x="5168534" y="109042"/>
                <a:pt x="5206516" y="269735"/>
                <a:pt x="5250342" y="438080"/>
              </a:cubicBezTo>
              <a:cubicBezTo>
                <a:pt x="5288325" y="585382"/>
                <a:pt x="5326307" y="740336"/>
                <a:pt x="5437333" y="740336"/>
              </a:cubicBezTo>
              <a:cubicBezTo>
                <a:pt x="5527906" y="740336"/>
                <a:pt x="5577575" y="640859"/>
                <a:pt x="5627245" y="543296"/>
              </a:cubicBezTo>
              <a:cubicBezTo>
                <a:pt x="5682758" y="438080"/>
                <a:pt x="5738270" y="327125"/>
                <a:pt x="5858061" y="327125"/>
              </a:cubicBezTo>
              <a:cubicBezTo>
                <a:pt x="5980774" y="327125"/>
                <a:pt x="6027521" y="443819"/>
                <a:pt x="6080113" y="568165"/>
              </a:cubicBezTo>
              <a:cubicBezTo>
                <a:pt x="6123938" y="677207"/>
                <a:pt x="6170686" y="788161"/>
                <a:pt x="6258338" y="790074"/>
              </a:cubicBezTo>
              <a:cubicBezTo>
                <a:pt x="6258338" y="790074"/>
                <a:pt x="6258338" y="790074"/>
                <a:pt x="6258338" y="790074"/>
              </a:cubicBezTo>
              <a:cubicBezTo>
                <a:pt x="6305085" y="790074"/>
                <a:pt x="6343068" y="746075"/>
                <a:pt x="6389815" y="692511"/>
              </a:cubicBezTo>
              <a:cubicBezTo>
                <a:pt x="6474546" y="593034"/>
                <a:pt x="6594336" y="457210"/>
                <a:pt x="6880665" y="457210"/>
              </a:cubicBezTo>
              <a:cubicBezTo>
                <a:pt x="6892352" y="457210"/>
                <a:pt x="6901117" y="462949"/>
                <a:pt x="6901117" y="470601"/>
              </a:cubicBezTo>
              <a:cubicBezTo>
                <a:pt x="6901117" y="478253"/>
                <a:pt x="6892352" y="483992"/>
                <a:pt x="6880665" y="483992"/>
              </a:cubicBezTo>
              <a:cubicBezTo>
                <a:pt x="6617710" y="483992"/>
                <a:pt x="6512528" y="606425"/>
                <a:pt x="6424876" y="703989"/>
              </a:cubicBezTo>
              <a:cubicBezTo>
                <a:pt x="6369363" y="767118"/>
                <a:pt x="6328459" y="816857"/>
                <a:pt x="6255416" y="816857"/>
              </a:cubicBezTo>
              <a:cubicBezTo>
                <a:pt x="6255416" y="816857"/>
                <a:pt x="6252494" y="816857"/>
                <a:pt x="6252494" y="816857"/>
              </a:cubicBezTo>
              <a:cubicBezTo>
                <a:pt x="6132703" y="814944"/>
                <a:pt x="6083034" y="698250"/>
                <a:pt x="6033365" y="573904"/>
              </a:cubicBezTo>
              <a:cubicBezTo>
                <a:pt x="5989539" y="464862"/>
                <a:pt x="5942791" y="353907"/>
                <a:pt x="5855139" y="353907"/>
              </a:cubicBezTo>
              <a:cubicBezTo>
                <a:pt x="5764566" y="353907"/>
                <a:pt x="5714897" y="453384"/>
                <a:pt x="5665227" y="550948"/>
              </a:cubicBezTo>
              <a:cubicBezTo>
                <a:pt x="5609714" y="656163"/>
                <a:pt x="5554202" y="767118"/>
                <a:pt x="5434411" y="767118"/>
              </a:cubicBezTo>
              <a:cubicBezTo>
                <a:pt x="5288325" y="767118"/>
                <a:pt x="5247421" y="608338"/>
                <a:pt x="5206516" y="441906"/>
              </a:cubicBezTo>
              <a:cubicBezTo>
                <a:pt x="5168534" y="290778"/>
                <a:pt x="5127630" y="135824"/>
                <a:pt x="5016604" y="135824"/>
              </a:cubicBezTo>
              <a:cubicBezTo>
                <a:pt x="4890970" y="135824"/>
                <a:pt x="4844222" y="302256"/>
                <a:pt x="4797475" y="461036"/>
              </a:cubicBezTo>
              <a:cubicBezTo>
                <a:pt x="4744883" y="644685"/>
                <a:pt x="4695214" y="816857"/>
                <a:pt x="4528676" y="816857"/>
              </a:cubicBezTo>
              <a:cubicBezTo>
                <a:pt x="4400120" y="816857"/>
                <a:pt x="4341686" y="709728"/>
                <a:pt x="4286172" y="617903"/>
              </a:cubicBezTo>
              <a:cubicBezTo>
                <a:pt x="4245268" y="545209"/>
                <a:pt x="4201443" y="472514"/>
                <a:pt x="4143008" y="472514"/>
              </a:cubicBezTo>
              <a:cubicBezTo>
                <a:pt x="4067043" y="472514"/>
                <a:pt x="4029060" y="526079"/>
                <a:pt x="3991078" y="581556"/>
              </a:cubicBezTo>
              <a:cubicBezTo>
                <a:pt x="3950174" y="640859"/>
                <a:pt x="3906348" y="702076"/>
                <a:pt x="3812853" y="702076"/>
              </a:cubicBezTo>
              <a:cubicBezTo>
                <a:pt x="3660923" y="702076"/>
                <a:pt x="3625862" y="571991"/>
                <a:pt x="3593723" y="443819"/>
              </a:cubicBezTo>
              <a:cubicBezTo>
                <a:pt x="3567428" y="346255"/>
                <a:pt x="3541132" y="244866"/>
                <a:pt x="3459324" y="244866"/>
              </a:cubicBezTo>
              <a:cubicBezTo>
                <a:pt x="3459324" y="244866"/>
                <a:pt x="3459324" y="244866"/>
                <a:pt x="3459324" y="244866"/>
              </a:cubicBezTo>
              <a:cubicBezTo>
                <a:pt x="3351220" y="246779"/>
                <a:pt x="3313238" y="401733"/>
                <a:pt x="3275255" y="550948"/>
              </a:cubicBezTo>
              <a:cubicBezTo>
                <a:pt x="3216821" y="747988"/>
                <a:pt x="3170073" y="946941"/>
                <a:pt x="2968474" y="946941"/>
              </a:cubicBezTo>
              <a:lnTo>
                <a:pt x="2968474" y="946941"/>
              </a:lnTo>
              <a:close/>
            </a:path>
          </a:pathLst>
        </a:custGeom>
        <a:solidFill>
          <a:schemeClr val="tx2">
            <a:lumMod val="50000"/>
            <a:lumOff val="50000"/>
          </a:schemeClr>
        </a:solidFill>
        <a:ln w="29208" cap="flat">
          <a:noFill/>
          <a:prstDash val="solid"/>
          <a:miter/>
        </a:ln>
      </xdr:spPr>
      <xdr:txBody>
        <a:bodyPr rtlCol="0" anchor="ctr"/>
        <a:lstStyle/>
        <a:p>
          <a:endParaRPr lang="en-US"/>
        </a:p>
      </xdr:txBody>
    </xdr:sp>
    <xdr:clientData/>
  </xdr:twoCellAnchor>
  <xdr:twoCellAnchor editAs="oneCell">
    <xdr:from>
      <xdr:col>1</xdr:col>
      <xdr:colOff>1480344</xdr:colOff>
      <xdr:row>0</xdr:row>
      <xdr:rowOff>79376</xdr:rowOff>
    </xdr:from>
    <xdr:to>
      <xdr:col>1</xdr:col>
      <xdr:colOff>2059781</xdr:colOff>
      <xdr:row>2</xdr:row>
      <xdr:rowOff>164342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829B4226-6FBA-4F41-894C-22EDC3D06A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61332" y="79376"/>
          <a:ext cx="579437" cy="58026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3928</xdr:colOff>
      <xdr:row>1</xdr:row>
      <xdr:rowOff>213202</xdr:rowOff>
    </xdr:from>
    <xdr:to>
      <xdr:col>9</xdr:col>
      <xdr:colOff>949758</xdr:colOff>
      <xdr:row>3</xdr:row>
      <xdr:rowOff>27964</xdr:rowOff>
    </xdr:to>
    <xdr:sp macro="" textlink="">
      <xdr:nvSpPr>
        <xdr:cNvPr id="2" name="Freeform: Shape 1">
          <a:extLst>
            <a:ext uri="{FF2B5EF4-FFF2-40B4-BE49-F238E27FC236}">
              <a16:creationId xmlns:a16="http://schemas.microsoft.com/office/drawing/2014/main" id="{2B87E8C0-CF64-4592-B71C-5628B26B47BD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SpPr/>
      </xdr:nvSpPr>
      <xdr:spPr>
        <a:xfrm>
          <a:off x="7704891" y="413227"/>
          <a:ext cx="6889430" cy="1029200"/>
        </a:xfrm>
        <a:custGeom>
          <a:avLst/>
          <a:gdLst>
            <a:gd name="connsiteX0" fmla="*/ 1428724 w 6889430"/>
            <a:gd name="connsiteY0" fmla="*/ 1029201 h 1029200"/>
            <a:gd name="connsiteX1" fmla="*/ 1174534 w 6889430"/>
            <a:gd name="connsiteY1" fmla="*/ 763292 h 1029200"/>
            <a:gd name="connsiteX2" fmla="*/ 987543 w 6889430"/>
            <a:gd name="connsiteY2" fmla="*/ 539470 h 1029200"/>
            <a:gd name="connsiteX3" fmla="*/ 987543 w 6889430"/>
            <a:gd name="connsiteY3" fmla="*/ 539470 h 1029200"/>
            <a:gd name="connsiteX4" fmla="*/ 818083 w 6889430"/>
            <a:gd name="connsiteY4" fmla="*/ 696337 h 1029200"/>
            <a:gd name="connsiteX5" fmla="*/ 590189 w 6889430"/>
            <a:gd name="connsiteY5" fmla="*/ 879986 h 1029200"/>
            <a:gd name="connsiteX6" fmla="*/ 347685 w 6889430"/>
            <a:gd name="connsiteY6" fmla="*/ 679120 h 1029200"/>
            <a:gd name="connsiteX7" fmla="*/ 20452 w 6889430"/>
            <a:gd name="connsiteY7" fmla="*/ 430428 h 1029200"/>
            <a:gd name="connsiteX8" fmla="*/ 20452 w 6889430"/>
            <a:gd name="connsiteY8" fmla="*/ 430428 h 1029200"/>
            <a:gd name="connsiteX9" fmla="*/ 0 w 6889430"/>
            <a:gd name="connsiteY9" fmla="*/ 417037 h 1029200"/>
            <a:gd name="connsiteX10" fmla="*/ 20452 w 6889430"/>
            <a:gd name="connsiteY10" fmla="*/ 403646 h 1029200"/>
            <a:gd name="connsiteX11" fmla="*/ 20452 w 6889430"/>
            <a:gd name="connsiteY11" fmla="*/ 403646 h 1029200"/>
            <a:gd name="connsiteX12" fmla="*/ 385668 w 6889430"/>
            <a:gd name="connsiteY12" fmla="*/ 669555 h 1029200"/>
            <a:gd name="connsiteX13" fmla="*/ 587267 w 6889430"/>
            <a:gd name="connsiteY13" fmla="*/ 853204 h 1029200"/>
            <a:gd name="connsiteX14" fmla="*/ 771336 w 6889430"/>
            <a:gd name="connsiteY14" fmla="*/ 688685 h 1029200"/>
            <a:gd name="connsiteX15" fmla="*/ 981700 w 6889430"/>
            <a:gd name="connsiteY15" fmla="*/ 512687 h 1029200"/>
            <a:gd name="connsiteX16" fmla="*/ 981700 w 6889430"/>
            <a:gd name="connsiteY16" fmla="*/ 512687 h 1029200"/>
            <a:gd name="connsiteX17" fmla="*/ 1209595 w 6889430"/>
            <a:gd name="connsiteY17" fmla="*/ 759466 h 1029200"/>
            <a:gd name="connsiteX18" fmla="*/ 1422881 w 6889430"/>
            <a:gd name="connsiteY18" fmla="*/ 1002419 h 1029200"/>
            <a:gd name="connsiteX19" fmla="*/ 1425802 w 6889430"/>
            <a:gd name="connsiteY19" fmla="*/ 1002419 h 1029200"/>
            <a:gd name="connsiteX20" fmla="*/ 1633245 w 6889430"/>
            <a:gd name="connsiteY20" fmla="*/ 682946 h 1029200"/>
            <a:gd name="connsiteX21" fmla="*/ 1878670 w 6889430"/>
            <a:gd name="connsiteY21" fmla="*/ 344342 h 1029200"/>
            <a:gd name="connsiteX22" fmla="*/ 2097800 w 6889430"/>
            <a:gd name="connsiteY22" fmla="*/ 552861 h 1029200"/>
            <a:gd name="connsiteX23" fmla="*/ 2273103 w 6889430"/>
            <a:gd name="connsiteY23" fmla="*/ 740336 h 1029200"/>
            <a:gd name="connsiteX24" fmla="*/ 2486389 w 6889430"/>
            <a:gd name="connsiteY24" fmla="*/ 384516 h 1029200"/>
            <a:gd name="connsiteX25" fmla="*/ 2746423 w 6889430"/>
            <a:gd name="connsiteY25" fmla="*/ 0 h 1029200"/>
            <a:gd name="connsiteX26" fmla="*/ 2974317 w 6889430"/>
            <a:gd name="connsiteY26" fmla="*/ 476340 h 1029200"/>
            <a:gd name="connsiteX27" fmla="*/ 3213899 w 6889430"/>
            <a:gd name="connsiteY27" fmla="*/ 998593 h 1029200"/>
            <a:gd name="connsiteX28" fmla="*/ 3438872 w 6889430"/>
            <a:gd name="connsiteY28" fmla="*/ 648511 h 1029200"/>
            <a:gd name="connsiteX29" fmla="*/ 3643393 w 6889430"/>
            <a:gd name="connsiteY29" fmla="*/ 330951 h 1029200"/>
            <a:gd name="connsiteX30" fmla="*/ 3646314 w 6889430"/>
            <a:gd name="connsiteY30" fmla="*/ 330951 h 1029200"/>
            <a:gd name="connsiteX31" fmla="*/ 3824540 w 6889430"/>
            <a:gd name="connsiteY31" fmla="*/ 554774 h 1029200"/>
            <a:gd name="connsiteX32" fmla="*/ 4002765 w 6889430"/>
            <a:gd name="connsiteY32" fmla="*/ 790074 h 1029200"/>
            <a:gd name="connsiteX33" fmla="*/ 4143008 w 6889430"/>
            <a:gd name="connsiteY33" fmla="*/ 686772 h 1029200"/>
            <a:gd name="connsiteX34" fmla="*/ 4335842 w 6889430"/>
            <a:gd name="connsiteY34" fmla="*/ 560513 h 1029200"/>
            <a:gd name="connsiteX35" fmla="*/ 4522832 w 6889430"/>
            <a:gd name="connsiteY35" fmla="*/ 747988 h 1029200"/>
            <a:gd name="connsiteX36" fmla="*/ 4727353 w 6889430"/>
            <a:gd name="connsiteY36" fmla="*/ 956507 h 1029200"/>
            <a:gd name="connsiteX37" fmla="*/ 4955248 w 6889430"/>
            <a:gd name="connsiteY37" fmla="*/ 596860 h 1029200"/>
            <a:gd name="connsiteX38" fmla="*/ 5215281 w 6889430"/>
            <a:gd name="connsiteY38" fmla="*/ 221910 h 1029200"/>
            <a:gd name="connsiteX39" fmla="*/ 5451941 w 6889430"/>
            <a:gd name="connsiteY39" fmla="*/ 552861 h 1029200"/>
            <a:gd name="connsiteX40" fmla="*/ 5638932 w 6889430"/>
            <a:gd name="connsiteY40" fmla="*/ 855117 h 1029200"/>
            <a:gd name="connsiteX41" fmla="*/ 5828844 w 6889430"/>
            <a:gd name="connsiteY41" fmla="*/ 658077 h 1029200"/>
            <a:gd name="connsiteX42" fmla="*/ 6062582 w 6889430"/>
            <a:gd name="connsiteY42" fmla="*/ 441906 h 1029200"/>
            <a:gd name="connsiteX43" fmla="*/ 6275868 w 6889430"/>
            <a:gd name="connsiteY43" fmla="*/ 686772 h 1029200"/>
            <a:gd name="connsiteX44" fmla="*/ 6445328 w 6889430"/>
            <a:gd name="connsiteY44" fmla="*/ 906768 h 1029200"/>
            <a:gd name="connsiteX45" fmla="*/ 6603101 w 6889430"/>
            <a:gd name="connsiteY45" fmla="*/ 692511 h 1029200"/>
            <a:gd name="connsiteX46" fmla="*/ 6866057 w 6889430"/>
            <a:gd name="connsiteY46" fmla="*/ 392168 h 1029200"/>
            <a:gd name="connsiteX47" fmla="*/ 6889431 w 6889430"/>
            <a:gd name="connsiteY47" fmla="*/ 403646 h 1029200"/>
            <a:gd name="connsiteX48" fmla="*/ 6871900 w 6889430"/>
            <a:gd name="connsiteY48" fmla="*/ 418950 h 1029200"/>
            <a:gd name="connsiteX49" fmla="*/ 6644005 w 6889430"/>
            <a:gd name="connsiteY49" fmla="*/ 698250 h 1029200"/>
            <a:gd name="connsiteX50" fmla="*/ 6442406 w 6889430"/>
            <a:gd name="connsiteY50" fmla="*/ 933550 h 1029200"/>
            <a:gd name="connsiteX51" fmla="*/ 6232042 w 6889430"/>
            <a:gd name="connsiteY51" fmla="*/ 690598 h 1029200"/>
            <a:gd name="connsiteX52" fmla="*/ 6062582 w 6889430"/>
            <a:gd name="connsiteY52" fmla="*/ 468688 h 1029200"/>
            <a:gd name="connsiteX53" fmla="*/ 5872670 w 6889430"/>
            <a:gd name="connsiteY53" fmla="*/ 665729 h 1029200"/>
            <a:gd name="connsiteX54" fmla="*/ 5638932 w 6889430"/>
            <a:gd name="connsiteY54" fmla="*/ 881899 h 1029200"/>
            <a:gd name="connsiteX55" fmla="*/ 5408116 w 6889430"/>
            <a:gd name="connsiteY55" fmla="*/ 554774 h 1029200"/>
            <a:gd name="connsiteX56" fmla="*/ 5215281 w 6889430"/>
            <a:gd name="connsiteY56" fmla="*/ 248692 h 1029200"/>
            <a:gd name="connsiteX57" fmla="*/ 4996152 w 6889430"/>
            <a:gd name="connsiteY57" fmla="*/ 600686 h 1029200"/>
            <a:gd name="connsiteX58" fmla="*/ 4727353 w 6889430"/>
            <a:gd name="connsiteY58" fmla="*/ 985202 h 1029200"/>
            <a:gd name="connsiteX59" fmla="*/ 4481928 w 6889430"/>
            <a:gd name="connsiteY59" fmla="*/ 755640 h 1029200"/>
            <a:gd name="connsiteX60" fmla="*/ 4335842 w 6889430"/>
            <a:gd name="connsiteY60" fmla="*/ 587295 h 1029200"/>
            <a:gd name="connsiteX61" fmla="*/ 4180990 w 6889430"/>
            <a:gd name="connsiteY61" fmla="*/ 698250 h 1029200"/>
            <a:gd name="connsiteX62" fmla="*/ 3999843 w 6889430"/>
            <a:gd name="connsiteY62" fmla="*/ 818770 h 1029200"/>
            <a:gd name="connsiteX63" fmla="*/ 3777792 w 6889430"/>
            <a:gd name="connsiteY63" fmla="*/ 560513 h 1029200"/>
            <a:gd name="connsiteX64" fmla="*/ 3643393 w 6889430"/>
            <a:gd name="connsiteY64" fmla="*/ 359646 h 1029200"/>
            <a:gd name="connsiteX65" fmla="*/ 3643393 w 6889430"/>
            <a:gd name="connsiteY65" fmla="*/ 359646 h 1029200"/>
            <a:gd name="connsiteX66" fmla="*/ 3482698 w 6889430"/>
            <a:gd name="connsiteY66" fmla="*/ 652337 h 1029200"/>
            <a:gd name="connsiteX67" fmla="*/ 3213899 w 6889430"/>
            <a:gd name="connsiteY67" fmla="*/ 1027288 h 1029200"/>
            <a:gd name="connsiteX68" fmla="*/ 2930492 w 6889430"/>
            <a:gd name="connsiteY68" fmla="*/ 478253 h 1029200"/>
            <a:gd name="connsiteX69" fmla="*/ 2746423 w 6889430"/>
            <a:gd name="connsiteY69" fmla="*/ 26782 h 1029200"/>
            <a:gd name="connsiteX70" fmla="*/ 2530215 w 6889430"/>
            <a:gd name="connsiteY70" fmla="*/ 386429 h 1029200"/>
            <a:gd name="connsiteX71" fmla="*/ 2276025 w 6889430"/>
            <a:gd name="connsiteY71" fmla="*/ 767118 h 1029200"/>
            <a:gd name="connsiteX72" fmla="*/ 2056895 w 6889430"/>
            <a:gd name="connsiteY72" fmla="*/ 558600 h 1029200"/>
            <a:gd name="connsiteX73" fmla="*/ 1881592 w 6889430"/>
            <a:gd name="connsiteY73" fmla="*/ 371125 h 1029200"/>
            <a:gd name="connsiteX74" fmla="*/ 1679993 w 6889430"/>
            <a:gd name="connsiteY74" fmla="*/ 686772 h 1029200"/>
            <a:gd name="connsiteX75" fmla="*/ 1431646 w 6889430"/>
            <a:gd name="connsiteY75" fmla="*/ 1029201 h 1029200"/>
            <a:gd name="connsiteX76" fmla="*/ 1428724 w 6889430"/>
            <a:gd name="connsiteY76" fmla="*/ 1029201 h 1029200"/>
            <a:gd name="connsiteX77" fmla="*/ 1428724 w 6889430"/>
            <a:gd name="connsiteY77" fmla="*/ 1029201 h 10292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  <a:cxn ang="0">
              <a:pos x="connsiteX55" y="connsiteY55"/>
            </a:cxn>
            <a:cxn ang="0">
              <a:pos x="connsiteX56" y="connsiteY56"/>
            </a:cxn>
            <a:cxn ang="0">
              <a:pos x="connsiteX57" y="connsiteY57"/>
            </a:cxn>
            <a:cxn ang="0">
              <a:pos x="connsiteX58" y="connsiteY58"/>
            </a:cxn>
            <a:cxn ang="0">
              <a:pos x="connsiteX59" y="connsiteY59"/>
            </a:cxn>
            <a:cxn ang="0">
              <a:pos x="connsiteX60" y="connsiteY60"/>
            </a:cxn>
            <a:cxn ang="0">
              <a:pos x="connsiteX61" y="connsiteY61"/>
            </a:cxn>
            <a:cxn ang="0">
              <a:pos x="connsiteX62" y="connsiteY62"/>
            </a:cxn>
            <a:cxn ang="0">
              <a:pos x="connsiteX63" y="connsiteY63"/>
            </a:cxn>
            <a:cxn ang="0">
              <a:pos x="connsiteX64" y="connsiteY64"/>
            </a:cxn>
            <a:cxn ang="0">
              <a:pos x="connsiteX65" y="connsiteY65"/>
            </a:cxn>
            <a:cxn ang="0">
              <a:pos x="connsiteX66" y="connsiteY66"/>
            </a:cxn>
            <a:cxn ang="0">
              <a:pos x="connsiteX67" y="connsiteY67"/>
            </a:cxn>
            <a:cxn ang="0">
              <a:pos x="connsiteX68" y="connsiteY68"/>
            </a:cxn>
            <a:cxn ang="0">
              <a:pos x="connsiteX69" y="connsiteY69"/>
            </a:cxn>
            <a:cxn ang="0">
              <a:pos x="connsiteX70" y="connsiteY70"/>
            </a:cxn>
            <a:cxn ang="0">
              <a:pos x="connsiteX71" y="connsiteY71"/>
            </a:cxn>
            <a:cxn ang="0">
              <a:pos x="connsiteX72" y="connsiteY72"/>
            </a:cxn>
            <a:cxn ang="0">
              <a:pos x="connsiteX73" y="connsiteY73"/>
            </a:cxn>
            <a:cxn ang="0">
              <a:pos x="connsiteX74" y="connsiteY74"/>
            </a:cxn>
            <a:cxn ang="0">
              <a:pos x="connsiteX75" y="connsiteY75"/>
            </a:cxn>
            <a:cxn ang="0">
              <a:pos x="connsiteX76" y="connsiteY76"/>
            </a:cxn>
            <a:cxn ang="0">
              <a:pos x="connsiteX77" y="connsiteY77"/>
            </a:cxn>
          </a:cxnLst>
          <a:rect l="l" t="t" r="r" b="b"/>
          <a:pathLst>
            <a:path w="6889430" h="1029200">
              <a:moveTo>
                <a:pt x="1428724" y="1029201"/>
              </a:moveTo>
              <a:cubicBezTo>
                <a:pt x="1276794" y="1029201"/>
                <a:pt x="1224203" y="895290"/>
                <a:pt x="1174534" y="763292"/>
              </a:cubicBezTo>
              <a:cubicBezTo>
                <a:pt x="1130708" y="652337"/>
                <a:pt x="1086882" y="539470"/>
                <a:pt x="987543" y="539470"/>
              </a:cubicBezTo>
              <a:lnTo>
                <a:pt x="987543" y="539470"/>
              </a:lnTo>
              <a:cubicBezTo>
                <a:pt x="899892" y="539470"/>
                <a:pt x="858988" y="615990"/>
                <a:pt x="818083" y="696337"/>
              </a:cubicBezTo>
              <a:cubicBezTo>
                <a:pt x="771336" y="786248"/>
                <a:pt x="721666" y="879986"/>
                <a:pt x="590189" y="879986"/>
              </a:cubicBezTo>
              <a:cubicBezTo>
                <a:pt x="467476" y="879986"/>
                <a:pt x="409042" y="782422"/>
                <a:pt x="347685" y="679120"/>
              </a:cubicBezTo>
              <a:cubicBezTo>
                <a:pt x="274642" y="556687"/>
                <a:pt x="198677" y="430428"/>
                <a:pt x="20452" y="430428"/>
              </a:cubicBezTo>
              <a:cubicBezTo>
                <a:pt x="20452" y="430428"/>
                <a:pt x="20452" y="430428"/>
                <a:pt x="20452" y="430428"/>
              </a:cubicBezTo>
              <a:cubicBezTo>
                <a:pt x="8765" y="430428"/>
                <a:pt x="0" y="424689"/>
                <a:pt x="0" y="417037"/>
              </a:cubicBezTo>
              <a:cubicBezTo>
                <a:pt x="0" y="409385"/>
                <a:pt x="8765" y="403646"/>
                <a:pt x="20452" y="403646"/>
              </a:cubicBezTo>
              <a:lnTo>
                <a:pt x="20452" y="403646"/>
              </a:lnTo>
              <a:cubicBezTo>
                <a:pt x="227895" y="403646"/>
                <a:pt x="312625" y="545209"/>
                <a:pt x="385668" y="669555"/>
              </a:cubicBezTo>
              <a:cubicBezTo>
                <a:pt x="441181" y="763292"/>
                <a:pt x="496693" y="853204"/>
                <a:pt x="587267" y="853204"/>
              </a:cubicBezTo>
              <a:cubicBezTo>
                <a:pt x="686606" y="853204"/>
                <a:pt x="727510" y="772857"/>
                <a:pt x="771336" y="688685"/>
              </a:cubicBezTo>
              <a:cubicBezTo>
                <a:pt x="815162" y="602599"/>
                <a:pt x="861909" y="514601"/>
                <a:pt x="981700" y="512687"/>
              </a:cubicBezTo>
              <a:lnTo>
                <a:pt x="981700" y="512687"/>
              </a:lnTo>
              <a:cubicBezTo>
                <a:pt x="1113178" y="512687"/>
                <a:pt x="1159925" y="631294"/>
                <a:pt x="1209595" y="759466"/>
              </a:cubicBezTo>
              <a:cubicBezTo>
                <a:pt x="1256342" y="879986"/>
                <a:pt x="1306012" y="1002419"/>
                <a:pt x="1422881" y="1002419"/>
              </a:cubicBezTo>
              <a:cubicBezTo>
                <a:pt x="1422881" y="1002419"/>
                <a:pt x="1422881" y="1002419"/>
                <a:pt x="1425802" y="1002419"/>
              </a:cubicBezTo>
              <a:cubicBezTo>
                <a:pt x="1536828" y="1000506"/>
                <a:pt x="1586497" y="832161"/>
                <a:pt x="1633245" y="682946"/>
              </a:cubicBezTo>
              <a:cubicBezTo>
                <a:pt x="1685836" y="508862"/>
                <a:pt x="1735505" y="344342"/>
                <a:pt x="1878670" y="344342"/>
              </a:cubicBezTo>
              <a:cubicBezTo>
                <a:pt x="2001382" y="344342"/>
                <a:pt x="2051052" y="449558"/>
                <a:pt x="2097800" y="552861"/>
              </a:cubicBezTo>
              <a:cubicBezTo>
                <a:pt x="2141625" y="644685"/>
                <a:pt x="2185451" y="740336"/>
                <a:pt x="2273103" y="740336"/>
              </a:cubicBezTo>
              <a:cubicBezTo>
                <a:pt x="2395816" y="740336"/>
                <a:pt x="2439641" y="558600"/>
                <a:pt x="2486389" y="384516"/>
              </a:cubicBezTo>
              <a:cubicBezTo>
                <a:pt x="2536059" y="187475"/>
                <a:pt x="2582806" y="0"/>
                <a:pt x="2746423" y="0"/>
              </a:cubicBezTo>
              <a:cubicBezTo>
                <a:pt x="2904196" y="0"/>
                <a:pt x="2936335" y="219996"/>
                <a:pt x="2974317" y="476340"/>
              </a:cubicBezTo>
              <a:cubicBezTo>
                <a:pt x="3009378" y="721206"/>
                <a:pt x="3050282" y="998593"/>
                <a:pt x="3213899" y="998593"/>
              </a:cubicBezTo>
              <a:cubicBezTo>
                <a:pt x="3377516" y="998593"/>
                <a:pt x="3409654" y="820683"/>
                <a:pt x="3438872" y="648511"/>
              </a:cubicBezTo>
              <a:cubicBezTo>
                <a:pt x="3468089" y="485905"/>
                <a:pt x="3494385" y="332864"/>
                <a:pt x="3643393" y="330951"/>
              </a:cubicBezTo>
              <a:cubicBezTo>
                <a:pt x="3643393" y="330951"/>
                <a:pt x="3643393" y="330951"/>
                <a:pt x="3646314" y="330951"/>
              </a:cubicBezTo>
              <a:cubicBezTo>
                <a:pt x="3763184" y="330951"/>
                <a:pt x="3792401" y="439993"/>
                <a:pt x="3824540" y="554774"/>
              </a:cubicBezTo>
              <a:cubicBezTo>
                <a:pt x="3856679" y="669555"/>
                <a:pt x="3885896" y="790074"/>
                <a:pt x="4002765" y="790074"/>
              </a:cubicBezTo>
              <a:cubicBezTo>
                <a:pt x="4069965" y="790074"/>
                <a:pt x="4105025" y="740336"/>
                <a:pt x="4143008" y="686772"/>
              </a:cubicBezTo>
              <a:cubicBezTo>
                <a:pt x="4183912" y="627468"/>
                <a:pt x="4230660" y="560513"/>
                <a:pt x="4335842" y="560513"/>
              </a:cubicBezTo>
              <a:cubicBezTo>
                <a:pt x="4426415" y="560513"/>
                <a:pt x="4470241" y="648511"/>
                <a:pt x="4522832" y="747988"/>
              </a:cubicBezTo>
              <a:cubicBezTo>
                <a:pt x="4572502" y="845552"/>
                <a:pt x="4630936" y="956507"/>
                <a:pt x="4727353" y="956507"/>
              </a:cubicBezTo>
              <a:cubicBezTo>
                <a:pt x="4858831" y="956507"/>
                <a:pt x="4908500" y="772857"/>
                <a:pt x="4955248" y="596860"/>
              </a:cubicBezTo>
              <a:cubicBezTo>
                <a:pt x="5004917" y="403646"/>
                <a:pt x="5054587" y="221910"/>
                <a:pt x="5215281" y="221910"/>
              </a:cubicBezTo>
              <a:cubicBezTo>
                <a:pt x="5367211" y="221910"/>
                <a:pt x="5408116" y="382603"/>
                <a:pt x="5451941" y="552861"/>
              </a:cubicBezTo>
              <a:cubicBezTo>
                <a:pt x="5489924" y="702076"/>
                <a:pt x="5527906" y="855117"/>
                <a:pt x="5638932" y="855117"/>
              </a:cubicBezTo>
              <a:cubicBezTo>
                <a:pt x="5729505" y="855117"/>
                <a:pt x="5779175" y="755640"/>
                <a:pt x="5828844" y="658077"/>
              </a:cubicBezTo>
              <a:cubicBezTo>
                <a:pt x="5884357" y="550948"/>
                <a:pt x="5939870" y="441906"/>
                <a:pt x="6062582" y="441906"/>
              </a:cubicBezTo>
              <a:cubicBezTo>
                <a:pt x="6185294" y="441906"/>
                <a:pt x="6229120" y="560513"/>
                <a:pt x="6275868" y="686772"/>
              </a:cubicBezTo>
              <a:cubicBezTo>
                <a:pt x="6316772" y="795813"/>
                <a:pt x="6354755" y="906768"/>
                <a:pt x="6445328" y="906768"/>
              </a:cubicBezTo>
              <a:cubicBezTo>
                <a:pt x="6524215" y="906768"/>
                <a:pt x="6565119" y="797726"/>
                <a:pt x="6603101" y="692511"/>
              </a:cubicBezTo>
              <a:cubicBezTo>
                <a:pt x="6652771" y="558600"/>
                <a:pt x="6708284" y="405559"/>
                <a:pt x="6866057" y="392168"/>
              </a:cubicBezTo>
              <a:cubicBezTo>
                <a:pt x="6877743" y="390255"/>
                <a:pt x="6889431" y="395994"/>
                <a:pt x="6889431" y="403646"/>
              </a:cubicBezTo>
              <a:cubicBezTo>
                <a:pt x="6889431" y="411298"/>
                <a:pt x="6883587" y="418950"/>
                <a:pt x="6871900" y="418950"/>
              </a:cubicBezTo>
              <a:cubicBezTo>
                <a:pt x="6743344" y="430428"/>
                <a:pt x="6690753" y="571991"/>
                <a:pt x="6644005" y="698250"/>
              </a:cubicBezTo>
              <a:cubicBezTo>
                <a:pt x="6597258" y="824509"/>
                <a:pt x="6556354" y="933550"/>
                <a:pt x="6442406" y="933550"/>
              </a:cubicBezTo>
              <a:cubicBezTo>
                <a:pt x="6319694" y="933550"/>
                <a:pt x="6278790" y="814944"/>
                <a:pt x="6232042" y="690598"/>
              </a:cubicBezTo>
              <a:cubicBezTo>
                <a:pt x="6191138" y="581556"/>
                <a:pt x="6150234" y="468688"/>
                <a:pt x="6062582" y="468688"/>
              </a:cubicBezTo>
              <a:cubicBezTo>
                <a:pt x="5972008" y="468688"/>
                <a:pt x="5922339" y="568165"/>
                <a:pt x="5872670" y="665729"/>
              </a:cubicBezTo>
              <a:cubicBezTo>
                <a:pt x="5817157" y="772857"/>
                <a:pt x="5761644" y="881899"/>
                <a:pt x="5638932" y="881899"/>
              </a:cubicBezTo>
              <a:cubicBezTo>
                <a:pt x="5489924" y="881899"/>
                <a:pt x="5451941" y="723119"/>
                <a:pt x="5408116" y="554774"/>
              </a:cubicBezTo>
              <a:cubicBezTo>
                <a:pt x="5370133" y="403646"/>
                <a:pt x="5329229" y="248692"/>
                <a:pt x="5215281" y="248692"/>
              </a:cubicBezTo>
              <a:cubicBezTo>
                <a:pt x="5089647" y="248692"/>
                <a:pt x="5042900" y="428515"/>
                <a:pt x="4996152" y="600686"/>
              </a:cubicBezTo>
              <a:cubicBezTo>
                <a:pt x="4943561" y="797726"/>
                <a:pt x="4893892" y="985202"/>
                <a:pt x="4727353" y="985202"/>
              </a:cubicBezTo>
              <a:cubicBezTo>
                <a:pt x="4598797" y="985202"/>
                <a:pt x="4537441" y="868508"/>
                <a:pt x="4481928" y="755640"/>
              </a:cubicBezTo>
              <a:cubicBezTo>
                <a:pt x="4438102" y="673381"/>
                <a:pt x="4394276" y="587295"/>
                <a:pt x="4335842" y="587295"/>
              </a:cubicBezTo>
              <a:cubicBezTo>
                <a:pt x="4259877" y="587295"/>
                <a:pt x="4221895" y="640859"/>
                <a:pt x="4180990" y="698250"/>
              </a:cubicBezTo>
              <a:cubicBezTo>
                <a:pt x="4140086" y="757553"/>
                <a:pt x="4096260" y="818770"/>
                <a:pt x="3999843" y="818770"/>
              </a:cubicBezTo>
              <a:cubicBezTo>
                <a:pt x="3847913" y="818770"/>
                <a:pt x="3812853" y="686772"/>
                <a:pt x="3777792" y="560513"/>
              </a:cubicBezTo>
              <a:cubicBezTo>
                <a:pt x="3751496" y="462949"/>
                <a:pt x="3725201" y="359646"/>
                <a:pt x="3643393" y="359646"/>
              </a:cubicBezTo>
              <a:lnTo>
                <a:pt x="3643393" y="359646"/>
              </a:lnTo>
              <a:cubicBezTo>
                <a:pt x="3535289" y="361559"/>
                <a:pt x="3508993" y="508862"/>
                <a:pt x="3482698" y="652337"/>
              </a:cubicBezTo>
              <a:cubicBezTo>
                <a:pt x="3450559" y="835987"/>
                <a:pt x="3415498" y="1027288"/>
                <a:pt x="3213899" y="1027288"/>
              </a:cubicBezTo>
              <a:cubicBezTo>
                <a:pt x="3009378" y="1027288"/>
                <a:pt x="2968474" y="747988"/>
                <a:pt x="2930492" y="478253"/>
              </a:cubicBezTo>
              <a:cubicBezTo>
                <a:pt x="2901274" y="267822"/>
                <a:pt x="2866213" y="26782"/>
                <a:pt x="2746423" y="26782"/>
              </a:cubicBezTo>
              <a:cubicBezTo>
                <a:pt x="2620788" y="26782"/>
                <a:pt x="2574041" y="218084"/>
                <a:pt x="2530215" y="386429"/>
              </a:cubicBezTo>
              <a:cubicBezTo>
                <a:pt x="2480546" y="581556"/>
                <a:pt x="2433798" y="767118"/>
                <a:pt x="2276025" y="767118"/>
              </a:cubicBezTo>
              <a:cubicBezTo>
                <a:pt x="2153312" y="767118"/>
                <a:pt x="2103643" y="661903"/>
                <a:pt x="2056895" y="558600"/>
              </a:cubicBezTo>
              <a:cubicBezTo>
                <a:pt x="2013069" y="466775"/>
                <a:pt x="1969244" y="371125"/>
                <a:pt x="1881592" y="371125"/>
              </a:cubicBezTo>
              <a:cubicBezTo>
                <a:pt x="1773488" y="371125"/>
                <a:pt x="1723819" y="537557"/>
                <a:pt x="1679993" y="686772"/>
              </a:cubicBezTo>
              <a:cubicBezTo>
                <a:pt x="1627401" y="860856"/>
                <a:pt x="1577732" y="1027288"/>
                <a:pt x="1431646" y="1029201"/>
              </a:cubicBezTo>
              <a:cubicBezTo>
                <a:pt x="1431646" y="1029201"/>
                <a:pt x="1431646" y="1029201"/>
                <a:pt x="1428724" y="1029201"/>
              </a:cubicBezTo>
              <a:lnTo>
                <a:pt x="1428724" y="1029201"/>
              </a:lnTo>
              <a:close/>
            </a:path>
          </a:pathLst>
        </a:custGeom>
        <a:solidFill>
          <a:schemeClr val="accent3">
            <a:lumMod val="60000"/>
            <a:lumOff val="40000"/>
          </a:schemeClr>
        </a:solidFill>
        <a:ln w="29208" cap="flat">
          <a:noFill/>
          <a:prstDash val="solid"/>
          <a:miter/>
        </a:ln>
      </xdr:spPr>
      <xdr:txBody>
        <a:bodyPr rtlCol="0" anchor="ctr"/>
        <a:lstStyle/>
        <a:p>
          <a:endParaRPr lang="en-US"/>
        </a:p>
      </xdr:txBody>
    </xdr:sp>
    <xdr:clientData/>
  </xdr:twoCellAnchor>
  <xdr:twoCellAnchor>
    <xdr:from>
      <xdr:col>5</xdr:col>
      <xdr:colOff>6850</xdr:colOff>
      <xdr:row>0</xdr:row>
      <xdr:rowOff>197057</xdr:rowOff>
    </xdr:from>
    <xdr:to>
      <xdr:col>9</xdr:col>
      <xdr:colOff>952680</xdr:colOff>
      <xdr:row>2</xdr:row>
      <xdr:rowOff>901216</xdr:rowOff>
    </xdr:to>
    <xdr:sp macro="" textlink="">
      <xdr:nvSpPr>
        <xdr:cNvPr id="3" name="Freeform: Shape 2">
          <a:extLst>
            <a:ext uri="{FF2B5EF4-FFF2-40B4-BE49-F238E27FC236}">
              <a16:creationId xmlns:a16="http://schemas.microsoft.com/office/drawing/2014/main" id="{8B940591-0103-4AFE-A626-625BFD130D64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SpPr/>
      </xdr:nvSpPr>
      <xdr:spPr>
        <a:xfrm>
          <a:off x="7707813" y="197057"/>
          <a:ext cx="6889430" cy="1199459"/>
        </a:xfrm>
        <a:custGeom>
          <a:avLst/>
          <a:gdLst>
            <a:gd name="connsiteX0" fmla="*/ 2974317 w 6889430"/>
            <a:gd name="connsiteY0" fmla="*/ 1199459 h 1199459"/>
            <a:gd name="connsiteX1" fmla="*/ 2679223 w 6889430"/>
            <a:gd name="connsiteY1" fmla="*/ 537557 h 1199459"/>
            <a:gd name="connsiteX2" fmla="*/ 2512685 w 6889430"/>
            <a:gd name="connsiteY2" fmla="*/ 28695 h 1199459"/>
            <a:gd name="connsiteX3" fmla="*/ 2311085 w 6889430"/>
            <a:gd name="connsiteY3" fmla="*/ 441906 h 1199459"/>
            <a:gd name="connsiteX4" fmla="*/ 2071504 w 6889430"/>
            <a:gd name="connsiteY4" fmla="*/ 876160 h 1199459"/>
            <a:gd name="connsiteX5" fmla="*/ 1855296 w 6889430"/>
            <a:gd name="connsiteY5" fmla="*/ 589208 h 1199459"/>
            <a:gd name="connsiteX6" fmla="*/ 1679993 w 6889430"/>
            <a:gd name="connsiteY6" fmla="*/ 325212 h 1199459"/>
            <a:gd name="connsiteX7" fmla="*/ 1484237 w 6889430"/>
            <a:gd name="connsiteY7" fmla="*/ 681033 h 1199459"/>
            <a:gd name="connsiteX8" fmla="*/ 1206673 w 6889430"/>
            <a:gd name="connsiteY8" fmla="*/ 1099983 h 1199459"/>
            <a:gd name="connsiteX9" fmla="*/ 955404 w 6889430"/>
            <a:gd name="connsiteY9" fmla="*/ 791987 h 1199459"/>
            <a:gd name="connsiteX10" fmla="*/ 777179 w 6889430"/>
            <a:gd name="connsiteY10" fmla="*/ 529905 h 1199459"/>
            <a:gd name="connsiteX11" fmla="*/ 777179 w 6889430"/>
            <a:gd name="connsiteY11" fmla="*/ 529905 h 1199459"/>
            <a:gd name="connsiteX12" fmla="*/ 587267 w 6889430"/>
            <a:gd name="connsiteY12" fmla="*/ 747988 h 1199459"/>
            <a:gd name="connsiteX13" fmla="*/ 350607 w 6889430"/>
            <a:gd name="connsiteY13" fmla="*/ 989028 h 1199459"/>
            <a:gd name="connsiteX14" fmla="*/ 350607 w 6889430"/>
            <a:gd name="connsiteY14" fmla="*/ 989028 h 1199459"/>
            <a:gd name="connsiteX15" fmla="*/ 178225 w 6889430"/>
            <a:gd name="connsiteY15" fmla="*/ 816857 h 1199459"/>
            <a:gd name="connsiteX16" fmla="*/ 20452 w 6889430"/>
            <a:gd name="connsiteY16" fmla="*/ 644685 h 1199459"/>
            <a:gd name="connsiteX17" fmla="*/ 0 w 6889430"/>
            <a:gd name="connsiteY17" fmla="*/ 629381 h 1199459"/>
            <a:gd name="connsiteX18" fmla="*/ 23374 w 6889430"/>
            <a:gd name="connsiteY18" fmla="*/ 615990 h 1199459"/>
            <a:gd name="connsiteX19" fmla="*/ 219129 w 6889430"/>
            <a:gd name="connsiteY19" fmla="*/ 809204 h 1199459"/>
            <a:gd name="connsiteX20" fmla="*/ 350607 w 6889430"/>
            <a:gd name="connsiteY20" fmla="*/ 958419 h 1199459"/>
            <a:gd name="connsiteX21" fmla="*/ 350607 w 6889430"/>
            <a:gd name="connsiteY21" fmla="*/ 958419 h 1199459"/>
            <a:gd name="connsiteX22" fmla="*/ 546363 w 6889430"/>
            <a:gd name="connsiteY22" fmla="*/ 736510 h 1199459"/>
            <a:gd name="connsiteX23" fmla="*/ 780101 w 6889430"/>
            <a:gd name="connsiteY23" fmla="*/ 497383 h 1199459"/>
            <a:gd name="connsiteX24" fmla="*/ 780101 w 6889430"/>
            <a:gd name="connsiteY24" fmla="*/ 497383 h 1199459"/>
            <a:gd name="connsiteX25" fmla="*/ 1002152 w 6889430"/>
            <a:gd name="connsiteY25" fmla="*/ 780509 h 1199459"/>
            <a:gd name="connsiteX26" fmla="*/ 1209595 w 6889430"/>
            <a:gd name="connsiteY26" fmla="*/ 1065548 h 1199459"/>
            <a:gd name="connsiteX27" fmla="*/ 1443333 w 6889430"/>
            <a:gd name="connsiteY27" fmla="*/ 671468 h 1199459"/>
            <a:gd name="connsiteX28" fmla="*/ 1682914 w 6889430"/>
            <a:gd name="connsiteY28" fmla="*/ 292691 h 1199459"/>
            <a:gd name="connsiteX29" fmla="*/ 1899122 w 6889430"/>
            <a:gd name="connsiteY29" fmla="*/ 579643 h 1199459"/>
            <a:gd name="connsiteX30" fmla="*/ 2074426 w 6889430"/>
            <a:gd name="connsiteY30" fmla="*/ 843639 h 1199459"/>
            <a:gd name="connsiteX31" fmla="*/ 2270181 w 6889430"/>
            <a:gd name="connsiteY31" fmla="*/ 434254 h 1199459"/>
            <a:gd name="connsiteX32" fmla="*/ 2512685 w 6889430"/>
            <a:gd name="connsiteY32" fmla="*/ 0 h 1199459"/>
            <a:gd name="connsiteX33" fmla="*/ 2720127 w 6889430"/>
            <a:gd name="connsiteY33" fmla="*/ 535644 h 1199459"/>
            <a:gd name="connsiteX34" fmla="*/ 2971396 w 6889430"/>
            <a:gd name="connsiteY34" fmla="*/ 1170764 h 1199459"/>
            <a:gd name="connsiteX35" fmla="*/ 3199290 w 6889430"/>
            <a:gd name="connsiteY35" fmla="*/ 732684 h 1199459"/>
            <a:gd name="connsiteX36" fmla="*/ 3459324 w 6889430"/>
            <a:gd name="connsiteY36" fmla="*/ 281213 h 1199459"/>
            <a:gd name="connsiteX37" fmla="*/ 3669688 w 6889430"/>
            <a:gd name="connsiteY37" fmla="*/ 594947 h 1199459"/>
            <a:gd name="connsiteX38" fmla="*/ 3818696 w 6889430"/>
            <a:gd name="connsiteY38" fmla="*/ 864682 h 1199459"/>
            <a:gd name="connsiteX39" fmla="*/ 3958939 w 6889430"/>
            <a:gd name="connsiteY39" fmla="*/ 736510 h 1199459"/>
            <a:gd name="connsiteX40" fmla="*/ 4154695 w 6889430"/>
            <a:gd name="connsiteY40" fmla="*/ 581556 h 1199459"/>
            <a:gd name="connsiteX41" fmla="*/ 4341685 w 6889430"/>
            <a:gd name="connsiteY41" fmla="*/ 784335 h 1199459"/>
            <a:gd name="connsiteX42" fmla="*/ 4546206 w 6889430"/>
            <a:gd name="connsiteY42" fmla="*/ 1011984 h 1199459"/>
            <a:gd name="connsiteX43" fmla="*/ 4777023 w 6889430"/>
            <a:gd name="connsiteY43" fmla="*/ 583469 h 1199459"/>
            <a:gd name="connsiteX44" fmla="*/ 5042900 w 6889430"/>
            <a:gd name="connsiteY44" fmla="*/ 139650 h 1199459"/>
            <a:gd name="connsiteX45" fmla="*/ 5279560 w 6889430"/>
            <a:gd name="connsiteY45" fmla="*/ 558600 h 1199459"/>
            <a:gd name="connsiteX46" fmla="*/ 5469472 w 6889430"/>
            <a:gd name="connsiteY46" fmla="*/ 946941 h 1199459"/>
            <a:gd name="connsiteX47" fmla="*/ 5662305 w 6889430"/>
            <a:gd name="connsiteY47" fmla="*/ 694424 h 1199459"/>
            <a:gd name="connsiteX48" fmla="*/ 5896043 w 6889430"/>
            <a:gd name="connsiteY48" fmla="*/ 420863 h 1199459"/>
            <a:gd name="connsiteX49" fmla="*/ 6129782 w 6889430"/>
            <a:gd name="connsiteY49" fmla="*/ 700163 h 1199459"/>
            <a:gd name="connsiteX50" fmla="*/ 6386894 w 6889430"/>
            <a:gd name="connsiteY50" fmla="*/ 1013897 h 1199459"/>
            <a:gd name="connsiteX51" fmla="*/ 6389815 w 6889430"/>
            <a:gd name="connsiteY51" fmla="*/ 1013897 h 1199459"/>
            <a:gd name="connsiteX52" fmla="*/ 6565119 w 6889430"/>
            <a:gd name="connsiteY52" fmla="*/ 845552 h 1199459"/>
            <a:gd name="connsiteX53" fmla="*/ 6868978 w 6889430"/>
            <a:gd name="connsiteY53" fmla="*/ 608338 h 1199459"/>
            <a:gd name="connsiteX54" fmla="*/ 6889430 w 6889430"/>
            <a:gd name="connsiteY54" fmla="*/ 621729 h 1199459"/>
            <a:gd name="connsiteX55" fmla="*/ 6868978 w 6889430"/>
            <a:gd name="connsiteY55" fmla="*/ 635120 h 1199459"/>
            <a:gd name="connsiteX56" fmla="*/ 6606023 w 6889430"/>
            <a:gd name="connsiteY56" fmla="*/ 853204 h 1199459"/>
            <a:gd name="connsiteX57" fmla="*/ 6386894 w 6889430"/>
            <a:gd name="connsiteY57" fmla="*/ 1040679 h 1199459"/>
            <a:gd name="connsiteX58" fmla="*/ 6088878 w 6889430"/>
            <a:gd name="connsiteY58" fmla="*/ 705902 h 1199459"/>
            <a:gd name="connsiteX59" fmla="*/ 5896043 w 6889430"/>
            <a:gd name="connsiteY59" fmla="*/ 447645 h 1199459"/>
            <a:gd name="connsiteX60" fmla="*/ 5703210 w 6889430"/>
            <a:gd name="connsiteY60" fmla="*/ 700163 h 1199459"/>
            <a:gd name="connsiteX61" fmla="*/ 5469472 w 6889430"/>
            <a:gd name="connsiteY61" fmla="*/ 973724 h 1199459"/>
            <a:gd name="connsiteX62" fmla="*/ 5235734 w 6889430"/>
            <a:gd name="connsiteY62" fmla="*/ 560513 h 1199459"/>
            <a:gd name="connsiteX63" fmla="*/ 5042900 w 6889430"/>
            <a:gd name="connsiteY63" fmla="*/ 166432 h 1199459"/>
            <a:gd name="connsiteX64" fmla="*/ 4820849 w 6889430"/>
            <a:gd name="connsiteY64" fmla="*/ 585382 h 1199459"/>
            <a:gd name="connsiteX65" fmla="*/ 4546206 w 6889430"/>
            <a:gd name="connsiteY65" fmla="*/ 1038766 h 1199459"/>
            <a:gd name="connsiteX66" fmla="*/ 4300781 w 6889430"/>
            <a:gd name="connsiteY66" fmla="*/ 791987 h 1199459"/>
            <a:gd name="connsiteX67" fmla="*/ 4154695 w 6889430"/>
            <a:gd name="connsiteY67" fmla="*/ 608338 h 1199459"/>
            <a:gd name="connsiteX68" fmla="*/ 3999843 w 6889430"/>
            <a:gd name="connsiteY68" fmla="*/ 744162 h 1199459"/>
            <a:gd name="connsiteX69" fmla="*/ 3818696 w 6889430"/>
            <a:gd name="connsiteY69" fmla="*/ 891464 h 1199459"/>
            <a:gd name="connsiteX70" fmla="*/ 3625862 w 6889430"/>
            <a:gd name="connsiteY70" fmla="*/ 596860 h 1199459"/>
            <a:gd name="connsiteX71" fmla="*/ 3456402 w 6889430"/>
            <a:gd name="connsiteY71" fmla="*/ 307995 h 1199459"/>
            <a:gd name="connsiteX72" fmla="*/ 3240194 w 6889430"/>
            <a:gd name="connsiteY72" fmla="*/ 734597 h 1199459"/>
            <a:gd name="connsiteX73" fmla="*/ 2974317 w 6889430"/>
            <a:gd name="connsiteY73" fmla="*/ 1199459 h 1199459"/>
            <a:gd name="connsiteX74" fmla="*/ 2974317 w 6889430"/>
            <a:gd name="connsiteY74" fmla="*/ 1199459 h 1199459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  <a:cxn ang="0">
              <a:pos x="connsiteX55" y="connsiteY55"/>
            </a:cxn>
            <a:cxn ang="0">
              <a:pos x="connsiteX56" y="connsiteY56"/>
            </a:cxn>
            <a:cxn ang="0">
              <a:pos x="connsiteX57" y="connsiteY57"/>
            </a:cxn>
            <a:cxn ang="0">
              <a:pos x="connsiteX58" y="connsiteY58"/>
            </a:cxn>
            <a:cxn ang="0">
              <a:pos x="connsiteX59" y="connsiteY59"/>
            </a:cxn>
            <a:cxn ang="0">
              <a:pos x="connsiteX60" y="connsiteY60"/>
            </a:cxn>
            <a:cxn ang="0">
              <a:pos x="connsiteX61" y="connsiteY61"/>
            </a:cxn>
            <a:cxn ang="0">
              <a:pos x="connsiteX62" y="connsiteY62"/>
            </a:cxn>
            <a:cxn ang="0">
              <a:pos x="connsiteX63" y="connsiteY63"/>
            </a:cxn>
            <a:cxn ang="0">
              <a:pos x="connsiteX64" y="connsiteY64"/>
            </a:cxn>
            <a:cxn ang="0">
              <a:pos x="connsiteX65" y="connsiteY65"/>
            </a:cxn>
            <a:cxn ang="0">
              <a:pos x="connsiteX66" y="connsiteY66"/>
            </a:cxn>
            <a:cxn ang="0">
              <a:pos x="connsiteX67" y="connsiteY67"/>
            </a:cxn>
            <a:cxn ang="0">
              <a:pos x="connsiteX68" y="connsiteY68"/>
            </a:cxn>
            <a:cxn ang="0">
              <a:pos x="connsiteX69" y="connsiteY69"/>
            </a:cxn>
            <a:cxn ang="0">
              <a:pos x="connsiteX70" y="connsiteY70"/>
            </a:cxn>
            <a:cxn ang="0">
              <a:pos x="connsiteX71" y="connsiteY71"/>
            </a:cxn>
            <a:cxn ang="0">
              <a:pos x="connsiteX72" y="connsiteY72"/>
            </a:cxn>
            <a:cxn ang="0">
              <a:pos x="connsiteX73" y="connsiteY73"/>
            </a:cxn>
            <a:cxn ang="0">
              <a:pos x="connsiteX74" y="connsiteY74"/>
            </a:cxn>
          </a:cxnLst>
          <a:rect l="l" t="t" r="r" b="b"/>
          <a:pathLst>
            <a:path w="6889430" h="1199459">
              <a:moveTo>
                <a:pt x="2974317" y="1199459"/>
              </a:moveTo>
              <a:cubicBezTo>
                <a:pt x="2743501" y="1199459"/>
                <a:pt x="2711362" y="862769"/>
                <a:pt x="2679223" y="537557"/>
              </a:cubicBezTo>
              <a:cubicBezTo>
                <a:pt x="2655849" y="298430"/>
                <a:pt x="2629554" y="28695"/>
                <a:pt x="2512685" y="28695"/>
              </a:cubicBezTo>
              <a:cubicBezTo>
                <a:pt x="2387050" y="28695"/>
                <a:pt x="2346146" y="248692"/>
                <a:pt x="2311085" y="441906"/>
              </a:cubicBezTo>
              <a:cubicBezTo>
                <a:pt x="2270181" y="665729"/>
                <a:pt x="2232199" y="876160"/>
                <a:pt x="2071504" y="876160"/>
              </a:cubicBezTo>
              <a:cubicBezTo>
                <a:pt x="1945870" y="876160"/>
                <a:pt x="1902044" y="736510"/>
                <a:pt x="1855296" y="589208"/>
              </a:cubicBezTo>
              <a:cubicBezTo>
                <a:pt x="1814392" y="464862"/>
                <a:pt x="1770566" y="325212"/>
                <a:pt x="1679993" y="325212"/>
              </a:cubicBezTo>
              <a:cubicBezTo>
                <a:pt x="1577732" y="325212"/>
                <a:pt x="1528063" y="514601"/>
                <a:pt x="1484237" y="681033"/>
              </a:cubicBezTo>
              <a:cubicBezTo>
                <a:pt x="1428724" y="895290"/>
                <a:pt x="1373211" y="1099983"/>
                <a:pt x="1206673" y="1099983"/>
              </a:cubicBezTo>
              <a:cubicBezTo>
                <a:pt x="1051821" y="1099983"/>
                <a:pt x="1002152" y="943115"/>
                <a:pt x="955404" y="791987"/>
              </a:cubicBezTo>
              <a:cubicBezTo>
                <a:pt x="914500" y="663816"/>
                <a:pt x="873596" y="529905"/>
                <a:pt x="777179" y="529905"/>
              </a:cubicBezTo>
              <a:lnTo>
                <a:pt x="777179" y="529905"/>
              </a:lnTo>
              <a:cubicBezTo>
                <a:pt x="686606" y="529905"/>
                <a:pt x="636936" y="640859"/>
                <a:pt x="587267" y="747988"/>
              </a:cubicBezTo>
              <a:cubicBezTo>
                <a:pt x="531754" y="866595"/>
                <a:pt x="476241" y="989028"/>
                <a:pt x="350607" y="989028"/>
              </a:cubicBezTo>
              <a:lnTo>
                <a:pt x="350607" y="989028"/>
              </a:lnTo>
              <a:cubicBezTo>
                <a:pt x="236660" y="989028"/>
                <a:pt x="207443" y="901029"/>
                <a:pt x="178225" y="816857"/>
              </a:cubicBezTo>
              <a:cubicBezTo>
                <a:pt x="149008" y="734597"/>
                <a:pt x="119791" y="650424"/>
                <a:pt x="20452" y="644685"/>
              </a:cubicBezTo>
              <a:cubicBezTo>
                <a:pt x="8765" y="644685"/>
                <a:pt x="0" y="637033"/>
                <a:pt x="0" y="629381"/>
              </a:cubicBezTo>
              <a:cubicBezTo>
                <a:pt x="0" y="621729"/>
                <a:pt x="11687" y="615990"/>
                <a:pt x="23374" y="615990"/>
              </a:cubicBezTo>
              <a:cubicBezTo>
                <a:pt x="154851" y="621729"/>
                <a:pt x="189912" y="721206"/>
                <a:pt x="219129" y="809204"/>
              </a:cubicBezTo>
              <a:cubicBezTo>
                <a:pt x="245425" y="885725"/>
                <a:pt x="271721" y="958419"/>
                <a:pt x="350607" y="958419"/>
              </a:cubicBezTo>
              <a:lnTo>
                <a:pt x="350607" y="958419"/>
              </a:lnTo>
              <a:cubicBezTo>
                <a:pt x="444102" y="958419"/>
                <a:pt x="496693" y="845552"/>
                <a:pt x="546363" y="736510"/>
              </a:cubicBezTo>
              <a:cubicBezTo>
                <a:pt x="601876" y="614077"/>
                <a:pt x="657388" y="499296"/>
                <a:pt x="780101" y="497383"/>
              </a:cubicBezTo>
              <a:lnTo>
                <a:pt x="780101" y="497383"/>
              </a:lnTo>
              <a:cubicBezTo>
                <a:pt x="914500" y="497383"/>
                <a:pt x="955404" y="635120"/>
                <a:pt x="1002152" y="780509"/>
              </a:cubicBezTo>
              <a:cubicBezTo>
                <a:pt x="1045978" y="920159"/>
                <a:pt x="1089804" y="1065548"/>
                <a:pt x="1209595" y="1065548"/>
              </a:cubicBezTo>
              <a:cubicBezTo>
                <a:pt x="1341072" y="1065548"/>
                <a:pt x="1396585" y="855117"/>
                <a:pt x="1443333" y="671468"/>
              </a:cubicBezTo>
              <a:cubicBezTo>
                <a:pt x="1495924" y="468688"/>
                <a:pt x="1542672" y="292691"/>
                <a:pt x="1682914" y="292691"/>
              </a:cubicBezTo>
              <a:cubicBezTo>
                <a:pt x="1808549" y="292691"/>
                <a:pt x="1852374" y="432341"/>
                <a:pt x="1899122" y="579643"/>
              </a:cubicBezTo>
              <a:cubicBezTo>
                <a:pt x="1940026" y="703989"/>
                <a:pt x="1983852" y="843639"/>
                <a:pt x="2074426" y="843639"/>
              </a:cubicBezTo>
              <a:cubicBezTo>
                <a:pt x="2197138" y="843639"/>
                <a:pt x="2235121" y="625555"/>
                <a:pt x="2270181" y="434254"/>
              </a:cubicBezTo>
              <a:cubicBezTo>
                <a:pt x="2311085" y="212344"/>
                <a:pt x="2349068" y="0"/>
                <a:pt x="2512685" y="0"/>
              </a:cubicBezTo>
              <a:cubicBezTo>
                <a:pt x="2670458" y="0"/>
                <a:pt x="2693832" y="248692"/>
                <a:pt x="2720127" y="535644"/>
              </a:cubicBezTo>
              <a:cubicBezTo>
                <a:pt x="2749344" y="834074"/>
                <a:pt x="2781484" y="1170764"/>
                <a:pt x="2971396" y="1170764"/>
              </a:cubicBezTo>
              <a:cubicBezTo>
                <a:pt x="3126247" y="1170764"/>
                <a:pt x="3164230" y="946941"/>
                <a:pt x="3199290" y="732684"/>
              </a:cubicBezTo>
              <a:cubicBezTo>
                <a:pt x="3237273" y="499296"/>
                <a:pt x="3272333" y="281213"/>
                <a:pt x="3459324" y="281213"/>
              </a:cubicBezTo>
              <a:cubicBezTo>
                <a:pt x="3622941" y="281213"/>
                <a:pt x="3646314" y="439993"/>
                <a:pt x="3669688" y="594947"/>
              </a:cubicBezTo>
              <a:cubicBezTo>
                <a:pt x="3690140" y="726945"/>
                <a:pt x="3710593" y="864682"/>
                <a:pt x="3818696" y="864682"/>
              </a:cubicBezTo>
              <a:cubicBezTo>
                <a:pt x="3885896" y="864682"/>
                <a:pt x="3920957" y="801552"/>
                <a:pt x="3958939" y="736510"/>
              </a:cubicBezTo>
              <a:cubicBezTo>
                <a:pt x="4002765" y="659989"/>
                <a:pt x="4046591" y="581556"/>
                <a:pt x="4154695" y="581556"/>
              </a:cubicBezTo>
              <a:cubicBezTo>
                <a:pt x="4245268" y="581556"/>
                <a:pt x="4289094" y="675294"/>
                <a:pt x="4341685" y="784335"/>
              </a:cubicBezTo>
              <a:cubicBezTo>
                <a:pt x="4391354" y="891464"/>
                <a:pt x="4446868" y="1011984"/>
                <a:pt x="4546206" y="1011984"/>
              </a:cubicBezTo>
              <a:cubicBezTo>
                <a:pt x="4677684" y="1011984"/>
                <a:pt x="4730275" y="784335"/>
                <a:pt x="4777023" y="583469"/>
              </a:cubicBezTo>
              <a:cubicBezTo>
                <a:pt x="4829613" y="355820"/>
                <a:pt x="4879283" y="139650"/>
                <a:pt x="5042900" y="139650"/>
              </a:cubicBezTo>
              <a:cubicBezTo>
                <a:pt x="5194829" y="139650"/>
                <a:pt x="5235734" y="342429"/>
                <a:pt x="5279560" y="558600"/>
              </a:cubicBezTo>
              <a:cubicBezTo>
                <a:pt x="5317542" y="740336"/>
                <a:pt x="5358446" y="946941"/>
                <a:pt x="5469472" y="946941"/>
              </a:cubicBezTo>
              <a:cubicBezTo>
                <a:pt x="5560045" y="946941"/>
                <a:pt x="5612636" y="813031"/>
                <a:pt x="5662305" y="694424"/>
              </a:cubicBezTo>
              <a:cubicBezTo>
                <a:pt x="5720740" y="552861"/>
                <a:pt x="5773331" y="420863"/>
                <a:pt x="5896043" y="420863"/>
              </a:cubicBezTo>
              <a:cubicBezTo>
                <a:pt x="6012913" y="420863"/>
                <a:pt x="6068426" y="549035"/>
                <a:pt x="6129782" y="700163"/>
              </a:cubicBezTo>
              <a:cubicBezTo>
                <a:pt x="6191138" y="845552"/>
                <a:pt x="6261259" y="1010071"/>
                <a:pt x="6386894" y="1013897"/>
              </a:cubicBezTo>
              <a:cubicBezTo>
                <a:pt x="6386894" y="1013897"/>
                <a:pt x="6389815" y="1013897"/>
                <a:pt x="6389815" y="1013897"/>
              </a:cubicBezTo>
              <a:cubicBezTo>
                <a:pt x="6474545" y="1013897"/>
                <a:pt x="6518371" y="931637"/>
                <a:pt x="6565119" y="845552"/>
              </a:cubicBezTo>
              <a:cubicBezTo>
                <a:pt x="6623554" y="734597"/>
                <a:pt x="6693675" y="608338"/>
                <a:pt x="6868978" y="608338"/>
              </a:cubicBezTo>
              <a:cubicBezTo>
                <a:pt x="6880666" y="608338"/>
                <a:pt x="6889430" y="614077"/>
                <a:pt x="6889430" y="621729"/>
              </a:cubicBezTo>
              <a:cubicBezTo>
                <a:pt x="6889430" y="629381"/>
                <a:pt x="6880666" y="635120"/>
                <a:pt x="6868978" y="635120"/>
              </a:cubicBezTo>
              <a:cubicBezTo>
                <a:pt x="6722892" y="635120"/>
                <a:pt x="6664458" y="746075"/>
                <a:pt x="6606023" y="853204"/>
              </a:cubicBezTo>
              <a:cubicBezTo>
                <a:pt x="6553432" y="950767"/>
                <a:pt x="6503763" y="1044505"/>
                <a:pt x="6386894" y="1040679"/>
              </a:cubicBezTo>
              <a:cubicBezTo>
                <a:pt x="6226199" y="1036853"/>
                <a:pt x="6156077" y="868508"/>
                <a:pt x="6088878" y="705902"/>
              </a:cubicBezTo>
              <a:cubicBezTo>
                <a:pt x="6036286" y="579643"/>
                <a:pt x="5980774" y="447645"/>
                <a:pt x="5896043" y="447645"/>
              </a:cubicBezTo>
              <a:cubicBezTo>
                <a:pt x="5805470" y="447645"/>
                <a:pt x="5752879" y="581556"/>
                <a:pt x="5703210" y="700163"/>
              </a:cubicBezTo>
              <a:cubicBezTo>
                <a:pt x="5644775" y="839813"/>
                <a:pt x="5592184" y="973724"/>
                <a:pt x="5469472" y="973724"/>
              </a:cubicBezTo>
              <a:cubicBezTo>
                <a:pt x="5320464" y="973724"/>
                <a:pt x="5279560" y="772857"/>
                <a:pt x="5235734" y="560513"/>
              </a:cubicBezTo>
              <a:cubicBezTo>
                <a:pt x="5197751" y="376864"/>
                <a:pt x="5156847" y="166432"/>
                <a:pt x="5042900" y="166432"/>
              </a:cubicBezTo>
              <a:cubicBezTo>
                <a:pt x="4917265" y="166432"/>
                <a:pt x="4864674" y="388342"/>
                <a:pt x="4820849" y="585382"/>
              </a:cubicBezTo>
              <a:cubicBezTo>
                <a:pt x="4768257" y="818770"/>
                <a:pt x="4715666" y="1038766"/>
                <a:pt x="4546206" y="1038766"/>
              </a:cubicBezTo>
              <a:cubicBezTo>
                <a:pt x="4414728" y="1038766"/>
                <a:pt x="4356294" y="912507"/>
                <a:pt x="4300781" y="791987"/>
              </a:cubicBezTo>
              <a:cubicBezTo>
                <a:pt x="4259877" y="705902"/>
                <a:pt x="4216051" y="608338"/>
                <a:pt x="4154695" y="608338"/>
              </a:cubicBezTo>
              <a:cubicBezTo>
                <a:pt x="4078730" y="608338"/>
                <a:pt x="4037826" y="677207"/>
                <a:pt x="3999843" y="744162"/>
              </a:cubicBezTo>
              <a:cubicBezTo>
                <a:pt x="3958939" y="816857"/>
                <a:pt x="3915113" y="891464"/>
                <a:pt x="3818696" y="891464"/>
              </a:cubicBezTo>
              <a:cubicBezTo>
                <a:pt x="3672610" y="891464"/>
                <a:pt x="3649236" y="747988"/>
                <a:pt x="3625862" y="596860"/>
              </a:cubicBezTo>
              <a:cubicBezTo>
                <a:pt x="3602488" y="455297"/>
                <a:pt x="3582036" y="307995"/>
                <a:pt x="3456402" y="307995"/>
              </a:cubicBezTo>
              <a:cubicBezTo>
                <a:pt x="3310316" y="307995"/>
                <a:pt x="3275255" y="524166"/>
                <a:pt x="3240194" y="734597"/>
              </a:cubicBezTo>
              <a:cubicBezTo>
                <a:pt x="3205134" y="973724"/>
                <a:pt x="3170073" y="1199459"/>
                <a:pt x="2974317" y="1199459"/>
              </a:cubicBezTo>
              <a:lnTo>
                <a:pt x="2974317" y="1199459"/>
              </a:lnTo>
              <a:close/>
            </a:path>
          </a:pathLst>
        </a:custGeom>
        <a:solidFill>
          <a:schemeClr val="accent1">
            <a:lumMod val="40000"/>
            <a:lumOff val="60000"/>
          </a:schemeClr>
        </a:solidFill>
        <a:ln w="29208" cap="flat">
          <a:noFill/>
          <a:prstDash val="solid"/>
          <a:miter/>
        </a:ln>
      </xdr:spPr>
      <xdr:txBody>
        <a:bodyPr rtlCol="0" anchor="ctr"/>
        <a:lstStyle/>
        <a:p>
          <a:endParaRPr lang="en-US"/>
        </a:p>
      </xdr:txBody>
    </xdr:sp>
    <xdr:clientData/>
  </xdr:twoCellAnchor>
  <xdr:twoCellAnchor>
    <xdr:from>
      <xdr:col>5</xdr:col>
      <xdr:colOff>3928</xdr:colOff>
      <xdr:row>1</xdr:row>
      <xdr:rowOff>142421</xdr:rowOff>
    </xdr:from>
    <xdr:to>
      <xdr:col>9</xdr:col>
      <xdr:colOff>961445</xdr:colOff>
      <xdr:row>2</xdr:row>
      <xdr:rowOff>794087</xdr:rowOff>
    </xdr:to>
    <xdr:sp macro="" textlink="">
      <xdr:nvSpPr>
        <xdr:cNvPr id="4" name="Freeform: Shape 3">
          <a:extLst>
            <a:ext uri="{FF2B5EF4-FFF2-40B4-BE49-F238E27FC236}">
              <a16:creationId xmlns:a16="http://schemas.microsoft.com/office/drawing/2014/main" id="{437E7E5B-8CDD-4ECC-BD75-E626F5B333CE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SpPr/>
      </xdr:nvSpPr>
      <xdr:spPr>
        <a:xfrm>
          <a:off x="7704891" y="342446"/>
          <a:ext cx="6901117" cy="946941"/>
        </a:xfrm>
        <a:custGeom>
          <a:avLst/>
          <a:gdLst>
            <a:gd name="connsiteX0" fmla="*/ 2968474 w 6901117"/>
            <a:gd name="connsiteY0" fmla="*/ 946941 h 946941"/>
            <a:gd name="connsiteX1" fmla="*/ 2690910 w 6901117"/>
            <a:gd name="connsiteY1" fmla="*/ 441906 h 946941"/>
            <a:gd name="connsiteX2" fmla="*/ 2512685 w 6901117"/>
            <a:gd name="connsiteY2" fmla="*/ 28695 h 946941"/>
            <a:gd name="connsiteX3" fmla="*/ 2316929 w 6901117"/>
            <a:gd name="connsiteY3" fmla="*/ 350081 h 946941"/>
            <a:gd name="connsiteX4" fmla="*/ 2080269 w 6901117"/>
            <a:gd name="connsiteY4" fmla="*/ 692511 h 946941"/>
            <a:gd name="connsiteX5" fmla="*/ 1855296 w 6901117"/>
            <a:gd name="connsiteY5" fmla="*/ 472514 h 946941"/>
            <a:gd name="connsiteX6" fmla="*/ 1674149 w 6901117"/>
            <a:gd name="connsiteY6" fmla="*/ 271648 h 946941"/>
            <a:gd name="connsiteX7" fmla="*/ 1446255 w 6901117"/>
            <a:gd name="connsiteY7" fmla="*/ 570078 h 946941"/>
            <a:gd name="connsiteX8" fmla="*/ 1206673 w 6901117"/>
            <a:gd name="connsiteY8" fmla="*/ 866595 h 946941"/>
            <a:gd name="connsiteX9" fmla="*/ 972935 w 6901117"/>
            <a:gd name="connsiteY9" fmla="*/ 627468 h 946941"/>
            <a:gd name="connsiteX10" fmla="*/ 809318 w 6901117"/>
            <a:gd name="connsiteY10" fmla="*/ 428515 h 946941"/>
            <a:gd name="connsiteX11" fmla="*/ 809318 w 6901117"/>
            <a:gd name="connsiteY11" fmla="*/ 428515 h 946941"/>
            <a:gd name="connsiteX12" fmla="*/ 639858 w 6901117"/>
            <a:gd name="connsiteY12" fmla="*/ 583469 h 946941"/>
            <a:gd name="connsiteX13" fmla="*/ 414885 w 6901117"/>
            <a:gd name="connsiteY13" fmla="*/ 767118 h 946941"/>
            <a:gd name="connsiteX14" fmla="*/ 186990 w 6901117"/>
            <a:gd name="connsiteY14" fmla="*/ 619816 h 946941"/>
            <a:gd name="connsiteX15" fmla="*/ 20452 w 6901117"/>
            <a:gd name="connsiteY15" fmla="*/ 499296 h 946941"/>
            <a:gd name="connsiteX16" fmla="*/ 20452 w 6901117"/>
            <a:gd name="connsiteY16" fmla="*/ 499296 h 946941"/>
            <a:gd name="connsiteX17" fmla="*/ 0 w 6901117"/>
            <a:gd name="connsiteY17" fmla="*/ 485905 h 946941"/>
            <a:gd name="connsiteX18" fmla="*/ 20452 w 6901117"/>
            <a:gd name="connsiteY18" fmla="*/ 472514 h 946941"/>
            <a:gd name="connsiteX19" fmla="*/ 20452 w 6901117"/>
            <a:gd name="connsiteY19" fmla="*/ 472514 h 946941"/>
            <a:gd name="connsiteX20" fmla="*/ 227895 w 6901117"/>
            <a:gd name="connsiteY20" fmla="*/ 610251 h 946941"/>
            <a:gd name="connsiteX21" fmla="*/ 414885 w 6901117"/>
            <a:gd name="connsiteY21" fmla="*/ 740336 h 946941"/>
            <a:gd name="connsiteX22" fmla="*/ 598954 w 6901117"/>
            <a:gd name="connsiteY22" fmla="*/ 575817 h 946941"/>
            <a:gd name="connsiteX23" fmla="*/ 809318 w 6901117"/>
            <a:gd name="connsiteY23" fmla="*/ 399820 h 946941"/>
            <a:gd name="connsiteX24" fmla="*/ 809318 w 6901117"/>
            <a:gd name="connsiteY24" fmla="*/ 399820 h 946941"/>
            <a:gd name="connsiteX25" fmla="*/ 1016761 w 6901117"/>
            <a:gd name="connsiteY25" fmla="*/ 621729 h 946941"/>
            <a:gd name="connsiteX26" fmla="*/ 1209595 w 6901117"/>
            <a:gd name="connsiteY26" fmla="*/ 839813 h 946941"/>
            <a:gd name="connsiteX27" fmla="*/ 1408272 w 6901117"/>
            <a:gd name="connsiteY27" fmla="*/ 564339 h 946941"/>
            <a:gd name="connsiteX28" fmla="*/ 1677071 w 6901117"/>
            <a:gd name="connsiteY28" fmla="*/ 242953 h 946941"/>
            <a:gd name="connsiteX29" fmla="*/ 1902044 w 6901117"/>
            <a:gd name="connsiteY29" fmla="*/ 462949 h 946941"/>
            <a:gd name="connsiteX30" fmla="*/ 2083191 w 6901117"/>
            <a:gd name="connsiteY30" fmla="*/ 663815 h 946941"/>
            <a:gd name="connsiteX31" fmla="*/ 2276025 w 6901117"/>
            <a:gd name="connsiteY31" fmla="*/ 346255 h 946941"/>
            <a:gd name="connsiteX32" fmla="*/ 2515606 w 6901117"/>
            <a:gd name="connsiteY32" fmla="*/ 0 h 946941"/>
            <a:gd name="connsiteX33" fmla="*/ 2737657 w 6901117"/>
            <a:gd name="connsiteY33" fmla="*/ 438080 h 946941"/>
            <a:gd name="connsiteX34" fmla="*/ 2971396 w 6901117"/>
            <a:gd name="connsiteY34" fmla="*/ 916333 h 946941"/>
            <a:gd name="connsiteX35" fmla="*/ 3225586 w 6901117"/>
            <a:gd name="connsiteY35" fmla="*/ 549035 h 946941"/>
            <a:gd name="connsiteX36" fmla="*/ 3450559 w 6901117"/>
            <a:gd name="connsiteY36" fmla="*/ 218083 h 946941"/>
            <a:gd name="connsiteX37" fmla="*/ 3453480 w 6901117"/>
            <a:gd name="connsiteY37" fmla="*/ 218083 h 946941"/>
            <a:gd name="connsiteX38" fmla="*/ 3628784 w 6901117"/>
            <a:gd name="connsiteY38" fmla="*/ 441906 h 946941"/>
            <a:gd name="connsiteX39" fmla="*/ 3807009 w 6901117"/>
            <a:gd name="connsiteY39" fmla="*/ 675294 h 946941"/>
            <a:gd name="connsiteX40" fmla="*/ 3947252 w 6901117"/>
            <a:gd name="connsiteY40" fmla="*/ 571991 h 946941"/>
            <a:gd name="connsiteX41" fmla="*/ 4140086 w 6901117"/>
            <a:gd name="connsiteY41" fmla="*/ 445732 h 946941"/>
            <a:gd name="connsiteX42" fmla="*/ 4324155 w 6901117"/>
            <a:gd name="connsiteY42" fmla="*/ 610251 h 946941"/>
            <a:gd name="connsiteX43" fmla="*/ 4525754 w 6901117"/>
            <a:gd name="connsiteY43" fmla="*/ 791987 h 946941"/>
            <a:gd name="connsiteX44" fmla="*/ 4753649 w 6901117"/>
            <a:gd name="connsiteY44" fmla="*/ 459123 h 946941"/>
            <a:gd name="connsiteX45" fmla="*/ 5016604 w 6901117"/>
            <a:gd name="connsiteY45" fmla="*/ 109042 h 946941"/>
            <a:gd name="connsiteX46" fmla="*/ 5250342 w 6901117"/>
            <a:gd name="connsiteY46" fmla="*/ 438080 h 946941"/>
            <a:gd name="connsiteX47" fmla="*/ 5437333 w 6901117"/>
            <a:gd name="connsiteY47" fmla="*/ 740336 h 946941"/>
            <a:gd name="connsiteX48" fmla="*/ 5627245 w 6901117"/>
            <a:gd name="connsiteY48" fmla="*/ 543296 h 946941"/>
            <a:gd name="connsiteX49" fmla="*/ 5858061 w 6901117"/>
            <a:gd name="connsiteY49" fmla="*/ 327125 h 946941"/>
            <a:gd name="connsiteX50" fmla="*/ 6080113 w 6901117"/>
            <a:gd name="connsiteY50" fmla="*/ 568165 h 946941"/>
            <a:gd name="connsiteX51" fmla="*/ 6258338 w 6901117"/>
            <a:gd name="connsiteY51" fmla="*/ 790074 h 946941"/>
            <a:gd name="connsiteX52" fmla="*/ 6258338 w 6901117"/>
            <a:gd name="connsiteY52" fmla="*/ 790074 h 946941"/>
            <a:gd name="connsiteX53" fmla="*/ 6389815 w 6901117"/>
            <a:gd name="connsiteY53" fmla="*/ 692511 h 946941"/>
            <a:gd name="connsiteX54" fmla="*/ 6880665 w 6901117"/>
            <a:gd name="connsiteY54" fmla="*/ 457210 h 946941"/>
            <a:gd name="connsiteX55" fmla="*/ 6901117 w 6901117"/>
            <a:gd name="connsiteY55" fmla="*/ 470601 h 946941"/>
            <a:gd name="connsiteX56" fmla="*/ 6880665 w 6901117"/>
            <a:gd name="connsiteY56" fmla="*/ 483992 h 946941"/>
            <a:gd name="connsiteX57" fmla="*/ 6424876 w 6901117"/>
            <a:gd name="connsiteY57" fmla="*/ 703989 h 946941"/>
            <a:gd name="connsiteX58" fmla="*/ 6255416 w 6901117"/>
            <a:gd name="connsiteY58" fmla="*/ 816857 h 946941"/>
            <a:gd name="connsiteX59" fmla="*/ 6252494 w 6901117"/>
            <a:gd name="connsiteY59" fmla="*/ 816857 h 946941"/>
            <a:gd name="connsiteX60" fmla="*/ 6033365 w 6901117"/>
            <a:gd name="connsiteY60" fmla="*/ 573904 h 946941"/>
            <a:gd name="connsiteX61" fmla="*/ 5855139 w 6901117"/>
            <a:gd name="connsiteY61" fmla="*/ 353907 h 946941"/>
            <a:gd name="connsiteX62" fmla="*/ 5665227 w 6901117"/>
            <a:gd name="connsiteY62" fmla="*/ 550948 h 946941"/>
            <a:gd name="connsiteX63" fmla="*/ 5434411 w 6901117"/>
            <a:gd name="connsiteY63" fmla="*/ 767118 h 946941"/>
            <a:gd name="connsiteX64" fmla="*/ 5206516 w 6901117"/>
            <a:gd name="connsiteY64" fmla="*/ 441906 h 946941"/>
            <a:gd name="connsiteX65" fmla="*/ 5016604 w 6901117"/>
            <a:gd name="connsiteY65" fmla="*/ 135824 h 946941"/>
            <a:gd name="connsiteX66" fmla="*/ 4797475 w 6901117"/>
            <a:gd name="connsiteY66" fmla="*/ 461036 h 946941"/>
            <a:gd name="connsiteX67" fmla="*/ 4528676 w 6901117"/>
            <a:gd name="connsiteY67" fmla="*/ 816857 h 946941"/>
            <a:gd name="connsiteX68" fmla="*/ 4286172 w 6901117"/>
            <a:gd name="connsiteY68" fmla="*/ 617903 h 946941"/>
            <a:gd name="connsiteX69" fmla="*/ 4143008 w 6901117"/>
            <a:gd name="connsiteY69" fmla="*/ 472514 h 946941"/>
            <a:gd name="connsiteX70" fmla="*/ 3991078 w 6901117"/>
            <a:gd name="connsiteY70" fmla="*/ 581556 h 946941"/>
            <a:gd name="connsiteX71" fmla="*/ 3812853 w 6901117"/>
            <a:gd name="connsiteY71" fmla="*/ 702076 h 946941"/>
            <a:gd name="connsiteX72" fmla="*/ 3593723 w 6901117"/>
            <a:gd name="connsiteY72" fmla="*/ 443819 h 946941"/>
            <a:gd name="connsiteX73" fmla="*/ 3459324 w 6901117"/>
            <a:gd name="connsiteY73" fmla="*/ 244866 h 946941"/>
            <a:gd name="connsiteX74" fmla="*/ 3459324 w 6901117"/>
            <a:gd name="connsiteY74" fmla="*/ 244866 h 946941"/>
            <a:gd name="connsiteX75" fmla="*/ 3275255 w 6901117"/>
            <a:gd name="connsiteY75" fmla="*/ 550948 h 946941"/>
            <a:gd name="connsiteX76" fmla="*/ 2968474 w 6901117"/>
            <a:gd name="connsiteY76" fmla="*/ 946941 h 946941"/>
            <a:gd name="connsiteX77" fmla="*/ 2968474 w 6901117"/>
            <a:gd name="connsiteY77" fmla="*/ 946941 h 946941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  <a:cxn ang="0">
              <a:pos x="connsiteX55" y="connsiteY55"/>
            </a:cxn>
            <a:cxn ang="0">
              <a:pos x="connsiteX56" y="connsiteY56"/>
            </a:cxn>
            <a:cxn ang="0">
              <a:pos x="connsiteX57" y="connsiteY57"/>
            </a:cxn>
            <a:cxn ang="0">
              <a:pos x="connsiteX58" y="connsiteY58"/>
            </a:cxn>
            <a:cxn ang="0">
              <a:pos x="connsiteX59" y="connsiteY59"/>
            </a:cxn>
            <a:cxn ang="0">
              <a:pos x="connsiteX60" y="connsiteY60"/>
            </a:cxn>
            <a:cxn ang="0">
              <a:pos x="connsiteX61" y="connsiteY61"/>
            </a:cxn>
            <a:cxn ang="0">
              <a:pos x="connsiteX62" y="connsiteY62"/>
            </a:cxn>
            <a:cxn ang="0">
              <a:pos x="connsiteX63" y="connsiteY63"/>
            </a:cxn>
            <a:cxn ang="0">
              <a:pos x="connsiteX64" y="connsiteY64"/>
            </a:cxn>
            <a:cxn ang="0">
              <a:pos x="connsiteX65" y="connsiteY65"/>
            </a:cxn>
            <a:cxn ang="0">
              <a:pos x="connsiteX66" y="connsiteY66"/>
            </a:cxn>
            <a:cxn ang="0">
              <a:pos x="connsiteX67" y="connsiteY67"/>
            </a:cxn>
            <a:cxn ang="0">
              <a:pos x="connsiteX68" y="connsiteY68"/>
            </a:cxn>
            <a:cxn ang="0">
              <a:pos x="connsiteX69" y="connsiteY69"/>
            </a:cxn>
            <a:cxn ang="0">
              <a:pos x="connsiteX70" y="connsiteY70"/>
            </a:cxn>
            <a:cxn ang="0">
              <a:pos x="connsiteX71" y="connsiteY71"/>
            </a:cxn>
            <a:cxn ang="0">
              <a:pos x="connsiteX72" y="connsiteY72"/>
            </a:cxn>
            <a:cxn ang="0">
              <a:pos x="connsiteX73" y="connsiteY73"/>
            </a:cxn>
            <a:cxn ang="0">
              <a:pos x="connsiteX74" y="connsiteY74"/>
            </a:cxn>
            <a:cxn ang="0">
              <a:pos x="connsiteX75" y="connsiteY75"/>
            </a:cxn>
            <a:cxn ang="0">
              <a:pos x="connsiteX76" y="connsiteY76"/>
            </a:cxn>
            <a:cxn ang="0">
              <a:pos x="connsiteX77" y="connsiteY77"/>
            </a:cxn>
          </a:cxnLst>
          <a:rect l="l" t="t" r="r" b="b"/>
          <a:pathLst>
            <a:path w="6901117" h="946941">
              <a:moveTo>
                <a:pt x="2968474" y="946941"/>
              </a:moveTo>
              <a:cubicBezTo>
                <a:pt x="2763953" y="946941"/>
                <a:pt x="2728892" y="690598"/>
                <a:pt x="2690910" y="441906"/>
              </a:cubicBezTo>
              <a:cubicBezTo>
                <a:pt x="2661693" y="239127"/>
                <a:pt x="2632475" y="28695"/>
                <a:pt x="2512685" y="28695"/>
              </a:cubicBezTo>
              <a:cubicBezTo>
                <a:pt x="2389972" y="28695"/>
                <a:pt x="2351990" y="191301"/>
                <a:pt x="2316929" y="350081"/>
              </a:cubicBezTo>
              <a:cubicBezTo>
                <a:pt x="2276025" y="526079"/>
                <a:pt x="2238042" y="692511"/>
                <a:pt x="2080269" y="692511"/>
              </a:cubicBezTo>
              <a:cubicBezTo>
                <a:pt x="1960478" y="692511"/>
                <a:pt x="1907887" y="579643"/>
                <a:pt x="1855296" y="472514"/>
              </a:cubicBezTo>
              <a:cubicBezTo>
                <a:pt x="1808549" y="373038"/>
                <a:pt x="1761801" y="271648"/>
                <a:pt x="1674149" y="271648"/>
              </a:cubicBezTo>
              <a:cubicBezTo>
                <a:pt x="1563124" y="271648"/>
                <a:pt x="1501767" y="430428"/>
                <a:pt x="1446255" y="570078"/>
              </a:cubicBezTo>
              <a:cubicBezTo>
                <a:pt x="1387820" y="723119"/>
                <a:pt x="1332307" y="866595"/>
                <a:pt x="1206673" y="866595"/>
              </a:cubicBezTo>
              <a:cubicBezTo>
                <a:pt x="1054743" y="866595"/>
                <a:pt x="1010917" y="744162"/>
                <a:pt x="972935" y="627468"/>
              </a:cubicBezTo>
              <a:cubicBezTo>
                <a:pt x="937874" y="526079"/>
                <a:pt x="905735" y="428515"/>
                <a:pt x="809318" y="428515"/>
              </a:cubicBezTo>
              <a:lnTo>
                <a:pt x="809318" y="428515"/>
              </a:lnTo>
              <a:cubicBezTo>
                <a:pt x="721666" y="428515"/>
                <a:pt x="683684" y="505035"/>
                <a:pt x="639858" y="583469"/>
              </a:cubicBezTo>
              <a:cubicBezTo>
                <a:pt x="593110" y="673381"/>
                <a:pt x="546363" y="767118"/>
                <a:pt x="414885" y="767118"/>
              </a:cubicBezTo>
              <a:cubicBezTo>
                <a:pt x="280486" y="767118"/>
                <a:pt x="230816" y="688685"/>
                <a:pt x="186990" y="619816"/>
              </a:cubicBezTo>
              <a:cubicBezTo>
                <a:pt x="146086" y="554774"/>
                <a:pt x="111026" y="499296"/>
                <a:pt x="20452" y="499296"/>
              </a:cubicBezTo>
              <a:lnTo>
                <a:pt x="20452" y="499296"/>
              </a:lnTo>
              <a:cubicBezTo>
                <a:pt x="8765" y="499296"/>
                <a:pt x="0" y="493557"/>
                <a:pt x="0" y="485905"/>
              </a:cubicBezTo>
              <a:cubicBezTo>
                <a:pt x="0" y="478253"/>
                <a:pt x="8765" y="472514"/>
                <a:pt x="20452" y="472514"/>
              </a:cubicBezTo>
              <a:lnTo>
                <a:pt x="20452" y="472514"/>
              </a:lnTo>
              <a:cubicBezTo>
                <a:pt x="140243" y="472514"/>
                <a:pt x="184069" y="543296"/>
                <a:pt x="227895" y="610251"/>
              </a:cubicBezTo>
              <a:cubicBezTo>
                <a:pt x="268799" y="677207"/>
                <a:pt x="306781" y="740336"/>
                <a:pt x="414885" y="740336"/>
              </a:cubicBezTo>
              <a:cubicBezTo>
                <a:pt x="514224" y="740336"/>
                <a:pt x="555128" y="659989"/>
                <a:pt x="598954" y="575817"/>
              </a:cubicBezTo>
              <a:cubicBezTo>
                <a:pt x="642780" y="489731"/>
                <a:pt x="689527" y="401733"/>
                <a:pt x="809318" y="399820"/>
              </a:cubicBezTo>
              <a:lnTo>
                <a:pt x="809318" y="399820"/>
              </a:lnTo>
              <a:cubicBezTo>
                <a:pt x="940796" y="399820"/>
                <a:pt x="978778" y="512688"/>
                <a:pt x="1016761" y="621729"/>
              </a:cubicBezTo>
              <a:cubicBezTo>
                <a:pt x="1051821" y="728858"/>
                <a:pt x="1089804" y="839813"/>
                <a:pt x="1209595" y="839813"/>
              </a:cubicBezTo>
              <a:cubicBezTo>
                <a:pt x="1300168" y="839813"/>
                <a:pt x="1358603" y="694424"/>
                <a:pt x="1408272" y="564339"/>
              </a:cubicBezTo>
              <a:cubicBezTo>
                <a:pt x="1472550" y="399820"/>
                <a:pt x="1533906" y="242953"/>
                <a:pt x="1677071" y="242953"/>
              </a:cubicBezTo>
              <a:cubicBezTo>
                <a:pt x="1796862" y="242953"/>
                <a:pt x="1849453" y="355820"/>
                <a:pt x="1902044" y="462949"/>
              </a:cubicBezTo>
              <a:cubicBezTo>
                <a:pt x="1948791" y="562426"/>
                <a:pt x="1995539" y="663815"/>
                <a:pt x="2083191" y="663815"/>
              </a:cubicBezTo>
              <a:cubicBezTo>
                <a:pt x="2202982" y="663815"/>
                <a:pt x="2240964" y="501209"/>
                <a:pt x="2276025" y="346255"/>
              </a:cubicBezTo>
              <a:cubicBezTo>
                <a:pt x="2316929" y="168345"/>
                <a:pt x="2354911" y="0"/>
                <a:pt x="2515606" y="0"/>
              </a:cubicBezTo>
              <a:cubicBezTo>
                <a:pt x="2673380" y="0"/>
                <a:pt x="2702597" y="202779"/>
                <a:pt x="2737657" y="438080"/>
              </a:cubicBezTo>
              <a:cubicBezTo>
                <a:pt x="2769797" y="661903"/>
                <a:pt x="2807779" y="916333"/>
                <a:pt x="2971396" y="916333"/>
              </a:cubicBezTo>
              <a:cubicBezTo>
                <a:pt x="3135012" y="916333"/>
                <a:pt x="3181760" y="721206"/>
                <a:pt x="3225586" y="549035"/>
              </a:cubicBezTo>
              <a:cubicBezTo>
                <a:pt x="3266490" y="380690"/>
                <a:pt x="3307394" y="219996"/>
                <a:pt x="3450559" y="218083"/>
              </a:cubicBezTo>
              <a:cubicBezTo>
                <a:pt x="3450559" y="218083"/>
                <a:pt x="3450559" y="218083"/>
                <a:pt x="3453480" y="218083"/>
              </a:cubicBezTo>
              <a:cubicBezTo>
                <a:pt x="3570349" y="218083"/>
                <a:pt x="3599567" y="327125"/>
                <a:pt x="3628784" y="441906"/>
              </a:cubicBezTo>
              <a:cubicBezTo>
                <a:pt x="3658001" y="556687"/>
                <a:pt x="3690140" y="675294"/>
                <a:pt x="3807009" y="675294"/>
              </a:cubicBezTo>
              <a:cubicBezTo>
                <a:pt x="3874209" y="675294"/>
                <a:pt x="3909270" y="625555"/>
                <a:pt x="3947252" y="571991"/>
              </a:cubicBezTo>
              <a:cubicBezTo>
                <a:pt x="3988156" y="512688"/>
                <a:pt x="4034904" y="445732"/>
                <a:pt x="4140086" y="445732"/>
              </a:cubicBezTo>
              <a:cubicBezTo>
                <a:pt x="4230660" y="445732"/>
                <a:pt x="4274486" y="526079"/>
                <a:pt x="4324155" y="610251"/>
              </a:cubicBezTo>
              <a:cubicBezTo>
                <a:pt x="4373824" y="700163"/>
                <a:pt x="4429337" y="791987"/>
                <a:pt x="4525754" y="791987"/>
              </a:cubicBezTo>
              <a:cubicBezTo>
                <a:pt x="4657232" y="791987"/>
                <a:pt x="4706901" y="621729"/>
                <a:pt x="4753649" y="459123"/>
              </a:cubicBezTo>
              <a:cubicBezTo>
                <a:pt x="4806240" y="279300"/>
                <a:pt x="4852988" y="109042"/>
                <a:pt x="5016604" y="109042"/>
              </a:cubicBezTo>
              <a:cubicBezTo>
                <a:pt x="5168534" y="109042"/>
                <a:pt x="5206516" y="269735"/>
                <a:pt x="5250342" y="438080"/>
              </a:cubicBezTo>
              <a:cubicBezTo>
                <a:pt x="5288325" y="585382"/>
                <a:pt x="5326307" y="740336"/>
                <a:pt x="5437333" y="740336"/>
              </a:cubicBezTo>
              <a:cubicBezTo>
                <a:pt x="5527906" y="740336"/>
                <a:pt x="5577575" y="640859"/>
                <a:pt x="5627245" y="543296"/>
              </a:cubicBezTo>
              <a:cubicBezTo>
                <a:pt x="5682758" y="438080"/>
                <a:pt x="5738270" y="327125"/>
                <a:pt x="5858061" y="327125"/>
              </a:cubicBezTo>
              <a:cubicBezTo>
                <a:pt x="5980774" y="327125"/>
                <a:pt x="6027521" y="443819"/>
                <a:pt x="6080113" y="568165"/>
              </a:cubicBezTo>
              <a:cubicBezTo>
                <a:pt x="6123938" y="677207"/>
                <a:pt x="6170686" y="788161"/>
                <a:pt x="6258338" y="790074"/>
              </a:cubicBezTo>
              <a:cubicBezTo>
                <a:pt x="6258338" y="790074"/>
                <a:pt x="6258338" y="790074"/>
                <a:pt x="6258338" y="790074"/>
              </a:cubicBezTo>
              <a:cubicBezTo>
                <a:pt x="6305085" y="790074"/>
                <a:pt x="6343068" y="746075"/>
                <a:pt x="6389815" y="692511"/>
              </a:cubicBezTo>
              <a:cubicBezTo>
                <a:pt x="6474546" y="593034"/>
                <a:pt x="6594336" y="457210"/>
                <a:pt x="6880665" y="457210"/>
              </a:cubicBezTo>
              <a:cubicBezTo>
                <a:pt x="6892352" y="457210"/>
                <a:pt x="6901117" y="462949"/>
                <a:pt x="6901117" y="470601"/>
              </a:cubicBezTo>
              <a:cubicBezTo>
                <a:pt x="6901117" y="478253"/>
                <a:pt x="6892352" y="483992"/>
                <a:pt x="6880665" y="483992"/>
              </a:cubicBezTo>
              <a:cubicBezTo>
                <a:pt x="6617710" y="483992"/>
                <a:pt x="6512528" y="606425"/>
                <a:pt x="6424876" y="703989"/>
              </a:cubicBezTo>
              <a:cubicBezTo>
                <a:pt x="6369363" y="767118"/>
                <a:pt x="6328459" y="816857"/>
                <a:pt x="6255416" y="816857"/>
              </a:cubicBezTo>
              <a:cubicBezTo>
                <a:pt x="6255416" y="816857"/>
                <a:pt x="6252494" y="816857"/>
                <a:pt x="6252494" y="816857"/>
              </a:cubicBezTo>
              <a:cubicBezTo>
                <a:pt x="6132703" y="814944"/>
                <a:pt x="6083034" y="698250"/>
                <a:pt x="6033365" y="573904"/>
              </a:cubicBezTo>
              <a:cubicBezTo>
                <a:pt x="5989539" y="464862"/>
                <a:pt x="5942791" y="353907"/>
                <a:pt x="5855139" y="353907"/>
              </a:cubicBezTo>
              <a:cubicBezTo>
                <a:pt x="5764566" y="353907"/>
                <a:pt x="5714897" y="453384"/>
                <a:pt x="5665227" y="550948"/>
              </a:cubicBezTo>
              <a:cubicBezTo>
                <a:pt x="5609714" y="656163"/>
                <a:pt x="5554202" y="767118"/>
                <a:pt x="5434411" y="767118"/>
              </a:cubicBezTo>
              <a:cubicBezTo>
                <a:pt x="5288325" y="767118"/>
                <a:pt x="5247421" y="608338"/>
                <a:pt x="5206516" y="441906"/>
              </a:cubicBezTo>
              <a:cubicBezTo>
                <a:pt x="5168534" y="290778"/>
                <a:pt x="5127630" y="135824"/>
                <a:pt x="5016604" y="135824"/>
              </a:cubicBezTo>
              <a:cubicBezTo>
                <a:pt x="4890970" y="135824"/>
                <a:pt x="4844222" y="302256"/>
                <a:pt x="4797475" y="461036"/>
              </a:cubicBezTo>
              <a:cubicBezTo>
                <a:pt x="4744883" y="644685"/>
                <a:pt x="4695214" y="816857"/>
                <a:pt x="4528676" y="816857"/>
              </a:cubicBezTo>
              <a:cubicBezTo>
                <a:pt x="4400120" y="816857"/>
                <a:pt x="4341686" y="709728"/>
                <a:pt x="4286172" y="617903"/>
              </a:cubicBezTo>
              <a:cubicBezTo>
                <a:pt x="4245268" y="545209"/>
                <a:pt x="4201443" y="472514"/>
                <a:pt x="4143008" y="472514"/>
              </a:cubicBezTo>
              <a:cubicBezTo>
                <a:pt x="4067043" y="472514"/>
                <a:pt x="4029060" y="526079"/>
                <a:pt x="3991078" y="581556"/>
              </a:cubicBezTo>
              <a:cubicBezTo>
                <a:pt x="3950174" y="640859"/>
                <a:pt x="3906348" y="702076"/>
                <a:pt x="3812853" y="702076"/>
              </a:cubicBezTo>
              <a:cubicBezTo>
                <a:pt x="3660923" y="702076"/>
                <a:pt x="3625862" y="571991"/>
                <a:pt x="3593723" y="443819"/>
              </a:cubicBezTo>
              <a:cubicBezTo>
                <a:pt x="3567428" y="346255"/>
                <a:pt x="3541132" y="244866"/>
                <a:pt x="3459324" y="244866"/>
              </a:cubicBezTo>
              <a:cubicBezTo>
                <a:pt x="3459324" y="244866"/>
                <a:pt x="3459324" y="244866"/>
                <a:pt x="3459324" y="244866"/>
              </a:cubicBezTo>
              <a:cubicBezTo>
                <a:pt x="3351220" y="246779"/>
                <a:pt x="3313238" y="401733"/>
                <a:pt x="3275255" y="550948"/>
              </a:cubicBezTo>
              <a:cubicBezTo>
                <a:pt x="3216821" y="747988"/>
                <a:pt x="3170073" y="946941"/>
                <a:pt x="2968474" y="946941"/>
              </a:cubicBezTo>
              <a:lnTo>
                <a:pt x="2968474" y="946941"/>
              </a:lnTo>
              <a:close/>
            </a:path>
          </a:pathLst>
        </a:custGeom>
        <a:solidFill>
          <a:schemeClr val="tx2">
            <a:lumMod val="50000"/>
            <a:lumOff val="50000"/>
          </a:schemeClr>
        </a:solidFill>
        <a:ln w="29208" cap="flat">
          <a:noFill/>
          <a:prstDash val="solid"/>
          <a:miter/>
        </a:ln>
      </xdr:spPr>
      <xdr:txBody>
        <a:bodyPr rtlCol="0" anchor="ctr"/>
        <a:lstStyle/>
        <a:p>
          <a:endParaRPr lang="en-US"/>
        </a:p>
      </xdr:txBody>
    </xdr:sp>
    <xdr:clientData/>
  </xdr:twoCellAnchor>
  <xdr:twoCellAnchor editAs="oneCell">
    <xdr:from>
      <xdr:col>1</xdr:col>
      <xdr:colOff>1480344</xdr:colOff>
      <xdr:row>0</xdr:row>
      <xdr:rowOff>79376</xdr:rowOff>
    </xdr:from>
    <xdr:to>
      <xdr:col>1</xdr:col>
      <xdr:colOff>2059781</xdr:colOff>
      <xdr:row>2</xdr:row>
      <xdr:rowOff>164342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DE95929F-E443-44B0-924C-C95CB8A319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61332" y="79376"/>
          <a:ext cx="579437" cy="580266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3928</xdr:colOff>
      <xdr:row>1</xdr:row>
      <xdr:rowOff>213202</xdr:rowOff>
    </xdr:from>
    <xdr:to>
      <xdr:col>9</xdr:col>
      <xdr:colOff>949758</xdr:colOff>
      <xdr:row>3</xdr:row>
      <xdr:rowOff>27964</xdr:rowOff>
    </xdr:to>
    <xdr:sp macro="" textlink="">
      <xdr:nvSpPr>
        <xdr:cNvPr id="2" name="Freeform: Shape 1">
          <a:extLst>
            <a:ext uri="{FF2B5EF4-FFF2-40B4-BE49-F238E27FC236}">
              <a16:creationId xmlns:a16="http://schemas.microsoft.com/office/drawing/2014/main" id="{1250219E-25FC-48BF-9F4C-2697E021684B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SpPr/>
      </xdr:nvSpPr>
      <xdr:spPr>
        <a:xfrm>
          <a:off x="7704891" y="413227"/>
          <a:ext cx="6889430" cy="1029200"/>
        </a:xfrm>
        <a:custGeom>
          <a:avLst/>
          <a:gdLst>
            <a:gd name="connsiteX0" fmla="*/ 1428724 w 6889430"/>
            <a:gd name="connsiteY0" fmla="*/ 1029201 h 1029200"/>
            <a:gd name="connsiteX1" fmla="*/ 1174534 w 6889430"/>
            <a:gd name="connsiteY1" fmla="*/ 763292 h 1029200"/>
            <a:gd name="connsiteX2" fmla="*/ 987543 w 6889430"/>
            <a:gd name="connsiteY2" fmla="*/ 539470 h 1029200"/>
            <a:gd name="connsiteX3" fmla="*/ 987543 w 6889430"/>
            <a:gd name="connsiteY3" fmla="*/ 539470 h 1029200"/>
            <a:gd name="connsiteX4" fmla="*/ 818083 w 6889430"/>
            <a:gd name="connsiteY4" fmla="*/ 696337 h 1029200"/>
            <a:gd name="connsiteX5" fmla="*/ 590189 w 6889430"/>
            <a:gd name="connsiteY5" fmla="*/ 879986 h 1029200"/>
            <a:gd name="connsiteX6" fmla="*/ 347685 w 6889430"/>
            <a:gd name="connsiteY6" fmla="*/ 679120 h 1029200"/>
            <a:gd name="connsiteX7" fmla="*/ 20452 w 6889430"/>
            <a:gd name="connsiteY7" fmla="*/ 430428 h 1029200"/>
            <a:gd name="connsiteX8" fmla="*/ 20452 w 6889430"/>
            <a:gd name="connsiteY8" fmla="*/ 430428 h 1029200"/>
            <a:gd name="connsiteX9" fmla="*/ 0 w 6889430"/>
            <a:gd name="connsiteY9" fmla="*/ 417037 h 1029200"/>
            <a:gd name="connsiteX10" fmla="*/ 20452 w 6889430"/>
            <a:gd name="connsiteY10" fmla="*/ 403646 h 1029200"/>
            <a:gd name="connsiteX11" fmla="*/ 20452 w 6889430"/>
            <a:gd name="connsiteY11" fmla="*/ 403646 h 1029200"/>
            <a:gd name="connsiteX12" fmla="*/ 385668 w 6889430"/>
            <a:gd name="connsiteY12" fmla="*/ 669555 h 1029200"/>
            <a:gd name="connsiteX13" fmla="*/ 587267 w 6889430"/>
            <a:gd name="connsiteY13" fmla="*/ 853204 h 1029200"/>
            <a:gd name="connsiteX14" fmla="*/ 771336 w 6889430"/>
            <a:gd name="connsiteY14" fmla="*/ 688685 h 1029200"/>
            <a:gd name="connsiteX15" fmla="*/ 981700 w 6889430"/>
            <a:gd name="connsiteY15" fmla="*/ 512687 h 1029200"/>
            <a:gd name="connsiteX16" fmla="*/ 981700 w 6889430"/>
            <a:gd name="connsiteY16" fmla="*/ 512687 h 1029200"/>
            <a:gd name="connsiteX17" fmla="*/ 1209595 w 6889430"/>
            <a:gd name="connsiteY17" fmla="*/ 759466 h 1029200"/>
            <a:gd name="connsiteX18" fmla="*/ 1422881 w 6889430"/>
            <a:gd name="connsiteY18" fmla="*/ 1002419 h 1029200"/>
            <a:gd name="connsiteX19" fmla="*/ 1425802 w 6889430"/>
            <a:gd name="connsiteY19" fmla="*/ 1002419 h 1029200"/>
            <a:gd name="connsiteX20" fmla="*/ 1633245 w 6889430"/>
            <a:gd name="connsiteY20" fmla="*/ 682946 h 1029200"/>
            <a:gd name="connsiteX21" fmla="*/ 1878670 w 6889430"/>
            <a:gd name="connsiteY21" fmla="*/ 344342 h 1029200"/>
            <a:gd name="connsiteX22" fmla="*/ 2097800 w 6889430"/>
            <a:gd name="connsiteY22" fmla="*/ 552861 h 1029200"/>
            <a:gd name="connsiteX23" fmla="*/ 2273103 w 6889430"/>
            <a:gd name="connsiteY23" fmla="*/ 740336 h 1029200"/>
            <a:gd name="connsiteX24" fmla="*/ 2486389 w 6889430"/>
            <a:gd name="connsiteY24" fmla="*/ 384516 h 1029200"/>
            <a:gd name="connsiteX25" fmla="*/ 2746423 w 6889430"/>
            <a:gd name="connsiteY25" fmla="*/ 0 h 1029200"/>
            <a:gd name="connsiteX26" fmla="*/ 2974317 w 6889430"/>
            <a:gd name="connsiteY26" fmla="*/ 476340 h 1029200"/>
            <a:gd name="connsiteX27" fmla="*/ 3213899 w 6889430"/>
            <a:gd name="connsiteY27" fmla="*/ 998593 h 1029200"/>
            <a:gd name="connsiteX28" fmla="*/ 3438872 w 6889430"/>
            <a:gd name="connsiteY28" fmla="*/ 648511 h 1029200"/>
            <a:gd name="connsiteX29" fmla="*/ 3643393 w 6889430"/>
            <a:gd name="connsiteY29" fmla="*/ 330951 h 1029200"/>
            <a:gd name="connsiteX30" fmla="*/ 3646314 w 6889430"/>
            <a:gd name="connsiteY30" fmla="*/ 330951 h 1029200"/>
            <a:gd name="connsiteX31" fmla="*/ 3824540 w 6889430"/>
            <a:gd name="connsiteY31" fmla="*/ 554774 h 1029200"/>
            <a:gd name="connsiteX32" fmla="*/ 4002765 w 6889430"/>
            <a:gd name="connsiteY32" fmla="*/ 790074 h 1029200"/>
            <a:gd name="connsiteX33" fmla="*/ 4143008 w 6889430"/>
            <a:gd name="connsiteY33" fmla="*/ 686772 h 1029200"/>
            <a:gd name="connsiteX34" fmla="*/ 4335842 w 6889430"/>
            <a:gd name="connsiteY34" fmla="*/ 560513 h 1029200"/>
            <a:gd name="connsiteX35" fmla="*/ 4522832 w 6889430"/>
            <a:gd name="connsiteY35" fmla="*/ 747988 h 1029200"/>
            <a:gd name="connsiteX36" fmla="*/ 4727353 w 6889430"/>
            <a:gd name="connsiteY36" fmla="*/ 956507 h 1029200"/>
            <a:gd name="connsiteX37" fmla="*/ 4955248 w 6889430"/>
            <a:gd name="connsiteY37" fmla="*/ 596860 h 1029200"/>
            <a:gd name="connsiteX38" fmla="*/ 5215281 w 6889430"/>
            <a:gd name="connsiteY38" fmla="*/ 221910 h 1029200"/>
            <a:gd name="connsiteX39" fmla="*/ 5451941 w 6889430"/>
            <a:gd name="connsiteY39" fmla="*/ 552861 h 1029200"/>
            <a:gd name="connsiteX40" fmla="*/ 5638932 w 6889430"/>
            <a:gd name="connsiteY40" fmla="*/ 855117 h 1029200"/>
            <a:gd name="connsiteX41" fmla="*/ 5828844 w 6889430"/>
            <a:gd name="connsiteY41" fmla="*/ 658077 h 1029200"/>
            <a:gd name="connsiteX42" fmla="*/ 6062582 w 6889430"/>
            <a:gd name="connsiteY42" fmla="*/ 441906 h 1029200"/>
            <a:gd name="connsiteX43" fmla="*/ 6275868 w 6889430"/>
            <a:gd name="connsiteY43" fmla="*/ 686772 h 1029200"/>
            <a:gd name="connsiteX44" fmla="*/ 6445328 w 6889430"/>
            <a:gd name="connsiteY44" fmla="*/ 906768 h 1029200"/>
            <a:gd name="connsiteX45" fmla="*/ 6603101 w 6889430"/>
            <a:gd name="connsiteY45" fmla="*/ 692511 h 1029200"/>
            <a:gd name="connsiteX46" fmla="*/ 6866057 w 6889430"/>
            <a:gd name="connsiteY46" fmla="*/ 392168 h 1029200"/>
            <a:gd name="connsiteX47" fmla="*/ 6889431 w 6889430"/>
            <a:gd name="connsiteY47" fmla="*/ 403646 h 1029200"/>
            <a:gd name="connsiteX48" fmla="*/ 6871900 w 6889430"/>
            <a:gd name="connsiteY48" fmla="*/ 418950 h 1029200"/>
            <a:gd name="connsiteX49" fmla="*/ 6644005 w 6889430"/>
            <a:gd name="connsiteY49" fmla="*/ 698250 h 1029200"/>
            <a:gd name="connsiteX50" fmla="*/ 6442406 w 6889430"/>
            <a:gd name="connsiteY50" fmla="*/ 933550 h 1029200"/>
            <a:gd name="connsiteX51" fmla="*/ 6232042 w 6889430"/>
            <a:gd name="connsiteY51" fmla="*/ 690598 h 1029200"/>
            <a:gd name="connsiteX52" fmla="*/ 6062582 w 6889430"/>
            <a:gd name="connsiteY52" fmla="*/ 468688 h 1029200"/>
            <a:gd name="connsiteX53" fmla="*/ 5872670 w 6889430"/>
            <a:gd name="connsiteY53" fmla="*/ 665729 h 1029200"/>
            <a:gd name="connsiteX54" fmla="*/ 5638932 w 6889430"/>
            <a:gd name="connsiteY54" fmla="*/ 881899 h 1029200"/>
            <a:gd name="connsiteX55" fmla="*/ 5408116 w 6889430"/>
            <a:gd name="connsiteY55" fmla="*/ 554774 h 1029200"/>
            <a:gd name="connsiteX56" fmla="*/ 5215281 w 6889430"/>
            <a:gd name="connsiteY56" fmla="*/ 248692 h 1029200"/>
            <a:gd name="connsiteX57" fmla="*/ 4996152 w 6889430"/>
            <a:gd name="connsiteY57" fmla="*/ 600686 h 1029200"/>
            <a:gd name="connsiteX58" fmla="*/ 4727353 w 6889430"/>
            <a:gd name="connsiteY58" fmla="*/ 985202 h 1029200"/>
            <a:gd name="connsiteX59" fmla="*/ 4481928 w 6889430"/>
            <a:gd name="connsiteY59" fmla="*/ 755640 h 1029200"/>
            <a:gd name="connsiteX60" fmla="*/ 4335842 w 6889430"/>
            <a:gd name="connsiteY60" fmla="*/ 587295 h 1029200"/>
            <a:gd name="connsiteX61" fmla="*/ 4180990 w 6889430"/>
            <a:gd name="connsiteY61" fmla="*/ 698250 h 1029200"/>
            <a:gd name="connsiteX62" fmla="*/ 3999843 w 6889430"/>
            <a:gd name="connsiteY62" fmla="*/ 818770 h 1029200"/>
            <a:gd name="connsiteX63" fmla="*/ 3777792 w 6889430"/>
            <a:gd name="connsiteY63" fmla="*/ 560513 h 1029200"/>
            <a:gd name="connsiteX64" fmla="*/ 3643393 w 6889430"/>
            <a:gd name="connsiteY64" fmla="*/ 359646 h 1029200"/>
            <a:gd name="connsiteX65" fmla="*/ 3643393 w 6889430"/>
            <a:gd name="connsiteY65" fmla="*/ 359646 h 1029200"/>
            <a:gd name="connsiteX66" fmla="*/ 3482698 w 6889430"/>
            <a:gd name="connsiteY66" fmla="*/ 652337 h 1029200"/>
            <a:gd name="connsiteX67" fmla="*/ 3213899 w 6889430"/>
            <a:gd name="connsiteY67" fmla="*/ 1027288 h 1029200"/>
            <a:gd name="connsiteX68" fmla="*/ 2930492 w 6889430"/>
            <a:gd name="connsiteY68" fmla="*/ 478253 h 1029200"/>
            <a:gd name="connsiteX69" fmla="*/ 2746423 w 6889430"/>
            <a:gd name="connsiteY69" fmla="*/ 26782 h 1029200"/>
            <a:gd name="connsiteX70" fmla="*/ 2530215 w 6889430"/>
            <a:gd name="connsiteY70" fmla="*/ 386429 h 1029200"/>
            <a:gd name="connsiteX71" fmla="*/ 2276025 w 6889430"/>
            <a:gd name="connsiteY71" fmla="*/ 767118 h 1029200"/>
            <a:gd name="connsiteX72" fmla="*/ 2056895 w 6889430"/>
            <a:gd name="connsiteY72" fmla="*/ 558600 h 1029200"/>
            <a:gd name="connsiteX73" fmla="*/ 1881592 w 6889430"/>
            <a:gd name="connsiteY73" fmla="*/ 371125 h 1029200"/>
            <a:gd name="connsiteX74" fmla="*/ 1679993 w 6889430"/>
            <a:gd name="connsiteY74" fmla="*/ 686772 h 1029200"/>
            <a:gd name="connsiteX75" fmla="*/ 1431646 w 6889430"/>
            <a:gd name="connsiteY75" fmla="*/ 1029201 h 1029200"/>
            <a:gd name="connsiteX76" fmla="*/ 1428724 w 6889430"/>
            <a:gd name="connsiteY76" fmla="*/ 1029201 h 1029200"/>
            <a:gd name="connsiteX77" fmla="*/ 1428724 w 6889430"/>
            <a:gd name="connsiteY77" fmla="*/ 1029201 h 10292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  <a:cxn ang="0">
              <a:pos x="connsiteX55" y="connsiteY55"/>
            </a:cxn>
            <a:cxn ang="0">
              <a:pos x="connsiteX56" y="connsiteY56"/>
            </a:cxn>
            <a:cxn ang="0">
              <a:pos x="connsiteX57" y="connsiteY57"/>
            </a:cxn>
            <a:cxn ang="0">
              <a:pos x="connsiteX58" y="connsiteY58"/>
            </a:cxn>
            <a:cxn ang="0">
              <a:pos x="connsiteX59" y="connsiteY59"/>
            </a:cxn>
            <a:cxn ang="0">
              <a:pos x="connsiteX60" y="connsiteY60"/>
            </a:cxn>
            <a:cxn ang="0">
              <a:pos x="connsiteX61" y="connsiteY61"/>
            </a:cxn>
            <a:cxn ang="0">
              <a:pos x="connsiteX62" y="connsiteY62"/>
            </a:cxn>
            <a:cxn ang="0">
              <a:pos x="connsiteX63" y="connsiteY63"/>
            </a:cxn>
            <a:cxn ang="0">
              <a:pos x="connsiteX64" y="connsiteY64"/>
            </a:cxn>
            <a:cxn ang="0">
              <a:pos x="connsiteX65" y="connsiteY65"/>
            </a:cxn>
            <a:cxn ang="0">
              <a:pos x="connsiteX66" y="connsiteY66"/>
            </a:cxn>
            <a:cxn ang="0">
              <a:pos x="connsiteX67" y="connsiteY67"/>
            </a:cxn>
            <a:cxn ang="0">
              <a:pos x="connsiteX68" y="connsiteY68"/>
            </a:cxn>
            <a:cxn ang="0">
              <a:pos x="connsiteX69" y="connsiteY69"/>
            </a:cxn>
            <a:cxn ang="0">
              <a:pos x="connsiteX70" y="connsiteY70"/>
            </a:cxn>
            <a:cxn ang="0">
              <a:pos x="connsiteX71" y="connsiteY71"/>
            </a:cxn>
            <a:cxn ang="0">
              <a:pos x="connsiteX72" y="connsiteY72"/>
            </a:cxn>
            <a:cxn ang="0">
              <a:pos x="connsiteX73" y="connsiteY73"/>
            </a:cxn>
            <a:cxn ang="0">
              <a:pos x="connsiteX74" y="connsiteY74"/>
            </a:cxn>
            <a:cxn ang="0">
              <a:pos x="connsiteX75" y="connsiteY75"/>
            </a:cxn>
            <a:cxn ang="0">
              <a:pos x="connsiteX76" y="connsiteY76"/>
            </a:cxn>
            <a:cxn ang="0">
              <a:pos x="connsiteX77" y="connsiteY77"/>
            </a:cxn>
          </a:cxnLst>
          <a:rect l="l" t="t" r="r" b="b"/>
          <a:pathLst>
            <a:path w="6889430" h="1029200">
              <a:moveTo>
                <a:pt x="1428724" y="1029201"/>
              </a:moveTo>
              <a:cubicBezTo>
                <a:pt x="1276794" y="1029201"/>
                <a:pt x="1224203" y="895290"/>
                <a:pt x="1174534" y="763292"/>
              </a:cubicBezTo>
              <a:cubicBezTo>
                <a:pt x="1130708" y="652337"/>
                <a:pt x="1086882" y="539470"/>
                <a:pt x="987543" y="539470"/>
              </a:cubicBezTo>
              <a:lnTo>
                <a:pt x="987543" y="539470"/>
              </a:lnTo>
              <a:cubicBezTo>
                <a:pt x="899892" y="539470"/>
                <a:pt x="858988" y="615990"/>
                <a:pt x="818083" y="696337"/>
              </a:cubicBezTo>
              <a:cubicBezTo>
                <a:pt x="771336" y="786248"/>
                <a:pt x="721666" y="879986"/>
                <a:pt x="590189" y="879986"/>
              </a:cubicBezTo>
              <a:cubicBezTo>
                <a:pt x="467476" y="879986"/>
                <a:pt x="409042" y="782422"/>
                <a:pt x="347685" y="679120"/>
              </a:cubicBezTo>
              <a:cubicBezTo>
                <a:pt x="274642" y="556687"/>
                <a:pt x="198677" y="430428"/>
                <a:pt x="20452" y="430428"/>
              </a:cubicBezTo>
              <a:cubicBezTo>
                <a:pt x="20452" y="430428"/>
                <a:pt x="20452" y="430428"/>
                <a:pt x="20452" y="430428"/>
              </a:cubicBezTo>
              <a:cubicBezTo>
                <a:pt x="8765" y="430428"/>
                <a:pt x="0" y="424689"/>
                <a:pt x="0" y="417037"/>
              </a:cubicBezTo>
              <a:cubicBezTo>
                <a:pt x="0" y="409385"/>
                <a:pt x="8765" y="403646"/>
                <a:pt x="20452" y="403646"/>
              </a:cubicBezTo>
              <a:lnTo>
                <a:pt x="20452" y="403646"/>
              </a:lnTo>
              <a:cubicBezTo>
                <a:pt x="227895" y="403646"/>
                <a:pt x="312625" y="545209"/>
                <a:pt x="385668" y="669555"/>
              </a:cubicBezTo>
              <a:cubicBezTo>
                <a:pt x="441181" y="763292"/>
                <a:pt x="496693" y="853204"/>
                <a:pt x="587267" y="853204"/>
              </a:cubicBezTo>
              <a:cubicBezTo>
                <a:pt x="686606" y="853204"/>
                <a:pt x="727510" y="772857"/>
                <a:pt x="771336" y="688685"/>
              </a:cubicBezTo>
              <a:cubicBezTo>
                <a:pt x="815162" y="602599"/>
                <a:pt x="861909" y="514601"/>
                <a:pt x="981700" y="512687"/>
              </a:cubicBezTo>
              <a:lnTo>
                <a:pt x="981700" y="512687"/>
              </a:lnTo>
              <a:cubicBezTo>
                <a:pt x="1113178" y="512687"/>
                <a:pt x="1159925" y="631294"/>
                <a:pt x="1209595" y="759466"/>
              </a:cubicBezTo>
              <a:cubicBezTo>
                <a:pt x="1256342" y="879986"/>
                <a:pt x="1306012" y="1002419"/>
                <a:pt x="1422881" y="1002419"/>
              </a:cubicBezTo>
              <a:cubicBezTo>
                <a:pt x="1422881" y="1002419"/>
                <a:pt x="1422881" y="1002419"/>
                <a:pt x="1425802" y="1002419"/>
              </a:cubicBezTo>
              <a:cubicBezTo>
                <a:pt x="1536828" y="1000506"/>
                <a:pt x="1586497" y="832161"/>
                <a:pt x="1633245" y="682946"/>
              </a:cubicBezTo>
              <a:cubicBezTo>
                <a:pt x="1685836" y="508862"/>
                <a:pt x="1735505" y="344342"/>
                <a:pt x="1878670" y="344342"/>
              </a:cubicBezTo>
              <a:cubicBezTo>
                <a:pt x="2001382" y="344342"/>
                <a:pt x="2051052" y="449558"/>
                <a:pt x="2097800" y="552861"/>
              </a:cubicBezTo>
              <a:cubicBezTo>
                <a:pt x="2141625" y="644685"/>
                <a:pt x="2185451" y="740336"/>
                <a:pt x="2273103" y="740336"/>
              </a:cubicBezTo>
              <a:cubicBezTo>
                <a:pt x="2395816" y="740336"/>
                <a:pt x="2439641" y="558600"/>
                <a:pt x="2486389" y="384516"/>
              </a:cubicBezTo>
              <a:cubicBezTo>
                <a:pt x="2536059" y="187475"/>
                <a:pt x="2582806" y="0"/>
                <a:pt x="2746423" y="0"/>
              </a:cubicBezTo>
              <a:cubicBezTo>
                <a:pt x="2904196" y="0"/>
                <a:pt x="2936335" y="219996"/>
                <a:pt x="2974317" y="476340"/>
              </a:cubicBezTo>
              <a:cubicBezTo>
                <a:pt x="3009378" y="721206"/>
                <a:pt x="3050282" y="998593"/>
                <a:pt x="3213899" y="998593"/>
              </a:cubicBezTo>
              <a:cubicBezTo>
                <a:pt x="3377516" y="998593"/>
                <a:pt x="3409654" y="820683"/>
                <a:pt x="3438872" y="648511"/>
              </a:cubicBezTo>
              <a:cubicBezTo>
                <a:pt x="3468089" y="485905"/>
                <a:pt x="3494385" y="332864"/>
                <a:pt x="3643393" y="330951"/>
              </a:cubicBezTo>
              <a:cubicBezTo>
                <a:pt x="3643393" y="330951"/>
                <a:pt x="3643393" y="330951"/>
                <a:pt x="3646314" y="330951"/>
              </a:cubicBezTo>
              <a:cubicBezTo>
                <a:pt x="3763184" y="330951"/>
                <a:pt x="3792401" y="439993"/>
                <a:pt x="3824540" y="554774"/>
              </a:cubicBezTo>
              <a:cubicBezTo>
                <a:pt x="3856679" y="669555"/>
                <a:pt x="3885896" y="790074"/>
                <a:pt x="4002765" y="790074"/>
              </a:cubicBezTo>
              <a:cubicBezTo>
                <a:pt x="4069965" y="790074"/>
                <a:pt x="4105025" y="740336"/>
                <a:pt x="4143008" y="686772"/>
              </a:cubicBezTo>
              <a:cubicBezTo>
                <a:pt x="4183912" y="627468"/>
                <a:pt x="4230660" y="560513"/>
                <a:pt x="4335842" y="560513"/>
              </a:cubicBezTo>
              <a:cubicBezTo>
                <a:pt x="4426415" y="560513"/>
                <a:pt x="4470241" y="648511"/>
                <a:pt x="4522832" y="747988"/>
              </a:cubicBezTo>
              <a:cubicBezTo>
                <a:pt x="4572502" y="845552"/>
                <a:pt x="4630936" y="956507"/>
                <a:pt x="4727353" y="956507"/>
              </a:cubicBezTo>
              <a:cubicBezTo>
                <a:pt x="4858831" y="956507"/>
                <a:pt x="4908500" y="772857"/>
                <a:pt x="4955248" y="596860"/>
              </a:cubicBezTo>
              <a:cubicBezTo>
                <a:pt x="5004917" y="403646"/>
                <a:pt x="5054587" y="221910"/>
                <a:pt x="5215281" y="221910"/>
              </a:cubicBezTo>
              <a:cubicBezTo>
                <a:pt x="5367211" y="221910"/>
                <a:pt x="5408116" y="382603"/>
                <a:pt x="5451941" y="552861"/>
              </a:cubicBezTo>
              <a:cubicBezTo>
                <a:pt x="5489924" y="702076"/>
                <a:pt x="5527906" y="855117"/>
                <a:pt x="5638932" y="855117"/>
              </a:cubicBezTo>
              <a:cubicBezTo>
                <a:pt x="5729505" y="855117"/>
                <a:pt x="5779175" y="755640"/>
                <a:pt x="5828844" y="658077"/>
              </a:cubicBezTo>
              <a:cubicBezTo>
                <a:pt x="5884357" y="550948"/>
                <a:pt x="5939870" y="441906"/>
                <a:pt x="6062582" y="441906"/>
              </a:cubicBezTo>
              <a:cubicBezTo>
                <a:pt x="6185294" y="441906"/>
                <a:pt x="6229120" y="560513"/>
                <a:pt x="6275868" y="686772"/>
              </a:cubicBezTo>
              <a:cubicBezTo>
                <a:pt x="6316772" y="795813"/>
                <a:pt x="6354755" y="906768"/>
                <a:pt x="6445328" y="906768"/>
              </a:cubicBezTo>
              <a:cubicBezTo>
                <a:pt x="6524215" y="906768"/>
                <a:pt x="6565119" y="797726"/>
                <a:pt x="6603101" y="692511"/>
              </a:cubicBezTo>
              <a:cubicBezTo>
                <a:pt x="6652771" y="558600"/>
                <a:pt x="6708284" y="405559"/>
                <a:pt x="6866057" y="392168"/>
              </a:cubicBezTo>
              <a:cubicBezTo>
                <a:pt x="6877743" y="390255"/>
                <a:pt x="6889431" y="395994"/>
                <a:pt x="6889431" y="403646"/>
              </a:cubicBezTo>
              <a:cubicBezTo>
                <a:pt x="6889431" y="411298"/>
                <a:pt x="6883587" y="418950"/>
                <a:pt x="6871900" y="418950"/>
              </a:cubicBezTo>
              <a:cubicBezTo>
                <a:pt x="6743344" y="430428"/>
                <a:pt x="6690753" y="571991"/>
                <a:pt x="6644005" y="698250"/>
              </a:cubicBezTo>
              <a:cubicBezTo>
                <a:pt x="6597258" y="824509"/>
                <a:pt x="6556354" y="933550"/>
                <a:pt x="6442406" y="933550"/>
              </a:cubicBezTo>
              <a:cubicBezTo>
                <a:pt x="6319694" y="933550"/>
                <a:pt x="6278790" y="814944"/>
                <a:pt x="6232042" y="690598"/>
              </a:cubicBezTo>
              <a:cubicBezTo>
                <a:pt x="6191138" y="581556"/>
                <a:pt x="6150234" y="468688"/>
                <a:pt x="6062582" y="468688"/>
              </a:cubicBezTo>
              <a:cubicBezTo>
                <a:pt x="5972008" y="468688"/>
                <a:pt x="5922339" y="568165"/>
                <a:pt x="5872670" y="665729"/>
              </a:cubicBezTo>
              <a:cubicBezTo>
                <a:pt x="5817157" y="772857"/>
                <a:pt x="5761644" y="881899"/>
                <a:pt x="5638932" y="881899"/>
              </a:cubicBezTo>
              <a:cubicBezTo>
                <a:pt x="5489924" y="881899"/>
                <a:pt x="5451941" y="723119"/>
                <a:pt x="5408116" y="554774"/>
              </a:cubicBezTo>
              <a:cubicBezTo>
                <a:pt x="5370133" y="403646"/>
                <a:pt x="5329229" y="248692"/>
                <a:pt x="5215281" y="248692"/>
              </a:cubicBezTo>
              <a:cubicBezTo>
                <a:pt x="5089647" y="248692"/>
                <a:pt x="5042900" y="428515"/>
                <a:pt x="4996152" y="600686"/>
              </a:cubicBezTo>
              <a:cubicBezTo>
                <a:pt x="4943561" y="797726"/>
                <a:pt x="4893892" y="985202"/>
                <a:pt x="4727353" y="985202"/>
              </a:cubicBezTo>
              <a:cubicBezTo>
                <a:pt x="4598797" y="985202"/>
                <a:pt x="4537441" y="868508"/>
                <a:pt x="4481928" y="755640"/>
              </a:cubicBezTo>
              <a:cubicBezTo>
                <a:pt x="4438102" y="673381"/>
                <a:pt x="4394276" y="587295"/>
                <a:pt x="4335842" y="587295"/>
              </a:cubicBezTo>
              <a:cubicBezTo>
                <a:pt x="4259877" y="587295"/>
                <a:pt x="4221895" y="640859"/>
                <a:pt x="4180990" y="698250"/>
              </a:cubicBezTo>
              <a:cubicBezTo>
                <a:pt x="4140086" y="757553"/>
                <a:pt x="4096260" y="818770"/>
                <a:pt x="3999843" y="818770"/>
              </a:cubicBezTo>
              <a:cubicBezTo>
                <a:pt x="3847913" y="818770"/>
                <a:pt x="3812853" y="686772"/>
                <a:pt x="3777792" y="560513"/>
              </a:cubicBezTo>
              <a:cubicBezTo>
                <a:pt x="3751496" y="462949"/>
                <a:pt x="3725201" y="359646"/>
                <a:pt x="3643393" y="359646"/>
              </a:cubicBezTo>
              <a:lnTo>
                <a:pt x="3643393" y="359646"/>
              </a:lnTo>
              <a:cubicBezTo>
                <a:pt x="3535289" y="361559"/>
                <a:pt x="3508993" y="508862"/>
                <a:pt x="3482698" y="652337"/>
              </a:cubicBezTo>
              <a:cubicBezTo>
                <a:pt x="3450559" y="835987"/>
                <a:pt x="3415498" y="1027288"/>
                <a:pt x="3213899" y="1027288"/>
              </a:cubicBezTo>
              <a:cubicBezTo>
                <a:pt x="3009378" y="1027288"/>
                <a:pt x="2968474" y="747988"/>
                <a:pt x="2930492" y="478253"/>
              </a:cubicBezTo>
              <a:cubicBezTo>
                <a:pt x="2901274" y="267822"/>
                <a:pt x="2866213" y="26782"/>
                <a:pt x="2746423" y="26782"/>
              </a:cubicBezTo>
              <a:cubicBezTo>
                <a:pt x="2620788" y="26782"/>
                <a:pt x="2574041" y="218084"/>
                <a:pt x="2530215" y="386429"/>
              </a:cubicBezTo>
              <a:cubicBezTo>
                <a:pt x="2480546" y="581556"/>
                <a:pt x="2433798" y="767118"/>
                <a:pt x="2276025" y="767118"/>
              </a:cubicBezTo>
              <a:cubicBezTo>
                <a:pt x="2153312" y="767118"/>
                <a:pt x="2103643" y="661903"/>
                <a:pt x="2056895" y="558600"/>
              </a:cubicBezTo>
              <a:cubicBezTo>
                <a:pt x="2013069" y="466775"/>
                <a:pt x="1969244" y="371125"/>
                <a:pt x="1881592" y="371125"/>
              </a:cubicBezTo>
              <a:cubicBezTo>
                <a:pt x="1773488" y="371125"/>
                <a:pt x="1723819" y="537557"/>
                <a:pt x="1679993" y="686772"/>
              </a:cubicBezTo>
              <a:cubicBezTo>
                <a:pt x="1627401" y="860856"/>
                <a:pt x="1577732" y="1027288"/>
                <a:pt x="1431646" y="1029201"/>
              </a:cubicBezTo>
              <a:cubicBezTo>
                <a:pt x="1431646" y="1029201"/>
                <a:pt x="1431646" y="1029201"/>
                <a:pt x="1428724" y="1029201"/>
              </a:cubicBezTo>
              <a:lnTo>
                <a:pt x="1428724" y="1029201"/>
              </a:lnTo>
              <a:close/>
            </a:path>
          </a:pathLst>
        </a:custGeom>
        <a:solidFill>
          <a:schemeClr val="accent3">
            <a:lumMod val="60000"/>
            <a:lumOff val="40000"/>
          </a:schemeClr>
        </a:solidFill>
        <a:ln w="29208" cap="flat">
          <a:noFill/>
          <a:prstDash val="solid"/>
          <a:miter/>
        </a:ln>
      </xdr:spPr>
      <xdr:txBody>
        <a:bodyPr rtlCol="0" anchor="ctr"/>
        <a:lstStyle/>
        <a:p>
          <a:endParaRPr lang="en-US"/>
        </a:p>
      </xdr:txBody>
    </xdr:sp>
    <xdr:clientData/>
  </xdr:twoCellAnchor>
  <xdr:twoCellAnchor>
    <xdr:from>
      <xdr:col>5</xdr:col>
      <xdr:colOff>6850</xdr:colOff>
      <xdr:row>0</xdr:row>
      <xdr:rowOff>197057</xdr:rowOff>
    </xdr:from>
    <xdr:to>
      <xdr:col>9</xdr:col>
      <xdr:colOff>952680</xdr:colOff>
      <xdr:row>2</xdr:row>
      <xdr:rowOff>901216</xdr:rowOff>
    </xdr:to>
    <xdr:sp macro="" textlink="">
      <xdr:nvSpPr>
        <xdr:cNvPr id="3" name="Freeform: Shape 2">
          <a:extLst>
            <a:ext uri="{FF2B5EF4-FFF2-40B4-BE49-F238E27FC236}">
              <a16:creationId xmlns:a16="http://schemas.microsoft.com/office/drawing/2014/main" id="{6A60A544-5A91-4A07-B7DE-D21769C19299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SpPr/>
      </xdr:nvSpPr>
      <xdr:spPr>
        <a:xfrm>
          <a:off x="7707813" y="197057"/>
          <a:ext cx="6889430" cy="1199459"/>
        </a:xfrm>
        <a:custGeom>
          <a:avLst/>
          <a:gdLst>
            <a:gd name="connsiteX0" fmla="*/ 2974317 w 6889430"/>
            <a:gd name="connsiteY0" fmla="*/ 1199459 h 1199459"/>
            <a:gd name="connsiteX1" fmla="*/ 2679223 w 6889430"/>
            <a:gd name="connsiteY1" fmla="*/ 537557 h 1199459"/>
            <a:gd name="connsiteX2" fmla="*/ 2512685 w 6889430"/>
            <a:gd name="connsiteY2" fmla="*/ 28695 h 1199459"/>
            <a:gd name="connsiteX3" fmla="*/ 2311085 w 6889430"/>
            <a:gd name="connsiteY3" fmla="*/ 441906 h 1199459"/>
            <a:gd name="connsiteX4" fmla="*/ 2071504 w 6889430"/>
            <a:gd name="connsiteY4" fmla="*/ 876160 h 1199459"/>
            <a:gd name="connsiteX5" fmla="*/ 1855296 w 6889430"/>
            <a:gd name="connsiteY5" fmla="*/ 589208 h 1199459"/>
            <a:gd name="connsiteX6" fmla="*/ 1679993 w 6889430"/>
            <a:gd name="connsiteY6" fmla="*/ 325212 h 1199459"/>
            <a:gd name="connsiteX7" fmla="*/ 1484237 w 6889430"/>
            <a:gd name="connsiteY7" fmla="*/ 681033 h 1199459"/>
            <a:gd name="connsiteX8" fmla="*/ 1206673 w 6889430"/>
            <a:gd name="connsiteY8" fmla="*/ 1099983 h 1199459"/>
            <a:gd name="connsiteX9" fmla="*/ 955404 w 6889430"/>
            <a:gd name="connsiteY9" fmla="*/ 791987 h 1199459"/>
            <a:gd name="connsiteX10" fmla="*/ 777179 w 6889430"/>
            <a:gd name="connsiteY10" fmla="*/ 529905 h 1199459"/>
            <a:gd name="connsiteX11" fmla="*/ 777179 w 6889430"/>
            <a:gd name="connsiteY11" fmla="*/ 529905 h 1199459"/>
            <a:gd name="connsiteX12" fmla="*/ 587267 w 6889430"/>
            <a:gd name="connsiteY12" fmla="*/ 747988 h 1199459"/>
            <a:gd name="connsiteX13" fmla="*/ 350607 w 6889430"/>
            <a:gd name="connsiteY13" fmla="*/ 989028 h 1199459"/>
            <a:gd name="connsiteX14" fmla="*/ 350607 w 6889430"/>
            <a:gd name="connsiteY14" fmla="*/ 989028 h 1199459"/>
            <a:gd name="connsiteX15" fmla="*/ 178225 w 6889430"/>
            <a:gd name="connsiteY15" fmla="*/ 816857 h 1199459"/>
            <a:gd name="connsiteX16" fmla="*/ 20452 w 6889430"/>
            <a:gd name="connsiteY16" fmla="*/ 644685 h 1199459"/>
            <a:gd name="connsiteX17" fmla="*/ 0 w 6889430"/>
            <a:gd name="connsiteY17" fmla="*/ 629381 h 1199459"/>
            <a:gd name="connsiteX18" fmla="*/ 23374 w 6889430"/>
            <a:gd name="connsiteY18" fmla="*/ 615990 h 1199459"/>
            <a:gd name="connsiteX19" fmla="*/ 219129 w 6889430"/>
            <a:gd name="connsiteY19" fmla="*/ 809204 h 1199459"/>
            <a:gd name="connsiteX20" fmla="*/ 350607 w 6889430"/>
            <a:gd name="connsiteY20" fmla="*/ 958419 h 1199459"/>
            <a:gd name="connsiteX21" fmla="*/ 350607 w 6889430"/>
            <a:gd name="connsiteY21" fmla="*/ 958419 h 1199459"/>
            <a:gd name="connsiteX22" fmla="*/ 546363 w 6889430"/>
            <a:gd name="connsiteY22" fmla="*/ 736510 h 1199459"/>
            <a:gd name="connsiteX23" fmla="*/ 780101 w 6889430"/>
            <a:gd name="connsiteY23" fmla="*/ 497383 h 1199459"/>
            <a:gd name="connsiteX24" fmla="*/ 780101 w 6889430"/>
            <a:gd name="connsiteY24" fmla="*/ 497383 h 1199459"/>
            <a:gd name="connsiteX25" fmla="*/ 1002152 w 6889430"/>
            <a:gd name="connsiteY25" fmla="*/ 780509 h 1199459"/>
            <a:gd name="connsiteX26" fmla="*/ 1209595 w 6889430"/>
            <a:gd name="connsiteY26" fmla="*/ 1065548 h 1199459"/>
            <a:gd name="connsiteX27" fmla="*/ 1443333 w 6889430"/>
            <a:gd name="connsiteY27" fmla="*/ 671468 h 1199459"/>
            <a:gd name="connsiteX28" fmla="*/ 1682914 w 6889430"/>
            <a:gd name="connsiteY28" fmla="*/ 292691 h 1199459"/>
            <a:gd name="connsiteX29" fmla="*/ 1899122 w 6889430"/>
            <a:gd name="connsiteY29" fmla="*/ 579643 h 1199459"/>
            <a:gd name="connsiteX30" fmla="*/ 2074426 w 6889430"/>
            <a:gd name="connsiteY30" fmla="*/ 843639 h 1199459"/>
            <a:gd name="connsiteX31" fmla="*/ 2270181 w 6889430"/>
            <a:gd name="connsiteY31" fmla="*/ 434254 h 1199459"/>
            <a:gd name="connsiteX32" fmla="*/ 2512685 w 6889430"/>
            <a:gd name="connsiteY32" fmla="*/ 0 h 1199459"/>
            <a:gd name="connsiteX33" fmla="*/ 2720127 w 6889430"/>
            <a:gd name="connsiteY33" fmla="*/ 535644 h 1199459"/>
            <a:gd name="connsiteX34" fmla="*/ 2971396 w 6889430"/>
            <a:gd name="connsiteY34" fmla="*/ 1170764 h 1199459"/>
            <a:gd name="connsiteX35" fmla="*/ 3199290 w 6889430"/>
            <a:gd name="connsiteY35" fmla="*/ 732684 h 1199459"/>
            <a:gd name="connsiteX36" fmla="*/ 3459324 w 6889430"/>
            <a:gd name="connsiteY36" fmla="*/ 281213 h 1199459"/>
            <a:gd name="connsiteX37" fmla="*/ 3669688 w 6889430"/>
            <a:gd name="connsiteY37" fmla="*/ 594947 h 1199459"/>
            <a:gd name="connsiteX38" fmla="*/ 3818696 w 6889430"/>
            <a:gd name="connsiteY38" fmla="*/ 864682 h 1199459"/>
            <a:gd name="connsiteX39" fmla="*/ 3958939 w 6889430"/>
            <a:gd name="connsiteY39" fmla="*/ 736510 h 1199459"/>
            <a:gd name="connsiteX40" fmla="*/ 4154695 w 6889430"/>
            <a:gd name="connsiteY40" fmla="*/ 581556 h 1199459"/>
            <a:gd name="connsiteX41" fmla="*/ 4341685 w 6889430"/>
            <a:gd name="connsiteY41" fmla="*/ 784335 h 1199459"/>
            <a:gd name="connsiteX42" fmla="*/ 4546206 w 6889430"/>
            <a:gd name="connsiteY42" fmla="*/ 1011984 h 1199459"/>
            <a:gd name="connsiteX43" fmla="*/ 4777023 w 6889430"/>
            <a:gd name="connsiteY43" fmla="*/ 583469 h 1199459"/>
            <a:gd name="connsiteX44" fmla="*/ 5042900 w 6889430"/>
            <a:gd name="connsiteY44" fmla="*/ 139650 h 1199459"/>
            <a:gd name="connsiteX45" fmla="*/ 5279560 w 6889430"/>
            <a:gd name="connsiteY45" fmla="*/ 558600 h 1199459"/>
            <a:gd name="connsiteX46" fmla="*/ 5469472 w 6889430"/>
            <a:gd name="connsiteY46" fmla="*/ 946941 h 1199459"/>
            <a:gd name="connsiteX47" fmla="*/ 5662305 w 6889430"/>
            <a:gd name="connsiteY47" fmla="*/ 694424 h 1199459"/>
            <a:gd name="connsiteX48" fmla="*/ 5896043 w 6889430"/>
            <a:gd name="connsiteY48" fmla="*/ 420863 h 1199459"/>
            <a:gd name="connsiteX49" fmla="*/ 6129782 w 6889430"/>
            <a:gd name="connsiteY49" fmla="*/ 700163 h 1199459"/>
            <a:gd name="connsiteX50" fmla="*/ 6386894 w 6889430"/>
            <a:gd name="connsiteY50" fmla="*/ 1013897 h 1199459"/>
            <a:gd name="connsiteX51" fmla="*/ 6389815 w 6889430"/>
            <a:gd name="connsiteY51" fmla="*/ 1013897 h 1199459"/>
            <a:gd name="connsiteX52" fmla="*/ 6565119 w 6889430"/>
            <a:gd name="connsiteY52" fmla="*/ 845552 h 1199459"/>
            <a:gd name="connsiteX53" fmla="*/ 6868978 w 6889430"/>
            <a:gd name="connsiteY53" fmla="*/ 608338 h 1199459"/>
            <a:gd name="connsiteX54" fmla="*/ 6889430 w 6889430"/>
            <a:gd name="connsiteY54" fmla="*/ 621729 h 1199459"/>
            <a:gd name="connsiteX55" fmla="*/ 6868978 w 6889430"/>
            <a:gd name="connsiteY55" fmla="*/ 635120 h 1199459"/>
            <a:gd name="connsiteX56" fmla="*/ 6606023 w 6889430"/>
            <a:gd name="connsiteY56" fmla="*/ 853204 h 1199459"/>
            <a:gd name="connsiteX57" fmla="*/ 6386894 w 6889430"/>
            <a:gd name="connsiteY57" fmla="*/ 1040679 h 1199459"/>
            <a:gd name="connsiteX58" fmla="*/ 6088878 w 6889430"/>
            <a:gd name="connsiteY58" fmla="*/ 705902 h 1199459"/>
            <a:gd name="connsiteX59" fmla="*/ 5896043 w 6889430"/>
            <a:gd name="connsiteY59" fmla="*/ 447645 h 1199459"/>
            <a:gd name="connsiteX60" fmla="*/ 5703210 w 6889430"/>
            <a:gd name="connsiteY60" fmla="*/ 700163 h 1199459"/>
            <a:gd name="connsiteX61" fmla="*/ 5469472 w 6889430"/>
            <a:gd name="connsiteY61" fmla="*/ 973724 h 1199459"/>
            <a:gd name="connsiteX62" fmla="*/ 5235734 w 6889430"/>
            <a:gd name="connsiteY62" fmla="*/ 560513 h 1199459"/>
            <a:gd name="connsiteX63" fmla="*/ 5042900 w 6889430"/>
            <a:gd name="connsiteY63" fmla="*/ 166432 h 1199459"/>
            <a:gd name="connsiteX64" fmla="*/ 4820849 w 6889430"/>
            <a:gd name="connsiteY64" fmla="*/ 585382 h 1199459"/>
            <a:gd name="connsiteX65" fmla="*/ 4546206 w 6889430"/>
            <a:gd name="connsiteY65" fmla="*/ 1038766 h 1199459"/>
            <a:gd name="connsiteX66" fmla="*/ 4300781 w 6889430"/>
            <a:gd name="connsiteY66" fmla="*/ 791987 h 1199459"/>
            <a:gd name="connsiteX67" fmla="*/ 4154695 w 6889430"/>
            <a:gd name="connsiteY67" fmla="*/ 608338 h 1199459"/>
            <a:gd name="connsiteX68" fmla="*/ 3999843 w 6889430"/>
            <a:gd name="connsiteY68" fmla="*/ 744162 h 1199459"/>
            <a:gd name="connsiteX69" fmla="*/ 3818696 w 6889430"/>
            <a:gd name="connsiteY69" fmla="*/ 891464 h 1199459"/>
            <a:gd name="connsiteX70" fmla="*/ 3625862 w 6889430"/>
            <a:gd name="connsiteY70" fmla="*/ 596860 h 1199459"/>
            <a:gd name="connsiteX71" fmla="*/ 3456402 w 6889430"/>
            <a:gd name="connsiteY71" fmla="*/ 307995 h 1199459"/>
            <a:gd name="connsiteX72" fmla="*/ 3240194 w 6889430"/>
            <a:gd name="connsiteY72" fmla="*/ 734597 h 1199459"/>
            <a:gd name="connsiteX73" fmla="*/ 2974317 w 6889430"/>
            <a:gd name="connsiteY73" fmla="*/ 1199459 h 1199459"/>
            <a:gd name="connsiteX74" fmla="*/ 2974317 w 6889430"/>
            <a:gd name="connsiteY74" fmla="*/ 1199459 h 1199459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  <a:cxn ang="0">
              <a:pos x="connsiteX55" y="connsiteY55"/>
            </a:cxn>
            <a:cxn ang="0">
              <a:pos x="connsiteX56" y="connsiteY56"/>
            </a:cxn>
            <a:cxn ang="0">
              <a:pos x="connsiteX57" y="connsiteY57"/>
            </a:cxn>
            <a:cxn ang="0">
              <a:pos x="connsiteX58" y="connsiteY58"/>
            </a:cxn>
            <a:cxn ang="0">
              <a:pos x="connsiteX59" y="connsiteY59"/>
            </a:cxn>
            <a:cxn ang="0">
              <a:pos x="connsiteX60" y="connsiteY60"/>
            </a:cxn>
            <a:cxn ang="0">
              <a:pos x="connsiteX61" y="connsiteY61"/>
            </a:cxn>
            <a:cxn ang="0">
              <a:pos x="connsiteX62" y="connsiteY62"/>
            </a:cxn>
            <a:cxn ang="0">
              <a:pos x="connsiteX63" y="connsiteY63"/>
            </a:cxn>
            <a:cxn ang="0">
              <a:pos x="connsiteX64" y="connsiteY64"/>
            </a:cxn>
            <a:cxn ang="0">
              <a:pos x="connsiteX65" y="connsiteY65"/>
            </a:cxn>
            <a:cxn ang="0">
              <a:pos x="connsiteX66" y="connsiteY66"/>
            </a:cxn>
            <a:cxn ang="0">
              <a:pos x="connsiteX67" y="connsiteY67"/>
            </a:cxn>
            <a:cxn ang="0">
              <a:pos x="connsiteX68" y="connsiteY68"/>
            </a:cxn>
            <a:cxn ang="0">
              <a:pos x="connsiteX69" y="connsiteY69"/>
            </a:cxn>
            <a:cxn ang="0">
              <a:pos x="connsiteX70" y="connsiteY70"/>
            </a:cxn>
            <a:cxn ang="0">
              <a:pos x="connsiteX71" y="connsiteY71"/>
            </a:cxn>
            <a:cxn ang="0">
              <a:pos x="connsiteX72" y="connsiteY72"/>
            </a:cxn>
            <a:cxn ang="0">
              <a:pos x="connsiteX73" y="connsiteY73"/>
            </a:cxn>
            <a:cxn ang="0">
              <a:pos x="connsiteX74" y="connsiteY74"/>
            </a:cxn>
          </a:cxnLst>
          <a:rect l="l" t="t" r="r" b="b"/>
          <a:pathLst>
            <a:path w="6889430" h="1199459">
              <a:moveTo>
                <a:pt x="2974317" y="1199459"/>
              </a:moveTo>
              <a:cubicBezTo>
                <a:pt x="2743501" y="1199459"/>
                <a:pt x="2711362" y="862769"/>
                <a:pt x="2679223" y="537557"/>
              </a:cubicBezTo>
              <a:cubicBezTo>
                <a:pt x="2655849" y="298430"/>
                <a:pt x="2629554" y="28695"/>
                <a:pt x="2512685" y="28695"/>
              </a:cubicBezTo>
              <a:cubicBezTo>
                <a:pt x="2387050" y="28695"/>
                <a:pt x="2346146" y="248692"/>
                <a:pt x="2311085" y="441906"/>
              </a:cubicBezTo>
              <a:cubicBezTo>
                <a:pt x="2270181" y="665729"/>
                <a:pt x="2232199" y="876160"/>
                <a:pt x="2071504" y="876160"/>
              </a:cubicBezTo>
              <a:cubicBezTo>
                <a:pt x="1945870" y="876160"/>
                <a:pt x="1902044" y="736510"/>
                <a:pt x="1855296" y="589208"/>
              </a:cubicBezTo>
              <a:cubicBezTo>
                <a:pt x="1814392" y="464862"/>
                <a:pt x="1770566" y="325212"/>
                <a:pt x="1679993" y="325212"/>
              </a:cubicBezTo>
              <a:cubicBezTo>
                <a:pt x="1577732" y="325212"/>
                <a:pt x="1528063" y="514601"/>
                <a:pt x="1484237" y="681033"/>
              </a:cubicBezTo>
              <a:cubicBezTo>
                <a:pt x="1428724" y="895290"/>
                <a:pt x="1373211" y="1099983"/>
                <a:pt x="1206673" y="1099983"/>
              </a:cubicBezTo>
              <a:cubicBezTo>
                <a:pt x="1051821" y="1099983"/>
                <a:pt x="1002152" y="943115"/>
                <a:pt x="955404" y="791987"/>
              </a:cubicBezTo>
              <a:cubicBezTo>
                <a:pt x="914500" y="663816"/>
                <a:pt x="873596" y="529905"/>
                <a:pt x="777179" y="529905"/>
              </a:cubicBezTo>
              <a:lnTo>
                <a:pt x="777179" y="529905"/>
              </a:lnTo>
              <a:cubicBezTo>
                <a:pt x="686606" y="529905"/>
                <a:pt x="636936" y="640859"/>
                <a:pt x="587267" y="747988"/>
              </a:cubicBezTo>
              <a:cubicBezTo>
                <a:pt x="531754" y="866595"/>
                <a:pt x="476241" y="989028"/>
                <a:pt x="350607" y="989028"/>
              </a:cubicBezTo>
              <a:lnTo>
                <a:pt x="350607" y="989028"/>
              </a:lnTo>
              <a:cubicBezTo>
                <a:pt x="236660" y="989028"/>
                <a:pt x="207443" y="901029"/>
                <a:pt x="178225" y="816857"/>
              </a:cubicBezTo>
              <a:cubicBezTo>
                <a:pt x="149008" y="734597"/>
                <a:pt x="119791" y="650424"/>
                <a:pt x="20452" y="644685"/>
              </a:cubicBezTo>
              <a:cubicBezTo>
                <a:pt x="8765" y="644685"/>
                <a:pt x="0" y="637033"/>
                <a:pt x="0" y="629381"/>
              </a:cubicBezTo>
              <a:cubicBezTo>
                <a:pt x="0" y="621729"/>
                <a:pt x="11687" y="615990"/>
                <a:pt x="23374" y="615990"/>
              </a:cubicBezTo>
              <a:cubicBezTo>
                <a:pt x="154851" y="621729"/>
                <a:pt x="189912" y="721206"/>
                <a:pt x="219129" y="809204"/>
              </a:cubicBezTo>
              <a:cubicBezTo>
                <a:pt x="245425" y="885725"/>
                <a:pt x="271721" y="958419"/>
                <a:pt x="350607" y="958419"/>
              </a:cubicBezTo>
              <a:lnTo>
                <a:pt x="350607" y="958419"/>
              </a:lnTo>
              <a:cubicBezTo>
                <a:pt x="444102" y="958419"/>
                <a:pt x="496693" y="845552"/>
                <a:pt x="546363" y="736510"/>
              </a:cubicBezTo>
              <a:cubicBezTo>
                <a:pt x="601876" y="614077"/>
                <a:pt x="657388" y="499296"/>
                <a:pt x="780101" y="497383"/>
              </a:cubicBezTo>
              <a:lnTo>
                <a:pt x="780101" y="497383"/>
              </a:lnTo>
              <a:cubicBezTo>
                <a:pt x="914500" y="497383"/>
                <a:pt x="955404" y="635120"/>
                <a:pt x="1002152" y="780509"/>
              </a:cubicBezTo>
              <a:cubicBezTo>
                <a:pt x="1045978" y="920159"/>
                <a:pt x="1089804" y="1065548"/>
                <a:pt x="1209595" y="1065548"/>
              </a:cubicBezTo>
              <a:cubicBezTo>
                <a:pt x="1341072" y="1065548"/>
                <a:pt x="1396585" y="855117"/>
                <a:pt x="1443333" y="671468"/>
              </a:cubicBezTo>
              <a:cubicBezTo>
                <a:pt x="1495924" y="468688"/>
                <a:pt x="1542672" y="292691"/>
                <a:pt x="1682914" y="292691"/>
              </a:cubicBezTo>
              <a:cubicBezTo>
                <a:pt x="1808549" y="292691"/>
                <a:pt x="1852374" y="432341"/>
                <a:pt x="1899122" y="579643"/>
              </a:cubicBezTo>
              <a:cubicBezTo>
                <a:pt x="1940026" y="703989"/>
                <a:pt x="1983852" y="843639"/>
                <a:pt x="2074426" y="843639"/>
              </a:cubicBezTo>
              <a:cubicBezTo>
                <a:pt x="2197138" y="843639"/>
                <a:pt x="2235121" y="625555"/>
                <a:pt x="2270181" y="434254"/>
              </a:cubicBezTo>
              <a:cubicBezTo>
                <a:pt x="2311085" y="212344"/>
                <a:pt x="2349068" y="0"/>
                <a:pt x="2512685" y="0"/>
              </a:cubicBezTo>
              <a:cubicBezTo>
                <a:pt x="2670458" y="0"/>
                <a:pt x="2693832" y="248692"/>
                <a:pt x="2720127" y="535644"/>
              </a:cubicBezTo>
              <a:cubicBezTo>
                <a:pt x="2749344" y="834074"/>
                <a:pt x="2781484" y="1170764"/>
                <a:pt x="2971396" y="1170764"/>
              </a:cubicBezTo>
              <a:cubicBezTo>
                <a:pt x="3126247" y="1170764"/>
                <a:pt x="3164230" y="946941"/>
                <a:pt x="3199290" y="732684"/>
              </a:cubicBezTo>
              <a:cubicBezTo>
                <a:pt x="3237273" y="499296"/>
                <a:pt x="3272333" y="281213"/>
                <a:pt x="3459324" y="281213"/>
              </a:cubicBezTo>
              <a:cubicBezTo>
                <a:pt x="3622941" y="281213"/>
                <a:pt x="3646314" y="439993"/>
                <a:pt x="3669688" y="594947"/>
              </a:cubicBezTo>
              <a:cubicBezTo>
                <a:pt x="3690140" y="726945"/>
                <a:pt x="3710593" y="864682"/>
                <a:pt x="3818696" y="864682"/>
              </a:cubicBezTo>
              <a:cubicBezTo>
                <a:pt x="3885896" y="864682"/>
                <a:pt x="3920957" y="801552"/>
                <a:pt x="3958939" y="736510"/>
              </a:cubicBezTo>
              <a:cubicBezTo>
                <a:pt x="4002765" y="659989"/>
                <a:pt x="4046591" y="581556"/>
                <a:pt x="4154695" y="581556"/>
              </a:cubicBezTo>
              <a:cubicBezTo>
                <a:pt x="4245268" y="581556"/>
                <a:pt x="4289094" y="675294"/>
                <a:pt x="4341685" y="784335"/>
              </a:cubicBezTo>
              <a:cubicBezTo>
                <a:pt x="4391354" y="891464"/>
                <a:pt x="4446868" y="1011984"/>
                <a:pt x="4546206" y="1011984"/>
              </a:cubicBezTo>
              <a:cubicBezTo>
                <a:pt x="4677684" y="1011984"/>
                <a:pt x="4730275" y="784335"/>
                <a:pt x="4777023" y="583469"/>
              </a:cubicBezTo>
              <a:cubicBezTo>
                <a:pt x="4829613" y="355820"/>
                <a:pt x="4879283" y="139650"/>
                <a:pt x="5042900" y="139650"/>
              </a:cubicBezTo>
              <a:cubicBezTo>
                <a:pt x="5194829" y="139650"/>
                <a:pt x="5235734" y="342429"/>
                <a:pt x="5279560" y="558600"/>
              </a:cubicBezTo>
              <a:cubicBezTo>
                <a:pt x="5317542" y="740336"/>
                <a:pt x="5358446" y="946941"/>
                <a:pt x="5469472" y="946941"/>
              </a:cubicBezTo>
              <a:cubicBezTo>
                <a:pt x="5560045" y="946941"/>
                <a:pt x="5612636" y="813031"/>
                <a:pt x="5662305" y="694424"/>
              </a:cubicBezTo>
              <a:cubicBezTo>
                <a:pt x="5720740" y="552861"/>
                <a:pt x="5773331" y="420863"/>
                <a:pt x="5896043" y="420863"/>
              </a:cubicBezTo>
              <a:cubicBezTo>
                <a:pt x="6012913" y="420863"/>
                <a:pt x="6068426" y="549035"/>
                <a:pt x="6129782" y="700163"/>
              </a:cubicBezTo>
              <a:cubicBezTo>
                <a:pt x="6191138" y="845552"/>
                <a:pt x="6261259" y="1010071"/>
                <a:pt x="6386894" y="1013897"/>
              </a:cubicBezTo>
              <a:cubicBezTo>
                <a:pt x="6386894" y="1013897"/>
                <a:pt x="6389815" y="1013897"/>
                <a:pt x="6389815" y="1013897"/>
              </a:cubicBezTo>
              <a:cubicBezTo>
                <a:pt x="6474545" y="1013897"/>
                <a:pt x="6518371" y="931637"/>
                <a:pt x="6565119" y="845552"/>
              </a:cubicBezTo>
              <a:cubicBezTo>
                <a:pt x="6623554" y="734597"/>
                <a:pt x="6693675" y="608338"/>
                <a:pt x="6868978" y="608338"/>
              </a:cubicBezTo>
              <a:cubicBezTo>
                <a:pt x="6880666" y="608338"/>
                <a:pt x="6889430" y="614077"/>
                <a:pt x="6889430" y="621729"/>
              </a:cubicBezTo>
              <a:cubicBezTo>
                <a:pt x="6889430" y="629381"/>
                <a:pt x="6880666" y="635120"/>
                <a:pt x="6868978" y="635120"/>
              </a:cubicBezTo>
              <a:cubicBezTo>
                <a:pt x="6722892" y="635120"/>
                <a:pt x="6664458" y="746075"/>
                <a:pt x="6606023" y="853204"/>
              </a:cubicBezTo>
              <a:cubicBezTo>
                <a:pt x="6553432" y="950767"/>
                <a:pt x="6503763" y="1044505"/>
                <a:pt x="6386894" y="1040679"/>
              </a:cubicBezTo>
              <a:cubicBezTo>
                <a:pt x="6226199" y="1036853"/>
                <a:pt x="6156077" y="868508"/>
                <a:pt x="6088878" y="705902"/>
              </a:cubicBezTo>
              <a:cubicBezTo>
                <a:pt x="6036286" y="579643"/>
                <a:pt x="5980774" y="447645"/>
                <a:pt x="5896043" y="447645"/>
              </a:cubicBezTo>
              <a:cubicBezTo>
                <a:pt x="5805470" y="447645"/>
                <a:pt x="5752879" y="581556"/>
                <a:pt x="5703210" y="700163"/>
              </a:cubicBezTo>
              <a:cubicBezTo>
                <a:pt x="5644775" y="839813"/>
                <a:pt x="5592184" y="973724"/>
                <a:pt x="5469472" y="973724"/>
              </a:cubicBezTo>
              <a:cubicBezTo>
                <a:pt x="5320464" y="973724"/>
                <a:pt x="5279560" y="772857"/>
                <a:pt x="5235734" y="560513"/>
              </a:cubicBezTo>
              <a:cubicBezTo>
                <a:pt x="5197751" y="376864"/>
                <a:pt x="5156847" y="166432"/>
                <a:pt x="5042900" y="166432"/>
              </a:cubicBezTo>
              <a:cubicBezTo>
                <a:pt x="4917265" y="166432"/>
                <a:pt x="4864674" y="388342"/>
                <a:pt x="4820849" y="585382"/>
              </a:cubicBezTo>
              <a:cubicBezTo>
                <a:pt x="4768257" y="818770"/>
                <a:pt x="4715666" y="1038766"/>
                <a:pt x="4546206" y="1038766"/>
              </a:cubicBezTo>
              <a:cubicBezTo>
                <a:pt x="4414728" y="1038766"/>
                <a:pt x="4356294" y="912507"/>
                <a:pt x="4300781" y="791987"/>
              </a:cubicBezTo>
              <a:cubicBezTo>
                <a:pt x="4259877" y="705902"/>
                <a:pt x="4216051" y="608338"/>
                <a:pt x="4154695" y="608338"/>
              </a:cubicBezTo>
              <a:cubicBezTo>
                <a:pt x="4078730" y="608338"/>
                <a:pt x="4037826" y="677207"/>
                <a:pt x="3999843" y="744162"/>
              </a:cubicBezTo>
              <a:cubicBezTo>
                <a:pt x="3958939" y="816857"/>
                <a:pt x="3915113" y="891464"/>
                <a:pt x="3818696" y="891464"/>
              </a:cubicBezTo>
              <a:cubicBezTo>
                <a:pt x="3672610" y="891464"/>
                <a:pt x="3649236" y="747988"/>
                <a:pt x="3625862" y="596860"/>
              </a:cubicBezTo>
              <a:cubicBezTo>
                <a:pt x="3602488" y="455297"/>
                <a:pt x="3582036" y="307995"/>
                <a:pt x="3456402" y="307995"/>
              </a:cubicBezTo>
              <a:cubicBezTo>
                <a:pt x="3310316" y="307995"/>
                <a:pt x="3275255" y="524166"/>
                <a:pt x="3240194" y="734597"/>
              </a:cubicBezTo>
              <a:cubicBezTo>
                <a:pt x="3205134" y="973724"/>
                <a:pt x="3170073" y="1199459"/>
                <a:pt x="2974317" y="1199459"/>
              </a:cubicBezTo>
              <a:lnTo>
                <a:pt x="2974317" y="1199459"/>
              </a:lnTo>
              <a:close/>
            </a:path>
          </a:pathLst>
        </a:custGeom>
        <a:solidFill>
          <a:schemeClr val="accent1">
            <a:lumMod val="40000"/>
            <a:lumOff val="60000"/>
          </a:schemeClr>
        </a:solidFill>
        <a:ln w="29208" cap="flat">
          <a:noFill/>
          <a:prstDash val="solid"/>
          <a:miter/>
        </a:ln>
      </xdr:spPr>
      <xdr:txBody>
        <a:bodyPr rtlCol="0" anchor="ctr"/>
        <a:lstStyle/>
        <a:p>
          <a:endParaRPr lang="en-US"/>
        </a:p>
      </xdr:txBody>
    </xdr:sp>
    <xdr:clientData/>
  </xdr:twoCellAnchor>
  <xdr:twoCellAnchor>
    <xdr:from>
      <xdr:col>5</xdr:col>
      <xdr:colOff>3928</xdr:colOff>
      <xdr:row>1</xdr:row>
      <xdr:rowOff>142421</xdr:rowOff>
    </xdr:from>
    <xdr:to>
      <xdr:col>9</xdr:col>
      <xdr:colOff>961445</xdr:colOff>
      <xdr:row>2</xdr:row>
      <xdr:rowOff>794087</xdr:rowOff>
    </xdr:to>
    <xdr:sp macro="" textlink="">
      <xdr:nvSpPr>
        <xdr:cNvPr id="4" name="Freeform: Shape 3">
          <a:extLst>
            <a:ext uri="{FF2B5EF4-FFF2-40B4-BE49-F238E27FC236}">
              <a16:creationId xmlns:a16="http://schemas.microsoft.com/office/drawing/2014/main" id="{1D5A8D10-5418-471B-9241-37EF93CFF5C3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SpPr/>
      </xdr:nvSpPr>
      <xdr:spPr>
        <a:xfrm>
          <a:off x="7704891" y="342446"/>
          <a:ext cx="6901117" cy="946941"/>
        </a:xfrm>
        <a:custGeom>
          <a:avLst/>
          <a:gdLst>
            <a:gd name="connsiteX0" fmla="*/ 2968474 w 6901117"/>
            <a:gd name="connsiteY0" fmla="*/ 946941 h 946941"/>
            <a:gd name="connsiteX1" fmla="*/ 2690910 w 6901117"/>
            <a:gd name="connsiteY1" fmla="*/ 441906 h 946941"/>
            <a:gd name="connsiteX2" fmla="*/ 2512685 w 6901117"/>
            <a:gd name="connsiteY2" fmla="*/ 28695 h 946941"/>
            <a:gd name="connsiteX3" fmla="*/ 2316929 w 6901117"/>
            <a:gd name="connsiteY3" fmla="*/ 350081 h 946941"/>
            <a:gd name="connsiteX4" fmla="*/ 2080269 w 6901117"/>
            <a:gd name="connsiteY4" fmla="*/ 692511 h 946941"/>
            <a:gd name="connsiteX5" fmla="*/ 1855296 w 6901117"/>
            <a:gd name="connsiteY5" fmla="*/ 472514 h 946941"/>
            <a:gd name="connsiteX6" fmla="*/ 1674149 w 6901117"/>
            <a:gd name="connsiteY6" fmla="*/ 271648 h 946941"/>
            <a:gd name="connsiteX7" fmla="*/ 1446255 w 6901117"/>
            <a:gd name="connsiteY7" fmla="*/ 570078 h 946941"/>
            <a:gd name="connsiteX8" fmla="*/ 1206673 w 6901117"/>
            <a:gd name="connsiteY8" fmla="*/ 866595 h 946941"/>
            <a:gd name="connsiteX9" fmla="*/ 972935 w 6901117"/>
            <a:gd name="connsiteY9" fmla="*/ 627468 h 946941"/>
            <a:gd name="connsiteX10" fmla="*/ 809318 w 6901117"/>
            <a:gd name="connsiteY10" fmla="*/ 428515 h 946941"/>
            <a:gd name="connsiteX11" fmla="*/ 809318 w 6901117"/>
            <a:gd name="connsiteY11" fmla="*/ 428515 h 946941"/>
            <a:gd name="connsiteX12" fmla="*/ 639858 w 6901117"/>
            <a:gd name="connsiteY12" fmla="*/ 583469 h 946941"/>
            <a:gd name="connsiteX13" fmla="*/ 414885 w 6901117"/>
            <a:gd name="connsiteY13" fmla="*/ 767118 h 946941"/>
            <a:gd name="connsiteX14" fmla="*/ 186990 w 6901117"/>
            <a:gd name="connsiteY14" fmla="*/ 619816 h 946941"/>
            <a:gd name="connsiteX15" fmla="*/ 20452 w 6901117"/>
            <a:gd name="connsiteY15" fmla="*/ 499296 h 946941"/>
            <a:gd name="connsiteX16" fmla="*/ 20452 w 6901117"/>
            <a:gd name="connsiteY16" fmla="*/ 499296 h 946941"/>
            <a:gd name="connsiteX17" fmla="*/ 0 w 6901117"/>
            <a:gd name="connsiteY17" fmla="*/ 485905 h 946941"/>
            <a:gd name="connsiteX18" fmla="*/ 20452 w 6901117"/>
            <a:gd name="connsiteY18" fmla="*/ 472514 h 946941"/>
            <a:gd name="connsiteX19" fmla="*/ 20452 w 6901117"/>
            <a:gd name="connsiteY19" fmla="*/ 472514 h 946941"/>
            <a:gd name="connsiteX20" fmla="*/ 227895 w 6901117"/>
            <a:gd name="connsiteY20" fmla="*/ 610251 h 946941"/>
            <a:gd name="connsiteX21" fmla="*/ 414885 w 6901117"/>
            <a:gd name="connsiteY21" fmla="*/ 740336 h 946941"/>
            <a:gd name="connsiteX22" fmla="*/ 598954 w 6901117"/>
            <a:gd name="connsiteY22" fmla="*/ 575817 h 946941"/>
            <a:gd name="connsiteX23" fmla="*/ 809318 w 6901117"/>
            <a:gd name="connsiteY23" fmla="*/ 399820 h 946941"/>
            <a:gd name="connsiteX24" fmla="*/ 809318 w 6901117"/>
            <a:gd name="connsiteY24" fmla="*/ 399820 h 946941"/>
            <a:gd name="connsiteX25" fmla="*/ 1016761 w 6901117"/>
            <a:gd name="connsiteY25" fmla="*/ 621729 h 946941"/>
            <a:gd name="connsiteX26" fmla="*/ 1209595 w 6901117"/>
            <a:gd name="connsiteY26" fmla="*/ 839813 h 946941"/>
            <a:gd name="connsiteX27" fmla="*/ 1408272 w 6901117"/>
            <a:gd name="connsiteY27" fmla="*/ 564339 h 946941"/>
            <a:gd name="connsiteX28" fmla="*/ 1677071 w 6901117"/>
            <a:gd name="connsiteY28" fmla="*/ 242953 h 946941"/>
            <a:gd name="connsiteX29" fmla="*/ 1902044 w 6901117"/>
            <a:gd name="connsiteY29" fmla="*/ 462949 h 946941"/>
            <a:gd name="connsiteX30" fmla="*/ 2083191 w 6901117"/>
            <a:gd name="connsiteY30" fmla="*/ 663815 h 946941"/>
            <a:gd name="connsiteX31" fmla="*/ 2276025 w 6901117"/>
            <a:gd name="connsiteY31" fmla="*/ 346255 h 946941"/>
            <a:gd name="connsiteX32" fmla="*/ 2515606 w 6901117"/>
            <a:gd name="connsiteY32" fmla="*/ 0 h 946941"/>
            <a:gd name="connsiteX33" fmla="*/ 2737657 w 6901117"/>
            <a:gd name="connsiteY33" fmla="*/ 438080 h 946941"/>
            <a:gd name="connsiteX34" fmla="*/ 2971396 w 6901117"/>
            <a:gd name="connsiteY34" fmla="*/ 916333 h 946941"/>
            <a:gd name="connsiteX35" fmla="*/ 3225586 w 6901117"/>
            <a:gd name="connsiteY35" fmla="*/ 549035 h 946941"/>
            <a:gd name="connsiteX36" fmla="*/ 3450559 w 6901117"/>
            <a:gd name="connsiteY36" fmla="*/ 218083 h 946941"/>
            <a:gd name="connsiteX37" fmla="*/ 3453480 w 6901117"/>
            <a:gd name="connsiteY37" fmla="*/ 218083 h 946941"/>
            <a:gd name="connsiteX38" fmla="*/ 3628784 w 6901117"/>
            <a:gd name="connsiteY38" fmla="*/ 441906 h 946941"/>
            <a:gd name="connsiteX39" fmla="*/ 3807009 w 6901117"/>
            <a:gd name="connsiteY39" fmla="*/ 675294 h 946941"/>
            <a:gd name="connsiteX40" fmla="*/ 3947252 w 6901117"/>
            <a:gd name="connsiteY40" fmla="*/ 571991 h 946941"/>
            <a:gd name="connsiteX41" fmla="*/ 4140086 w 6901117"/>
            <a:gd name="connsiteY41" fmla="*/ 445732 h 946941"/>
            <a:gd name="connsiteX42" fmla="*/ 4324155 w 6901117"/>
            <a:gd name="connsiteY42" fmla="*/ 610251 h 946941"/>
            <a:gd name="connsiteX43" fmla="*/ 4525754 w 6901117"/>
            <a:gd name="connsiteY43" fmla="*/ 791987 h 946941"/>
            <a:gd name="connsiteX44" fmla="*/ 4753649 w 6901117"/>
            <a:gd name="connsiteY44" fmla="*/ 459123 h 946941"/>
            <a:gd name="connsiteX45" fmla="*/ 5016604 w 6901117"/>
            <a:gd name="connsiteY45" fmla="*/ 109042 h 946941"/>
            <a:gd name="connsiteX46" fmla="*/ 5250342 w 6901117"/>
            <a:gd name="connsiteY46" fmla="*/ 438080 h 946941"/>
            <a:gd name="connsiteX47" fmla="*/ 5437333 w 6901117"/>
            <a:gd name="connsiteY47" fmla="*/ 740336 h 946941"/>
            <a:gd name="connsiteX48" fmla="*/ 5627245 w 6901117"/>
            <a:gd name="connsiteY48" fmla="*/ 543296 h 946941"/>
            <a:gd name="connsiteX49" fmla="*/ 5858061 w 6901117"/>
            <a:gd name="connsiteY49" fmla="*/ 327125 h 946941"/>
            <a:gd name="connsiteX50" fmla="*/ 6080113 w 6901117"/>
            <a:gd name="connsiteY50" fmla="*/ 568165 h 946941"/>
            <a:gd name="connsiteX51" fmla="*/ 6258338 w 6901117"/>
            <a:gd name="connsiteY51" fmla="*/ 790074 h 946941"/>
            <a:gd name="connsiteX52" fmla="*/ 6258338 w 6901117"/>
            <a:gd name="connsiteY52" fmla="*/ 790074 h 946941"/>
            <a:gd name="connsiteX53" fmla="*/ 6389815 w 6901117"/>
            <a:gd name="connsiteY53" fmla="*/ 692511 h 946941"/>
            <a:gd name="connsiteX54" fmla="*/ 6880665 w 6901117"/>
            <a:gd name="connsiteY54" fmla="*/ 457210 h 946941"/>
            <a:gd name="connsiteX55" fmla="*/ 6901117 w 6901117"/>
            <a:gd name="connsiteY55" fmla="*/ 470601 h 946941"/>
            <a:gd name="connsiteX56" fmla="*/ 6880665 w 6901117"/>
            <a:gd name="connsiteY56" fmla="*/ 483992 h 946941"/>
            <a:gd name="connsiteX57" fmla="*/ 6424876 w 6901117"/>
            <a:gd name="connsiteY57" fmla="*/ 703989 h 946941"/>
            <a:gd name="connsiteX58" fmla="*/ 6255416 w 6901117"/>
            <a:gd name="connsiteY58" fmla="*/ 816857 h 946941"/>
            <a:gd name="connsiteX59" fmla="*/ 6252494 w 6901117"/>
            <a:gd name="connsiteY59" fmla="*/ 816857 h 946941"/>
            <a:gd name="connsiteX60" fmla="*/ 6033365 w 6901117"/>
            <a:gd name="connsiteY60" fmla="*/ 573904 h 946941"/>
            <a:gd name="connsiteX61" fmla="*/ 5855139 w 6901117"/>
            <a:gd name="connsiteY61" fmla="*/ 353907 h 946941"/>
            <a:gd name="connsiteX62" fmla="*/ 5665227 w 6901117"/>
            <a:gd name="connsiteY62" fmla="*/ 550948 h 946941"/>
            <a:gd name="connsiteX63" fmla="*/ 5434411 w 6901117"/>
            <a:gd name="connsiteY63" fmla="*/ 767118 h 946941"/>
            <a:gd name="connsiteX64" fmla="*/ 5206516 w 6901117"/>
            <a:gd name="connsiteY64" fmla="*/ 441906 h 946941"/>
            <a:gd name="connsiteX65" fmla="*/ 5016604 w 6901117"/>
            <a:gd name="connsiteY65" fmla="*/ 135824 h 946941"/>
            <a:gd name="connsiteX66" fmla="*/ 4797475 w 6901117"/>
            <a:gd name="connsiteY66" fmla="*/ 461036 h 946941"/>
            <a:gd name="connsiteX67" fmla="*/ 4528676 w 6901117"/>
            <a:gd name="connsiteY67" fmla="*/ 816857 h 946941"/>
            <a:gd name="connsiteX68" fmla="*/ 4286172 w 6901117"/>
            <a:gd name="connsiteY68" fmla="*/ 617903 h 946941"/>
            <a:gd name="connsiteX69" fmla="*/ 4143008 w 6901117"/>
            <a:gd name="connsiteY69" fmla="*/ 472514 h 946941"/>
            <a:gd name="connsiteX70" fmla="*/ 3991078 w 6901117"/>
            <a:gd name="connsiteY70" fmla="*/ 581556 h 946941"/>
            <a:gd name="connsiteX71" fmla="*/ 3812853 w 6901117"/>
            <a:gd name="connsiteY71" fmla="*/ 702076 h 946941"/>
            <a:gd name="connsiteX72" fmla="*/ 3593723 w 6901117"/>
            <a:gd name="connsiteY72" fmla="*/ 443819 h 946941"/>
            <a:gd name="connsiteX73" fmla="*/ 3459324 w 6901117"/>
            <a:gd name="connsiteY73" fmla="*/ 244866 h 946941"/>
            <a:gd name="connsiteX74" fmla="*/ 3459324 w 6901117"/>
            <a:gd name="connsiteY74" fmla="*/ 244866 h 946941"/>
            <a:gd name="connsiteX75" fmla="*/ 3275255 w 6901117"/>
            <a:gd name="connsiteY75" fmla="*/ 550948 h 946941"/>
            <a:gd name="connsiteX76" fmla="*/ 2968474 w 6901117"/>
            <a:gd name="connsiteY76" fmla="*/ 946941 h 946941"/>
            <a:gd name="connsiteX77" fmla="*/ 2968474 w 6901117"/>
            <a:gd name="connsiteY77" fmla="*/ 946941 h 946941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  <a:cxn ang="0">
              <a:pos x="connsiteX55" y="connsiteY55"/>
            </a:cxn>
            <a:cxn ang="0">
              <a:pos x="connsiteX56" y="connsiteY56"/>
            </a:cxn>
            <a:cxn ang="0">
              <a:pos x="connsiteX57" y="connsiteY57"/>
            </a:cxn>
            <a:cxn ang="0">
              <a:pos x="connsiteX58" y="connsiteY58"/>
            </a:cxn>
            <a:cxn ang="0">
              <a:pos x="connsiteX59" y="connsiteY59"/>
            </a:cxn>
            <a:cxn ang="0">
              <a:pos x="connsiteX60" y="connsiteY60"/>
            </a:cxn>
            <a:cxn ang="0">
              <a:pos x="connsiteX61" y="connsiteY61"/>
            </a:cxn>
            <a:cxn ang="0">
              <a:pos x="connsiteX62" y="connsiteY62"/>
            </a:cxn>
            <a:cxn ang="0">
              <a:pos x="connsiteX63" y="connsiteY63"/>
            </a:cxn>
            <a:cxn ang="0">
              <a:pos x="connsiteX64" y="connsiteY64"/>
            </a:cxn>
            <a:cxn ang="0">
              <a:pos x="connsiteX65" y="connsiteY65"/>
            </a:cxn>
            <a:cxn ang="0">
              <a:pos x="connsiteX66" y="connsiteY66"/>
            </a:cxn>
            <a:cxn ang="0">
              <a:pos x="connsiteX67" y="connsiteY67"/>
            </a:cxn>
            <a:cxn ang="0">
              <a:pos x="connsiteX68" y="connsiteY68"/>
            </a:cxn>
            <a:cxn ang="0">
              <a:pos x="connsiteX69" y="connsiteY69"/>
            </a:cxn>
            <a:cxn ang="0">
              <a:pos x="connsiteX70" y="connsiteY70"/>
            </a:cxn>
            <a:cxn ang="0">
              <a:pos x="connsiteX71" y="connsiteY71"/>
            </a:cxn>
            <a:cxn ang="0">
              <a:pos x="connsiteX72" y="connsiteY72"/>
            </a:cxn>
            <a:cxn ang="0">
              <a:pos x="connsiteX73" y="connsiteY73"/>
            </a:cxn>
            <a:cxn ang="0">
              <a:pos x="connsiteX74" y="connsiteY74"/>
            </a:cxn>
            <a:cxn ang="0">
              <a:pos x="connsiteX75" y="connsiteY75"/>
            </a:cxn>
            <a:cxn ang="0">
              <a:pos x="connsiteX76" y="connsiteY76"/>
            </a:cxn>
            <a:cxn ang="0">
              <a:pos x="connsiteX77" y="connsiteY77"/>
            </a:cxn>
          </a:cxnLst>
          <a:rect l="l" t="t" r="r" b="b"/>
          <a:pathLst>
            <a:path w="6901117" h="946941">
              <a:moveTo>
                <a:pt x="2968474" y="946941"/>
              </a:moveTo>
              <a:cubicBezTo>
                <a:pt x="2763953" y="946941"/>
                <a:pt x="2728892" y="690598"/>
                <a:pt x="2690910" y="441906"/>
              </a:cubicBezTo>
              <a:cubicBezTo>
                <a:pt x="2661693" y="239127"/>
                <a:pt x="2632475" y="28695"/>
                <a:pt x="2512685" y="28695"/>
              </a:cubicBezTo>
              <a:cubicBezTo>
                <a:pt x="2389972" y="28695"/>
                <a:pt x="2351990" y="191301"/>
                <a:pt x="2316929" y="350081"/>
              </a:cubicBezTo>
              <a:cubicBezTo>
                <a:pt x="2276025" y="526079"/>
                <a:pt x="2238042" y="692511"/>
                <a:pt x="2080269" y="692511"/>
              </a:cubicBezTo>
              <a:cubicBezTo>
                <a:pt x="1960478" y="692511"/>
                <a:pt x="1907887" y="579643"/>
                <a:pt x="1855296" y="472514"/>
              </a:cubicBezTo>
              <a:cubicBezTo>
                <a:pt x="1808549" y="373038"/>
                <a:pt x="1761801" y="271648"/>
                <a:pt x="1674149" y="271648"/>
              </a:cubicBezTo>
              <a:cubicBezTo>
                <a:pt x="1563124" y="271648"/>
                <a:pt x="1501767" y="430428"/>
                <a:pt x="1446255" y="570078"/>
              </a:cubicBezTo>
              <a:cubicBezTo>
                <a:pt x="1387820" y="723119"/>
                <a:pt x="1332307" y="866595"/>
                <a:pt x="1206673" y="866595"/>
              </a:cubicBezTo>
              <a:cubicBezTo>
                <a:pt x="1054743" y="866595"/>
                <a:pt x="1010917" y="744162"/>
                <a:pt x="972935" y="627468"/>
              </a:cubicBezTo>
              <a:cubicBezTo>
                <a:pt x="937874" y="526079"/>
                <a:pt x="905735" y="428515"/>
                <a:pt x="809318" y="428515"/>
              </a:cubicBezTo>
              <a:lnTo>
                <a:pt x="809318" y="428515"/>
              </a:lnTo>
              <a:cubicBezTo>
                <a:pt x="721666" y="428515"/>
                <a:pt x="683684" y="505035"/>
                <a:pt x="639858" y="583469"/>
              </a:cubicBezTo>
              <a:cubicBezTo>
                <a:pt x="593110" y="673381"/>
                <a:pt x="546363" y="767118"/>
                <a:pt x="414885" y="767118"/>
              </a:cubicBezTo>
              <a:cubicBezTo>
                <a:pt x="280486" y="767118"/>
                <a:pt x="230816" y="688685"/>
                <a:pt x="186990" y="619816"/>
              </a:cubicBezTo>
              <a:cubicBezTo>
                <a:pt x="146086" y="554774"/>
                <a:pt x="111026" y="499296"/>
                <a:pt x="20452" y="499296"/>
              </a:cubicBezTo>
              <a:lnTo>
                <a:pt x="20452" y="499296"/>
              </a:lnTo>
              <a:cubicBezTo>
                <a:pt x="8765" y="499296"/>
                <a:pt x="0" y="493557"/>
                <a:pt x="0" y="485905"/>
              </a:cubicBezTo>
              <a:cubicBezTo>
                <a:pt x="0" y="478253"/>
                <a:pt x="8765" y="472514"/>
                <a:pt x="20452" y="472514"/>
              </a:cubicBezTo>
              <a:lnTo>
                <a:pt x="20452" y="472514"/>
              </a:lnTo>
              <a:cubicBezTo>
                <a:pt x="140243" y="472514"/>
                <a:pt x="184069" y="543296"/>
                <a:pt x="227895" y="610251"/>
              </a:cubicBezTo>
              <a:cubicBezTo>
                <a:pt x="268799" y="677207"/>
                <a:pt x="306781" y="740336"/>
                <a:pt x="414885" y="740336"/>
              </a:cubicBezTo>
              <a:cubicBezTo>
                <a:pt x="514224" y="740336"/>
                <a:pt x="555128" y="659989"/>
                <a:pt x="598954" y="575817"/>
              </a:cubicBezTo>
              <a:cubicBezTo>
                <a:pt x="642780" y="489731"/>
                <a:pt x="689527" y="401733"/>
                <a:pt x="809318" y="399820"/>
              </a:cubicBezTo>
              <a:lnTo>
                <a:pt x="809318" y="399820"/>
              </a:lnTo>
              <a:cubicBezTo>
                <a:pt x="940796" y="399820"/>
                <a:pt x="978778" y="512688"/>
                <a:pt x="1016761" y="621729"/>
              </a:cubicBezTo>
              <a:cubicBezTo>
                <a:pt x="1051821" y="728858"/>
                <a:pt x="1089804" y="839813"/>
                <a:pt x="1209595" y="839813"/>
              </a:cubicBezTo>
              <a:cubicBezTo>
                <a:pt x="1300168" y="839813"/>
                <a:pt x="1358603" y="694424"/>
                <a:pt x="1408272" y="564339"/>
              </a:cubicBezTo>
              <a:cubicBezTo>
                <a:pt x="1472550" y="399820"/>
                <a:pt x="1533906" y="242953"/>
                <a:pt x="1677071" y="242953"/>
              </a:cubicBezTo>
              <a:cubicBezTo>
                <a:pt x="1796862" y="242953"/>
                <a:pt x="1849453" y="355820"/>
                <a:pt x="1902044" y="462949"/>
              </a:cubicBezTo>
              <a:cubicBezTo>
                <a:pt x="1948791" y="562426"/>
                <a:pt x="1995539" y="663815"/>
                <a:pt x="2083191" y="663815"/>
              </a:cubicBezTo>
              <a:cubicBezTo>
                <a:pt x="2202982" y="663815"/>
                <a:pt x="2240964" y="501209"/>
                <a:pt x="2276025" y="346255"/>
              </a:cubicBezTo>
              <a:cubicBezTo>
                <a:pt x="2316929" y="168345"/>
                <a:pt x="2354911" y="0"/>
                <a:pt x="2515606" y="0"/>
              </a:cubicBezTo>
              <a:cubicBezTo>
                <a:pt x="2673380" y="0"/>
                <a:pt x="2702597" y="202779"/>
                <a:pt x="2737657" y="438080"/>
              </a:cubicBezTo>
              <a:cubicBezTo>
                <a:pt x="2769797" y="661903"/>
                <a:pt x="2807779" y="916333"/>
                <a:pt x="2971396" y="916333"/>
              </a:cubicBezTo>
              <a:cubicBezTo>
                <a:pt x="3135012" y="916333"/>
                <a:pt x="3181760" y="721206"/>
                <a:pt x="3225586" y="549035"/>
              </a:cubicBezTo>
              <a:cubicBezTo>
                <a:pt x="3266490" y="380690"/>
                <a:pt x="3307394" y="219996"/>
                <a:pt x="3450559" y="218083"/>
              </a:cubicBezTo>
              <a:cubicBezTo>
                <a:pt x="3450559" y="218083"/>
                <a:pt x="3450559" y="218083"/>
                <a:pt x="3453480" y="218083"/>
              </a:cubicBezTo>
              <a:cubicBezTo>
                <a:pt x="3570349" y="218083"/>
                <a:pt x="3599567" y="327125"/>
                <a:pt x="3628784" y="441906"/>
              </a:cubicBezTo>
              <a:cubicBezTo>
                <a:pt x="3658001" y="556687"/>
                <a:pt x="3690140" y="675294"/>
                <a:pt x="3807009" y="675294"/>
              </a:cubicBezTo>
              <a:cubicBezTo>
                <a:pt x="3874209" y="675294"/>
                <a:pt x="3909270" y="625555"/>
                <a:pt x="3947252" y="571991"/>
              </a:cubicBezTo>
              <a:cubicBezTo>
                <a:pt x="3988156" y="512688"/>
                <a:pt x="4034904" y="445732"/>
                <a:pt x="4140086" y="445732"/>
              </a:cubicBezTo>
              <a:cubicBezTo>
                <a:pt x="4230660" y="445732"/>
                <a:pt x="4274486" y="526079"/>
                <a:pt x="4324155" y="610251"/>
              </a:cubicBezTo>
              <a:cubicBezTo>
                <a:pt x="4373824" y="700163"/>
                <a:pt x="4429337" y="791987"/>
                <a:pt x="4525754" y="791987"/>
              </a:cubicBezTo>
              <a:cubicBezTo>
                <a:pt x="4657232" y="791987"/>
                <a:pt x="4706901" y="621729"/>
                <a:pt x="4753649" y="459123"/>
              </a:cubicBezTo>
              <a:cubicBezTo>
                <a:pt x="4806240" y="279300"/>
                <a:pt x="4852988" y="109042"/>
                <a:pt x="5016604" y="109042"/>
              </a:cubicBezTo>
              <a:cubicBezTo>
                <a:pt x="5168534" y="109042"/>
                <a:pt x="5206516" y="269735"/>
                <a:pt x="5250342" y="438080"/>
              </a:cubicBezTo>
              <a:cubicBezTo>
                <a:pt x="5288325" y="585382"/>
                <a:pt x="5326307" y="740336"/>
                <a:pt x="5437333" y="740336"/>
              </a:cubicBezTo>
              <a:cubicBezTo>
                <a:pt x="5527906" y="740336"/>
                <a:pt x="5577575" y="640859"/>
                <a:pt x="5627245" y="543296"/>
              </a:cubicBezTo>
              <a:cubicBezTo>
                <a:pt x="5682758" y="438080"/>
                <a:pt x="5738270" y="327125"/>
                <a:pt x="5858061" y="327125"/>
              </a:cubicBezTo>
              <a:cubicBezTo>
                <a:pt x="5980774" y="327125"/>
                <a:pt x="6027521" y="443819"/>
                <a:pt x="6080113" y="568165"/>
              </a:cubicBezTo>
              <a:cubicBezTo>
                <a:pt x="6123938" y="677207"/>
                <a:pt x="6170686" y="788161"/>
                <a:pt x="6258338" y="790074"/>
              </a:cubicBezTo>
              <a:cubicBezTo>
                <a:pt x="6258338" y="790074"/>
                <a:pt x="6258338" y="790074"/>
                <a:pt x="6258338" y="790074"/>
              </a:cubicBezTo>
              <a:cubicBezTo>
                <a:pt x="6305085" y="790074"/>
                <a:pt x="6343068" y="746075"/>
                <a:pt x="6389815" y="692511"/>
              </a:cubicBezTo>
              <a:cubicBezTo>
                <a:pt x="6474546" y="593034"/>
                <a:pt x="6594336" y="457210"/>
                <a:pt x="6880665" y="457210"/>
              </a:cubicBezTo>
              <a:cubicBezTo>
                <a:pt x="6892352" y="457210"/>
                <a:pt x="6901117" y="462949"/>
                <a:pt x="6901117" y="470601"/>
              </a:cubicBezTo>
              <a:cubicBezTo>
                <a:pt x="6901117" y="478253"/>
                <a:pt x="6892352" y="483992"/>
                <a:pt x="6880665" y="483992"/>
              </a:cubicBezTo>
              <a:cubicBezTo>
                <a:pt x="6617710" y="483992"/>
                <a:pt x="6512528" y="606425"/>
                <a:pt x="6424876" y="703989"/>
              </a:cubicBezTo>
              <a:cubicBezTo>
                <a:pt x="6369363" y="767118"/>
                <a:pt x="6328459" y="816857"/>
                <a:pt x="6255416" y="816857"/>
              </a:cubicBezTo>
              <a:cubicBezTo>
                <a:pt x="6255416" y="816857"/>
                <a:pt x="6252494" y="816857"/>
                <a:pt x="6252494" y="816857"/>
              </a:cubicBezTo>
              <a:cubicBezTo>
                <a:pt x="6132703" y="814944"/>
                <a:pt x="6083034" y="698250"/>
                <a:pt x="6033365" y="573904"/>
              </a:cubicBezTo>
              <a:cubicBezTo>
                <a:pt x="5989539" y="464862"/>
                <a:pt x="5942791" y="353907"/>
                <a:pt x="5855139" y="353907"/>
              </a:cubicBezTo>
              <a:cubicBezTo>
                <a:pt x="5764566" y="353907"/>
                <a:pt x="5714897" y="453384"/>
                <a:pt x="5665227" y="550948"/>
              </a:cubicBezTo>
              <a:cubicBezTo>
                <a:pt x="5609714" y="656163"/>
                <a:pt x="5554202" y="767118"/>
                <a:pt x="5434411" y="767118"/>
              </a:cubicBezTo>
              <a:cubicBezTo>
                <a:pt x="5288325" y="767118"/>
                <a:pt x="5247421" y="608338"/>
                <a:pt x="5206516" y="441906"/>
              </a:cubicBezTo>
              <a:cubicBezTo>
                <a:pt x="5168534" y="290778"/>
                <a:pt x="5127630" y="135824"/>
                <a:pt x="5016604" y="135824"/>
              </a:cubicBezTo>
              <a:cubicBezTo>
                <a:pt x="4890970" y="135824"/>
                <a:pt x="4844222" y="302256"/>
                <a:pt x="4797475" y="461036"/>
              </a:cubicBezTo>
              <a:cubicBezTo>
                <a:pt x="4744883" y="644685"/>
                <a:pt x="4695214" y="816857"/>
                <a:pt x="4528676" y="816857"/>
              </a:cubicBezTo>
              <a:cubicBezTo>
                <a:pt x="4400120" y="816857"/>
                <a:pt x="4341686" y="709728"/>
                <a:pt x="4286172" y="617903"/>
              </a:cubicBezTo>
              <a:cubicBezTo>
                <a:pt x="4245268" y="545209"/>
                <a:pt x="4201443" y="472514"/>
                <a:pt x="4143008" y="472514"/>
              </a:cubicBezTo>
              <a:cubicBezTo>
                <a:pt x="4067043" y="472514"/>
                <a:pt x="4029060" y="526079"/>
                <a:pt x="3991078" y="581556"/>
              </a:cubicBezTo>
              <a:cubicBezTo>
                <a:pt x="3950174" y="640859"/>
                <a:pt x="3906348" y="702076"/>
                <a:pt x="3812853" y="702076"/>
              </a:cubicBezTo>
              <a:cubicBezTo>
                <a:pt x="3660923" y="702076"/>
                <a:pt x="3625862" y="571991"/>
                <a:pt x="3593723" y="443819"/>
              </a:cubicBezTo>
              <a:cubicBezTo>
                <a:pt x="3567428" y="346255"/>
                <a:pt x="3541132" y="244866"/>
                <a:pt x="3459324" y="244866"/>
              </a:cubicBezTo>
              <a:cubicBezTo>
                <a:pt x="3459324" y="244866"/>
                <a:pt x="3459324" y="244866"/>
                <a:pt x="3459324" y="244866"/>
              </a:cubicBezTo>
              <a:cubicBezTo>
                <a:pt x="3351220" y="246779"/>
                <a:pt x="3313238" y="401733"/>
                <a:pt x="3275255" y="550948"/>
              </a:cubicBezTo>
              <a:cubicBezTo>
                <a:pt x="3216821" y="747988"/>
                <a:pt x="3170073" y="946941"/>
                <a:pt x="2968474" y="946941"/>
              </a:cubicBezTo>
              <a:lnTo>
                <a:pt x="2968474" y="946941"/>
              </a:lnTo>
              <a:close/>
            </a:path>
          </a:pathLst>
        </a:custGeom>
        <a:solidFill>
          <a:schemeClr val="tx2">
            <a:lumMod val="50000"/>
            <a:lumOff val="50000"/>
          </a:schemeClr>
        </a:solidFill>
        <a:ln w="29208" cap="flat">
          <a:noFill/>
          <a:prstDash val="solid"/>
          <a:miter/>
        </a:ln>
      </xdr:spPr>
      <xdr:txBody>
        <a:bodyPr rtlCol="0" anchor="ctr"/>
        <a:lstStyle/>
        <a:p>
          <a:endParaRPr lang="en-US"/>
        </a:p>
      </xdr:txBody>
    </xdr:sp>
    <xdr:clientData/>
  </xdr:twoCellAnchor>
  <xdr:twoCellAnchor editAs="oneCell">
    <xdr:from>
      <xdr:col>1</xdr:col>
      <xdr:colOff>1480344</xdr:colOff>
      <xdr:row>0</xdr:row>
      <xdr:rowOff>79376</xdr:rowOff>
    </xdr:from>
    <xdr:to>
      <xdr:col>1</xdr:col>
      <xdr:colOff>2059781</xdr:colOff>
      <xdr:row>2</xdr:row>
      <xdr:rowOff>164342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87109427-CCDB-41D5-8466-9C12751CC8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61332" y="79376"/>
          <a:ext cx="579437" cy="580266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3928</xdr:colOff>
      <xdr:row>1</xdr:row>
      <xdr:rowOff>213202</xdr:rowOff>
    </xdr:from>
    <xdr:to>
      <xdr:col>9</xdr:col>
      <xdr:colOff>949758</xdr:colOff>
      <xdr:row>3</xdr:row>
      <xdr:rowOff>27964</xdr:rowOff>
    </xdr:to>
    <xdr:sp macro="" textlink="">
      <xdr:nvSpPr>
        <xdr:cNvPr id="2" name="Freeform: Shape 1">
          <a:extLst>
            <a:ext uri="{FF2B5EF4-FFF2-40B4-BE49-F238E27FC236}">
              <a16:creationId xmlns:a16="http://schemas.microsoft.com/office/drawing/2014/main" id="{9AC56B1B-8CA3-4884-A2C9-3F8A10328F84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SpPr/>
      </xdr:nvSpPr>
      <xdr:spPr>
        <a:xfrm>
          <a:off x="7704891" y="413227"/>
          <a:ext cx="6889430" cy="1029200"/>
        </a:xfrm>
        <a:custGeom>
          <a:avLst/>
          <a:gdLst>
            <a:gd name="connsiteX0" fmla="*/ 1428724 w 6889430"/>
            <a:gd name="connsiteY0" fmla="*/ 1029201 h 1029200"/>
            <a:gd name="connsiteX1" fmla="*/ 1174534 w 6889430"/>
            <a:gd name="connsiteY1" fmla="*/ 763292 h 1029200"/>
            <a:gd name="connsiteX2" fmla="*/ 987543 w 6889430"/>
            <a:gd name="connsiteY2" fmla="*/ 539470 h 1029200"/>
            <a:gd name="connsiteX3" fmla="*/ 987543 w 6889430"/>
            <a:gd name="connsiteY3" fmla="*/ 539470 h 1029200"/>
            <a:gd name="connsiteX4" fmla="*/ 818083 w 6889430"/>
            <a:gd name="connsiteY4" fmla="*/ 696337 h 1029200"/>
            <a:gd name="connsiteX5" fmla="*/ 590189 w 6889430"/>
            <a:gd name="connsiteY5" fmla="*/ 879986 h 1029200"/>
            <a:gd name="connsiteX6" fmla="*/ 347685 w 6889430"/>
            <a:gd name="connsiteY6" fmla="*/ 679120 h 1029200"/>
            <a:gd name="connsiteX7" fmla="*/ 20452 w 6889430"/>
            <a:gd name="connsiteY7" fmla="*/ 430428 h 1029200"/>
            <a:gd name="connsiteX8" fmla="*/ 20452 w 6889430"/>
            <a:gd name="connsiteY8" fmla="*/ 430428 h 1029200"/>
            <a:gd name="connsiteX9" fmla="*/ 0 w 6889430"/>
            <a:gd name="connsiteY9" fmla="*/ 417037 h 1029200"/>
            <a:gd name="connsiteX10" fmla="*/ 20452 w 6889430"/>
            <a:gd name="connsiteY10" fmla="*/ 403646 h 1029200"/>
            <a:gd name="connsiteX11" fmla="*/ 20452 w 6889430"/>
            <a:gd name="connsiteY11" fmla="*/ 403646 h 1029200"/>
            <a:gd name="connsiteX12" fmla="*/ 385668 w 6889430"/>
            <a:gd name="connsiteY12" fmla="*/ 669555 h 1029200"/>
            <a:gd name="connsiteX13" fmla="*/ 587267 w 6889430"/>
            <a:gd name="connsiteY13" fmla="*/ 853204 h 1029200"/>
            <a:gd name="connsiteX14" fmla="*/ 771336 w 6889430"/>
            <a:gd name="connsiteY14" fmla="*/ 688685 h 1029200"/>
            <a:gd name="connsiteX15" fmla="*/ 981700 w 6889430"/>
            <a:gd name="connsiteY15" fmla="*/ 512687 h 1029200"/>
            <a:gd name="connsiteX16" fmla="*/ 981700 w 6889430"/>
            <a:gd name="connsiteY16" fmla="*/ 512687 h 1029200"/>
            <a:gd name="connsiteX17" fmla="*/ 1209595 w 6889430"/>
            <a:gd name="connsiteY17" fmla="*/ 759466 h 1029200"/>
            <a:gd name="connsiteX18" fmla="*/ 1422881 w 6889430"/>
            <a:gd name="connsiteY18" fmla="*/ 1002419 h 1029200"/>
            <a:gd name="connsiteX19" fmla="*/ 1425802 w 6889430"/>
            <a:gd name="connsiteY19" fmla="*/ 1002419 h 1029200"/>
            <a:gd name="connsiteX20" fmla="*/ 1633245 w 6889430"/>
            <a:gd name="connsiteY20" fmla="*/ 682946 h 1029200"/>
            <a:gd name="connsiteX21" fmla="*/ 1878670 w 6889430"/>
            <a:gd name="connsiteY21" fmla="*/ 344342 h 1029200"/>
            <a:gd name="connsiteX22" fmla="*/ 2097800 w 6889430"/>
            <a:gd name="connsiteY22" fmla="*/ 552861 h 1029200"/>
            <a:gd name="connsiteX23" fmla="*/ 2273103 w 6889430"/>
            <a:gd name="connsiteY23" fmla="*/ 740336 h 1029200"/>
            <a:gd name="connsiteX24" fmla="*/ 2486389 w 6889430"/>
            <a:gd name="connsiteY24" fmla="*/ 384516 h 1029200"/>
            <a:gd name="connsiteX25" fmla="*/ 2746423 w 6889430"/>
            <a:gd name="connsiteY25" fmla="*/ 0 h 1029200"/>
            <a:gd name="connsiteX26" fmla="*/ 2974317 w 6889430"/>
            <a:gd name="connsiteY26" fmla="*/ 476340 h 1029200"/>
            <a:gd name="connsiteX27" fmla="*/ 3213899 w 6889430"/>
            <a:gd name="connsiteY27" fmla="*/ 998593 h 1029200"/>
            <a:gd name="connsiteX28" fmla="*/ 3438872 w 6889430"/>
            <a:gd name="connsiteY28" fmla="*/ 648511 h 1029200"/>
            <a:gd name="connsiteX29" fmla="*/ 3643393 w 6889430"/>
            <a:gd name="connsiteY29" fmla="*/ 330951 h 1029200"/>
            <a:gd name="connsiteX30" fmla="*/ 3646314 w 6889430"/>
            <a:gd name="connsiteY30" fmla="*/ 330951 h 1029200"/>
            <a:gd name="connsiteX31" fmla="*/ 3824540 w 6889430"/>
            <a:gd name="connsiteY31" fmla="*/ 554774 h 1029200"/>
            <a:gd name="connsiteX32" fmla="*/ 4002765 w 6889430"/>
            <a:gd name="connsiteY32" fmla="*/ 790074 h 1029200"/>
            <a:gd name="connsiteX33" fmla="*/ 4143008 w 6889430"/>
            <a:gd name="connsiteY33" fmla="*/ 686772 h 1029200"/>
            <a:gd name="connsiteX34" fmla="*/ 4335842 w 6889430"/>
            <a:gd name="connsiteY34" fmla="*/ 560513 h 1029200"/>
            <a:gd name="connsiteX35" fmla="*/ 4522832 w 6889430"/>
            <a:gd name="connsiteY35" fmla="*/ 747988 h 1029200"/>
            <a:gd name="connsiteX36" fmla="*/ 4727353 w 6889430"/>
            <a:gd name="connsiteY36" fmla="*/ 956507 h 1029200"/>
            <a:gd name="connsiteX37" fmla="*/ 4955248 w 6889430"/>
            <a:gd name="connsiteY37" fmla="*/ 596860 h 1029200"/>
            <a:gd name="connsiteX38" fmla="*/ 5215281 w 6889430"/>
            <a:gd name="connsiteY38" fmla="*/ 221910 h 1029200"/>
            <a:gd name="connsiteX39" fmla="*/ 5451941 w 6889430"/>
            <a:gd name="connsiteY39" fmla="*/ 552861 h 1029200"/>
            <a:gd name="connsiteX40" fmla="*/ 5638932 w 6889430"/>
            <a:gd name="connsiteY40" fmla="*/ 855117 h 1029200"/>
            <a:gd name="connsiteX41" fmla="*/ 5828844 w 6889430"/>
            <a:gd name="connsiteY41" fmla="*/ 658077 h 1029200"/>
            <a:gd name="connsiteX42" fmla="*/ 6062582 w 6889430"/>
            <a:gd name="connsiteY42" fmla="*/ 441906 h 1029200"/>
            <a:gd name="connsiteX43" fmla="*/ 6275868 w 6889430"/>
            <a:gd name="connsiteY43" fmla="*/ 686772 h 1029200"/>
            <a:gd name="connsiteX44" fmla="*/ 6445328 w 6889430"/>
            <a:gd name="connsiteY44" fmla="*/ 906768 h 1029200"/>
            <a:gd name="connsiteX45" fmla="*/ 6603101 w 6889430"/>
            <a:gd name="connsiteY45" fmla="*/ 692511 h 1029200"/>
            <a:gd name="connsiteX46" fmla="*/ 6866057 w 6889430"/>
            <a:gd name="connsiteY46" fmla="*/ 392168 h 1029200"/>
            <a:gd name="connsiteX47" fmla="*/ 6889431 w 6889430"/>
            <a:gd name="connsiteY47" fmla="*/ 403646 h 1029200"/>
            <a:gd name="connsiteX48" fmla="*/ 6871900 w 6889430"/>
            <a:gd name="connsiteY48" fmla="*/ 418950 h 1029200"/>
            <a:gd name="connsiteX49" fmla="*/ 6644005 w 6889430"/>
            <a:gd name="connsiteY49" fmla="*/ 698250 h 1029200"/>
            <a:gd name="connsiteX50" fmla="*/ 6442406 w 6889430"/>
            <a:gd name="connsiteY50" fmla="*/ 933550 h 1029200"/>
            <a:gd name="connsiteX51" fmla="*/ 6232042 w 6889430"/>
            <a:gd name="connsiteY51" fmla="*/ 690598 h 1029200"/>
            <a:gd name="connsiteX52" fmla="*/ 6062582 w 6889430"/>
            <a:gd name="connsiteY52" fmla="*/ 468688 h 1029200"/>
            <a:gd name="connsiteX53" fmla="*/ 5872670 w 6889430"/>
            <a:gd name="connsiteY53" fmla="*/ 665729 h 1029200"/>
            <a:gd name="connsiteX54" fmla="*/ 5638932 w 6889430"/>
            <a:gd name="connsiteY54" fmla="*/ 881899 h 1029200"/>
            <a:gd name="connsiteX55" fmla="*/ 5408116 w 6889430"/>
            <a:gd name="connsiteY55" fmla="*/ 554774 h 1029200"/>
            <a:gd name="connsiteX56" fmla="*/ 5215281 w 6889430"/>
            <a:gd name="connsiteY56" fmla="*/ 248692 h 1029200"/>
            <a:gd name="connsiteX57" fmla="*/ 4996152 w 6889430"/>
            <a:gd name="connsiteY57" fmla="*/ 600686 h 1029200"/>
            <a:gd name="connsiteX58" fmla="*/ 4727353 w 6889430"/>
            <a:gd name="connsiteY58" fmla="*/ 985202 h 1029200"/>
            <a:gd name="connsiteX59" fmla="*/ 4481928 w 6889430"/>
            <a:gd name="connsiteY59" fmla="*/ 755640 h 1029200"/>
            <a:gd name="connsiteX60" fmla="*/ 4335842 w 6889430"/>
            <a:gd name="connsiteY60" fmla="*/ 587295 h 1029200"/>
            <a:gd name="connsiteX61" fmla="*/ 4180990 w 6889430"/>
            <a:gd name="connsiteY61" fmla="*/ 698250 h 1029200"/>
            <a:gd name="connsiteX62" fmla="*/ 3999843 w 6889430"/>
            <a:gd name="connsiteY62" fmla="*/ 818770 h 1029200"/>
            <a:gd name="connsiteX63" fmla="*/ 3777792 w 6889430"/>
            <a:gd name="connsiteY63" fmla="*/ 560513 h 1029200"/>
            <a:gd name="connsiteX64" fmla="*/ 3643393 w 6889430"/>
            <a:gd name="connsiteY64" fmla="*/ 359646 h 1029200"/>
            <a:gd name="connsiteX65" fmla="*/ 3643393 w 6889430"/>
            <a:gd name="connsiteY65" fmla="*/ 359646 h 1029200"/>
            <a:gd name="connsiteX66" fmla="*/ 3482698 w 6889430"/>
            <a:gd name="connsiteY66" fmla="*/ 652337 h 1029200"/>
            <a:gd name="connsiteX67" fmla="*/ 3213899 w 6889430"/>
            <a:gd name="connsiteY67" fmla="*/ 1027288 h 1029200"/>
            <a:gd name="connsiteX68" fmla="*/ 2930492 w 6889430"/>
            <a:gd name="connsiteY68" fmla="*/ 478253 h 1029200"/>
            <a:gd name="connsiteX69" fmla="*/ 2746423 w 6889430"/>
            <a:gd name="connsiteY69" fmla="*/ 26782 h 1029200"/>
            <a:gd name="connsiteX70" fmla="*/ 2530215 w 6889430"/>
            <a:gd name="connsiteY70" fmla="*/ 386429 h 1029200"/>
            <a:gd name="connsiteX71" fmla="*/ 2276025 w 6889430"/>
            <a:gd name="connsiteY71" fmla="*/ 767118 h 1029200"/>
            <a:gd name="connsiteX72" fmla="*/ 2056895 w 6889430"/>
            <a:gd name="connsiteY72" fmla="*/ 558600 h 1029200"/>
            <a:gd name="connsiteX73" fmla="*/ 1881592 w 6889430"/>
            <a:gd name="connsiteY73" fmla="*/ 371125 h 1029200"/>
            <a:gd name="connsiteX74" fmla="*/ 1679993 w 6889430"/>
            <a:gd name="connsiteY74" fmla="*/ 686772 h 1029200"/>
            <a:gd name="connsiteX75" fmla="*/ 1431646 w 6889430"/>
            <a:gd name="connsiteY75" fmla="*/ 1029201 h 1029200"/>
            <a:gd name="connsiteX76" fmla="*/ 1428724 w 6889430"/>
            <a:gd name="connsiteY76" fmla="*/ 1029201 h 1029200"/>
            <a:gd name="connsiteX77" fmla="*/ 1428724 w 6889430"/>
            <a:gd name="connsiteY77" fmla="*/ 1029201 h 10292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  <a:cxn ang="0">
              <a:pos x="connsiteX55" y="connsiteY55"/>
            </a:cxn>
            <a:cxn ang="0">
              <a:pos x="connsiteX56" y="connsiteY56"/>
            </a:cxn>
            <a:cxn ang="0">
              <a:pos x="connsiteX57" y="connsiteY57"/>
            </a:cxn>
            <a:cxn ang="0">
              <a:pos x="connsiteX58" y="connsiteY58"/>
            </a:cxn>
            <a:cxn ang="0">
              <a:pos x="connsiteX59" y="connsiteY59"/>
            </a:cxn>
            <a:cxn ang="0">
              <a:pos x="connsiteX60" y="connsiteY60"/>
            </a:cxn>
            <a:cxn ang="0">
              <a:pos x="connsiteX61" y="connsiteY61"/>
            </a:cxn>
            <a:cxn ang="0">
              <a:pos x="connsiteX62" y="connsiteY62"/>
            </a:cxn>
            <a:cxn ang="0">
              <a:pos x="connsiteX63" y="connsiteY63"/>
            </a:cxn>
            <a:cxn ang="0">
              <a:pos x="connsiteX64" y="connsiteY64"/>
            </a:cxn>
            <a:cxn ang="0">
              <a:pos x="connsiteX65" y="connsiteY65"/>
            </a:cxn>
            <a:cxn ang="0">
              <a:pos x="connsiteX66" y="connsiteY66"/>
            </a:cxn>
            <a:cxn ang="0">
              <a:pos x="connsiteX67" y="connsiteY67"/>
            </a:cxn>
            <a:cxn ang="0">
              <a:pos x="connsiteX68" y="connsiteY68"/>
            </a:cxn>
            <a:cxn ang="0">
              <a:pos x="connsiteX69" y="connsiteY69"/>
            </a:cxn>
            <a:cxn ang="0">
              <a:pos x="connsiteX70" y="connsiteY70"/>
            </a:cxn>
            <a:cxn ang="0">
              <a:pos x="connsiteX71" y="connsiteY71"/>
            </a:cxn>
            <a:cxn ang="0">
              <a:pos x="connsiteX72" y="connsiteY72"/>
            </a:cxn>
            <a:cxn ang="0">
              <a:pos x="connsiteX73" y="connsiteY73"/>
            </a:cxn>
            <a:cxn ang="0">
              <a:pos x="connsiteX74" y="connsiteY74"/>
            </a:cxn>
            <a:cxn ang="0">
              <a:pos x="connsiteX75" y="connsiteY75"/>
            </a:cxn>
            <a:cxn ang="0">
              <a:pos x="connsiteX76" y="connsiteY76"/>
            </a:cxn>
            <a:cxn ang="0">
              <a:pos x="connsiteX77" y="connsiteY77"/>
            </a:cxn>
          </a:cxnLst>
          <a:rect l="l" t="t" r="r" b="b"/>
          <a:pathLst>
            <a:path w="6889430" h="1029200">
              <a:moveTo>
                <a:pt x="1428724" y="1029201"/>
              </a:moveTo>
              <a:cubicBezTo>
                <a:pt x="1276794" y="1029201"/>
                <a:pt x="1224203" y="895290"/>
                <a:pt x="1174534" y="763292"/>
              </a:cubicBezTo>
              <a:cubicBezTo>
                <a:pt x="1130708" y="652337"/>
                <a:pt x="1086882" y="539470"/>
                <a:pt x="987543" y="539470"/>
              </a:cubicBezTo>
              <a:lnTo>
                <a:pt x="987543" y="539470"/>
              </a:lnTo>
              <a:cubicBezTo>
                <a:pt x="899892" y="539470"/>
                <a:pt x="858988" y="615990"/>
                <a:pt x="818083" y="696337"/>
              </a:cubicBezTo>
              <a:cubicBezTo>
                <a:pt x="771336" y="786248"/>
                <a:pt x="721666" y="879986"/>
                <a:pt x="590189" y="879986"/>
              </a:cubicBezTo>
              <a:cubicBezTo>
                <a:pt x="467476" y="879986"/>
                <a:pt x="409042" y="782422"/>
                <a:pt x="347685" y="679120"/>
              </a:cubicBezTo>
              <a:cubicBezTo>
                <a:pt x="274642" y="556687"/>
                <a:pt x="198677" y="430428"/>
                <a:pt x="20452" y="430428"/>
              </a:cubicBezTo>
              <a:cubicBezTo>
                <a:pt x="20452" y="430428"/>
                <a:pt x="20452" y="430428"/>
                <a:pt x="20452" y="430428"/>
              </a:cubicBezTo>
              <a:cubicBezTo>
                <a:pt x="8765" y="430428"/>
                <a:pt x="0" y="424689"/>
                <a:pt x="0" y="417037"/>
              </a:cubicBezTo>
              <a:cubicBezTo>
                <a:pt x="0" y="409385"/>
                <a:pt x="8765" y="403646"/>
                <a:pt x="20452" y="403646"/>
              </a:cubicBezTo>
              <a:lnTo>
                <a:pt x="20452" y="403646"/>
              </a:lnTo>
              <a:cubicBezTo>
                <a:pt x="227895" y="403646"/>
                <a:pt x="312625" y="545209"/>
                <a:pt x="385668" y="669555"/>
              </a:cubicBezTo>
              <a:cubicBezTo>
                <a:pt x="441181" y="763292"/>
                <a:pt x="496693" y="853204"/>
                <a:pt x="587267" y="853204"/>
              </a:cubicBezTo>
              <a:cubicBezTo>
                <a:pt x="686606" y="853204"/>
                <a:pt x="727510" y="772857"/>
                <a:pt x="771336" y="688685"/>
              </a:cubicBezTo>
              <a:cubicBezTo>
                <a:pt x="815162" y="602599"/>
                <a:pt x="861909" y="514601"/>
                <a:pt x="981700" y="512687"/>
              </a:cubicBezTo>
              <a:lnTo>
                <a:pt x="981700" y="512687"/>
              </a:lnTo>
              <a:cubicBezTo>
                <a:pt x="1113178" y="512687"/>
                <a:pt x="1159925" y="631294"/>
                <a:pt x="1209595" y="759466"/>
              </a:cubicBezTo>
              <a:cubicBezTo>
                <a:pt x="1256342" y="879986"/>
                <a:pt x="1306012" y="1002419"/>
                <a:pt x="1422881" y="1002419"/>
              </a:cubicBezTo>
              <a:cubicBezTo>
                <a:pt x="1422881" y="1002419"/>
                <a:pt x="1422881" y="1002419"/>
                <a:pt x="1425802" y="1002419"/>
              </a:cubicBezTo>
              <a:cubicBezTo>
                <a:pt x="1536828" y="1000506"/>
                <a:pt x="1586497" y="832161"/>
                <a:pt x="1633245" y="682946"/>
              </a:cubicBezTo>
              <a:cubicBezTo>
                <a:pt x="1685836" y="508862"/>
                <a:pt x="1735505" y="344342"/>
                <a:pt x="1878670" y="344342"/>
              </a:cubicBezTo>
              <a:cubicBezTo>
                <a:pt x="2001382" y="344342"/>
                <a:pt x="2051052" y="449558"/>
                <a:pt x="2097800" y="552861"/>
              </a:cubicBezTo>
              <a:cubicBezTo>
                <a:pt x="2141625" y="644685"/>
                <a:pt x="2185451" y="740336"/>
                <a:pt x="2273103" y="740336"/>
              </a:cubicBezTo>
              <a:cubicBezTo>
                <a:pt x="2395816" y="740336"/>
                <a:pt x="2439641" y="558600"/>
                <a:pt x="2486389" y="384516"/>
              </a:cubicBezTo>
              <a:cubicBezTo>
                <a:pt x="2536059" y="187475"/>
                <a:pt x="2582806" y="0"/>
                <a:pt x="2746423" y="0"/>
              </a:cubicBezTo>
              <a:cubicBezTo>
                <a:pt x="2904196" y="0"/>
                <a:pt x="2936335" y="219996"/>
                <a:pt x="2974317" y="476340"/>
              </a:cubicBezTo>
              <a:cubicBezTo>
                <a:pt x="3009378" y="721206"/>
                <a:pt x="3050282" y="998593"/>
                <a:pt x="3213899" y="998593"/>
              </a:cubicBezTo>
              <a:cubicBezTo>
                <a:pt x="3377516" y="998593"/>
                <a:pt x="3409654" y="820683"/>
                <a:pt x="3438872" y="648511"/>
              </a:cubicBezTo>
              <a:cubicBezTo>
                <a:pt x="3468089" y="485905"/>
                <a:pt x="3494385" y="332864"/>
                <a:pt x="3643393" y="330951"/>
              </a:cubicBezTo>
              <a:cubicBezTo>
                <a:pt x="3643393" y="330951"/>
                <a:pt x="3643393" y="330951"/>
                <a:pt x="3646314" y="330951"/>
              </a:cubicBezTo>
              <a:cubicBezTo>
                <a:pt x="3763184" y="330951"/>
                <a:pt x="3792401" y="439993"/>
                <a:pt x="3824540" y="554774"/>
              </a:cubicBezTo>
              <a:cubicBezTo>
                <a:pt x="3856679" y="669555"/>
                <a:pt x="3885896" y="790074"/>
                <a:pt x="4002765" y="790074"/>
              </a:cubicBezTo>
              <a:cubicBezTo>
                <a:pt x="4069965" y="790074"/>
                <a:pt x="4105025" y="740336"/>
                <a:pt x="4143008" y="686772"/>
              </a:cubicBezTo>
              <a:cubicBezTo>
                <a:pt x="4183912" y="627468"/>
                <a:pt x="4230660" y="560513"/>
                <a:pt x="4335842" y="560513"/>
              </a:cubicBezTo>
              <a:cubicBezTo>
                <a:pt x="4426415" y="560513"/>
                <a:pt x="4470241" y="648511"/>
                <a:pt x="4522832" y="747988"/>
              </a:cubicBezTo>
              <a:cubicBezTo>
                <a:pt x="4572502" y="845552"/>
                <a:pt x="4630936" y="956507"/>
                <a:pt x="4727353" y="956507"/>
              </a:cubicBezTo>
              <a:cubicBezTo>
                <a:pt x="4858831" y="956507"/>
                <a:pt x="4908500" y="772857"/>
                <a:pt x="4955248" y="596860"/>
              </a:cubicBezTo>
              <a:cubicBezTo>
                <a:pt x="5004917" y="403646"/>
                <a:pt x="5054587" y="221910"/>
                <a:pt x="5215281" y="221910"/>
              </a:cubicBezTo>
              <a:cubicBezTo>
                <a:pt x="5367211" y="221910"/>
                <a:pt x="5408116" y="382603"/>
                <a:pt x="5451941" y="552861"/>
              </a:cubicBezTo>
              <a:cubicBezTo>
                <a:pt x="5489924" y="702076"/>
                <a:pt x="5527906" y="855117"/>
                <a:pt x="5638932" y="855117"/>
              </a:cubicBezTo>
              <a:cubicBezTo>
                <a:pt x="5729505" y="855117"/>
                <a:pt x="5779175" y="755640"/>
                <a:pt x="5828844" y="658077"/>
              </a:cubicBezTo>
              <a:cubicBezTo>
                <a:pt x="5884357" y="550948"/>
                <a:pt x="5939870" y="441906"/>
                <a:pt x="6062582" y="441906"/>
              </a:cubicBezTo>
              <a:cubicBezTo>
                <a:pt x="6185294" y="441906"/>
                <a:pt x="6229120" y="560513"/>
                <a:pt x="6275868" y="686772"/>
              </a:cubicBezTo>
              <a:cubicBezTo>
                <a:pt x="6316772" y="795813"/>
                <a:pt x="6354755" y="906768"/>
                <a:pt x="6445328" y="906768"/>
              </a:cubicBezTo>
              <a:cubicBezTo>
                <a:pt x="6524215" y="906768"/>
                <a:pt x="6565119" y="797726"/>
                <a:pt x="6603101" y="692511"/>
              </a:cubicBezTo>
              <a:cubicBezTo>
                <a:pt x="6652771" y="558600"/>
                <a:pt x="6708284" y="405559"/>
                <a:pt x="6866057" y="392168"/>
              </a:cubicBezTo>
              <a:cubicBezTo>
                <a:pt x="6877743" y="390255"/>
                <a:pt x="6889431" y="395994"/>
                <a:pt x="6889431" y="403646"/>
              </a:cubicBezTo>
              <a:cubicBezTo>
                <a:pt x="6889431" y="411298"/>
                <a:pt x="6883587" y="418950"/>
                <a:pt x="6871900" y="418950"/>
              </a:cubicBezTo>
              <a:cubicBezTo>
                <a:pt x="6743344" y="430428"/>
                <a:pt x="6690753" y="571991"/>
                <a:pt x="6644005" y="698250"/>
              </a:cubicBezTo>
              <a:cubicBezTo>
                <a:pt x="6597258" y="824509"/>
                <a:pt x="6556354" y="933550"/>
                <a:pt x="6442406" y="933550"/>
              </a:cubicBezTo>
              <a:cubicBezTo>
                <a:pt x="6319694" y="933550"/>
                <a:pt x="6278790" y="814944"/>
                <a:pt x="6232042" y="690598"/>
              </a:cubicBezTo>
              <a:cubicBezTo>
                <a:pt x="6191138" y="581556"/>
                <a:pt x="6150234" y="468688"/>
                <a:pt x="6062582" y="468688"/>
              </a:cubicBezTo>
              <a:cubicBezTo>
                <a:pt x="5972008" y="468688"/>
                <a:pt x="5922339" y="568165"/>
                <a:pt x="5872670" y="665729"/>
              </a:cubicBezTo>
              <a:cubicBezTo>
                <a:pt x="5817157" y="772857"/>
                <a:pt x="5761644" y="881899"/>
                <a:pt x="5638932" y="881899"/>
              </a:cubicBezTo>
              <a:cubicBezTo>
                <a:pt x="5489924" y="881899"/>
                <a:pt x="5451941" y="723119"/>
                <a:pt x="5408116" y="554774"/>
              </a:cubicBezTo>
              <a:cubicBezTo>
                <a:pt x="5370133" y="403646"/>
                <a:pt x="5329229" y="248692"/>
                <a:pt x="5215281" y="248692"/>
              </a:cubicBezTo>
              <a:cubicBezTo>
                <a:pt x="5089647" y="248692"/>
                <a:pt x="5042900" y="428515"/>
                <a:pt x="4996152" y="600686"/>
              </a:cubicBezTo>
              <a:cubicBezTo>
                <a:pt x="4943561" y="797726"/>
                <a:pt x="4893892" y="985202"/>
                <a:pt x="4727353" y="985202"/>
              </a:cubicBezTo>
              <a:cubicBezTo>
                <a:pt x="4598797" y="985202"/>
                <a:pt x="4537441" y="868508"/>
                <a:pt x="4481928" y="755640"/>
              </a:cubicBezTo>
              <a:cubicBezTo>
                <a:pt x="4438102" y="673381"/>
                <a:pt x="4394276" y="587295"/>
                <a:pt x="4335842" y="587295"/>
              </a:cubicBezTo>
              <a:cubicBezTo>
                <a:pt x="4259877" y="587295"/>
                <a:pt x="4221895" y="640859"/>
                <a:pt x="4180990" y="698250"/>
              </a:cubicBezTo>
              <a:cubicBezTo>
                <a:pt x="4140086" y="757553"/>
                <a:pt x="4096260" y="818770"/>
                <a:pt x="3999843" y="818770"/>
              </a:cubicBezTo>
              <a:cubicBezTo>
                <a:pt x="3847913" y="818770"/>
                <a:pt x="3812853" y="686772"/>
                <a:pt x="3777792" y="560513"/>
              </a:cubicBezTo>
              <a:cubicBezTo>
                <a:pt x="3751496" y="462949"/>
                <a:pt x="3725201" y="359646"/>
                <a:pt x="3643393" y="359646"/>
              </a:cubicBezTo>
              <a:lnTo>
                <a:pt x="3643393" y="359646"/>
              </a:lnTo>
              <a:cubicBezTo>
                <a:pt x="3535289" y="361559"/>
                <a:pt x="3508993" y="508862"/>
                <a:pt x="3482698" y="652337"/>
              </a:cubicBezTo>
              <a:cubicBezTo>
                <a:pt x="3450559" y="835987"/>
                <a:pt x="3415498" y="1027288"/>
                <a:pt x="3213899" y="1027288"/>
              </a:cubicBezTo>
              <a:cubicBezTo>
                <a:pt x="3009378" y="1027288"/>
                <a:pt x="2968474" y="747988"/>
                <a:pt x="2930492" y="478253"/>
              </a:cubicBezTo>
              <a:cubicBezTo>
                <a:pt x="2901274" y="267822"/>
                <a:pt x="2866213" y="26782"/>
                <a:pt x="2746423" y="26782"/>
              </a:cubicBezTo>
              <a:cubicBezTo>
                <a:pt x="2620788" y="26782"/>
                <a:pt x="2574041" y="218084"/>
                <a:pt x="2530215" y="386429"/>
              </a:cubicBezTo>
              <a:cubicBezTo>
                <a:pt x="2480546" y="581556"/>
                <a:pt x="2433798" y="767118"/>
                <a:pt x="2276025" y="767118"/>
              </a:cubicBezTo>
              <a:cubicBezTo>
                <a:pt x="2153312" y="767118"/>
                <a:pt x="2103643" y="661903"/>
                <a:pt x="2056895" y="558600"/>
              </a:cubicBezTo>
              <a:cubicBezTo>
                <a:pt x="2013069" y="466775"/>
                <a:pt x="1969244" y="371125"/>
                <a:pt x="1881592" y="371125"/>
              </a:cubicBezTo>
              <a:cubicBezTo>
                <a:pt x="1773488" y="371125"/>
                <a:pt x="1723819" y="537557"/>
                <a:pt x="1679993" y="686772"/>
              </a:cubicBezTo>
              <a:cubicBezTo>
                <a:pt x="1627401" y="860856"/>
                <a:pt x="1577732" y="1027288"/>
                <a:pt x="1431646" y="1029201"/>
              </a:cubicBezTo>
              <a:cubicBezTo>
                <a:pt x="1431646" y="1029201"/>
                <a:pt x="1431646" y="1029201"/>
                <a:pt x="1428724" y="1029201"/>
              </a:cubicBezTo>
              <a:lnTo>
                <a:pt x="1428724" y="1029201"/>
              </a:lnTo>
              <a:close/>
            </a:path>
          </a:pathLst>
        </a:custGeom>
        <a:solidFill>
          <a:schemeClr val="accent3">
            <a:lumMod val="60000"/>
            <a:lumOff val="40000"/>
          </a:schemeClr>
        </a:solidFill>
        <a:ln w="29208" cap="flat">
          <a:noFill/>
          <a:prstDash val="solid"/>
          <a:miter/>
        </a:ln>
      </xdr:spPr>
      <xdr:txBody>
        <a:bodyPr rtlCol="0" anchor="ctr"/>
        <a:lstStyle/>
        <a:p>
          <a:endParaRPr lang="en-US"/>
        </a:p>
      </xdr:txBody>
    </xdr:sp>
    <xdr:clientData/>
  </xdr:twoCellAnchor>
  <xdr:twoCellAnchor>
    <xdr:from>
      <xdr:col>5</xdr:col>
      <xdr:colOff>6850</xdr:colOff>
      <xdr:row>0</xdr:row>
      <xdr:rowOff>197057</xdr:rowOff>
    </xdr:from>
    <xdr:to>
      <xdr:col>9</xdr:col>
      <xdr:colOff>952680</xdr:colOff>
      <xdr:row>2</xdr:row>
      <xdr:rowOff>901216</xdr:rowOff>
    </xdr:to>
    <xdr:sp macro="" textlink="">
      <xdr:nvSpPr>
        <xdr:cNvPr id="3" name="Freeform: Shape 2">
          <a:extLst>
            <a:ext uri="{FF2B5EF4-FFF2-40B4-BE49-F238E27FC236}">
              <a16:creationId xmlns:a16="http://schemas.microsoft.com/office/drawing/2014/main" id="{73238B91-FC03-41E9-AFF7-ED589D6C2281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SpPr/>
      </xdr:nvSpPr>
      <xdr:spPr>
        <a:xfrm>
          <a:off x="7707813" y="197057"/>
          <a:ext cx="6889430" cy="1199459"/>
        </a:xfrm>
        <a:custGeom>
          <a:avLst/>
          <a:gdLst>
            <a:gd name="connsiteX0" fmla="*/ 2974317 w 6889430"/>
            <a:gd name="connsiteY0" fmla="*/ 1199459 h 1199459"/>
            <a:gd name="connsiteX1" fmla="*/ 2679223 w 6889430"/>
            <a:gd name="connsiteY1" fmla="*/ 537557 h 1199459"/>
            <a:gd name="connsiteX2" fmla="*/ 2512685 w 6889430"/>
            <a:gd name="connsiteY2" fmla="*/ 28695 h 1199459"/>
            <a:gd name="connsiteX3" fmla="*/ 2311085 w 6889430"/>
            <a:gd name="connsiteY3" fmla="*/ 441906 h 1199459"/>
            <a:gd name="connsiteX4" fmla="*/ 2071504 w 6889430"/>
            <a:gd name="connsiteY4" fmla="*/ 876160 h 1199459"/>
            <a:gd name="connsiteX5" fmla="*/ 1855296 w 6889430"/>
            <a:gd name="connsiteY5" fmla="*/ 589208 h 1199459"/>
            <a:gd name="connsiteX6" fmla="*/ 1679993 w 6889430"/>
            <a:gd name="connsiteY6" fmla="*/ 325212 h 1199459"/>
            <a:gd name="connsiteX7" fmla="*/ 1484237 w 6889430"/>
            <a:gd name="connsiteY7" fmla="*/ 681033 h 1199459"/>
            <a:gd name="connsiteX8" fmla="*/ 1206673 w 6889430"/>
            <a:gd name="connsiteY8" fmla="*/ 1099983 h 1199459"/>
            <a:gd name="connsiteX9" fmla="*/ 955404 w 6889430"/>
            <a:gd name="connsiteY9" fmla="*/ 791987 h 1199459"/>
            <a:gd name="connsiteX10" fmla="*/ 777179 w 6889430"/>
            <a:gd name="connsiteY10" fmla="*/ 529905 h 1199459"/>
            <a:gd name="connsiteX11" fmla="*/ 777179 w 6889430"/>
            <a:gd name="connsiteY11" fmla="*/ 529905 h 1199459"/>
            <a:gd name="connsiteX12" fmla="*/ 587267 w 6889430"/>
            <a:gd name="connsiteY12" fmla="*/ 747988 h 1199459"/>
            <a:gd name="connsiteX13" fmla="*/ 350607 w 6889430"/>
            <a:gd name="connsiteY13" fmla="*/ 989028 h 1199459"/>
            <a:gd name="connsiteX14" fmla="*/ 350607 w 6889430"/>
            <a:gd name="connsiteY14" fmla="*/ 989028 h 1199459"/>
            <a:gd name="connsiteX15" fmla="*/ 178225 w 6889430"/>
            <a:gd name="connsiteY15" fmla="*/ 816857 h 1199459"/>
            <a:gd name="connsiteX16" fmla="*/ 20452 w 6889430"/>
            <a:gd name="connsiteY16" fmla="*/ 644685 h 1199459"/>
            <a:gd name="connsiteX17" fmla="*/ 0 w 6889430"/>
            <a:gd name="connsiteY17" fmla="*/ 629381 h 1199459"/>
            <a:gd name="connsiteX18" fmla="*/ 23374 w 6889430"/>
            <a:gd name="connsiteY18" fmla="*/ 615990 h 1199459"/>
            <a:gd name="connsiteX19" fmla="*/ 219129 w 6889430"/>
            <a:gd name="connsiteY19" fmla="*/ 809204 h 1199459"/>
            <a:gd name="connsiteX20" fmla="*/ 350607 w 6889430"/>
            <a:gd name="connsiteY20" fmla="*/ 958419 h 1199459"/>
            <a:gd name="connsiteX21" fmla="*/ 350607 w 6889430"/>
            <a:gd name="connsiteY21" fmla="*/ 958419 h 1199459"/>
            <a:gd name="connsiteX22" fmla="*/ 546363 w 6889430"/>
            <a:gd name="connsiteY22" fmla="*/ 736510 h 1199459"/>
            <a:gd name="connsiteX23" fmla="*/ 780101 w 6889430"/>
            <a:gd name="connsiteY23" fmla="*/ 497383 h 1199459"/>
            <a:gd name="connsiteX24" fmla="*/ 780101 w 6889430"/>
            <a:gd name="connsiteY24" fmla="*/ 497383 h 1199459"/>
            <a:gd name="connsiteX25" fmla="*/ 1002152 w 6889430"/>
            <a:gd name="connsiteY25" fmla="*/ 780509 h 1199459"/>
            <a:gd name="connsiteX26" fmla="*/ 1209595 w 6889430"/>
            <a:gd name="connsiteY26" fmla="*/ 1065548 h 1199459"/>
            <a:gd name="connsiteX27" fmla="*/ 1443333 w 6889430"/>
            <a:gd name="connsiteY27" fmla="*/ 671468 h 1199459"/>
            <a:gd name="connsiteX28" fmla="*/ 1682914 w 6889430"/>
            <a:gd name="connsiteY28" fmla="*/ 292691 h 1199459"/>
            <a:gd name="connsiteX29" fmla="*/ 1899122 w 6889430"/>
            <a:gd name="connsiteY29" fmla="*/ 579643 h 1199459"/>
            <a:gd name="connsiteX30" fmla="*/ 2074426 w 6889430"/>
            <a:gd name="connsiteY30" fmla="*/ 843639 h 1199459"/>
            <a:gd name="connsiteX31" fmla="*/ 2270181 w 6889430"/>
            <a:gd name="connsiteY31" fmla="*/ 434254 h 1199459"/>
            <a:gd name="connsiteX32" fmla="*/ 2512685 w 6889430"/>
            <a:gd name="connsiteY32" fmla="*/ 0 h 1199459"/>
            <a:gd name="connsiteX33" fmla="*/ 2720127 w 6889430"/>
            <a:gd name="connsiteY33" fmla="*/ 535644 h 1199459"/>
            <a:gd name="connsiteX34" fmla="*/ 2971396 w 6889430"/>
            <a:gd name="connsiteY34" fmla="*/ 1170764 h 1199459"/>
            <a:gd name="connsiteX35" fmla="*/ 3199290 w 6889430"/>
            <a:gd name="connsiteY35" fmla="*/ 732684 h 1199459"/>
            <a:gd name="connsiteX36" fmla="*/ 3459324 w 6889430"/>
            <a:gd name="connsiteY36" fmla="*/ 281213 h 1199459"/>
            <a:gd name="connsiteX37" fmla="*/ 3669688 w 6889430"/>
            <a:gd name="connsiteY37" fmla="*/ 594947 h 1199459"/>
            <a:gd name="connsiteX38" fmla="*/ 3818696 w 6889430"/>
            <a:gd name="connsiteY38" fmla="*/ 864682 h 1199459"/>
            <a:gd name="connsiteX39" fmla="*/ 3958939 w 6889430"/>
            <a:gd name="connsiteY39" fmla="*/ 736510 h 1199459"/>
            <a:gd name="connsiteX40" fmla="*/ 4154695 w 6889430"/>
            <a:gd name="connsiteY40" fmla="*/ 581556 h 1199459"/>
            <a:gd name="connsiteX41" fmla="*/ 4341685 w 6889430"/>
            <a:gd name="connsiteY41" fmla="*/ 784335 h 1199459"/>
            <a:gd name="connsiteX42" fmla="*/ 4546206 w 6889430"/>
            <a:gd name="connsiteY42" fmla="*/ 1011984 h 1199459"/>
            <a:gd name="connsiteX43" fmla="*/ 4777023 w 6889430"/>
            <a:gd name="connsiteY43" fmla="*/ 583469 h 1199459"/>
            <a:gd name="connsiteX44" fmla="*/ 5042900 w 6889430"/>
            <a:gd name="connsiteY44" fmla="*/ 139650 h 1199459"/>
            <a:gd name="connsiteX45" fmla="*/ 5279560 w 6889430"/>
            <a:gd name="connsiteY45" fmla="*/ 558600 h 1199459"/>
            <a:gd name="connsiteX46" fmla="*/ 5469472 w 6889430"/>
            <a:gd name="connsiteY46" fmla="*/ 946941 h 1199459"/>
            <a:gd name="connsiteX47" fmla="*/ 5662305 w 6889430"/>
            <a:gd name="connsiteY47" fmla="*/ 694424 h 1199459"/>
            <a:gd name="connsiteX48" fmla="*/ 5896043 w 6889430"/>
            <a:gd name="connsiteY48" fmla="*/ 420863 h 1199459"/>
            <a:gd name="connsiteX49" fmla="*/ 6129782 w 6889430"/>
            <a:gd name="connsiteY49" fmla="*/ 700163 h 1199459"/>
            <a:gd name="connsiteX50" fmla="*/ 6386894 w 6889430"/>
            <a:gd name="connsiteY50" fmla="*/ 1013897 h 1199459"/>
            <a:gd name="connsiteX51" fmla="*/ 6389815 w 6889430"/>
            <a:gd name="connsiteY51" fmla="*/ 1013897 h 1199459"/>
            <a:gd name="connsiteX52" fmla="*/ 6565119 w 6889430"/>
            <a:gd name="connsiteY52" fmla="*/ 845552 h 1199459"/>
            <a:gd name="connsiteX53" fmla="*/ 6868978 w 6889430"/>
            <a:gd name="connsiteY53" fmla="*/ 608338 h 1199459"/>
            <a:gd name="connsiteX54" fmla="*/ 6889430 w 6889430"/>
            <a:gd name="connsiteY54" fmla="*/ 621729 h 1199459"/>
            <a:gd name="connsiteX55" fmla="*/ 6868978 w 6889430"/>
            <a:gd name="connsiteY55" fmla="*/ 635120 h 1199459"/>
            <a:gd name="connsiteX56" fmla="*/ 6606023 w 6889430"/>
            <a:gd name="connsiteY56" fmla="*/ 853204 h 1199459"/>
            <a:gd name="connsiteX57" fmla="*/ 6386894 w 6889430"/>
            <a:gd name="connsiteY57" fmla="*/ 1040679 h 1199459"/>
            <a:gd name="connsiteX58" fmla="*/ 6088878 w 6889430"/>
            <a:gd name="connsiteY58" fmla="*/ 705902 h 1199459"/>
            <a:gd name="connsiteX59" fmla="*/ 5896043 w 6889430"/>
            <a:gd name="connsiteY59" fmla="*/ 447645 h 1199459"/>
            <a:gd name="connsiteX60" fmla="*/ 5703210 w 6889430"/>
            <a:gd name="connsiteY60" fmla="*/ 700163 h 1199459"/>
            <a:gd name="connsiteX61" fmla="*/ 5469472 w 6889430"/>
            <a:gd name="connsiteY61" fmla="*/ 973724 h 1199459"/>
            <a:gd name="connsiteX62" fmla="*/ 5235734 w 6889430"/>
            <a:gd name="connsiteY62" fmla="*/ 560513 h 1199459"/>
            <a:gd name="connsiteX63" fmla="*/ 5042900 w 6889430"/>
            <a:gd name="connsiteY63" fmla="*/ 166432 h 1199459"/>
            <a:gd name="connsiteX64" fmla="*/ 4820849 w 6889430"/>
            <a:gd name="connsiteY64" fmla="*/ 585382 h 1199459"/>
            <a:gd name="connsiteX65" fmla="*/ 4546206 w 6889430"/>
            <a:gd name="connsiteY65" fmla="*/ 1038766 h 1199459"/>
            <a:gd name="connsiteX66" fmla="*/ 4300781 w 6889430"/>
            <a:gd name="connsiteY66" fmla="*/ 791987 h 1199459"/>
            <a:gd name="connsiteX67" fmla="*/ 4154695 w 6889430"/>
            <a:gd name="connsiteY67" fmla="*/ 608338 h 1199459"/>
            <a:gd name="connsiteX68" fmla="*/ 3999843 w 6889430"/>
            <a:gd name="connsiteY68" fmla="*/ 744162 h 1199459"/>
            <a:gd name="connsiteX69" fmla="*/ 3818696 w 6889430"/>
            <a:gd name="connsiteY69" fmla="*/ 891464 h 1199459"/>
            <a:gd name="connsiteX70" fmla="*/ 3625862 w 6889430"/>
            <a:gd name="connsiteY70" fmla="*/ 596860 h 1199459"/>
            <a:gd name="connsiteX71" fmla="*/ 3456402 w 6889430"/>
            <a:gd name="connsiteY71" fmla="*/ 307995 h 1199459"/>
            <a:gd name="connsiteX72" fmla="*/ 3240194 w 6889430"/>
            <a:gd name="connsiteY72" fmla="*/ 734597 h 1199459"/>
            <a:gd name="connsiteX73" fmla="*/ 2974317 w 6889430"/>
            <a:gd name="connsiteY73" fmla="*/ 1199459 h 1199459"/>
            <a:gd name="connsiteX74" fmla="*/ 2974317 w 6889430"/>
            <a:gd name="connsiteY74" fmla="*/ 1199459 h 1199459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  <a:cxn ang="0">
              <a:pos x="connsiteX55" y="connsiteY55"/>
            </a:cxn>
            <a:cxn ang="0">
              <a:pos x="connsiteX56" y="connsiteY56"/>
            </a:cxn>
            <a:cxn ang="0">
              <a:pos x="connsiteX57" y="connsiteY57"/>
            </a:cxn>
            <a:cxn ang="0">
              <a:pos x="connsiteX58" y="connsiteY58"/>
            </a:cxn>
            <a:cxn ang="0">
              <a:pos x="connsiteX59" y="connsiteY59"/>
            </a:cxn>
            <a:cxn ang="0">
              <a:pos x="connsiteX60" y="connsiteY60"/>
            </a:cxn>
            <a:cxn ang="0">
              <a:pos x="connsiteX61" y="connsiteY61"/>
            </a:cxn>
            <a:cxn ang="0">
              <a:pos x="connsiteX62" y="connsiteY62"/>
            </a:cxn>
            <a:cxn ang="0">
              <a:pos x="connsiteX63" y="connsiteY63"/>
            </a:cxn>
            <a:cxn ang="0">
              <a:pos x="connsiteX64" y="connsiteY64"/>
            </a:cxn>
            <a:cxn ang="0">
              <a:pos x="connsiteX65" y="connsiteY65"/>
            </a:cxn>
            <a:cxn ang="0">
              <a:pos x="connsiteX66" y="connsiteY66"/>
            </a:cxn>
            <a:cxn ang="0">
              <a:pos x="connsiteX67" y="connsiteY67"/>
            </a:cxn>
            <a:cxn ang="0">
              <a:pos x="connsiteX68" y="connsiteY68"/>
            </a:cxn>
            <a:cxn ang="0">
              <a:pos x="connsiteX69" y="connsiteY69"/>
            </a:cxn>
            <a:cxn ang="0">
              <a:pos x="connsiteX70" y="connsiteY70"/>
            </a:cxn>
            <a:cxn ang="0">
              <a:pos x="connsiteX71" y="connsiteY71"/>
            </a:cxn>
            <a:cxn ang="0">
              <a:pos x="connsiteX72" y="connsiteY72"/>
            </a:cxn>
            <a:cxn ang="0">
              <a:pos x="connsiteX73" y="connsiteY73"/>
            </a:cxn>
            <a:cxn ang="0">
              <a:pos x="connsiteX74" y="connsiteY74"/>
            </a:cxn>
          </a:cxnLst>
          <a:rect l="l" t="t" r="r" b="b"/>
          <a:pathLst>
            <a:path w="6889430" h="1199459">
              <a:moveTo>
                <a:pt x="2974317" y="1199459"/>
              </a:moveTo>
              <a:cubicBezTo>
                <a:pt x="2743501" y="1199459"/>
                <a:pt x="2711362" y="862769"/>
                <a:pt x="2679223" y="537557"/>
              </a:cubicBezTo>
              <a:cubicBezTo>
                <a:pt x="2655849" y="298430"/>
                <a:pt x="2629554" y="28695"/>
                <a:pt x="2512685" y="28695"/>
              </a:cubicBezTo>
              <a:cubicBezTo>
                <a:pt x="2387050" y="28695"/>
                <a:pt x="2346146" y="248692"/>
                <a:pt x="2311085" y="441906"/>
              </a:cubicBezTo>
              <a:cubicBezTo>
                <a:pt x="2270181" y="665729"/>
                <a:pt x="2232199" y="876160"/>
                <a:pt x="2071504" y="876160"/>
              </a:cubicBezTo>
              <a:cubicBezTo>
                <a:pt x="1945870" y="876160"/>
                <a:pt x="1902044" y="736510"/>
                <a:pt x="1855296" y="589208"/>
              </a:cubicBezTo>
              <a:cubicBezTo>
                <a:pt x="1814392" y="464862"/>
                <a:pt x="1770566" y="325212"/>
                <a:pt x="1679993" y="325212"/>
              </a:cubicBezTo>
              <a:cubicBezTo>
                <a:pt x="1577732" y="325212"/>
                <a:pt x="1528063" y="514601"/>
                <a:pt x="1484237" y="681033"/>
              </a:cubicBezTo>
              <a:cubicBezTo>
                <a:pt x="1428724" y="895290"/>
                <a:pt x="1373211" y="1099983"/>
                <a:pt x="1206673" y="1099983"/>
              </a:cubicBezTo>
              <a:cubicBezTo>
                <a:pt x="1051821" y="1099983"/>
                <a:pt x="1002152" y="943115"/>
                <a:pt x="955404" y="791987"/>
              </a:cubicBezTo>
              <a:cubicBezTo>
                <a:pt x="914500" y="663816"/>
                <a:pt x="873596" y="529905"/>
                <a:pt x="777179" y="529905"/>
              </a:cubicBezTo>
              <a:lnTo>
                <a:pt x="777179" y="529905"/>
              </a:lnTo>
              <a:cubicBezTo>
                <a:pt x="686606" y="529905"/>
                <a:pt x="636936" y="640859"/>
                <a:pt x="587267" y="747988"/>
              </a:cubicBezTo>
              <a:cubicBezTo>
                <a:pt x="531754" y="866595"/>
                <a:pt x="476241" y="989028"/>
                <a:pt x="350607" y="989028"/>
              </a:cubicBezTo>
              <a:lnTo>
                <a:pt x="350607" y="989028"/>
              </a:lnTo>
              <a:cubicBezTo>
                <a:pt x="236660" y="989028"/>
                <a:pt x="207443" y="901029"/>
                <a:pt x="178225" y="816857"/>
              </a:cubicBezTo>
              <a:cubicBezTo>
                <a:pt x="149008" y="734597"/>
                <a:pt x="119791" y="650424"/>
                <a:pt x="20452" y="644685"/>
              </a:cubicBezTo>
              <a:cubicBezTo>
                <a:pt x="8765" y="644685"/>
                <a:pt x="0" y="637033"/>
                <a:pt x="0" y="629381"/>
              </a:cubicBezTo>
              <a:cubicBezTo>
                <a:pt x="0" y="621729"/>
                <a:pt x="11687" y="615990"/>
                <a:pt x="23374" y="615990"/>
              </a:cubicBezTo>
              <a:cubicBezTo>
                <a:pt x="154851" y="621729"/>
                <a:pt x="189912" y="721206"/>
                <a:pt x="219129" y="809204"/>
              </a:cubicBezTo>
              <a:cubicBezTo>
                <a:pt x="245425" y="885725"/>
                <a:pt x="271721" y="958419"/>
                <a:pt x="350607" y="958419"/>
              </a:cubicBezTo>
              <a:lnTo>
                <a:pt x="350607" y="958419"/>
              </a:lnTo>
              <a:cubicBezTo>
                <a:pt x="444102" y="958419"/>
                <a:pt x="496693" y="845552"/>
                <a:pt x="546363" y="736510"/>
              </a:cubicBezTo>
              <a:cubicBezTo>
                <a:pt x="601876" y="614077"/>
                <a:pt x="657388" y="499296"/>
                <a:pt x="780101" y="497383"/>
              </a:cubicBezTo>
              <a:lnTo>
                <a:pt x="780101" y="497383"/>
              </a:lnTo>
              <a:cubicBezTo>
                <a:pt x="914500" y="497383"/>
                <a:pt x="955404" y="635120"/>
                <a:pt x="1002152" y="780509"/>
              </a:cubicBezTo>
              <a:cubicBezTo>
                <a:pt x="1045978" y="920159"/>
                <a:pt x="1089804" y="1065548"/>
                <a:pt x="1209595" y="1065548"/>
              </a:cubicBezTo>
              <a:cubicBezTo>
                <a:pt x="1341072" y="1065548"/>
                <a:pt x="1396585" y="855117"/>
                <a:pt x="1443333" y="671468"/>
              </a:cubicBezTo>
              <a:cubicBezTo>
                <a:pt x="1495924" y="468688"/>
                <a:pt x="1542672" y="292691"/>
                <a:pt x="1682914" y="292691"/>
              </a:cubicBezTo>
              <a:cubicBezTo>
                <a:pt x="1808549" y="292691"/>
                <a:pt x="1852374" y="432341"/>
                <a:pt x="1899122" y="579643"/>
              </a:cubicBezTo>
              <a:cubicBezTo>
                <a:pt x="1940026" y="703989"/>
                <a:pt x="1983852" y="843639"/>
                <a:pt x="2074426" y="843639"/>
              </a:cubicBezTo>
              <a:cubicBezTo>
                <a:pt x="2197138" y="843639"/>
                <a:pt x="2235121" y="625555"/>
                <a:pt x="2270181" y="434254"/>
              </a:cubicBezTo>
              <a:cubicBezTo>
                <a:pt x="2311085" y="212344"/>
                <a:pt x="2349068" y="0"/>
                <a:pt x="2512685" y="0"/>
              </a:cubicBezTo>
              <a:cubicBezTo>
                <a:pt x="2670458" y="0"/>
                <a:pt x="2693832" y="248692"/>
                <a:pt x="2720127" y="535644"/>
              </a:cubicBezTo>
              <a:cubicBezTo>
                <a:pt x="2749344" y="834074"/>
                <a:pt x="2781484" y="1170764"/>
                <a:pt x="2971396" y="1170764"/>
              </a:cubicBezTo>
              <a:cubicBezTo>
                <a:pt x="3126247" y="1170764"/>
                <a:pt x="3164230" y="946941"/>
                <a:pt x="3199290" y="732684"/>
              </a:cubicBezTo>
              <a:cubicBezTo>
                <a:pt x="3237273" y="499296"/>
                <a:pt x="3272333" y="281213"/>
                <a:pt x="3459324" y="281213"/>
              </a:cubicBezTo>
              <a:cubicBezTo>
                <a:pt x="3622941" y="281213"/>
                <a:pt x="3646314" y="439993"/>
                <a:pt x="3669688" y="594947"/>
              </a:cubicBezTo>
              <a:cubicBezTo>
                <a:pt x="3690140" y="726945"/>
                <a:pt x="3710593" y="864682"/>
                <a:pt x="3818696" y="864682"/>
              </a:cubicBezTo>
              <a:cubicBezTo>
                <a:pt x="3885896" y="864682"/>
                <a:pt x="3920957" y="801552"/>
                <a:pt x="3958939" y="736510"/>
              </a:cubicBezTo>
              <a:cubicBezTo>
                <a:pt x="4002765" y="659989"/>
                <a:pt x="4046591" y="581556"/>
                <a:pt x="4154695" y="581556"/>
              </a:cubicBezTo>
              <a:cubicBezTo>
                <a:pt x="4245268" y="581556"/>
                <a:pt x="4289094" y="675294"/>
                <a:pt x="4341685" y="784335"/>
              </a:cubicBezTo>
              <a:cubicBezTo>
                <a:pt x="4391354" y="891464"/>
                <a:pt x="4446868" y="1011984"/>
                <a:pt x="4546206" y="1011984"/>
              </a:cubicBezTo>
              <a:cubicBezTo>
                <a:pt x="4677684" y="1011984"/>
                <a:pt x="4730275" y="784335"/>
                <a:pt x="4777023" y="583469"/>
              </a:cubicBezTo>
              <a:cubicBezTo>
                <a:pt x="4829613" y="355820"/>
                <a:pt x="4879283" y="139650"/>
                <a:pt x="5042900" y="139650"/>
              </a:cubicBezTo>
              <a:cubicBezTo>
                <a:pt x="5194829" y="139650"/>
                <a:pt x="5235734" y="342429"/>
                <a:pt x="5279560" y="558600"/>
              </a:cubicBezTo>
              <a:cubicBezTo>
                <a:pt x="5317542" y="740336"/>
                <a:pt x="5358446" y="946941"/>
                <a:pt x="5469472" y="946941"/>
              </a:cubicBezTo>
              <a:cubicBezTo>
                <a:pt x="5560045" y="946941"/>
                <a:pt x="5612636" y="813031"/>
                <a:pt x="5662305" y="694424"/>
              </a:cubicBezTo>
              <a:cubicBezTo>
                <a:pt x="5720740" y="552861"/>
                <a:pt x="5773331" y="420863"/>
                <a:pt x="5896043" y="420863"/>
              </a:cubicBezTo>
              <a:cubicBezTo>
                <a:pt x="6012913" y="420863"/>
                <a:pt x="6068426" y="549035"/>
                <a:pt x="6129782" y="700163"/>
              </a:cubicBezTo>
              <a:cubicBezTo>
                <a:pt x="6191138" y="845552"/>
                <a:pt x="6261259" y="1010071"/>
                <a:pt x="6386894" y="1013897"/>
              </a:cubicBezTo>
              <a:cubicBezTo>
                <a:pt x="6386894" y="1013897"/>
                <a:pt x="6389815" y="1013897"/>
                <a:pt x="6389815" y="1013897"/>
              </a:cubicBezTo>
              <a:cubicBezTo>
                <a:pt x="6474545" y="1013897"/>
                <a:pt x="6518371" y="931637"/>
                <a:pt x="6565119" y="845552"/>
              </a:cubicBezTo>
              <a:cubicBezTo>
                <a:pt x="6623554" y="734597"/>
                <a:pt x="6693675" y="608338"/>
                <a:pt x="6868978" y="608338"/>
              </a:cubicBezTo>
              <a:cubicBezTo>
                <a:pt x="6880666" y="608338"/>
                <a:pt x="6889430" y="614077"/>
                <a:pt x="6889430" y="621729"/>
              </a:cubicBezTo>
              <a:cubicBezTo>
                <a:pt x="6889430" y="629381"/>
                <a:pt x="6880666" y="635120"/>
                <a:pt x="6868978" y="635120"/>
              </a:cubicBezTo>
              <a:cubicBezTo>
                <a:pt x="6722892" y="635120"/>
                <a:pt x="6664458" y="746075"/>
                <a:pt x="6606023" y="853204"/>
              </a:cubicBezTo>
              <a:cubicBezTo>
                <a:pt x="6553432" y="950767"/>
                <a:pt x="6503763" y="1044505"/>
                <a:pt x="6386894" y="1040679"/>
              </a:cubicBezTo>
              <a:cubicBezTo>
                <a:pt x="6226199" y="1036853"/>
                <a:pt x="6156077" y="868508"/>
                <a:pt x="6088878" y="705902"/>
              </a:cubicBezTo>
              <a:cubicBezTo>
                <a:pt x="6036286" y="579643"/>
                <a:pt x="5980774" y="447645"/>
                <a:pt x="5896043" y="447645"/>
              </a:cubicBezTo>
              <a:cubicBezTo>
                <a:pt x="5805470" y="447645"/>
                <a:pt x="5752879" y="581556"/>
                <a:pt x="5703210" y="700163"/>
              </a:cubicBezTo>
              <a:cubicBezTo>
                <a:pt x="5644775" y="839813"/>
                <a:pt x="5592184" y="973724"/>
                <a:pt x="5469472" y="973724"/>
              </a:cubicBezTo>
              <a:cubicBezTo>
                <a:pt x="5320464" y="973724"/>
                <a:pt x="5279560" y="772857"/>
                <a:pt x="5235734" y="560513"/>
              </a:cubicBezTo>
              <a:cubicBezTo>
                <a:pt x="5197751" y="376864"/>
                <a:pt x="5156847" y="166432"/>
                <a:pt x="5042900" y="166432"/>
              </a:cubicBezTo>
              <a:cubicBezTo>
                <a:pt x="4917265" y="166432"/>
                <a:pt x="4864674" y="388342"/>
                <a:pt x="4820849" y="585382"/>
              </a:cubicBezTo>
              <a:cubicBezTo>
                <a:pt x="4768257" y="818770"/>
                <a:pt x="4715666" y="1038766"/>
                <a:pt x="4546206" y="1038766"/>
              </a:cubicBezTo>
              <a:cubicBezTo>
                <a:pt x="4414728" y="1038766"/>
                <a:pt x="4356294" y="912507"/>
                <a:pt x="4300781" y="791987"/>
              </a:cubicBezTo>
              <a:cubicBezTo>
                <a:pt x="4259877" y="705902"/>
                <a:pt x="4216051" y="608338"/>
                <a:pt x="4154695" y="608338"/>
              </a:cubicBezTo>
              <a:cubicBezTo>
                <a:pt x="4078730" y="608338"/>
                <a:pt x="4037826" y="677207"/>
                <a:pt x="3999843" y="744162"/>
              </a:cubicBezTo>
              <a:cubicBezTo>
                <a:pt x="3958939" y="816857"/>
                <a:pt x="3915113" y="891464"/>
                <a:pt x="3818696" y="891464"/>
              </a:cubicBezTo>
              <a:cubicBezTo>
                <a:pt x="3672610" y="891464"/>
                <a:pt x="3649236" y="747988"/>
                <a:pt x="3625862" y="596860"/>
              </a:cubicBezTo>
              <a:cubicBezTo>
                <a:pt x="3602488" y="455297"/>
                <a:pt x="3582036" y="307995"/>
                <a:pt x="3456402" y="307995"/>
              </a:cubicBezTo>
              <a:cubicBezTo>
                <a:pt x="3310316" y="307995"/>
                <a:pt x="3275255" y="524166"/>
                <a:pt x="3240194" y="734597"/>
              </a:cubicBezTo>
              <a:cubicBezTo>
                <a:pt x="3205134" y="973724"/>
                <a:pt x="3170073" y="1199459"/>
                <a:pt x="2974317" y="1199459"/>
              </a:cubicBezTo>
              <a:lnTo>
                <a:pt x="2974317" y="1199459"/>
              </a:lnTo>
              <a:close/>
            </a:path>
          </a:pathLst>
        </a:custGeom>
        <a:solidFill>
          <a:schemeClr val="accent1">
            <a:lumMod val="40000"/>
            <a:lumOff val="60000"/>
          </a:schemeClr>
        </a:solidFill>
        <a:ln w="29208" cap="flat">
          <a:noFill/>
          <a:prstDash val="solid"/>
          <a:miter/>
        </a:ln>
      </xdr:spPr>
      <xdr:txBody>
        <a:bodyPr rtlCol="0" anchor="ctr"/>
        <a:lstStyle/>
        <a:p>
          <a:endParaRPr lang="en-US"/>
        </a:p>
      </xdr:txBody>
    </xdr:sp>
    <xdr:clientData/>
  </xdr:twoCellAnchor>
  <xdr:twoCellAnchor>
    <xdr:from>
      <xdr:col>5</xdr:col>
      <xdr:colOff>3928</xdr:colOff>
      <xdr:row>1</xdr:row>
      <xdr:rowOff>142421</xdr:rowOff>
    </xdr:from>
    <xdr:to>
      <xdr:col>9</xdr:col>
      <xdr:colOff>961445</xdr:colOff>
      <xdr:row>2</xdr:row>
      <xdr:rowOff>794087</xdr:rowOff>
    </xdr:to>
    <xdr:sp macro="" textlink="">
      <xdr:nvSpPr>
        <xdr:cNvPr id="4" name="Freeform: Shape 3">
          <a:extLst>
            <a:ext uri="{FF2B5EF4-FFF2-40B4-BE49-F238E27FC236}">
              <a16:creationId xmlns:a16="http://schemas.microsoft.com/office/drawing/2014/main" id="{CA42CC93-9CAA-40B3-863A-79EAAEBA9E43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SpPr/>
      </xdr:nvSpPr>
      <xdr:spPr>
        <a:xfrm>
          <a:off x="7704891" y="342446"/>
          <a:ext cx="6901117" cy="946941"/>
        </a:xfrm>
        <a:custGeom>
          <a:avLst/>
          <a:gdLst>
            <a:gd name="connsiteX0" fmla="*/ 2968474 w 6901117"/>
            <a:gd name="connsiteY0" fmla="*/ 946941 h 946941"/>
            <a:gd name="connsiteX1" fmla="*/ 2690910 w 6901117"/>
            <a:gd name="connsiteY1" fmla="*/ 441906 h 946941"/>
            <a:gd name="connsiteX2" fmla="*/ 2512685 w 6901117"/>
            <a:gd name="connsiteY2" fmla="*/ 28695 h 946941"/>
            <a:gd name="connsiteX3" fmla="*/ 2316929 w 6901117"/>
            <a:gd name="connsiteY3" fmla="*/ 350081 h 946941"/>
            <a:gd name="connsiteX4" fmla="*/ 2080269 w 6901117"/>
            <a:gd name="connsiteY4" fmla="*/ 692511 h 946941"/>
            <a:gd name="connsiteX5" fmla="*/ 1855296 w 6901117"/>
            <a:gd name="connsiteY5" fmla="*/ 472514 h 946941"/>
            <a:gd name="connsiteX6" fmla="*/ 1674149 w 6901117"/>
            <a:gd name="connsiteY6" fmla="*/ 271648 h 946941"/>
            <a:gd name="connsiteX7" fmla="*/ 1446255 w 6901117"/>
            <a:gd name="connsiteY7" fmla="*/ 570078 h 946941"/>
            <a:gd name="connsiteX8" fmla="*/ 1206673 w 6901117"/>
            <a:gd name="connsiteY8" fmla="*/ 866595 h 946941"/>
            <a:gd name="connsiteX9" fmla="*/ 972935 w 6901117"/>
            <a:gd name="connsiteY9" fmla="*/ 627468 h 946941"/>
            <a:gd name="connsiteX10" fmla="*/ 809318 w 6901117"/>
            <a:gd name="connsiteY10" fmla="*/ 428515 h 946941"/>
            <a:gd name="connsiteX11" fmla="*/ 809318 w 6901117"/>
            <a:gd name="connsiteY11" fmla="*/ 428515 h 946941"/>
            <a:gd name="connsiteX12" fmla="*/ 639858 w 6901117"/>
            <a:gd name="connsiteY12" fmla="*/ 583469 h 946941"/>
            <a:gd name="connsiteX13" fmla="*/ 414885 w 6901117"/>
            <a:gd name="connsiteY13" fmla="*/ 767118 h 946941"/>
            <a:gd name="connsiteX14" fmla="*/ 186990 w 6901117"/>
            <a:gd name="connsiteY14" fmla="*/ 619816 h 946941"/>
            <a:gd name="connsiteX15" fmla="*/ 20452 w 6901117"/>
            <a:gd name="connsiteY15" fmla="*/ 499296 h 946941"/>
            <a:gd name="connsiteX16" fmla="*/ 20452 w 6901117"/>
            <a:gd name="connsiteY16" fmla="*/ 499296 h 946941"/>
            <a:gd name="connsiteX17" fmla="*/ 0 w 6901117"/>
            <a:gd name="connsiteY17" fmla="*/ 485905 h 946941"/>
            <a:gd name="connsiteX18" fmla="*/ 20452 w 6901117"/>
            <a:gd name="connsiteY18" fmla="*/ 472514 h 946941"/>
            <a:gd name="connsiteX19" fmla="*/ 20452 w 6901117"/>
            <a:gd name="connsiteY19" fmla="*/ 472514 h 946941"/>
            <a:gd name="connsiteX20" fmla="*/ 227895 w 6901117"/>
            <a:gd name="connsiteY20" fmla="*/ 610251 h 946941"/>
            <a:gd name="connsiteX21" fmla="*/ 414885 w 6901117"/>
            <a:gd name="connsiteY21" fmla="*/ 740336 h 946941"/>
            <a:gd name="connsiteX22" fmla="*/ 598954 w 6901117"/>
            <a:gd name="connsiteY22" fmla="*/ 575817 h 946941"/>
            <a:gd name="connsiteX23" fmla="*/ 809318 w 6901117"/>
            <a:gd name="connsiteY23" fmla="*/ 399820 h 946941"/>
            <a:gd name="connsiteX24" fmla="*/ 809318 w 6901117"/>
            <a:gd name="connsiteY24" fmla="*/ 399820 h 946941"/>
            <a:gd name="connsiteX25" fmla="*/ 1016761 w 6901117"/>
            <a:gd name="connsiteY25" fmla="*/ 621729 h 946941"/>
            <a:gd name="connsiteX26" fmla="*/ 1209595 w 6901117"/>
            <a:gd name="connsiteY26" fmla="*/ 839813 h 946941"/>
            <a:gd name="connsiteX27" fmla="*/ 1408272 w 6901117"/>
            <a:gd name="connsiteY27" fmla="*/ 564339 h 946941"/>
            <a:gd name="connsiteX28" fmla="*/ 1677071 w 6901117"/>
            <a:gd name="connsiteY28" fmla="*/ 242953 h 946941"/>
            <a:gd name="connsiteX29" fmla="*/ 1902044 w 6901117"/>
            <a:gd name="connsiteY29" fmla="*/ 462949 h 946941"/>
            <a:gd name="connsiteX30" fmla="*/ 2083191 w 6901117"/>
            <a:gd name="connsiteY30" fmla="*/ 663815 h 946941"/>
            <a:gd name="connsiteX31" fmla="*/ 2276025 w 6901117"/>
            <a:gd name="connsiteY31" fmla="*/ 346255 h 946941"/>
            <a:gd name="connsiteX32" fmla="*/ 2515606 w 6901117"/>
            <a:gd name="connsiteY32" fmla="*/ 0 h 946941"/>
            <a:gd name="connsiteX33" fmla="*/ 2737657 w 6901117"/>
            <a:gd name="connsiteY33" fmla="*/ 438080 h 946941"/>
            <a:gd name="connsiteX34" fmla="*/ 2971396 w 6901117"/>
            <a:gd name="connsiteY34" fmla="*/ 916333 h 946941"/>
            <a:gd name="connsiteX35" fmla="*/ 3225586 w 6901117"/>
            <a:gd name="connsiteY35" fmla="*/ 549035 h 946941"/>
            <a:gd name="connsiteX36" fmla="*/ 3450559 w 6901117"/>
            <a:gd name="connsiteY36" fmla="*/ 218083 h 946941"/>
            <a:gd name="connsiteX37" fmla="*/ 3453480 w 6901117"/>
            <a:gd name="connsiteY37" fmla="*/ 218083 h 946941"/>
            <a:gd name="connsiteX38" fmla="*/ 3628784 w 6901117"/>
            <a:gd name="connsiteY38" fmla="*/ 441906 h 946941"/>
            <a:gd name="connsiteX39" fmla="*/ 3807009 w 6901117"/>
            <a:gd name="connsiteY39" fmla="*/ 675294 h 946941"/>
            <a:gd name="connsiteX40" fmla="*/ 3947252 w 6901117"/>
            <a:gd name="connsiteY40" fmla="*/ 571991 h 946941"/>
            <a:gd name="connsiteX41" fmla="*/ 4140086 w 6901117"/>
            <a:gd name="connsiteY41" fmla="*/ 445732 h 946941"/>
            <a:gd name="connsiteX42" fmla="*/ 4324155 w 6901117"/>
            <a:gd name="connsiteY42" fmla="*/ 610251 h 946941"/>
            <a:gd name="connsiteX43" fmla="*/ 4525754 w 6901117"/>
            <a:gd name="connsiteY43" fmla="*/ 791987 h 946941"/>
            <a:gd name="connsiteX44" fmla="*/ 4753649 w 6901117"/>
            <a:gd name="connsiteY44" fmla="*/ 459123 h 946941"/>
            <a:gd name="connsiteX45" fmla="*/ 5016604 w 6901117"/>
            <a:gd name="connsiteY45" fmla="*/ 109042 h 946941"/>
            <a:gd name="connsiteX46" fmla="*/ 5250342 w 6901117"/>
            <a:gd name="connsiteY46" fmla="*/ 438080 h 946941"/>
            <a:gd name="connsiteX47" fmla="*/ 5437333 w 6901117"/>
            <a:gd name="connsiteY47" fmla="*/ 740336 h 946941"/>
            <a:gd name="connsiteX48" fmla="*/ 5627245 w 6901117"/>
            <a:gd name="connsiteY48" fmla="*/ 543296 h 946941"/>
            <a:gd name="connsiteX49" fmla="*/ 5858061 w 6901117"/>
            <a:gd name="connsiteY49" fmla="*/ 327125 h 946941"/>
            <a:gd name="connsiteX50" fmla="*/ 6080113 w 6901117"/>
            <a:gd name="connsiteY50" fmla="*/ 568165 h 946941"/>
            <a:gd name="connsiteX51" fmla="*/ 6258338 w 6901117"/>
            <a:gd name="connsiteY51" fmla="*/ 790074 h 946941"/>
            <a:gd name="connsiteX52" fmla="*/ 6258338 w 6901117"/>
            <a:gd name="connsiteY52" fmla="*/ 790074 h 946941"/>
            <a:gd name="connsiteX53" fmla="*/ 6389815 w 6901117"/>
            <a:gd name="connsiteY53" fmla="*/ 692511 h 946941"/>
            <a:gd name="connsiteX54" fmla="*/ 6880665 w 6901117"/>
            <a:gd name="connsiteY54" fmla="*/ 457210 h 946941"/>
            <a:gd name="connsiteX55" fmla="*/ 6901117 w 6901117"/>
            <a:gd name="connsiteY55" fmla="*/ 470601 h 946941"/>
            <a:gd name="connsiteX56" fmla="*/ 6880665 w 6901117"/>
            <a:gd name="connsiteY56" fmla="*/ 483992 h 946941"/>
            <a:gd name="connsiteX57" fmla="*/ 6424876 w 6901117"/>
            <a:gd name="connsiteY57" fmla="*/ 703989 h 946941"/>
            <a:gd name="connsiteX58" fmla="*/ 6255416 w 6901117"/>
            <a:gd name="connsiteY58" fmla="*/ 816857 h 946941"/>
            <a:gd name="connsiteX59" fmla="*/ 6252494 w 6901117"/>
            <a:gd name="connsiteY59" fmla="*/ 816857 h 946941"/>
            <a:gd name="connsiteX60" fmla="*/ 6033365 w 6901117"/>
            <a:gd name="connsiteY60" fmla="*/ 573904 h 946941"/>
            <a:gd name="connsiteX61" fmla="*/ 5855139 w 6901117"/>
            <a:gd name="connsiteY61" fmla="*/ 353907 h 946941"/>
            <a:gd name="connsiteX62" fmla="*/ 5665227 w 6901117"/>
            <a:gd name="connsiteY62" fmla="*/ 550948 h 946941"/>
            <a:gd name="connsiteX63" fmla="*/ 5434411 w 6901117"/>
            <a:gd name="connsiteY63" fmla="*/ 767118 h 946941"/>
            <a:gd name="connsiteX64" fmla="*/ 5206516 w 6901117"/>
            <a:gd name="connsiteY64" fmla="*/ 441906 h 946941"/>
            <a:gd name="connsiteX65" fmla="*/ 5016604 w 6901117"/>
            <a:gd name="connsiteY65" fmla="*/ 135824 h 946941"/>
            <a:gd name="connsiteX66" fmla="*/ 4797475 w 6901117"/>
            <a:gd name="connsiteY66" fmla="*/ 461036 h 946941"/>
            <a:gd name="connsiteX67" fmla="*/ 4528676 w 6901117"/>
            <a:gd name="connsiteY67" fmla="*/ 816857 h 946941"/>
            <a:gd name="connsiteX68" fmla="*/ 4286172 w 6901117"/>
            <a:gd name="connsiteY68" fmla="*/ 617903 h 946941"/>
            <a:gd name="connsiteX69" fmla="*/ 4143008 w 6901117"/>
            <a:gd name="connsiteY69" fmla="*/ 472514 h 946941"/>
            <a:gd name="connsiteX70" fmla="*/ 3991078 w 6901117"/>
            <a:gd name="connsiteY70" fmla="*/ 581556 h 946941"/>
            <a:gd name="connsiteX71" fmla="*/ 3812853 w 6901117"/>
            <a:gd name="connsiteY71" fmla="*/ 702076 h 946941"/>
            <a:gd name="connsiteX72" fmla="*/ 3593723 w 6901117"/>
            <a:gd name="connsiteY72" fmla="*/ 443819 h 946941"/>
            <a:gd name="connsiteX73" fmla="*/ 3459324 w 6901117"/>
            <a:gd name="connsiteY73" fmla="*/ 244866 h 946941"/>
            <a:gd name="connsiteX74" fmla="*/ 3459324 w 6901117"/>
            <a:gd name="connsiteY74" fmla="*/ 244866 h 946941"/>
            <a:gd name="connsiteX75" fmla="*/ 3275255 w 6901117"/>
            <a:gd name="connsiteY75" fmla="*/ 550948 h 946941"/>
            <a:gd name="connsiteX76" fmla="*/ 2968474 w 6901117"/>
            <a:gd name="connsiteY76" fmla="*/ 946941 h 946941"/>
            <a:gd name="connsiteX77" fmla="*/ 2968474 w 6901117"/>
            <a:gd name="connsiteY77" fmla="*/ 946941 h 946941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  <a:cxn ang="0">
              <a:pos x="connsiteX55" y="connsiteY55"/>
            </a:cxn>
            <a:cxn ang="0">
              <a:pos x="connsiteX56" y="connsiteY56"/>
            </a:cxn>
            <a:cxn ang="0">
              <a:pos x="connsiteX57" y="connsiteY57"/>
            </a:cxn>
            <a:cxn ang="0">
              <a:pos x="connsiteX58" y="connsiteY58"/>
            </a:cxn>
            <a:cxn ang="0">
              <a:pos x="connsiteX59" y="connsiteY59"/>
            </a:cxn>
            <a:cxn ang="0">
              <a:pos x="connsiteX60" y="connsiteY60"/>
            </a:cxn>
            <a:cxn ang="0">
              <a:pos x="connsiteX61" y="connsiteY61"/>
            </a:cxn>
            <a:cxn ang="0">
              <a:pos x="connsiteX62" y="connsiteY62"/>
            </a:cxn>
            <a:cxn ang="0">
              <a:pos x="connsiteX63" y="connsiteY63"/>
            </a:cxn>
            <a:cxn ang="0">
              <a:pos x="connsiteX64" y="connsiteY64"/>
            </a:cxn>
            <a:cxn ang="0">
              <a:pos x="connsiteX65" y="connsiteY65"/>
            </a:cxn>
            <a:cxn ang="0">
              <a:pos x="connsiteX66" y="connsiteY66"/>
            </a:cxn>
            <a:cxn ang="0">
              <a:pos x="connsiteX67" y="connsiteY67"/>
            </a:cxn>
            <a:cxn ang="0">
              <a:pos x="connsiteX68" y="connsiteY68"/>
            </a:cxn>
            <a:cxn ang="0">
              <a:pos x="connsiteX69" y="connsiteY69"/>
            </a:cxn>
            <a:cxn ang="0">
              <a:pos x="connsiteX70" y="connsiteY70"/>
            </a:cxn>
            <a:cxn ang="0">
              <a:pos x="connsiteX71" y="connsiteY71"/>
            </a:cxn>
            <a:cxn ang="0">
              <a:pos x="connsiteX72" y="connsiteY72"/>
            </a:cxn>
            <a:cxn ang="0">
              <a:pos x="connsiteX73" y="connsiteY73"/>
            </a:cxn>
            <a:cxn ang="0">
              <a:pos x="connsiteX74" y="connsiteY74"/>
            </a:cxn>
            <a:cxn ang="0">
              <a:pos x="connsiteX75" y="connsiteY75"/>
            </a:cxn>
            <a:cxn ang="0">
              <a:pos x="connsiteX76" y="connsiteY76"/>
            </a:cxn>
            <a:cxn ang="0">
              <a:pos x="connsiteX77" y="connsiteY77"/>
            </a:cxn>
          </a:cxnLst>
          <a:rect l="l" t="t" r="r" b="b"/>
          <a:pathLst>
            <a:path w="6901117" h="946941">
              <a:moveTo>
                <a:pt x="2968474" y="946941"/>
              </a:moveTo>
              <a:cubicBezTo>
                <a:pt x="2763953" y="946941"/>
                <a:pt x="2728892" y="690598"/>
                <a:pt x="2690910" y="441906"/>
              </a:cubicBezTo>
              <a:cubicBezTo>
                <a:pt x="2661693" y="239127"/>
                <a:pt x="2632475" y="28695"/>
                <a:pt x="2512685" y="28695"/>
              </a:cubicBezTo>
              <a:cubicBezTo>
                <a:pt x="2389972" y="28695"/>
                <a:pt x="2351990" y="191301"/>
                <a:pt x="2316929" y="350081"/>
              </a:cubicBezTo>
              <a:cubicBezTo>
                <a:pt x="2276025" y="526079"/>
                <a:pt x="2238042" y="692511"/>
                <a:pt x="2080269" y="692511"/>
              </a:cubicBezTo>
              <a:cubicBezTo>
                <a:pt x="1960478" y="692511"/>
                <a:pt x="1907887" y="579643"/>
                <a:pt x="1855296" y="472514"/>
              </a:cubicBezTo>
              <a:cubicBezTo>
                <a:pt x="1808549" y="373038"/>
                <a:pt x="1761801" y="271648"/>
                <a:pt x="1674149" y="271648"/>
              </a:cubicBezTo>
              <a:cubicBezTo>
                <a:pt x="1563124" y="271648"/>
                <a:pt x="1501767" y="430428"/>
                <a:pt x="1446255" y="570078"/>
              </a:cubicBezTo>
              <a:cubicBezTo>
                <a:pt x="1387820" y="723119"/>
                <a:pt x="1332307" y="866595"/>
                <a:pt x="1206673" y="866595"/>
              </a:cubicBezTo>
              <a:cubicBezTo>
                <a:pt x="1054743" y="866595"/>
                <a:pt x="1010917" y="744162"/>
                <a:pt x="972935" y="627468"/>
              </a:cubicBezTo>
              <a:cubicBezTo>
                <a:pt x="937874" y="526079"/>
                <a:pt x="905735" y="428515"/>
                <a:pt x="809318" y="428515"/>
              </a:cubicBezTo>
              <a:lnTo>
                <a:pt x="809318" y="428515"/>
              </a:lnTo>
              <a:cubicBezTo>
                <a:pt x="721666" y="428515"/>
                <a:pt x="683684" y="505035"/>
                <a:pt x="639858" y="583469"/>
              </a:cubicBezTo>
              <a:cubicBezTo>
                <a:pt x="593110" y="673381"/>
                <a:pt x="546363" y="767118"/>
                <a:pt x="414885" y="767118"/>
              </a:cubicBezTo>
              <a:cubicBezTo>
                <a:pt x="280486" y="767118"/>
                <a:pt x="230816" y="688685"/>
                <a:pt x="186990" y="619816"/>
              </a:cubicBezTo>
              <a:cubicBezTo>
                <a:pt x="146086" y="554774"/>
                <a:pt x="111026" y="499296"/>
                <a:pt x="20452" y="499296"/>
              </a:cubicBezTo>
              <a:lnTo>
                <a:pt x="20452" y="499296"/>
              </a:lnTo>
              <a:cubicBezTo>
                <a:pt x="8765" y="499296"/>
                <a:pt x="0" y="493557"/>
                <a:pt x="0" y="485905"/>
              </a:cubicBezTo>
              <a:cubicBezTo>
                <a:pt x="0" y="478253"/>
                <a:pt x="8765" y="472514"/>
                <a:pt x="20452" y="472514"/>
              </a:cubicBezTo>
              <a:lnTo>
                <a:pt x="20452" y="472514"/>
              </a:lnTo>
              <a:cubicBezTo>
                <a:pt x="140243" y="472514"/>
                <a:pt x="184069" y="543296"/>
                <a:pt x="227895" y="610251"/>
              </a:cubicBezTo>
              <a:cubicBezTo>
                <a:pt x="268799" y="677207"/>
                <a:pt x="306781" y="740336"/>
                <a:pt x="414885" y="740336"/>
              </a:cubicBezTo>
              <a:cubicBezTo>
                <a:pt x="514224" y="740336"/>
                <a:pt x="555128" y="659989"/>
                <a:pt x="598954" y="575817"/>
              </a:cubicBezTo>
              <a:cubicBezTo>
                <a:pt x="642780" y="489731"/>
                <a:pt x="689527" y="401733"/>
                <a:pt x="809318" y="399820"/>
              </a:cubicBezTo>
              <a:lnTo>
                <a:pt x="809318" y="399820"/>
              </a:lnTo>
              <a:cubicBezTo>
                <a:pt x="940796" y="399820"/>
                <a:pt x="978778" y="512688"/>
                <a:pt x="1016761" y="621729"/>
              </a:cubicBezTo>
              <a:cubicBezTo>
                <a:pt x="1051821" y="728858"/>
                <a:pt x="1089804" y="839813"/>
                <a:pt x="1209595" y="839813"/>
              </a:cubicBezTo>
              <a:cubicBezTo>
                <a:pt x="1300168" y="839813"/>
                <a:pt x="1358603" y="694424"/>
                <a:pt x="1408272" y="564339"/>
              </a:cubicBezTo>
              <a:cubicBezTo>
                <a:pt x="1472550" y="399820"/>
                <a:pt x="1533906" y="242953"/>
                <a:pt x="1677071" y="242953"/>
              </a:cubicBezTo>
              <a:cubicBezTo>
                <a:pt x="1796862" y="242953"/>
                <a:pt x="1849453" y="355820"/>
                <a:pt x="1902044" y="462949"/>
              </a:cubicBezTo>
              <a:cubicBezTo>
                <a:pt x="1948791" y="562426"/>
                <a:pt x="1995539" y="663815"/>
                <a:pt x="2083191" y="663815"/>
              </a:cubicBezTo>
              <a:cubicBezTo>
                <a:pt x="2202982" y="663815"/>
                <a:pt x="2240964" y="501209"/>
                <a:pt x="2276025" y="346255"/>
              </a:cubicBezTo>
              <a:cubicBezTo>
                <a:pt x="2316929" y="168345"/>
                <a:pt x="2354911" y="0"/>
                <a:pt x="2515606" y="0"/>
              </a:cubicBezTo>
              <a:cubicBezTo>
                <a:pt x="2673380" y="0"/>
                <a:pt x="2702597" y="202779"/>
                <a:pt x="2737657" y="438080"/>
              </a:cubicBezTo>
              <a:cubicBezTo>
                <a:pt x="2769797" y="661903"/>
                <a:pt x="2807779" y="916333"/>
                <a:pt x="2971396" y="916333"/>
              </a:cubicBezTo>
              <a:cubicBezTo>
                <a:pt x="3135012" y="916333"/>
                <a:pt x="3181760" y="721206"/>
                <a:pt x="3225586" y="549035"/>
              </a:cubicBezTo>
              <a:cubicBezTo>
                <a:pt x="3266490" y="380690"/>
                <a:pt x="3307394" y="219996"/>
                <a:pt x="3450559" y="218083"/>
              </a:cubicBezTo>
              <a:cubicBezTo>
                <a:pt x="3450559" y="218083"/>
                <a:pt x="3450559" y="218083"/>
                <a:pt x="3453480" y="218083"/>
              </a:cubicBezTo>
              <a:cubicBezTo>
                <a:pt x="3570349" y="218083"/>
                <a:pt x="3599567" y="327125"/>
                <a:pt x="3628784" y="441906"/>
              </a:cubicBezTo>
              <a:cubicBezTo>
                <a:pt x="3658001" y="556687"/>
                <a:pt x="3690140" y="675294"/>
                <a:pt x="3807009" y="675294"/>
              </a:cubicBezTo>
              <a:cubicBezTo>
                <a:pt x="3874209" y="675294"/>
                <a:pt x="3909270" y="625555"/>
                <a:pt x="3947252" y="571991"/>
              </a:cubicBezTo>
              <a:cubicBezTo>
                <a:pt x="3988156" y="512688"/>
                <a:pt x="4034904" y="445732"/>
                <a:pt x="4140086" y="445732"/>
              </a:cubicBezTo>
              <a:cubicBezTo>
                <a:pt x="4230660" y="445732"/>
                <a:pt x="4274486" y="526079"/>
                <a:pt x="4324155" y="610251"/>
              </a:cubicBezTo>
              <a:cubicBezTo>
                <a:pt x="4373824" y="700163"/>
                <a:pt x="4429337" y="791987"/>
                <a:pt x="4525754" y="791987"/>
              </a:cubicBezTo>
              <a:cubicBezTo>
                <a:pt x="4657232" y="791987"/>
                <a:pt x="4706901" y="621729"/>
                <a:pt x="4753649" y="459123"/>
              </a:cubicBezTo>
              <a:cubicBezTo>
                <a:pt x="4806240" y="279300"/>
                <a:pt x="4852988" y="109042"/>
                <a:pt x="5016604" y="109042"/>
              </a:cubicBezTo>
              <a:cubicBezTo>
                <a:pt x="5168534" y="109042"/>
                <a:pt x="5206516" y="269735"/>
                <a:pt x="5250342" y="438080"/>
              </a:cubicBezTo>
              <a:cubicBezTo>
                <a:pt x="5288325" y="585382"/>
                <a:pt x="5326307" y="740336"/>
                <a:pt x="5437333" y="740336"/>
              </a:cubicBezTo>
              <a:cubicBezTo>
                <a:pt x="5527906" y="740336"/>
                <a:pt x="5577575" y="640859"/>
                <a:pt x="5627245" y="543296"/>
              </a:cubicBezTo>
              <a:cubicBezTo>
                <a:pt x="5682758" y="438080"/>
                <a:pt x="5738270" y="327125"/>
                <a:pt x="5858061" y="327125"/>
              </a:cubicBezTo>
              <a:cubicBezTo>
                <a:pt x="5980774" y="327125"/>
                <a:pt x="6027521" y="443819"/>
                <a:pt x="6080113" y="568165"/>
              </a:cubicBezTo>
              <a:cubicBezTo>
                <a:pt x="6123938" y="677207"/>
                <a:pt x="6170686" y="788161"/>
                <a:pt x="6258338" y="790074"/>
              </a:cubicBezTo>
              <a:cubicBezTo>
                <a:pt x="6258338" y="790074"/>
                <a:pt x="6258338" y="790074"/>
                <a:pt x="6258338" y="790074"/>
              </a:cubicBezTo>
              <a:cubicBezTo>
                <a:pt x="6305085" y="790074"/>
                <a:pt x="6343068" y="746075"/>
                <a:pt x="6389815" y="692511"/>
              </a:cubicBezTo>
              <a:cubicBezTo>
                <a:pt x="6474546" y="593034"/>
                <a:pt x="6594336" y="457210"/>
                <a:pt x="6880665" y="457210"/>
              </a:cubicBezTo>
              <a:cubicBezTo>
                <a:pt x="6892352" y="457210"/>
                <a:pt x="6901117" y="462949"/>
                <a:pt x="6901117" y="470601"/>
              </a:cubicBezTo>
              <a:cubicBezTo>
                <a:pt x="6901117" y="478253"/>
                <a:pt x="6892352" y="483992"/>
                <a:pt x="6880665" y="483992"/>
              </a:cubicBezTo>
              <a:cubicBezTo>
                <a:pt x="6617710" y="483992"/>
                <a:pt x="6512528" y="606425"/>
                <a:pt x="6424876" y="703989"/>
              </a:cubicBezTo>
              <a:cubicBezTo>
                <a:pt x="6369363" y="767118"/>
                <a:pt x="6328459" y="816857"/>
                <a:pt x="6255416" y="816857"/>
              </a:cubicBezTo>
              <a:cubicBezTo>
                <a:pt x="6255416" y="816857"/>
                <a:pt x="6252494" y="816857"/>
                <a:pt x="6252494" y="816857"/>
              </a:cubicBezTo>
              <a:cubicBezTo>
                <a:pt x="6132703" y="814944"/>
                <a:pt x="6083034" y="698250"/>
                <a:pt x="6033365" y="573904"/>
              </a:cubicBezTo>
              <a:cubicBezTo>
                <a:pt x="5989539" y="464862"/>
                <a:pt x="5942791" y="353907"/>
                <a:pt x="5855139" y="353907"/>
              </a:cubicBezTo>
              <a:cubicBezTo>
                <a:pt x="5764566" y="353907"/>
                <a:pt x="5714897" y="453384"/>
                <a:pt x="5665227" y="550948"/>
              </a:cubicBezTo>
              <a:cubicBezTo>
                <a:pt x="5609714" y="656163"/>
                <a:pt x="5554202" y="767118"/>
                <a:pt x="5434411" y="767118"/>
              </a:cubicBezTo>
              <a:cubicBezTo>
                <a:pt x="5288325" y="767118"/>
                <a:pt x="5247421" y="608338"/>
                <a:pt x="5206516" y="441906"/>
              </a:cubicBezTo>
              <a:cubicBezTo>
                <a:pt x="5168534" y="290778"/>
                <a:pt x="5127630" y="135824"/>
                <a:pt x="5016604" y="135824"/>
              </a:cubicBezTo>
              <a:cubicBezTo>
                <a:pt x="4890970" y="135824"/>
                <a:pt x="4844222" y="302256"/>
                <a:pt x="4797475" y="461036"/>
              </a:cubicBezTo>
              <a:cubicBezTo>
                <a:pt x="4744883" y="644685"/>
                <a:pt x="4695214" y="816857"/>
                <a:pt x="4528676" y="816857"/>
              </a:cubicBezTo>
              <a:cubicBezTo>
                <a:pt x="4400120" y="816857"/>
                <a:pt x="4341686" y="709728"/>
                <a:pt x="4286172" y="617903"/>
              </a:cubicBezTo>
              <a:cubicBezTo>
                <a:pt x="4245268" y="545209"/>
                <a:pt x="4201443" y="472514"/>
                <a:pt x="4143008" y="472514"/>
              </a:cubicBezTo>
              <a:cubicBezTo>
                <a:pt x="4067043" y="472514"/>
                <a:pt x="4029060" y="526079"/>
                <a:pt x="3991078" y="581556"/>
              </a:cubicBezTo>
              <a:cubicBezTo>
                <a:pt x="3950174" y="640859"/>
                <a:pt x="3906348" y="702076"/>
                <a:pt x="3812853" y="702076"/>
              </a:cubicBezTo>
              <a:cubicBezTo>
                <a:pt x="3660923" y="702076"/>
                <a:pt x="3625862" y="571991"/>
                <a:pt x="3593723" y="443819"/>
              </a:cubicBezTo>
              <a:cubicBezTo>
                <a:pt x="3567428" y="346255"/>
                <a:pt x="3541132" y="244866"/>
                <a:pt x="3459324" y="244866"/>
              </a:cubicBezTo>
              <a:cubicBezTo>
                <a:pt x="3459324" y="244866"/>
                <a:pt x="3459324" y="244866"/>
                <a:pt x="3459324" y="244866"/>
              </a:cubicBezTo>
              <a:cubicBezTo>
                <a:pt x="3351220" y="246779"/>
                <a:pt x="3313238" y="401733"/>
                <a:pt x="3275255" y="550948"/>
              </a:cubicBezTo>
              <a:cubicBezTo>
                <a:pt x="3216821" y="747988"/>
                <a:pt x="3170073" y="946941"/>
                <a:pt x="2968474" y="946941"/>
              </a:cubicBezTo>
              <a:lnTo>
                <a:pt x="2968474" y="946941"/>
              </a:lnTo>
              <a:close/>
            </a:path>
          </a:pathLst>
        </a:custGeom>
        <a:solidFill>
          <a:schemeClr val="tx2">
            <a:lumMod val="50000"/>
            <a:lumOff val="50000"/>
          </a:schemeClr>
        </a:solidFill>
        <a:ln w="29208" cap="flat">
          <a:noFill/>
          <a:prstDash val="solid"/>
          <a:miter/>
        </a:ln>
      </xdr:spPr>
      <xdr:txBody>
        <a:bodyPr rtlCol="0" anchor="ctr"/>
        <a:lstStyle/>
        <a:p>
          <a:endParaRPr lang="en-US"/>
        </a:p>
      </xdr:txBody>
    </xdr:sp>
    <xdr:clientData/>
  </xdr:twoCellAnchor>
  <xdr:twoCellAnchor editAs="oneCell">
    <xdr:from>
      <xdr:col>1</xdr:col>
      <xdr:colOff>1480344</xdr:colOff>
      <xdr:row>0</xdr:row>
      <xdr:rowOff>79376</xdr:rowOff>
    </xdr:from>
    <xdr:to>
      <xdr:col>1</xdr:col>
      <xdr:colOff>2059781</xdr:colOff>
      <xdr:row>2</xdr:row>
      <xdr:rowOff>164342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54E9548A-D106-4BCA-8677-47CCE45C03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61332" y="79376"/>
          <a:ext cx="579437" cy="580266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3928</xdr:colOff>
      <xdr:row>1</xdr:row>
      <xdr:rowOff>213202</xdr:rowOff>
    </xdr:from>
    <xdr:to>
      <xdr:col>9</xdr:col>
      <xdr:colOff>949758</xdr:colOff>
      <xdr:row>3</xdr:row>
      <xdr:rowOff>27964</xdr:rowOff>
    </xdr:to>
    <xdr:sp macro="" textlink="">
      <xdr:nvSpPr>
        <xdr:cNvPr id="2" name="Freeform: Shape 1">
          <a:extLst>
            <a:ext uri="{FF2B5EF4-FFF2-40B4-BE49-F238E27FC236}">
              <a16:creationId xmlns:a16="http://schemas.microsoft.com/office/drawing/2014/main" id="{A0705A9D-EAF0-45C6-9558-5A70D24ABE13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SpPr/>
      </xdr:nvSpPr>
      <xdr:spPr>
        <a:xfrm>
          <a:off x="7704891" y="413227"/>
          <a:ext cx="6889430" cy="1029200"/>
        </a:xfrm>
        <a:custGeom>
          <a:avLst/>
          <a:gdLst>
            <a:gd name="connsiteX0" fmla="*/ 1428724 w 6889430"/>
            <a:gd name="connsiteY0" fmla="*/ 1029201 h 1029200"/>
            <a:gd name="connsiteX1" fmla="*/ 1174534 w 6889430"/>
            <a:gd name="connsiteY1" fmla="*/ 763292 h 1029200"/>
            <a:gd name="connsiteX2" fmla="*/ 987543 w 6889430"/>
            <a:gd name="connsiteY2" fmla="*/ 539470 h 1029200"/>
            <a:gd name="connsiteX3" fmla="*/ 987543 w 6889430"/>
            <a:gd name="connsiteY3" fmla="*/ 539470 h 1029200"/>
            <a:gd name="connsiteX4" fmla="*/ 818083 w 6889430"/>
            <a:gd name="connsiteY4" fmla="*/ 696337 h 1029200"/>
            <a:gd name="connsiteX5" fmla="*/ 590189 w 6889430"/>
            <a:gd name="connsiteY5" fmla="*/ 879986 h 1029200"/>
            <a:gd name="connsiteX6" fmla="*/ 347685 w 6889430"/>
            <a:gd name="connsiteY6" fmla="*/ 679120 h 1029200"/>
            <a:gd name="connsiteX7" fmla="*/ 20452 w 6889430"/>
            <a:gd name="connsiteY7" fmla="*/ 430428 h 1029200"/>
            <a:gd name="connsiteX8" fmla="*/ 20452 w 6889430"/>
            <a:gd name="connsiteY8" fmla="*/ 430428 h 1029200"/>
            <a:gd name="connsiteX9" fmla="*/ 0 w 6889430"/>
            <a:gd name="connsiteY9" fmla="*/ 417037 h 1029200"/>
            <a:gd name="connsiteX10" fmla="*/ 20452 w 6889430"/>
            <a:gd name="connsiteY10" fmla="*/ 403646 h 1029200"/>
            <a:gd name="connsiteX11" fmla="*/ 20452 w 6889430"/>
            <a:gd name="connsiteY11" fmla="*/ 403646 h 1029200"/>
            <a:gd name="connsiteX12" fmla="*/ 385668 w 6889430"/>
            <a:gd name="connsiteY12" fmla="*/ 669555 h 1029200"/>
            <a:gd name="connsiteX13" fmla="*/ 587267 w 6889430"/>
            <a:gd name="connsiteY13" fmla="*/ 853204 h 1029200"/>
            <a:gd name="connsiteX14" fmla="*/ 771336 w 6889430"/>
            <a:gd name="connsiteY14" fmla="*/ 688685 h 1029200"/>
            <a:gd name="connsiteX15" fmla="*/ 981700 w 6889430"/>
            <a:gd name="connsiteY15" fmla="*/ 512687 h 1029200"/>
            <a:gd name="connsiteX16" fmla="*/ 981700 w 6889430"/>
            <a:gd name="connsiteY16" fmla="*/ 512687 h 1029200"/>
            <a:gd name="connsiteX17" fmla="*/ 1209595 w 6889430"/>
            <a:gd name="connsiteY17" fmla="*/ 759466 h 1029200"/>
            <a:gd name="connsiteX18" fmla="*/ 1422881 w 6889430"/>
            <a:gd name="connsiteY18" fmla="*/ 1002419 h 1029200"/>
            <a:gd name="connsiteX19" fmla="*/ 1425802 w 6889430"/>
            <a:gd name="connsiteY19" fmla="*/ 1002419 h 1029200"/>
            <a:gd name="connsiteX20" fmla="*/ 1633245 w 6889430"/>
            <a:gd name="connsiteY20" fmla="*/ 682946 h 1029200"/>
            <a:gd name="connsiteX21" fmla="*/ 1878670 w 6889430"/>
            <a:gd name="connsiteY21" fmla="*/ 344342 h 1029200"/>
            <a:gd name="connsiteX22" fmla="*/ 2097800 w 6889430"/>
            <a:gd name="connsiteY22" fmla="*/ 552861 h 1029200"/>
            <a:gd name="connsiteX23" fmla="*/ 2273103 w 6889430"/>
            <a:gd name="connsiteY23" fmla="*/ 740336 h 1029200"/>
            <a:gd name="connsiteX24" fmla="*/ 2486389 w 6889430"/>
            <a:gd name="connsiteY24" fmla="*/ 384516 h 1029200"/>
            <a:gd name="connsiteX25" fmla="*/ 2746423 w 6889430"/>
            <a:gd name="connsiteY25" fmla="*/ 0 h 1029200"/>
            <a:gd name="connsiteX26" fmla="*/ 2974317 w 6889430"/>
            <a:gd name="connsiteY26" fmla="*/ 476340 h 1029200"/>
            <a:gd name="connsiteX27" fmla="*/ 3213899 w 6889430"/>
            <a:gd name="connsiteY27" fmla="*/ 998593 h 1029200"/>
            <a:gd name="connsiteX28" fmla="*/ 3438872 w 6889430"/>
            <a:gd name="connsiteY28" fmla="*/ 648511 h 1029200"/>
            <a:gd name="connsiteX29" fmla="*/ 3643393 w 6889430"/>
            <a:gd name="connsiteY29" fmla="*/ 330951 h 1029200"/>
            <a:gd name="connsiteX30" fmla="*/ 3646314 w 6889430"/>
            <a:gd name="connsiteY30" fmla="*/ 330951 h 1029200"/>
            <a:gd name="connsiteX31" fmla="*/ 3824540 w 6889430"/>
            <a:gd name="connsiteY31" fmla="*/ 554774 h 1029200"/>
            <a:gd name="connsiteX32" fmla="*/ 4002765 w 6889430"/>
            <a:gd name="connsiteY32" fmla="*/ 790074 h 1029200"/>
            <a:gd name="connsiteX33" fmla="*/ 4143008 w 6889430"/>
            <a:gd name="connsiteY33" fmla="*/ 686772 h 1029200"/>
            <a:gd name="connsiteX34" fmla="*/ 4335842 w 6889430"/>
            <a:gd name="connsiteY34" fmla="*/ 560513 h 1029200"/>
            <a:gd name="connsiteX35" fmla="*/ 4522832 w 6889430"/>
            <a:gd name="connsiteY35" fmla="*/ 747988 h 1029200"/>
            <a:gd name="connsiteX36" fmla="*/ 4727353 w 6889430"/>
            <a:gd name="connsiteY36" fmla="*/ 956507 h 1029200"/>
            <a:gd name="connsiteX37" fmla="*/ 4955248 w 6889430"/>
            <a:gd name="connsiteY37" fmla="*/ 596860 h 1029200"/>
            <a:gd name="connsiteX38" fmla="*/ 5215281 w 6889430"/>
            <a:gd name="connsiteY38" fmla="*/ 221910 h 1029200"/>
            <a:gd name="connsiteX39" fmla="*/ 5451941 w 6889430"/>
            <a:gd name="connsiteY39" fmla="*/ 552861 h 1029200"/>
            <a:gd name="connsiteX40" fmla="*/ 5638932 w 6889430"/>
            <a:gd name="connsiteY40" fmla="*/ 855117 h 1029200"/>
            <a:gd name="connsiteX41" fmla="*/ 5828844 w 6889430"/>
            <a:gd name="connsiteY41" fmla="*/ 658077 h 1029200"/>
            <a:gd name="connsiteX42" fmla="*/ 6062582 w 6889430"/>
            <a:gd name="connsiteY42" fmla="*/ 441906 h 1029200"/>
            <a:gd name="connsiteX43" fmla="*/ 6275868 w 6889430"/>
            <a:gd name="connsiteY43" fmla="*/ 686772 h 1029200"/>
            <a:gd name="connsiteX44" fmla="*/ 6445328 w 6889430"/>
            <a:gd name="connsiteY44" fmla="*/ 906768 h 1029200"/>
            <a:gd name="connsiteX45" fmla="*/ 6603101 w 6889430"/>
            <a:gd name="connsiteY45" fmla="*/ 692511 h 1029200"/>
            <a:gd name="connsiteX46" fmla="*/ 6866057 w 6889430"/>
            <a:gd name="connsiteY46" fmla="*/ 392168 h 1029200"/>
            <a:gd name="connsiteX47" fmla="*/ 6889431 w 6889430"/>
            <a:gd name="connsiteY47" fmla="*/ 403646 h 1029200"/>
            <a:gd name="connsiteX48" fmla="*/ 6871900 w 6889430"/>
            <a:gd name="connsiteY48" fmla="*/ 418950 h 1029200"/>
            <a:gd name="connsiteX49" fmla="*/ 6644005 w 6889430"/>
            <a:gd name="connsiteY49" fmla="*/ 698250 h 1029200"/>
            <a:gd name="connsiteX50" fmla="*/ 6442406 w 6889430"/>
            <a:gd name="connsiteY50" fmla="*/ 933550 h 1029200"/>
            <a:gd name="connsiteX51" fmla="*/ 6232042 w 6889430"/>
            <a:gd name="connsiteY51" fmla="*/ 690598 h 1029200"/>
            <a:gd name="connsiteX52" fmla="*/ 6062582 w 6889430"/>
            <a:gd name="connsiteY52" fmla="*/ 468688 h 1029200"/>
            <a:gd name="connsiteX53" fmla="*/ 5872670 w 6889430"/>
            <a:gd name="connsiteY53" fmla="*/ 665729 h 1029200"/>
            <a:gd name="connsiteX54" fmla="*/ 5638932 w 6889430"/>
            <a:gd name="connsiteY54" fmla="*/ 881899 h 1029200"/>
            <a:gd name="connsiteX55" fmla="*/ 5408116 w 6889430"/>
            <a:gd name="connsiteY55" fmla="*/ 554774 h 1029200"/>
            <a:gd name="connsiteX56" fmla="*/ 5215281 w 6889430"/>
            <a:gd name="connsiteY56" fmla="*/ 248692 h 1029200"/>
            <a:gd name="connsiteX57" fmla="*/ 4996152 w 6889430"/>
            <a:gd name="connsiteY57" fmla="*/ 600686 h 1029200"/>
            <a:gd name="connsiteX58" fmla="*/ 4727353 w 6889430"/>
            <a:gd name="connsiteY58" fmla="*/ 985202 h 1029200"/>
            <a:gd name="connsiteX59" fmla="*/ 4481928 w 6889430"/>
            <a:gd name="connsiteY59" fmla="*/ 755640 h 1029200"/>
            <a:gd name="connsiteX60" fmla="*/ 4335842 w 6889430"/>
            <a:gd name="connsiteY60" fmla="*/ 587295 h 1029200"/>
            <a:gd name="connsiteX61" fmla="*/ 4180990 w 6889430"/>
            <a:gd name="connsiteY61" fmla="*/ 698250 h 1029200"/>
            <a:gd name="connsiteX62" fmla="*/ 3999843 w 6889430"/>
            <a:gd name="connsiteY62" fmla="*/ 818770 h 1029200"/>
            <a:gd name="connsiteX63" fmla="*/ 3777792 w 6889430"/>
            <a:gd name="connsiteY63" fmla="*/ 560513 h 1029200"/>
            <a:gd name="connsiteX64" fmla="*/ 3643393 w 6889430"/>
            <a:gd name="connsiteY64" fmla="*/ 359646 h 1029200"/>
            <a:gd name="connsiteX65" fmla="*/ 3643393 w 6889430"/>
            <a:gd name="connsiteY65" fmla="*/ 359646 h 1029200"/>
            <a:gd name="connsiteX66" fmla="*/ 3482698 w 6889430"/>
            <a:gd name="connsiteY66" fmla="*/ 652337 h 1029200"/>
            <a:gd name="connsiteX67" fmla="*/ 3213899 w 6889430"/>
            <a:gd name="connsiteY67" fmla="*/ 1027288 h 1029200"/>
            <a:gd name="connsiteX68" fmla="*/ 2930492 w 6889430"/>
            <a:gd name="connsiteY68" fmla="*/ 478253 h 1029200"/>
            <a:gd name="connsiteX69" fmla="*/ 2746423 w 6889430"/>
            <a:gd name="connsiteY69" fmla="*/ 26782 h 1029200"/>
            <a:gd name="connsiteX70" fmla="*/ 2530215 w 6889430"/>
            <a:gd name="connsiteY70" fmla="*/ 386429 h 1029200"/>
            <a:gd name="connsiteX71" fmla="*/ 2276025 w 6889430"/>
            <a:gd name="connsiteY71" fmla="*/ 767118 h 1029200"/>
            <a:gd name="connsiteX72" fmla="*/ 2056895 w 6889430"/>
            <a:gd name="connsiteY72" fmla="*/ 558600 h 1029200"/>
            <a:gd name="connsiteX73" fmla="*/ 1881592 w 6889430"/>
            <a:gd name="connsiteY73" fmla="*/ 371125 h 1029200"/>
            <a:gd name="connsiteX74" fmla="*/ 1679993 w 6889430"/>
            <a:gd name="connsiteY74" fmla="*/ 686772 h 1029200"/>
            <a:gd name="connsiteX75" fmla="*/ 1431646 w 6889430"/>
            <a:gd name="connsiteY75" fmla="*/ 1029201 h 1029200"/>
            <a:gd name="connsiteX76" fmla="*/ 1428724 w 6889430"/>
            <a:gd name="connsiteY76" fmla="*/ 1029201 h 1029200"/>
            <a:gd name="connsiteX77" fmla="*/ 1428724 w 6889430"/>
            <a:gd name="connsiteY77" fmla="*/ 1029201 h 10292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  <a:cxn ang="0">
              <a:pos x="connsiteX55" y="connsiteY55"/>
            </a:cxn>
            <a:cxn ang="0">
              <a:pos x="connsiteX56" y="connsiteY56"/>
            </a:cxn>
            <a:cxn ang="0">
              <a:pos x="connsiteX57" y="connsiteY57"/>
            </a:cxn>
            <a:cxn ang="0">
              <a:pos x="connsiteX58" y="connsiteY58"/>
            </a:cxn>
            <a:cxn ang="0">
              <a:pos x="connsiteX59" y="connsiteY59"/>
            </a:cxn>
            <a:cxn ang="0">
              <a:pos x="connsiteX60" y="connsiteY60"/>
            </a:cxn>
            <a:cxn ang="0">
              <a:pos x="connsiteX61" y="connsiteY61"/>
            </a:cxn>
            <a:cxn ang="0">
              <a:pos x="connsiteX62" y="connsiteY62"/>
            </a:cxn>
            <a:cxn ang="0">
              <a:pos x="connsiteX63" y="connsiteY63"/>
            </a:cxn>
            <a:cxn ang="0">
              <a:pos x="connsiteX64" y="connsiteY64"/>
            </a:cxn>
            <a:cxn ang="0">
              <a:pos x="connsiteX65" y="connsiteY65"/>
            </a:cxn>
            <a:cxn ang="0">
              <a:pos x="connsiteX66" y="connsiteY66"/>
            </a:cxn>
            <a:cxn ang="0">
              <a:pos x="connsiteX67" y="connsiteY67"/>
            </a:cxn>
            <a:cxn ang="0">
              <a:pos x="connsiteX68" y="connsiteY68"/>
            </a:cxn>
            <a:cxn ang="0">
              <a:pos x="connsiteX69" y="connsiteY69"/>
            </a:cxn>
            <a:cxn ang="0">
              <a:pos x="connsiteX70" y="connsiteY70"/>
            </a:cxn>
            <a:cxn ang="0">
              <a:pos x="connsiteX71" y="connsiteY71"/>
            </a:cxn>
            <a:cxn ang="0">
              <a:pos x="connsiteX72" y="connsiteY72"/>
            </a:cxn>
            <a:cxn ang="0">
              <a:pos x="connsiteX73" y="connsiteY73"/>
            </a:cxn>
            <a:cxn ang="0">
              <a:pos x="connsiteX74" y="connsiteY74"/>
            </a:cxn>
            <a:cxn ang="0">
              <a:pos x="connsiteX75" y="connsiteY75"/>
            </a:cxn>
            <a:cxn ang="0">
              <a:pos x="connsiteX76" y="connsiteY76"/>
            </a:cxn>
            <a:cxn ang="0">
              <a:pos x="connsiteX77" y="connsiteY77"/>
            </a:cxn>
          </a:cxnLst>
          <a:rect l="l" t="t" r="r" b="b"/>
          <a:pathLst>
            <a:path w="6889430" h="1029200">
              <a:moveTo>
                <a:pt x="1428724" y="1029201"/>
              </a:moveTo>
              <a:cubicBezTo>
                <a:pt x="1276794" y="1029201"/>
                <a:pt x="1224203" y="895290"/>
                <a:pt x="1174534" y="763292"/>
              </a:cubicBezTo>
              <a:cubicBezTo>
                <a:pt x="1130708" y="652337"/>
                <a:pt x="1086882" y="539470"/>
                <a:pt x="987543" y="539470"/>
              </a:cubicBezTo>
              <a:lnTo>
                <a:pt x="987543" y="539470"/>
              </a:lnTo>
              <a:cubicBezTo>
                <a:pt x="899892" y="539470"/>
                <a:pt x="858988" y="615990"/>
                <a:pt x="818083" y="696337"/>
              </a:cubicBezTo>
              <a:cubicBezTo>
                <a:pt x="771336" y="786248"/>
                <a:pt x="721666" y="879986"/>
                <a:pt x="590189" y="879986"/>
              </a:cubicBezTo>
              <a:cubicBezTo>
                <a:pt x="467476" y="879986"/>
                <a:pt x="409042" y="782422"/>
                <a:pt x="347685" y="679120"/>
              </a:cubicBezTo>
              <a:cubicBezTo>
                <a:pt x="274642" y="556687"/>
                <a:pt x="198677" y="430428"/>
                <a:pt x="20452" y="430428"/>
              </a:cubicBezTo>
              <a:cubicBezTo>
                <a:pt x="20452" y="430428"/>
                <a:pt x="20452" y="430428"/>
                <a:pt x="20452" y="430428"/>
              </a:cubicBezTo>
              <a:cubicBezTo>
                <a:pt x="8765" y="430428"/>
                <a:pt x="0" y="424689"/>
                <a:pt x="0" y="417037"/>
              </a:cubicBezTo>
              <a:cubicBezTo>
                <a:pt x="0" y="409385"/>
                <a:pt x="8765" y="403646"/>
                <a:pt x="20452" y="403646"/>
              </a:cubicBezTo>
              <a:lnTo>
                <a:pt x="20452" y="403646"/>
              </a:lnTo>
              <a:cubicBezTo>
                <a:pt x="227895" y="403646"/>
                <a:pt x="312625" y="545209"/>
                <a:pt x="385668" y="669555"/>
              </a:cubicBezTo>
              <a:cubicBezTo>
                <a:pt x="441181" y="763292"/>
                <a:pt x="496693" y="853204"/>
                <a:pt x="587267" y="853204"/>
              </a:cubicBezTo>
              <a:cubicBezTo>
                <a:pt x="686606" y="853204"/>
                <a:pt x="727510" y="772857"/>
                <a:pt x="771336" y="688685"/>
              </a:cubicBezTo>
              <a:cubicBezTo>
                <a:pt x="815162" y="602599"/>
                <a:pt x="861909" y="514601"/>
                <a:pt x="981700" y="512687"/>
              </a:cubicBezTo>
              <a:lnTo>
                <a:pt x="981700" y="512687"/>
              </a:lnTo>
              <a:cubicBezTo>
                <a:pt x="1113178" y="512687"/>
                <a:pt x="1159925" y="631294"/>
                <a:pt x="1209595" y="759466"/>
              </a:cubicBezTo>
              <a:cubicBezTo>
                <a:pt x="1256342" y="879986"/>
                <a:pt x="1306012" y="1002419"/>
                <a:pt x="1422881" y="1002419"/>
              </a:cubicBezTo>
              <a:cubicBezTo>
                <a:pt x="1422881" y="1002419"/>
                <a:pt x="1422881" y="1002419"/>
                <a:pt x="1425802" y="1002419"/>
              </a:cubicBezTo>
              <a:cubicBezTo>
                <a:pt x="1536828" y="1000506"/>
                <a:pt x="1586497" y="832161"/>
                <a:pt x="1633245" y="682946"/>
              </a:cubicBezTo>
              <a:cubicBezTo>
                <a:pt x="1685836" y="508862"/>
                <a:pt x="1735505" y="344342"/>
                <a:pt x="1878670" y="344342"/>
              </a:cubicBezTo>
              <a:cubicBezTo>
                <a:pt x="2001382" y="344342"/>
                <a:pt x="2051052" y="449558"/>
                <a:pt x="2097800" y="552861"/>
              </a:cubicBezTo>
              <a:cubicBezTo>
                <a:pt x="2141625" y="644685"/>
                <a:pt x="2185451" y="740336"/>
                <a:pt x="2273103" y="740336"/>
              </a:cubicBezTo>
              <a:cubicBezTo>
                <a:pt x="2395816" y="740336"/>
                <a:pt x="2439641" y="558600"/>
                <a:pt x="2486389" y="384516"/>
              </a:cubicBezTo>
              <a:cubicBezTo>
                <a:pt x="2536059" y="187475"/>
                <a:pt x="2582806" y="0"/>
                <a:pt x="2746423" y="0"/>
              </a:cubicBezTo>
              <a:cubicBezTo>
                <a:pt x="2904196" y="0"/>
                <a:pt x="2936335" y="219996"/>
                <a:pt x="2974317" y="476340"/>
              </a:cubicBezTo>
              <a:cubicBezTo>
                <a:pt x="3009378" y="721206"/>
                <a:pt x="3050282" y="998593"/>
                <a:pt x="3213899" y="998593"/>
              </a:cubicBezTo>
              <a:cubicBezTo>
                <a:pt x="3377516" y="998593"/>
                <a:pt x="3409654" y="820683"/>
                <a:pt x="3438872" y="648511"/>
              </a:cubicBezTo>
              <a:cubicBezTo>
                <a:pt x="3468089" y="485905"/>
                <a:pt x="3494385" y="332864"/>
                <a:pt x="3643393" y="330951"/>
              </a:cubicBezTo>
              <a:cubicBezTo>
                <a:pt x="3643393" y="330951"/>
                <a:pt x="3643393" y="330951"/>
                <a:pt x="3646314" y="330951"/>
              </a:cubicBezTo>
              <a:cubicBezTo>
                <a:pt x="3763184" y="330951"/>
                <a:pt x="3792401" y="439993"/>
                <a:pt x="3824540" y="554774"/>
              </a:cubicBezTo>
              <a:cubicBezTo>
                <a:pt x="3856679" y="669555"/>
                <a:pt x="3885896" y="790074"/>
                <a:pt x="4002765" y="790074"/>
              </a:cubicBezTo>
              <a:cubicBezTo>
                <a:pt x="4069965" y="790074"/>
                <a:pt x="4105025" y="740336"/>
                <a:pt x="4143008" y="686772"/>
              </a:cubicBezTo>
              <a:cubicBezTo>
                <a:pt x="4183912" y="627468"/>
                <a:pt x="4230660" y="560513"/>
                <a:pt x="4335842" y="560513"/>
              </a:cubicBezTo>
              <a:cubicBezTo>
                <a:pt x="4426415" y="560513"/>
                <a:pt x="4470241" y="648511"/>
                <a:pt x="4522832" y="747988"/>
              </a:cubicBezTo>
              <a:cubicBezTo>
                <a:pt x="4572502" y="845552"/>
                <a:pt x="4630936" y="956507"/>
                <a:pt x="4727353" y="956507"/>
              </a:cubicBezTo>
              <a:cubicBezTo>
                <a:pt x="4858831" y="956507"/>
                <a:pt x="4908500" y="772857"/>
                <a:pt x="4955248" y="596860"/>
              </a:cubicBezTo>
              <a:cubicBezTo>
                <a:pt x="5004917" y="403646"/>
                <a:pt x="5054587" y="221910"/>
                <a:pt x="5215281" y="221910"/>
              </a:cubicBezTo>
              <a:cubicBezTo>
                <a:pt x="5367211" y="221910"/>
                <a:pt x="5408116" y="382603"/>
                <a:pt x="5451941" y="552861"/>
              </a:cubicBezTo>
              <a:cubicBezTo>
                <a:pt x="5489924" y="702076"/>
                <a:pt x="5527906" y="855117"/>
                <a:pt x="5638932" y="855117"/>
              </a:cubicBezTo>
              <a:cubicBezTo>
                <a:pt x="5729505" y="855117"/>
                <a:pt x="5779175" y="755640"/>
                <a:pt x="5828844" y="658077"/>
              </a:cubicBezTo>
              <a:cubicBezTo>
                <a:pt x="5884357" y="550948"/>
                <a:pt x="5939870" y="441906"/>
                <a:pt x="6062582" y="441906"/>
              </a:cubicBezTo>
              <a:cubicBezTo>
                <a:pt x="6185294" y="441906"/>
                <a:pt x="6229120" y="560513"/>
                <a:pt x="6275868" y="686772"/>
              </a:cubicBezTo>
              <a:cubicBezTo>
                <a:pt x="6316772" y="795813"/>
                <a:pt x="6354755" y="906768"/>
                <a:pt x="6445328" y="906768"/>
              </a:cubicBezTo>
              <a:cubicBezTo>
                <a:pt x="6524215" y="906768"/>
                <a:pt x="6565119" y="797726"/>
                <a:pt x="6603101" y="692511"/>
              </a:cubicBezTo>
              <a:cubicBezTo>
                <a:pt x="6652771" y="558600"/>
                <a:pt x="6708284" y="405559"/>
                <a:pt x="6866057" y="392168"/>
              </a:cubicBezTo>
              <a:cubicBezTo>
                <a:pt x="6877743" y="390255"/>
                <a:pt x="6889431" y="395994"/>
                <a:pt x="6889431" y="403646"/>
              </a:cubicBezTo>
              <a:cubicBezTo>
                <a:pt x="6889431" y="411298"/>
                <a:pt x="6883587" y="418950"/>
                <a:pt x="6871900" y="418950"/>
              </a:cubicBezTo>
              <a:cubicBezTo>
                <a:pt x="6743344" y="430428"/>
                <a:pt x="6690753" y="571991"/>
                <a:pt x="6644005" y="698250"/>
              </a:cubicBezTo>
              <a:cubicBezTo>
                <a:pt x="6597258" y="824509"/>
                <a:pt x="6556354" y="933550"/>
                <a:pt x="6442406" y="933550"/>
              </a:cubicBezTo>
              <a:cubicBezTo>
                <a:pt x="6319694" y="933550"/>
                <a:pt x="6278790" y="814944"/>
                <a:pt x="6232042" y="690598"/>
              </a:cubicBezTo>
              <a:cubicBezTo>
                <a:pt x="6191138" y="581556"/>
                <a:pt x="6150234" y="468688"/>
                <a:pt x="6062582" y="468688"/>
              </a:cubicBezTo>
              <a:cubicBezTo>
                <a:pt x="5972008" y="468688"/>
                <a:pt x="5922339" y="568165"/>
                <a:pt x="5872670" y="665729"/>
              </a:cubicBezTo>
              <a:cubicBezTo>
                <a:pt x="5817157" y="772857"/>
                <a:pt x="5761644" y="881899"/>
                <a:pt x="5638932" y="881899"/>
              </a:cubicBezTo>
              <a:cubicBezTo>
                <a:pt x="5489924" y="881899"/>
                <a:pt x="5451941" y="723119"/>
                <a:pt x="5408116" y="554774"/>
              </a:cubicBezTo>
              <a:cubicBezTo>
                <a:pt x="5370133" y="403646"/>
                <a:pt x="5329229" y="248692"/>
                <a:pt x="5215281" y="248692"/>
              </a:cubicBezTo>
              <a:cubicBezTo>
                <a:pt x="5089647" y="248692"/>
                <a:pt x="5042900" y="428515"/>
                <a:pt x="4996152" y="600686"/>
              </a:cubicBezTo>
              <a:cubicBezTo>
                <a:pt x="4943561" y="797726"/>
                <a:pt x="4893892" y="985202"/>
                <a:pt x="4727353" y="985202"/>
              </a:cubicBezTo>
              <a:cubicBezTo>
                <a:pt x="4598797" y="985202"/>
                <a:pt x="4537441" y="868508"/>
                <a:pt x="4481928" y="755640"/>
              </a:cubicBezTo>
              <a:cubicBezTo>
                <a:pt x="4438102" y="673381"/>
                <a:pt x="4394276" y="587295"/>
                <a:pt x="4335842" y="587295"/>
              </a:cubicBezTo>
              <a:cubicBezTo>
                <a:pt x="4259877" y="587295"/>
                <a:pt x="4221895" y="640859"/>
                <a:pt x="4180990" y="698250"/>
              </a:cubicBezTo>
              <a:cubicBezTo>
                <a:pt x="4140086" y="757553"/>
                <a:pt x="4096260" y="818770"/>
                <a:pt x="3999843" y="818770"/>
              </a:cubicBezTo>
              <a:cubicBezTo>
                <a:pt x="3847913" y="818770"/>
                <a:pt x="3812853" y="686772"/>
                <a:pt x="3777792" y="560513"/>
              </a:cubicBezTo>
              <a:cubicBezTo>
                <a:pt x="3751496" y="462949"/>
                <a:pt x="3725201" y="359646"/>
                <a:pt x="3643393" y="359646"/>
              </a:cubicBezTo>
              <a:lnTo>
                <a:pt x="3643393" y="359646"/>
              </a:lnTo>
              <a:cubicBezTo>
                <a:pt x="3535289" y="361559"/>
                <a:pt x="3508993" y="508862"/>
                <a:pt x="3482698" y="652337"/>
              </a:cubicBezTo>
              <a:cubicBezTo>
                <a:pt x="3450559" y="835987"/>
                <a:pt x="3415498" y="1027288"/>
                <a:pt x="3213899" y="1027288"/>
              </a:cubicBezTo>
              <a:cubicBezTo>
                <a:pt x="3009378" y="1027288"/>
                <a:pt x="2968474" y="747988"/>
                <a:pt x="2930492" y="478253"/>
              </a:cubicBezTo>
              <a:cubicBezTo>
                <a:pt x="2901274" y="267822"/>
                <a:pt x="2866213" y="26782"/>
                <a:pt x="2746423" y="26782"/>
              </a:cubicBezTo>
              <a:cubicBezTo>
                <a:pt x="2620788" y="26782"/>
                <a:pt x="2574041" y="218084"/>
                <a:pt x="2530215" y="386429"/>
              </a:cubicBezTo>
              <a:cubicBezTo>
                <a:pt x="2480546" y="581556"/>
                <a:pt x="2433798" y="767118"/>
                <a:pt x="2276025" y="767118"/>
              </a:cubicBezTo>
              <a:cubicBezTo>
                <a:pt x="2153312" y="767118"/>
                <a:pt x="2103643" y="661903"/>
                <a:pt x="2056895" y="558600"/>
              </a:cubicBezTo>
              <a:cubicBezTo>
                <a:pt x="2013069" y="466775"/>
                <a:pt x="1969244" y="371125"/>
                <a:pt x="1881592" y="371125"/>
              </a:cubicBezTo>
              <a:cubicBezTo>
                <a:pt x="1773488" y="371125"/>
                <a:pt x="1723819" y="537557"/>
                <a:pt x="1679993" y="686772"/>
              </a:cubicBezTo>
              <a:cubicBezTo>
                <a:pt x="1627401" y="860856"/>
                <a:pt x="1577732" y="1027288"/>
                <a:pt x="1431646" y="1029201"/>
              </a:cubicBezTo>
              <a:cubicBezTo>
                <a:pt x="1431646" y="1029201"/>
                <a:pt x="1431646" y="1029201"/>
                <a:pt x="1428724" y="1029201"/>
              </a:cubicBezTo>
              <a:lnTo>
                <a:pt x="1428724" y="1029201"/>
              </a:lnTo>
              <a:close/>
            </a:path>
          </a:pathLst>
        </a:custGeom>
        <a:solidFill>
          <a:schemeClr val="accent3">
            <a:lumMod val="60000"/>
            <a:lumOff val="40000"/>
          </a:schemeClr>
        </a:solidFill>
        <a:ln w="29208" cap="flat">
          <a:noFill/>
          <a:prstDash val="solid"/>
          <a:miter/>
        </a:ln>
      </xdr:spPr>
      <xdr:txBody>
        <a:bodyPr rtlCol="0" anchor="ctr"/>
        <a:lstStyle/>
        <a:p>
          <a:endParaRPr lang="en-US"/>
        </a:p>
      </xdr:txBody>
    </xdr:sp>
    <xdr:clientData/>
  </xdr:twoCellAnchor>
  <xdr:twoCellAnchor>
    <xdr:from>
      <xdr:col>5</xdr:col>
      <xdr:colOff>6850</xdr:colOff>
      <xdr:row>0</xdr:row>
      <xdr:rowOff>197057</xdr:rowOff>
    </xdr:from>
    <xdr:to>
      <xdr:col>9</xdr:col>
      <xdr:colOff>952680</xdr:colOff>
      <xdr:row>2</xdr:row>
      <xdr:rowOff>901216</xdr:rowOff>
    </xdr:to>
    <xdr:sp macro="" textlink="">
      <xdr:nvSpPr>
        <xdr:cNvPr id="3" name="Freeform: Shape 2">
          <a:extLst>
            <a:ext uri="{FF2B5EF4-FFF2-40B4-BE49-F238E27FC236}">
              <a16:creationId xmlns:a16="http://schemas.microsoft.com/office/drawing/2014/main" id="{F7568233-A1A7-4C3F-8BE3-66A67E93EF82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SpPr/>
      </xdr:nvSpPr>
      <xdr:spPr>
        <a:xfrm>
          <a:off x="7707813" y="197057"/>
          <a:ext cx="6889430" cy="1199459"/>
        </a:xfrm>
        <a:custGeom>
          <a:avLst/>
          <a:gdLst>
            <a:gd name="connsiteX0" fmla="*/ 2974317 w 6889430"/>
            <a:gd name="connsiteY0" fmla="*/ 1199459 h 1199459"/>
            <a:gd name="connsiteX1" fmla="*/ 2679223 w 6889430"/>
            <a:gd name="connsiteY1" fmla="*/ 537557 h 1199459"/>
            <a:gd name="connsiteX2" fmla="*/ 2512685 w 6889430"/>
            <a:gd name="connsiteY2" fmla="*/ 28695 h 1199459"/>
            <a:gd name="connsiteX3" fmla="*/ 2311085 w 6889430"/>
            <a:gd name="connsiteY3" fmla="*/ 441906 h 1199459"/>
            <a:gd name="connsiteX4" fmla="*/ 2071504 w 6889430"/>
            <a:gd name="connsiteY4" fmla="*/ 876160 h 1199459"/>
            <a:gd name="connsiteX5" fmla="*/ 1855296 w 6889430"/>
            <a:gd name="connsiteY5" fmla="*/ 589208 h 1199459"/>
            <a:gd name="connsiteX6" fmla="*/ 1679993 w 6889430"/>
            <a:gd name="connsiteY6" fmla="*/ 325212 h 1199459"/>
            <a:gd name="connsiteX7" fmla="*/ 1484237 w 6889430"/>
            <a:gd name="connsiteY7" fmla="*/ 681033 h 1199459"/>
            <a:gd name="connsiteX8" fmla="*/ 1206673 w 6889430"/>
            <a:gd name="connsiteY8" fmla="*/ 1099983 h 1199459"/>
            <a:gd name="connsiteX9" fmla="*/ 955404 w 6889430"/>
            <a:gd name="connsiteY9" fmla="*/ 791987 h 1199459"/>
            <a:gd name="connsiteX10" fmla="*/ 777179 w 6889430"/>
            <a:gd name="connsiteY10" fmla="*/ 529905 h 1199459"/>
            <a:gd name="connsiteX11" fmla="*/ 777179 w 6889430"/>
            <a:gd name="connsiteY11" fmla="*/ 529905 h 1199459"/>
            <a:gd name="connsiteX12" fmla="*/ 587267 w 6889430"/>
            <a:gd name="connsiteY12" fmla="*/ 747988 h 1199459"/>
            <a:gd name="connsiteX13" fmla="*/ 350607 w 6889430"/>
            <a:gd name="connsiteY13" fmla="*/ 989028 h 1199459"/>
            <a:gd name="connsiteX14" fmla="*/ 350607 w 6889430"/>
            <a:gd name="connsiteY14" fmla="*/ 989028 h 1199459"/>
            <a:gd name="connsiteX15" fmla="*/ 178225 w 6889430"/>
            <a:gd name="connsiteY15" fmla="*/ 816857 h 1199459"/>
            <a:gd name="connsiteX16" fmla="*/ 20452 w 6889430"/>
            <a:gd name="connsiteY16" fmla="*/ 644685 h 1199459"/>
            <a:gd name="connsiteX17" fmla="*/ 0 w 6889430"/>
            <a:gd name="connsiteY17" fmla="*/ 629381 h 1199459"/>
            <a:gd name="connsiteX18" fmla="*/ 23374 w 6889430"/>
            <a:gd name="connsiteY18" fmla="*/ 615990 h 1199459"/>
            <a:gd name="connsiteX19" fmla="*/ 219129 w 6889430"/>
            <a:gd name="connsiteY19" fmla="*/ 809204 h 1199459"/>
            <a:gd name="connsiteX20" fmla="*/ 350607 w 6889430"/>
            <a:gd name="connsiteY20" fmla="*/ 958419 h 1199459"/>
            <a:gd name="connsiteX21" fmla="*/ 350607 w 6889430"/>
            <a:gd name="connsiteY21" fmla="*/ 958419 h 1199459"/>
            <a:gd name="connsiteX22" fmla="*/ 546363 w 6889430"/>
            <a:gd name="connsiteY22" fmla="*/ 736510 h 1199459"/>
            <a:gd name="connsiteX23" fmla="*/ 780101 w 6889430"/>
            <a:gd name="connsiteY23" fmla="*/ 497383 h 1199459"/>
            <a:gd name="connsiteX24" fmla="*/ 780101 w 6889430"/>
            <a:gd name="connsiteY24" fmla="*/ 497383 h 1199459"/>
            <a:gd name="connsiteX25" fmla="*/ 1002152 w 6889430"/>
            <a:gd name="connsiteY25" fmla="*/ 780509 h 1199459"/>
            <a:gd name="connsiteX26" fmla="*/ 1209595 w 6889430"/>
            <a:gd name="connsiteY26" fmla="*/ 1065548 h 1199459"/>
            <a:gd name="connsiteX27" fmla="*/ 1443333 w 6889430"/>
            <a:gd name="connsiteY27" fmla="*/ 671468 h 1199459"/>
            <a:gd name="connsiteX28" fmla="*/ 1682914 w 6889430"/>
            <a:gd name="connsiteY28" fmla="*/ 292691 h 1199459"/>
            <a:gd name="connsiteX29" fmla="*/ 1899122 w 6889430"/>
            <a:gd name="connsiteY29" fmla="*/ 579643 h 1199459"/>
            <a:gd name="connsiteX30" fmla="*/ 2074426 w 6889430"/>
            <a:gd name="connsiteY30" fmla="*/ 843639 h 1199459"/>
            <a:gd name="connsiteX31" fmla="*/ 2270181 w 6889430"/>
            <a:gd name="connsiteY31" fmla="*/ 434254 h 1199459"/>
            <a:gd name="connsiteX32" fmla="*/ 2512685 w 6889430"/>
            <a:gd name="connsiteY32" fmla="*/ 0 h 1199459"/>
            <a:gd name="connsiteX33" fmla="*/ 2720127 w 6889430"/>
            <a:gd name="connsiteY33" fmla="*/ 535644 h 1199459"/>
            <a:gd name="connsiteX34" fmla="*/ 2971396 w 6889430"/>
            <a:gd name="connsiteY34" fmla="*/ 1170764 h 1199459"/>
            <a:gd name="connsiteX35" fmla="*/ 3199290 w 6889430"/>
            <a:gd name="connsiteY35" fmla="*/ 732684 h 1199459"/>
            <a:gd name="connsiteX36" fmla="*/ 3459324 w 6889430"/>
            <a:gd name="connsiteY36" fmla="*/ 281213 h 1199459"/>
            <a:gd name="connsiteX37" fmla="*/ 3669688 w 6889430"/>
            <a:gd name="connsiteY37" fmla="*/ 594947 h 1199459"/>
            <a:gd name="connsiteX38" fmla="*/ 3818696 w 6889430"/>
            <a:gd name="connsiteY38" fmla="*/ 864682 h 1199459"/>
            <a:gd name="connsiteX39" fmla="*/ 3958939 w 6889430"/>
            <a:gd name="connsiteY39" fmla="*/ 736510 h 1199459"/>
            <a:gd name="connsiteX40" fmla="*/ 4154695 w 6889430"/>
            <a:gd name="connsiteY40" fmla="*/ 581556 h 1199459"/>
            <a:gd name="connsiteX41" fmla="*/ 4341685 w 6889430"/>
            <a:gd name="connsiteY41" fmla="*/ 784335 h 1199459"/>
            <a:gd name="connsiteX42" fmla="*/ 4546206 w 6889430"/>
            <a:gd name="connsiteY42" fmla="*/ 1011984 h 1199459"/>
            <a:gd name="connsiteX43" fmla="*/ 4777023 w 6889430"/>
            <a:gd name="connsiteY43" fmla="*/ 583469 h 1199459"/>
            <a:gd name="connsiteX44" fmla="*/ 5042900 w 6889430"/>
            <a:gd name="connsiteY44" fmla="*/ 139650 h 1199459"/>
            <a:gd name="connsiteX45" fmla="*/ 5279560 w 6889430"/>
            <a:gd name="connsiteY45" fmla="*/ 558600 h 1199459"/>
            <a:gd name="connsiteX46" fmla="*/ 5469472 w 6889430"/>
            <a:gd name="connsiteY46" fmla="*/ 946941 h 1199459"/>
            <a:gd name="connsiteX47" fmla="*/ 5662305 w 6889430"/>
            <a:gd name="connsiteY47" fmla="*/ 694424 h 1199459"/>
            <a:gd name="connsiteX48" fmla="*/ 5896043 w 6889430"/>
            <a:gd name="connsiteY48" fmla="*/ 420863 h 1199459"/>
            <a:gd name="connsiteX49" fmla="*/ 6129782 w 6889430"/>
            <a:gd name="connsiteY49" fmla="*/ 700163 h 1199459"/>
            <a:gd name="connsiteX50" fmla="*/ 6386894 w 6889430"/>
            <a:gd name="connsiteY50" fmla="*/ 1013897 h 1199459"/>
            <a:gd name="connsiteX51" fmla="*/ 6389815 w 6889430"/>
            <a:gd name="connsiteY51" fmla="*/ 1013897 h 1199459"/>
            <a:gd name="connsiteX52" fmla="*/ 6565119 w 6889430"/>
            <a:gd name="connsiteY52" fmla="*/ 845552 h 1199459"/>
            <a:gd name="connsiteX53" fmla="*/ 6868978 w 6889430"/>
            <a:gd name="connsiteY53" fmla="*/ 608338 h 1199459"/>
            <a:gd name="connsiteX54" fmla="*/ 6889430 w 6889430"/>
            <a:gd name="connsiteY54" fmla="*/ 621729 h 1199459"/>
            <a:gd name="connsiteX55" fmla="*/ 6868978 w 6889430"/>
            <a:gd name="connsiteY55" fmla="*/ 635120 h 1199459"/>
            <a:gd name="connsiteX56" fmla="*/ 6606023 w 6889430"/>
            <a:gd name="connsiteY56" fmla="*/ 853204 h 1199459"/>
            <a:gd name="connsiteX57" fmla="*/ 6386894 w 6889430"/>
            <a:gd name="connsiteY57" fmla="*/ 1040679 h 1199459"/>
            <a:gd name="connsiteX58" fmla="*/ 6088878 w 6889430"/>
            <a:gd name="connsiteY58" fmla="*/ 705902 h 1199459"/>
            <a:gd name="connsiteX59" fmla="*/ 5896043 w 6889430"/>
            <a:gd name="connsiteY59" fmla="*/ 447645 h 1199459"/>
            <a:gd name="connsiteX60" fmla="*/ 5703210 w 6889430"/>
            <a:gd name="connsiteY60" fmla="*/ 700163 h 1199459"/>
            <a:gd name="connsiteX61" fmla="*/ 5469472 w 6889430"/>
            <a:gd name="connsiteY61" fmla="*/ 973724 h 1199459"/>
            <a:gd name="connsiteX62" fmla="*/ 5235734 w 6889430"/>
            <a:gd name="connsiteY62" fmla="*/ 560513 h 1199459"/>
            <a:gd name="connsiteX63" fmla="*/ 5042900 w 6889430"/>
            <a:gd name="connsiteY63" fmla="*/ 166432 h 1199459"/>
            <a:gd name="connsiteX64" fmla="*/ 4820849 w 6889430"/>
            <a:gd name="connsiteY64" fmla="*/ 585382 h 1199459"/>
            <a:gd name="connsiteX65" fmla="*/ 4546206 w 6889430"/>
            <a:gd name="connsiteY65" fmla="*/ 1038766 h 1199459"/>
            <a:gd name="connsiteX66" fmla="*/ 4300781 w 6889430"/>
            <a:gd name="connsiteY66" fmla="*/ 791987 h 1199459"/>
            <a:gd name="connsiteX67" fmla="*/ 4154695 w 6889430"/>
            <a:gd name="connsiteY67" fmla="*/ 608338 h 1199459"/>
            <a:gd name="connsiteX68" fmla="*/ 3999843 w 6889430"/>
            <a:gd name="connsiteY68" fmla="*/ 744162 h 1199459"/>
            <a:gd name="connsiteX69" fmla="*/ 3818696 w 6889430"/>
            <a:gd name="connsiteY69" fmla="*/ 891464 h 1199459"/>
            <a:gd name="connsiteX70" fmla="*/ 3625862 w 6889430"/>
            <a:gd name="connsiteY70" fmla="*/ 596860 h 1199459"/>
            <a:gd name="connsiteX71" fmla="*/ 3456402 w 6889430"/>
            <a:gd name="connsiteY71" fmla="*/ 307995 h 1199459"/>
            <a:gd name="connsiteX72" fmla="*/ 3240194 w 6889430"/>
            <a:gd name="connsiteY72" fmla="*/ 734597 h 1199459"/>
            <a:gd name="connsiteX73" fmla="*/ 2974317 w 6889430"/>
            <a:gd name="connsiteY73" fmla="*/ 1199459 h 1199459"/>
            <a:gd name="connsiteX74" fmla="*/ 2974317 w 6889430"/>
            <a:gd name="connsiteY74" fmla="*/ 1199459 h 1199459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  <a:cxn ang="0">
              <a:pos x="connsiteX55" y="connsiteY55"/>
            </a:cxn>
            <a:cxn ang="0">
              <a:pos x="connsiteX56" y="connsiteY56"/>
            </a:cxn>
            <a:cxn ang="0">
              <a:pos x="connsiteX57" y="connsiteY57"/>
            </a:cxn>
            <a:cxn ang="0">
              <a:pos x="connsiteX58" y="connsiteY58"/>
            </a:cxn>
            <a:cxn ang="0">
              <a:pos x="connsiteX59" y="connsiteY59"/>
            </a:cxn>
            <a:cxn ang="0">
              <a:pos x="connsiteX60" y="connsiteY60"/>
            </a:cxn>
            <a:cxn ang="0">
              <a:pos x="connsiteX61" y="connsiteY61"/>
            </a:cxn>
            <a:cxn ang="0">
              <a:pos x="connsiteX62" y="connsiteY62"/>
            </a:cxn>
            <a:cxn ang="0">
              <a:pos x="connsiteX63" y="connsiteY63"/>
            </a:cxn>
            <a:cxn ang="0">
              <a:pos x="connsiteX64" y="connsiteY64"/>
            </a:cxn>
            <a:cxn ang="0">
              <a:pos x="connsiteX65" y="connsiteY65"/>
            </a:cxn>
            <a:cxn ang="0">
              <a:pos x="connsiteX66" y="connsiteY66"/>
            </a:cxn>
            <a:cxn ang="0">
              <a:pos x="connsiteX67" y="connsiteY67"/>
            </a:cxn>
            <a:cxn ang="0">
              <a:pos x="connsiteX68" y="connsiteY68"/>
            </a:cxn>
            <a:cxn ang="0">
              <a:pos x="connsiteX69" y="connsiteY69"/>
            </a:cxn>
            <a:cxn ang="0">
              <a:pos x="connsiteX70" y="connsiteY70"/>
            </a:cxn>
            <a:cxn ang="0">
              <a:pos x="connsiteX71" y="connsiteY71"/>
            </a:cxn>
            <a:cxn ang="0">
              <a:pos x="connsiteX72" y="connsiteY72"/>
            </a:cxn>
            <a:cxn ang="0">
              <a:pos x="connsiteX73" y="connsiteY73"/>
            </a:cxn>
            <a:cxn ang="0">
              <a:pos x="connsiteX74" y="connsiteY74"/>
            </a:cxn>
          </a:cxnLst>
          <a:rect l="l" t="t" r="r" b="b"/>
          <a:pathLst>
            <a:path w="6889430" h="1199459">
              <a:moveTo>
                <a:pt x="2974317" y="1199459"/>
              </a:moveTo>
              <a:cubicBezTo>
                <a:pt x="2743501" y="1199459"/>
                <a:pt x="2711362" y="862769"/>
                <a:pt x="2679223" y="537557"/>
              </a:cubicBezTo>
              <a:cubicBezTo>
                <a:pt x="2655849" y="298430"/>
                <a:pt x="2629554" y="28695"/>
                <a:pt x="2512685" y="28695"/>
              </a:cubicBezTo>
              <a:cubicBezTo>
                <a:pt x="2387050" y="28695"/>
                <a:pt x="2346146" y="248692"/>
                <a:pt x="2311085" y="441906"/>
              </a:cubicBezTo>
              <a:cubicBezTo>
                <a:pt x="2270181" y="665729"/>
                <a:pt x="2232199" y="876160"/>
                <a:pt x="2071504" y="876160"/>
              </a:cubicBezTo>
              <a:cubicBezTo>
                <a:pt x="1945870" y="876160"/>
                <a:pt x="1902044" y="736510"/>
                <a:pt x="1855296" y="589208"/>
              </a:cubicBezTo>
              <a:cubicBezTo>
                <a:pt x="1814392" y="464862"/>
                <a:pt x="1770566" y="325212"/>
                <a:pt x="1679993" y="325212"/>
              </a:cubicBezTo>
              <a:cubicBezTo>
                <a:pt x="1577732" y="325212"/>
                <a:pt x="1528063" y="514601"/>
                <a:pt x="1484237" y="681033"/>
              </a:cubicBezTo>
              <a:cubicBezTo>
                <a:pt x="1428724" y="895290"/>
                <a:pt x="1373211" y="1099983"/>
                <a:pt x="1206673" y="1099983"/>
              </a:cubicBezTo>
              <a:cubicBezTo>
                <a:pt x="1051821" y="1099983"/>
                <a:pt x="1002152" y="943115"/>
                <a:pt x="955404" y="791987"/>
              </a:cubicBezTo>
              <a:cubicBezTo>
                <a:pt x="914500" y="663816"/>
                <a:pt x="873596" y="529905"/>
                <a:pt x="777179" y="529905"/>
              </a:cubicBezTo>
              <a:lnTo>
                <a:pt x="777179" y="529905"/>
              </a:lnTo>
              <a:cubicBezTo>
                <a:pt x="686606" y="529905"/>
                <a:pt x="636936" y="640859"/>
                <a:pt x="587267" y="747988"/>
              </a:cubicBezTo>
              <a:cubicBezTo>
                <a:pt x="531754" y="866595"/>
                <a:pt x="476241" y="989028"/>
                <a:pt x="350607" y="989028"/>
              </a:cubicBezTo>
              <a:lnTo>
                <a:pt x="350607" y="989028"/>
              </a:lnTo>
              <a:cubicBezTo>
                <a:pt x="236660" y="989028"/>
                <a:pt x="207443" y="901029"/>
                <a:pt x="178225" y="816857"/>
              </a:cubicBezTo>
              <a:cubicBezTo>
                <a:pt x="149008" y="734597"/>
                <a:pt x="119791" y="650424"/>
                <a:pt x="20452" y="644685"/>
              </a:cubicBezTo>
              <a:cubicBezTo>
                <a:pt x="8765" y="644685"/>
                <a:pt x="0" y="637033"/>
                <a:pt x="0" y="629381"/>
              </a:cubicBezTo>
              <a:cubicBezTo>
                <a:pt x="0" y="621729"/>
                <a:pt x="11687" y="615990"/>
                <a:pt x="23374" y="615990"/>
              </a:cubicBezTo>
              <a:cubicBezTo>
                <a:pt x="154851" y="621729"/>
                <a:pt x="189912" y="721206"/>
                <a:pt x="219129" y="809204"/>
              </a:cubicBezTo>
              <a:cubicBezTo>
                <a:pt x="245425" y="885725"/>
                <a:pt x="271721" y="958419"/>
                <a:pt x="350607" y="958419"/>
              </a:cubicBezTo>
              <a:lnTo>
                <a:pt x="350607" y="958419"/>
              </a:lnTo>
              <a:cubicBezTo>
                <a:pt x="444102" y="958419"/>
                <a:pt x="496693" y="845552"/>
                <a:pt x="546363" y="736510"/>
              </a:cubicBezTo>
              <a:cubicBezTo>
                <a:pt x="601876" y="614077"/>
                <a:pt x="657388" y="499296"/>
                <a:pt x="780101" y="497383"/>
              </a:cubicBezTo>
              <a:lnTo>
                <a:pt x="780101" y="497383"/>
              </a:lnTo>
              <a:cubicBezTo>
                <a:pt x="914500" y="497383"/>
                <a:pt x="955404" y="635120"/>
                <a:pt x="1002152" y="780509"/>
              </a:cubicBezTo>
              <a:cubicBezTo>
                <a:pt x="1045978" y="920159"/>
                <a:pt x="1089804" y="1065548"/>
                <a:pt x="1209595" y="1065548"/>
              </a:cubicBezTo>
              <a:cubicBezTo>
                <a:pt x="1341072" y="1065548"/>
                <a:pt x="1396585" y="855117"/>
                <a:pt x="1443333" y="671468"/>
              </a:cubicBezTo>
              <a:cubicBezTo>
                <a:pt x="1495924" y="468688"/>
                <a:pt x="1542672" y="292691"/>
                <a:pt x="1682914" y="292691"/>
              </a:cubicBezTo>
              <a:cubicBezTo>
                <a:pt x="1808549" y="292691"/>
                <a:pt x="1852374" y="432341"/>
                <a:pt x="1899122" y="579643"/>
              </a:cubicBezTo>
              <a:cubicBezTo>
                <a:pt x="1940026" y="703989"/>
                <a:pt x="1983852" y="843639"/>
                <a:pt x="2074426" y="843639"/>
              </a:cubicBezTo>
              <a:cubicBezTo>
                <a:pt x="2197138" y="843639"/>
                <a:pt x="2235121" y="625555"/>
                <a:pt x="2270181" y="434254"/>
              </a:cubicBezTo>
              <a:cubicBezTo>
                <a:pt x="2311085" y="212344"/>
                <a:pt x="2349068" y="0"/>
                <a:pt x="2512685" y="0"/>
              </a:cubicBezTo>
              <a:cubicBezTo>
                <a:pt x="2670458" y="0"/>
                <a:pt x="2693832" y="248692"/>
                <a:pt x="2720127" y="535644"/>
              </a:cubicBezTo>
              <a:cubicBezTo>
                <a:pt x="2749344" y="834074"/>
                <a:pt x="2781484" y="1170764"/>
                <a:pt x="2971396" y="1170764"/>
              </a:cubicBezTo>
              <a:cubicBezTo>
                <a:pt x="3126247" y="1170764"/>
                <a:pt x="3164230" y="946941"/>
                <a:pt x="3199290" y="732684"/>
              </a:cubicBezTo>
              <a:cubicBezTo>
                <a:pt x="3237273" y="499296"/>
                <a:pt x="3272333" y="281213"/>
                <a:pt x="3459324" y="281213"/>
              </a:cubicBezTo>
              <a:cubicBezTo>
                <a:pt x="3622941" y="281213"/>
                <a:pt x="3646314" y="439993"/>
                <a:pt x="3669688" y="594947"/>
              </a:cubicBezTo>
              <a:cubicBezTo>
                <a:pt x="3690140" y="726945"/>
                <a:pt x="3710593" y="864682"/>
                <a:pt x="3818696" y="864682"/>
              </a:cubicBezTo>
              <a:cubicBezTo>
                <a:pt x="3885896" y="864682"/>
                <a:pt x="3920957" y="801552"/>
                <a:pt x="3958939" y="736510"/>
              </a:cubicBezTo>
              <a:cubicBezTo>
                <a:pt x="4002765" y="659989"/>
                <a:pt x="4046591" y="581556"/>
                <a:pt x="4154695" y="581556"/>
              </a:cubicBezTo>
              <a:cubicBezTo>
                <a:pt x="4245268" y="581556"/>
                <a:pt x="4289094" y="675294"/>
                <a:pt x="4341685" y="784335"/>
              </a:cubicBezTo>
              <a:cubicBezTo>
                <a:pt x="4391354" y="891464"/>
                <a:pt x="4446868" y="1011984"/>
                <a:pt x="4546206" y="1011984"/>
              </a:cubicBezTo>
              <a:cubicBezTo>
                <a:pt x="4677684" y="1011984"/>
                <a:pt x="4730275" y="784335"/>
                <a:pt x="4777023" y="583469"/>
              </a:cubicBezTo>
              <a:cubicBezTo>
                <a:pt x="4829613" y="355820"/>
                <a:pt x="4879283" y="139650"/>
                <a:pt x="5042900" y="139650"/>
              </a:cubicBezTo>
              <a:cubicBezTo>
                <a:pt x="5194829" y="139650"/>
                <a:pt x="5235734" y="342429"/>
                <a:pt x="5279560" y="558600"/>
              </a:cubicBezTo>
              <a:cubicBezTo>
                <a:pt x="5317542" y="740336"/>
                <a:pt x="5358446" y="946941"/>
                <a:pt x="5469472" y="946941"/>
              </a:cubicBezTo>
              <a:cubicBezTo>
                <a:pt x="5560045" y="946941"/>
                <a:pt x="5612636" y="813031"/>
                <a:pt x="5662305" y="694424"/>
              </a:cubicBezTo>
              <a:cubicBezTo>
                <a:pt x="5720740" y="552861"/>
                <a:pt x="5773331" y="420863"/>
                <a:pt x="5896043" y="420863"/>
              </a:cubicBezTo>
              <a:cubicBezTo>
                <a:pt x="6012913" y="420863"/>
                <a:pt x="6068426" y="549035"/>
                <a:pt x="6129782" y="700163"/>
              </a:cubicBezTo>
              <a:cubicBezTo>
                <a:pt x="6191138" y="845552"/>
                <a:pt x="6261259" y="1010071"/>
                <a:pt x="6386894" y="1013897"/>
              </a:cubicBezTo>
              <a:cubicBezTo>
                <a:pt x="6386894" y="1013897"/>
                <a:pt x="6389815" y="1013897"/>
                <a:pt x="6389815" y="1013897"/>
              </a:cubicBezTo>
              <a:cubicBezTo>
                <a:pt x="6474545" y="1013897"/>
                <a:pt x="6518371" y="931637"/>
                <a:pt x="6565119" y="845552"/>
              </a:cubicBezTo>
              <a:cubicBezTo>
                <a:pt x="6623554" y="734597"/>
                <a:pt x="6693675" y="608338"/>
                <a:pt x="6868978" y="608338"/>
              </a:cubicBezTo>
              <a:cubicBezTo>
                <a:pt x="6880666" y="608338"/>
                <a:pt x="6889430" y="614077"/>
                <a:pt x="6889430" y="621729"/>
              </a:cubicBezTo>
              <a:cubicBezTo>
                <a:pt x="6889430" y="629381"/>
                <a:pt x="6880666" y="635120"/>
                <a:pt x="6868978" y="635120"/>
              </a:cubicBezTo>
              <a:cubicBezTo>
                <a:pt x="6722892" y="635120"/>
                <a:pt x="6664458" y="746075"/>
                <a:pt x="6606023" y="853204"/>
              </a:cubicBezTo>
              <a:cubicBezTo>
                <a:pt x="6553432" y="950767"/>
                <a:pt x="6503763" y="1044505"/>
                <a:pt x="6386894" y="1040679"/>
              </a:cubicBezTo>
              <a:cubicBezTo>
                <a:pt x="6226199" y="1036853"/>
                <a:pt x="6156077" y="868508"/>
                <a:pt x="6088878" y="705902"/>
              </a:cubicBezTo>
              <a:cubicBezTo>
                <a:pt x="6036286" y="579643"/>
                <a:pt x="5980774" y="447645"/>
                <a:pt x="5896043" y="447645"/>
              </a:cubicBezTo>
              <a:cubicBezTo>
                <a:pt x="5805470" y="447645"/>
                <a:pt x="5752879" y="581556"/>
                <a:pt x="5703210" y="700163"/>
              </a:cubicBezTo>
              <a:cubicBezTo>
                <a:pt x="5644775" y="839813"/>
                <a:pt x="5592184" y="973724"/>
                <a:pt x="5469472" y="973724"/>
              </a:cubicBezTo>
              <a:cubicBezTo>
                <a:pt x="5320464" y="973724"/>
                <a:pt x="5279560" y="772857"/>
                <a:pt x="5235734" y="560513"/>
              </a:cubicBezTo>
              <a:cubicBezTo>
                <a:pt x="5197751" y="376864"/>
                <a:pt x="5156847" y="166432"/>
                <a:pt x="5042900" y="166432"/>
              </a:cubicBezTo>
              <a:cubicBezTo>
                <a:pt x="4917265" y="166432"/>
                <a:pt x="4864674" y="388342"/>
                <a:pt x="4820849" y="585382"/>
              </a:cubicBezTo>
              <a:cubicBezTo>
                <a:pt x="4768257" y="818770"/>
                <a:pt x="4715666" y="1038766"/>
                <a:pt x="4546206" y="1038766"/>
              </a:cubicBezTo>
              <a:cubicBezTo>
                <a:pt x="4414728" y="1038766"/>
                <a:pt x="4356294" y="912507"/>
                <a:pt x="4300781" y="791987"/>
              </a:cubicBezTo>
              <a:cubicBezTo>
                <a:pt x="4259877" y="705902"/>
                <a:pt x="4216051" y="608338"/>
                <a:pt x="4154695" y="608338"/>
              </a:cubicBezTo>
              <a:cubicBezTo>
                <a:pt x="4078730" y="608338"/>
                <a:pt x="4037826" y="677207"/>
                <a:pt x="3999843" y="744162"/>
              </a:cubicBezTo>
              <a:cubicBezTo>
                <a:pt x="3958939" y="816857"/>
                <a:pt x="3915113" y="891464"/>
                <a:pt x="3818696" y="891464"/>
              </a:cubicBezTo>
              <a:cubicBezTo>
                <a:pt x="3672610" y="891464"/>
                <a:pt x="3649236" y="747988"/>
                <a:pt x="3625862" y="596860"/>
              </a:cubicBezTo>
              <a:cubicBezTo>
                <a:pt x="3602488" y="455297"/>
                <a:pt x="3582036" y="307995"/>
                <a:pt x="3456402" y="307995"/>
              </a:cubicBezTo>
              <a:cubicBezTo>
                <a:pt x="3310316" y="307995"/>
                <a:pt x="3275255" y="524166"/>
                <a:pt x="3240194" y="734597"/>
              </a:cubicBezTo>
              <a:cubicBezTo>
                <a:pt x="3205134" y="973724"/>
                <a:pt x="3170073" y="1199459"/>
                <a:pt x="2974317" y="1199459"/>
              </a:cubicBezTo>
              <a:lnTo>
                <a:pt x="2974317" y="1199459"/>
              </a:lnTo>
              <a:close/>
            </a:path>
          </a:pathLst>
        </a:custGeom>
        <a:solidFill>
          <a:schemeClr val="accent1">
            <a:lumMod val="40000"/>
            <a:lumOff val="60000"/>
          </a:schemeClr>
        </a:solidFill>
        <a:ln w="29208" cap="flat">
          <a:noFill/>
          <a:prstDash val="solid"/>
          <a:miter/>
        </a:ln>
      </xdr:spPr>
      <xdr:txBody>
        <a:bodyPr rtlCol="0" anchor="ctr"/>
        <a:lstStyle/>
        <a:p>
          <a:endParaRPr lang="en-US"/>
        </a:p>
      </xdr:txBody>
    </xdr:sp>
    <xdr:clientData/>
  </xdr:twoCellAnchor>
  <xdr:twoCellAnchor>
    <xdr:from>
      <xdr:col>5</xdr:col>
      <xdr:colOff>3928</xdr:colOff>
      <xdr:row>1</xdr:row>
      <xdr:rowOff>142421</xdr:rowOff>
    </xdr:from>
    <xdr:to>
      <xdr:col>9</xdr:col>
      <xdr:colOff>961445</xdr:colOff>
      <xdr:row>2</xdr:row>
      <xdr:rowOff>794087</xdr:rowOff>
    </xdr:to>
    <xdr:sp macro="" textlink="">
      <xdr:nvSpPr>
        <xdr:cNvPr id="4" name="Freeform: Shape 3">
          <a:extLst>
            <a:ext uri="{FF2B5EF4-FFF2-40B4-BE49-F238E27FC236}">
              <a16:creationId xmlns:a16="http://schemas.microsoft.com/office/drawing/2014/main" id="{C0B632DC-358C-4F04-827D-F44EACB7C9D8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SpPr/>
      </xdr:nvSpPr>
      <xdr:spPr>
        <a:xfrm>
          <a:off x="7704891" y="342446"/>
          <a:ext cx="6901117" cy="946941"/>
        </a:xfrm>
        <a:custGeom>
          <a:avLst/>
          <a:gdLst>
            <a:gd name="connsiteX0" fmla="*/ 2968474 w 6901117"/>
            <a:gd name="connsiteY0" fmla="*/ 946941 h 946941"/>
            <a:gd name="connsiteX1" fmla="*/ 2690910 w 6901117"/>
            <a:gd name="connsiteY1" fmla="*/ 441906 h 946941"/>
            <a:gd name="connsiteX2" fmla="*/ 2512685 w 6901117"/>
            <a:gd name="connsiteY2" fmla="*/ 28695 h 946941"/>
            <a:gd name="connsiteX3" fmla="*/ 2316929 w 6901117"/>
            <a:gd name="connsiteY3" fmla="*/ 350081 h 946941"/>
            <a:gd name="connsiteX4" fmla="*/ 2080269 w 6901117"/>
            <a:gd name="connsiteY4" fmla="*/ 692511 h 946941"/>
            <a:gd name="connsiteX5" fmla="*/ 1855296 w 6901117"/>
            <a:gd name="connsiteY5" fmla="*/ 472514 h 946941"/>
            <a:gd name="connsiteX6" fmla="*/ 1674149 w 6901117"/>
            <a:gd name="connsiteY6" fmla="*/ 271648 h 946941"/>
            <a:gd name="connsiteX7" fmla="*/ 1446255 w 6901117"/>
            <a:gd name="connsiteY7" fmla="*/ 570078 h 946941"/>
            <a:gd name="connsiteX8" fmla="*/ 1206673 w 6901117"/>
            <a:gd name="connsiteY8" fmla="*/ 866595 h 946941"/>
            <a:gd name="connsiteX9" fmla="*/ 972935 w 6901117"/>
            <a:gd name="connsiteY9" fmla="*/ 627468 h 946941"/>
            <a:gd name="connsiteX10" fmla="*/ 809318 w 6901117"/>
            <a:gd name="connsiteY10" fmla="*/ 428515 h 946941"/>
            <a:gd name="connsiteX11" fmla="*/ 809318 w 6901117"/>
            <a:gd name="connsiteY11" fmla="*/ 428515 h 946941"/>
            <a:gd name="connsiteX12" fmla="*/ 639858 w 6901117"/>
            <a:gd name="connsiteY12" fmla="*/ 583469 h 946941"/>
            <a:gd name="connsiteX13" fmla="*/ 414885 w 6901117"/>
            <a:gd name="connsiteY13" fmla="*/ 767118 h 946941"/>
            <a:gd name="connsiteX14" fmla="*/ 186990 w 6901117"/>
            <a:gd name="connsiteY14" fmla="*/ 619816 h 946941"/>
            <a:gd name="connsiteX15" fmla="*/ 20452 w 6901117"/>
            <a:gd name="connsiteY15" fmla="*/ 499296 h 946941"/>
            <a:gd name="connsiteX16" fmla="*/ 20452 w 6901117"/>
            <a:gd name="connsiteY16" fmla="*/ 499296 h 946941"/>
            <a:gd name="connsiteX17" fmla="*/ 0 w 6901117"/>
            <a:gd name="connsiteY17" fmla="*/ 485905 h 946941"/>
            <a:gd name="connsiteX18" fmla="*/ 20452 w 6901117"/>
            <a:gd name="connsiteY18" fmla="*/ 472514 h 946941"/>
            <a:gd name="connsiteX19" fmla="*/ 20452 w 6901117"/>
            <a:gd name="connsiteY19" fmla="*/ 472514 h 946941"/>
            <a:gd name="connsiteX20" fmla="*/ 227895 w 6901117"/>
            <a:gd name="connsiteY20" fmla="*/ 610251 h 946941"/>
            <a:gd name="connsiteX21" fmla="*/ 414885 w 6901117"/>
            <a:gd name="connsiteY21" fmla="*/ 740336 h 946941"/>
            <a:gd name="connsiteX22" fmla="*/ 598954 w 6901117"/>
            <a:gd name="connsiteY22" fmla="*/ 575817 h 946941"/>
            <a:gd name="connsiteX23" fmla="*/ 809318 w 6901117"/>
            <a:gd name="connsiteY23" fmla="*/ 399820 h 946941"/>
            <a:gd name="connsiteX24" fmla="*/ 809318 w 6901117"/>
            <a:gd name="connsiteY24" fmla="*/ 399820 h 946941"/>
            <a:gd name="connsiteX25" fmla="*/ 1016761 w 6901117"/>
            <a:gd name="connsiteY25" fmla="*/ 621729 h 946941"/>
            <a:gd name="connsiteX26" fmla="*/ 1209595 w 6901117"/>
            <a:gd name="connsiteY26" fmla="*/ 839813 h 946941"/>
            <a:gd name="connsiteX27" fmla="*/ 1408272 w 6901117"/>
            <a:gd name="connsiteY27" fmla="*/ 564339 h 946941"/>
            <a:gd name="connsiteX28" fmla="*/ 1677071 w 6901117"/>
            <a:gd name="connsiteY28" fmla="*/ 242953 h 946941"/>
            <a:gd name="connsiteX29" fmla="*/ 1902044 w 6901117"/>
            <a:gd name="connsiteY29" fmla="*/ 462949 h 946941"/>
            <a:gd name="connsiteX30" fmla="*/ 2083191 w 6901117"/>
            <a:gd name="connsiteY30" fmla="*/ 663815 h 946941"/>
            <a:gd name="connsiteX31" fmla="*/ 2276025 w 6901117"/>
            <a:gd name="connsiteY31" fmla="*/ 346255 h 946941"/>
            <a:gd name="connsiteX32" fmla="*/ 2515606 w 6901117"/>
            <a:gd name="connsiteY32" fmla="*/ 0 h 946941"/>
            <a:gd name="connsiteX33" fmla="*/ 2737657 w 6901117"/>
            <a:gd name="connsiteY33" fmla="*/ 438080 h 946941"/>
            <a:gd name="connsiteX34" fmla="*/ 2971396 w 6901117"/>
            <a:gd name="connsiteY34" fmla="*/ 916333 h 946941"/>
            <a:gd name="connsiteX35" fmla="*/ 3225586 w 6901117"/>
            <a:gd name="connsiteY35" fmla="*/ 549035 h 946941"/>
            <a:gd name="connsiteX36" fmla="*/ 3450559 w 6901117"/>
            <a:gd name="connsiteY36" fmla="*/ 218083 h 946941"/>
            <a:gd name="connsiteX37" fmla="*/ 3453480 w 6901117"/>
            <a:gd name="connsiteY37" fmla="*/ 218083 h 946941"/>
            <a:gd name="connsiteX38" fmla="*/ 3628784 w 6901117"/>
            <a:gd name="connsiteY38" fmla="*/ 441906 h 946941"/>
            <a:gd name="connsiteX39" fmla="*/ 3807009 w 6901117"/>
            <a:gd name="connsiteY39" fmla="*/ 675294 h 946941"/>
            <a:gd name="connsiteX40" fmla="*/ 3947252 w 6901117"/>
            <a:gd name="connsiteY40" fmla="*/ 571991 h 946941"/>
            <a:gd name="connsiteX41" fmla="*/ 4140086 w 6901117"/>
            <a:gd name="connsiteY41" fmla="*/ 445732 h 946941"/>
            <a:gd name="connsiteX42" fmla="*/ 4324155 w 6901117"/>
            <a:gd name="connsiteY42" fmla="*/ 610251 h 946941"/>
            <a:gd name="connsiteX43" fmla="*/ 4525754 w 6901117"/>
            <a:gd name="connsiteY43" fmla="*/ 791987 h 946941"/>
            <a:gd name="connsiteX44" fmla="*/ 4753649 w 6901117"/>
            <a:gd name="connsiteY44" fmla="*/ 459123 h 946941"/>
            <a:gd name="connsiteX45" fmla="*/ 5016604 w 6901117"/>
            <a:gd name="connsiteY45" fmla="*/ 109042 h 946941"/>
            <a:gd name="connsiteX46" fmla="*/ 5250342 w 6901117"/>
            <a:gd name="connsiteY46" fmla="*/ 438080 h 946941"/>
            <a:gd name="connsiteX47" fmla="*/ 5437333 w 6901117"/>
            <a:gd name="connsiteY47" fmla="*/ 740336 h 946941"/>
            <a:gd name="connsiteX48" fmla="*/ 5627245 w 6901117"/>
            <a:gd name="connsiteY48" fmla="*/ 543296 h 946941"/>
            <a:gd name="connsiteX49" fmla="*/ 5858061 w 6901117"/>
            <a:gd name="connsiteY49" fmla="*/ 327125 h 946941"/>
            <a:gd name="connsiteX50" fmla="*/ 6080113 w 6901117"/>
            <a:gd name="connsiteY50" fmla="*/ 568165 h 946941"/>
            <a:gd name="connsiteX51" fmla="*/ 6258338 w 6901117"/>
            <a:gd name="connsiteY51" fmla="*/ 790074 h 946941"/>
            <a:gd name="connsiteX52" fmla="*/ 6258338 w 6901117"/>
            <a:gd name="connsiteY52" fmla="*/ 790074 h 946941"/>
            <a:gd name="connsiteX53" fmla="*/ 6389815 w 6901117"/>
            <a:gd name="connsiteY53" fmla="*/ 692511 h 946941"/>
            <a:gd name="connsiteX54" fmla="*/ 6880665 w 6901117"/>
            <a:gd name="connsiteY54" fmla="*/ 457210 h 946941"/>
            <a:gd name="connsiteX55" fmla="*/ 6901117 w 6901117"/>
            <a:gd name="connsiteY55" fmla="*/ 470601 h 946941"/>
            <a:gd name="connsiteX56" fmla="*/ 6880665 w 6901117"/>
            <a:gd name="connsiteY56" fmla="*/ 483992 h 946941"/>
            <a:gd name="connsiteX57" fmla="*/ 6424876 w 6901117"/>
            <a:gd name="connsiteY57" fmla="*/ 703989 h 946941"/>
            <a:gd name="connsiteX58" fmla="*/ 6255416 w 6901117"/>
            <a:gd name="connsiteY58" fmla="*/ 816857 h 946941"/>
            <a:gd name="connsiteX59" fmla="*/ 6252494 w 6901117"/>
            <a:gd name="connsiteY59" fmla="*/ 816857 h 946941"/>
            <a:gd name="connsiteX60" fmla="*/ 6033365 w 6901117"/>
            <a:gd name="connsiteY60" fmla="*/ 573904 h 946941"/>
            <a:gd name="connsiteX61" fmla="*/ 5855139 w 6901117"/>
            <a:gd name="connsiteY61" fmla="*/ 353907 h 946941"/>
            <a:gd name="connsiteX62" fmla="*/ 5665227 w 6901117"/>
            <a:gd name="connsiteY62" fmla="*/ 550948 h 946941"/>
            <a:gd name="connsiteX63" fmla="*/ 5434411 w 6901117"/>
            <a:gd name="connsiteY63" fmla="*/ 767118 h 946941"/>
            <a:gd name="connsiteX64" fmla="*/ 5206516 w 6901117"/>
            <a:gd name="connsiteY64" fmla="*/ 441906 h 946941"/>
            <a:gd name="connsiteX65" fmla="*/ 5016604 w 6901117"/>
            <a:gd name="connsiteY65" fmla="*/ 135824 h 946941"/>
            <a:gd name="connsiteX66" fmla="*/ 4797475 w 6901117"/>
            <a:gd name="connsiteY66" fmla="*/ 461036 h 946941"/>
            <a:gd name="connsiteX67" fmla="*/ 4528676 w 6901117"/>
            <a:gd name="connsiteY67" fmla="*/ 816857 h 946941"/>
            <a:gd name="connsiteX68" fmla="*/ 4286172 w 6901117"/>
            <a:gd name="connsiteY68" fmla="*/ 617903 h 946941"/>
            <a:gd name="connsiteX69" fmla="*/ 4143008 w 6901117"/>
            <a:gd name="connsiteY69" fmla="*/ 472514 h 946941"/>
            <a:gd name="connsiteX70" fmla="*/ 3991078 w 6901117"/>
            <a:gd name="connsiteY70" fmla="*/ 581556 h 946941"/>
            <a:gd name="connsiteX71" fmla="*/ 3812853 w 6901117"/>
            <a:gd name="connsiteY71" fmla="*/ 702076 h 946941"/>
            <a:gd name="connsiteX72" fmla="*/ 3593723 w 6901117"/>
            <a:gd name="connsiteY72" fmla="*/ 443819 h 946941"/>
            <a:gd name="connsiteX73" fmla="*/ 3459324 w 6901117"/>
            <a:gd name="connsiteY73" fmla="*/ 244866 h 946941"/>
            <a:gd name="connsiteX74" fmla="*/ 3459324 w 6901117"/>
            <a:gd name="connsiteY74" fmla="*/ 244866 h 946941"/>
            <a:gd name="connsiteX75" fmla="*/ 3275255 w 6901117"/>
            <a:gd name="connsiteY75" fmla="*/ 550948 h 946941"/>
            <a:gd name="connsiteX76" fmla="*/ 2968474 w 6901117"/>
            <a:gd name="connsiteY76" fmla="*/ 946941 h 946941"/>
            <a:gd name="connsiteX77" fmla="*/ 2968474 w 6901117"/>
            <a:gd name="connsiteY77" fmla="*/ 946941 h 946941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  <a:cxn ang="0">
              <a:pos x="connsiteX55" y="connsiteY55"/>
            </a:cxn>
            <a:cxn ang="0">
              <a:pos x="connsiteX56" y="connsiteY56"/>
            </a:cxn>
            <a:cxn ang="0">
              <a:pos x="connsiteX57" y="connsiteY57"/>
            </a:cxn>
            <a:cxn ang="0">
              <a:pos x="connsiteX58" y="connsiteY58"/>
            </a:cxn>
            <a:cxn ang="0">
              <a:pos x="connsiteX59" y="connsiteY59"/>
            </a:cxn>
            <a:cxn ang="0">
              <a:pos x="connsiteX60" y="connsiteY60"/>
            </a:cxn>
            <a:cxn ang="0">
              <a:pos x="connsiteX61" y="connsiteY61"/>
            </a:cxn>
            <a:cxn ang="0">
              <a:pos x="connsiteX62" y="connsiteY62"/>
            </a:cxn>
            <a:cxn ang="0">
              <a:pos x="connsiteX63" y="connsiteY63"/>
            </a:cxn>
            <a:cxn ang="0">
              <a:pos x="connsiteX64" y="connsiteY64"/>
            </a:cxn>
            <a:cxn ang="0">
              <a:pos x="connsiteX65" y="connsiteY65"/>
            </a:cxn>
            <a:cxn ang="0">
              <a:pos x="connsiteX66" y="connsiteY66"/>
            </a:cxn>
            <a:cxn ang="0">
              <a:pos x="connsiteX67" y="connsiteY67"/>
            </a:cxn>
            <a:cxn ang="0">
              <a:pos x="connsiteX68" y="connsiteY68"/>
            </a:cxn>
            <a:cxn ang="0">
              <a:pos x="connsiteX69" y="connsiteY69"/>
            </a:cxn>
            <a:cxn ang="0">
              <a:pos x="connsiteX70" y="connsiteY70"/>
            </a:cxn>
            <a:cxn ang="0">
              <a:pos x="connsiteX71" y="connsiteY71"/>
            </a:cxn>
            <a:cxn ang="0">
              <a:pos x="connsiteX72" y="connsiteY72"/>
            </a:cxn>
            <a:cxn ang="0">
              <a:pos x="connsiteX73" y="connsiteY73"/>
            </a:cxn>
            <a:cxn ang="0">
              <a:pos x="connsiteX74" y="connsiteY74"/>
            </a:cxn>
            <a:cxn ang="0">
              <a:pos x="connsiteX75" y="connsiteY75"/>
            </a:cxn>
            <a:cxn ang="0">
              <a:pos x="connsiteX76" y="connsiteY76"/>
            </a:cxn>
            <a:cxn ang="0">
              <a:pos x="connsiteX77" y="connsiteY77"/>
            </a:cxn>
          </a:cxnLst>
          <a:rect l="l" t="t" r="r" b="b"/>
          <a:pathLst>
            <a:path w="6901117" h="946941">
              <a:moveTo>
                <a:pt x="2968474" y="946941"/>
              </a:moveTo>
              <a:cubicBezTo>
                <a:pt x="2763953" y="946941"/>
                <a:pt x="2728892" y="690598"/>
                <a:pt x="2690910" y="441906"/>
              </a:cubicBezTo>
              <a:cubicBezTo>
                <a:pt x="2661693" y="239127"/>
                <a:pt x="2632475" y="28695"/>
                <a:pt x="2512685" y="28695"/>
              </a:cubicBezTo>
              <a:cubicBezTo>
                <a:pt x="2389972" y="28695"/>
                <a:pt x="2351990" y="191301"/>
                <a:pt x="2316929" y="350081"/>
              </a:cubicBezTo>
              <a:cubicBezTo>
                <a:pt x="2276025" y="526079"/>
                <a:pt x="2238042" y="692511"/>
                <a:pt x="2080269" y="692511"/>
              </a:cubicBezTo>
              <a:cubicBezTo>
                <a:pt x="1960478" y="692511"/>
                <a:pt x="1907887" y="579643"/>
                <a:pt x="1855296" y="472514"/>
              </a:cubicBezTo>
              <a:cubicBezTo>
                <a:pt x="1808549" y="373038"/>
                <a:pt x="1761801" y="271648"/>
                <a:pt x="1674149" y="271648"/>
              </a:cubicBezTo>
              <a:cubicBezTo>
                <a:pt x="1563124" y="271648"/>
                <a:pt x="1501767" y="430428"/>
                <a:pt x="1446255" y="570078"/>
              </a:cubicBezTo>
              <a:cubicBezTo>
                <a:pt x="1387820" y="723119"/>
                <a:pt x="1332307" y="866595"/>
                <a:pt x="1206673" y="866595"/>
              </a:cubicBezTo>
              <a:cubicBezTo>
                <a:pt x="1054743" y="866595"/>
                <a:pt x="1010917" y="744162"/>
                <a:pt x="972935" y="627468"/>
              </a:cubicBezTo>
              <a:cubicBezTo>
                <a:pt x="937874" y="526079"/>
                <a:pt x="905735" y="428515"/>
                <a:pt x="809318" y="428515"/>
              </a:cubicBezTo>
              <a:lnTo>
                <a:pt x="809318" y="428515"/>
              </a:lnTo>
              <a:cubicBezTo>
                <a:pt x="721666" y="428515"/>
                <a:pt x="683684" y="505035"/>
                <a:pt x="639858" y="583469"/>
              </a:cubicBezTo>
              <a:cubicBezTo>
                <a:pt x="593110" y="673381"/>
                <a:pt x="546363" y="767118"/>
                <a:pt x="414885" y="767118"/>
              </a:cubicBezTo>
              <a:cubicBezTo>
                <a:pt x="280486" y="767118"/>
                <a:pt x="230816" y="688685"/>
                <a:pt x="186990" y="619816"/>
              </a:cubicBezTo>
              <a:cubicBezTo>
                <a:pt x="146086" y="554774"/>
                <a:pt x="111026" y="499296"/>
                <a:pt x="20452" y="499296"/>
              </a:cubicBezTo>
              <a:lnTo>
                <a:pt x="20452" y="499296"/>
              </a:lnTo>
              <a:cubicBezTo>
                <a:pt x="8765" y="499296"/>
                <a:pt x="0" y="493557"/>
                <a:pt x="0" y="485905"/>
              </a:cubicBezTo>
              <a:cubicBezTo>
                <a:pt x="0" y="478253"/>
                <a:pt x="8765" y="472514"/>
                <a:pt x="20452" y="472514"/>
              </a:cubicBezTo>
              <a:lnTo>
                <a:pt x="20452" y="472514"/>
              </a:lnTo>
              <a:cubicBezTo>
                <a:pt x="140243" y="472514"/>
                <a:pt x="184069" y="543296"/>
                <a:pt x="227895" y="610251"/>
              </a:cubicBezTo>
              <a:cubicBezTo>
                <a:pt x="268799" y="677207"/>
                <a:pt x="306781" y="740336"/>
                <a:pt x="414885" y="740336"/>
              </a:cubicBezTo>
              <a:cubicBezTo>
                <a:pt x="514224" y="740336"/>
                <a:pt x="555128" y="659989"/>
                <a:pt x="598954" y="575817"/>
              </a:cubicBezTo>
              <a:cubicBezTo>
                <a:pt x="642780" y="489731"/>
                <a:pt x="689527" y="401733"/>
                <a:pt x="809318" y="399820"/>
              </a:cubicBezTo>
              <a:lnTo>
                <a:pt x="809318" y="399820"/>
              </a:lnTo>
              <a:cubicBezTo>
                <a:pt x="940796" y="399820"/>
                <a:pt x="978778" y="512688"/>
                <a:pt x="1016761" y="621729"/>
              </a:cubicBezTo>
              <a:cubicBezTo>
                <a:pt x="1051821" y="728858"/>
                <a:pt x="1089804" y="839813"/>
                <a:pt x="1209595" y="839813"/>
              </a:cubicBezTo>
              <a:cubicBezTo>
                <a:pt x="1300168" y="839813"/>
                <a:pt x="1358603" y="694424"/>
                <a:pt x="1408272" y="564339"/>
              </a:cubicBezTo>
              <a:cubicBezTo>
                <a:pt x="1472550" y="399820"/>
                <a:pt x="1533906" y="242953"/>
                <a:pt x="1677071" y="242953"/>
              </a:cubicBezTo>
              <a:cubicBezTo>
                <a:pt x="1796862" y="242953"/>
                <a:pt x="1849453" y="355820"/>
                <a:pt x="1902044" y="462949"/>
              </a:cubicBezTo>
              <a:cubicBezTo>
                <a:pt x="1948791" y="562426"/>
                <a:pt x="1995539" y="663815"/>
                <a:pt x="2083191" y="663815"/>
              </a:cubicBezTo>
              <a:cubicBezTo>
                <a:pt x="2202982" y="663815"/>
                <a:pt x="2240964" y="501209"/>
                <a:pt x="2276025" y="346255"/>
              </a:cubicBezTo>
              <a:cubicBezTo>
                <a:pt x="2316929" y="168345"/>
                <a:pt x="2354911" y="0"/>
                <a:pt x="2515606" y="0"/>
              </a:cubicBezTo>
              <a:cubicBezTo>
                <a:pt x="2673380" y="0"/>
                <a:pt x="2702597" y="202779"/>
                <a:pt x="2737657" y="438080"/>
              </a:cubicBezTo>
              <a:cubicBezTo>
                <a:pt x="2769797" y="661903"/>
                <a:pt x="2807779" y="916333"/>
                <a:pt x="2971396" y="916333"/>
              </a:cubicBezTo>
              <a:cubicBezTo>
                <a:pt x="3135012" y="916333"/>
                <a:pt x="3181760" y="721206"/>
                <a:pt x="3225586" y="549035"/>
              </a:cubicBezTo>
              <a:cubicBezTo>
                <a:pt x="3266490" y="380690"/>
                <a:pt x="3307394" y="219996"/>
                <a:pt x="3450559" y="218083"/>
              </a:cubicBezTo>
              <a:cubicBezTo>
                <a:pt x="3450559" y="218083"/>
                <a:pt x="3450559" y="218083"/>
                <a:pt x="3453480" y="218083"/>
              </a:cubicBezTo>
              <a:cubicBezTo>
                <a:pt x="3570349" y="218083"/>
                <a:pt x="3599567" y="327125"/>
                <a:pt x="3628784" y="441906"/>
              </a:cubicBezTo>
              <a:cubicBezTo>
                <a:pt x="3658001" y="556687"/>
                <a:pt x="3690140" y="675294"/>
                <a:pt x="3807009" y="675294"/>
              </a:cubicBezTo>
              <a:cubicBezTo>
                <a:pt x="3874209" y="675294"/>
                <a:pt x="3909270" y="625555"/>
                <a:pt x="3947252" y="571991"/>
              </a:cubicBezTo>
              <a:cubicBezTo>
                <a:pt x="3988156" y="512688"/>
                <a:pt x="4034904" y="445732"/>
                <a:pt x="4140086" y="445732"/>
              </a:cubicBezTo>
              <a:cubicBezTo>
                <a:pt x="4230660" y="445732"/>
                <a:pt x="4274486" y="526079"/>
                <a:pt x="4324155" y="610251"/>
              </a:cubicBezTo>
              <a:cubicBezTo>
                <a:pt x="4373824" y="700163"/>
                <a:pt x="4429337" y="791987"/>
                <a:pt x="4525754" y="791987"/>
              </a:cubicBezTo>
              <a:cubicBezTo>
                <a:pt x="4657232" y="791987"/>
                <a:pt x="4706901" y="621729"/>
                <a:pt x="4753649" y="459123"/>
              </a:cubicBezTo>
              <a:cubicBezTo>
                <a:pt x="4806240" y="279300"/>
                <a:pt x="4852988" y="109042"/>
                <a:pt x="5016604" y="109042"/>
              </a:cubicBezTo>
              <a:cubicBezTo>
                <a:pt x="5168534" y="109042"/>
                <a:pt x="5206516" y="269735"/>
                <a:pt x="5250342" y="438080"/>
              </a:cubicBezTo>
              <a:cubicBezTo>
                <a:pt x="5288325" y="585382"/>
                <a:pt x="5326307" y="740336"/>
                <a:pt x="5437333" y="740336"/>
              </a:cubicBezTo>
              <a:cubicBezTo>
                <a:pt x="5527906" y="740336"/>
                <a:pt x="5577575" y="640859"/>
                <a:pt x="5627245" y="543296"/>
              </a:cubicBezTo>
              <a:cubicBezTo>
                <a:pt x="5682758" y="438080"/>
                <a:pt x="5738270" y="327125"/>
                <a:pt x="5858061" y="327125"/>
              </a:cubicBezTo>
              <a:cubicBezTo>
                <a:pt x="5980774" y="327125"/>
                <a:pt x="6027521" y="443819"/>
                <a:pt x="6080113" y="568165"/>
              </a:cubicBezTo>
              <a:cubicBezTo>
                <a:pt x="6123938" y="677207"/>
                <a:pt x="6170686" y="788161"/>
                <a:pt x="6258338" y="790074"/>
              </a:cubicBezTo>
              <a:cubicBezTo>
                <a:pt x="6258338" y="790074"/>
                <a:pt x="6258338" y="790074"/>
                <a:pt x="6258338" y="790074"/>
              </a:cubicBezTo>
              <a:cubicBezTo>
                <a:pt x="6305085" y="790074"/>
                <a:pt x="6343068" y="746075"/>
                <a:pt x="6389815" y="692511"/>
              </a:cubicBezTo>
              <a:cubicBezTo>
                <a:pt x="6474546" y="593034"/>
                <a:pt x="6594336" y="457210"/>
                <a:pt x="6880665" y="457210"/>
              </a:cubicBezTo>
              <a:cubicBezTo>
                <a:pt x="6892352" y="457210"/>
                <a:pt x="6901117" y="462949"/>
                <a:pt x="6901117" y="470601"/>
              </a:cubicBezTo>
              <a:cubicBezTo>
                <a:pt x="6901117" y="478253"/>
                <a:pt x="6892352" y="483992"/>
                <a:pt x="6880665" y="483992"/>
              </a:cubicBezTo>
              <a:cubicBezTo>
                <a:pt x="6617710" y="483992"/>
                <a:pt x="6512528" y="606425"/>
                <a:pt x="6424876" y="703989"/>
              </a:cubicBezTo>
              <a:cubicBezTo>
                <a:pt x="6369363" y="767118"/>
                <a:pt x="6328459" y="816857"/>
                <a:pt x="6255416" y="816857"/>
              </a:cubicBezTo>
              <a:cubicBezTo>
                <a:pt x="6255416" y="816857"/>
                <a:pt x="6252494" y="816857"/>
                <a:pt x="6252494" y="816857"/>
              </a:cubicBezTo>
              <a:cubicBezTo>
                <a:pt x="6132703" y="814944"/>
                <a:pt x="6083034" y="698250"/>
                <a:pt x="6033365" y="573904"/>
              </a:cubicBezTo>
              <a:cubicBezTo>
                <a:pt x="5989539" y="464862"/>
                <a:pt x="5942791" y="353907"/>
                <a:pt x="5855139" y="353907"/>
              </a:cubicBezTo>
              <a:cubicBezTo>
                <a:pt x="5764566" y="353907"/>
                <a:pt x="5714897" y="453384"/>
                <a:pt x="5665227" y="550948"/>
              </a:cubicBezTo>
              <a:cubicBezTo>
                <a:pt x="5609714" y="656163"/>
                <a:pt x="5554202" y="767118"/>
                <a:pt x="5434411" y="767118"/>
              </a:cubicBezTo>
              <a:cubicBezTo>
                <a:pt x="5288325" y="767118"/>
                <a:pt x="5247421" y="608338"/>
                <a:pt x="5206516" y="441906"/>
              </a:cubicBezTo>
              <a:cubicBezTo>
                <a:pt x="5168534" y="290778"/>
                <a:pt x="5127630" y="135824"/>
                <a:pt x="5016604" y="135824"/>
              </a:cubicBezTo>
              <a:cubicBezTo>
                <a:pt x="4890970" y="135824"/>
                <a:pt x="4844222" y="302256"/>
                <a:pt x="4797475" y="461036"/>
              </a:cubicBezTo>
              <a:cubicBezTo>
                <a:pt x="4744883" y="644685"/>
                <a:pt x="4695214" y="816857"/>
                <a:pt x="4528676" y="816857"/>
              </a:cubicBezTo>
              <a:cubicBezTo>
                <a:pt x="4400120" y="816857"/>
                <a:pt x="4341686" y="709728"/>
                <a:pt x="4286172" y="617903"/>
              </a:cubicBezTo>
              <a:cubicBezTo>
                <a:pt x="4245268" y="545209"/>
                <a:pt x="4201443" y="472514"/>
                <a:pt x="4143008" y="472514"/>
              </a:cubicBezTo>
              <a:cubicBezTo>
                <a:pt x="4067043" y="472514"/>
                <a:pt x="4029060" y="526079"/>
                <a:pt x="3991078" y="581556"/>
              </a:cubicBezTo>
              <a:cubicBezTo>
                <a:pt x="3950174" y="640859"/>
                <a:pt x="3906348" y="702076"/>
                <a:pt x="3812853" y="702076"/>
              </a:cubicBezTo>
              <a:cubicBezTo>
                <a:pt x="3660923" y="702076"/>
                <a:pt x="3625862" y="571991"/>
                <a:pt x="3593723" y="443819"/>
              </a:cubicBezTo>
              <a:cubicBezTo>
                <a:pt x="3567428" y="346255"/>
                <a:pt x="3541132" y="244866"/>
                <a:pt x="3459324" y="244866"/>
              </a:cubicBezTo>
              <a:cubicBezTo>
                <a:pt x="3459324" y="244866"/>
                <a:pt x="3459324" y="244866"/>
                <a:pt x="3459324" y="244866"/>
              </a:cubicBezTo>
              <a:cubicBezTo>
                <a:pt x="3351220" y="246779"/>
                <a:pt x="3313238" y="401733"/>
                <a:pt x="3275255" y="550948"/>
              </a:cubicBezTo>
              <a:cubicBezTo>
                <a:pt x="3216821" y="747988"/>
                <a:pt x="3170073" y="946941"/>
                <a:pt x="2968474" y="946941"/>
              </a:cubicBezTo>
              <a:lnTo>
                <a:pt x="2968474" y="946941"/>
              </a:lnTo>
              <a:close/>
            </a:path>
          </a:pathLst>
        </a:custGeom>
        <a:solidFill>
          <a:schemeClr val="tx2">
            <a:lumMod val="50000"/>
            <a:lumOff val="50000"/>
          </a:schemeClr>
        </a:solidFill>
        <a:ln w="29208" cap="flat">
          <a:noFill/>
          <a:prstDash val="solid"/>
          <a:miter/>
        </a:ln>
      </xdr:spPr>
      <xdr:txBody>
        <a:bodyPr rtlCol="0" anchor="ctr"/>
        <a:lstStyle/>
        <a:p>
          <a:endParaRPr lang="en-US"/>
        </a:p>
      </xdr:txBody>
    </xdr:sp>
    <xdr:clientData/>
  </xdr:twoCellAnchor>
  <xdr:twoCellAnchor editAs="oneCell">
    <xdr:from>
      <xdr:col>1</xdr:col>
      <xdr:colOff>1480344</xdr:colOff>
      <xdr:row>0</xdr:row>
      <xdr:rowOff>79376</xdr:rowOff>
    </xdr:from>
    <xdr:to>
      <xdr:col>1</xdr:col>
      <xdr:colOff>2059781</xdr:colOff>
      <xdr:row>2</xdr:row>
      <xdr:rowOff>164342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9A670653-0706-45B4-A57B-AEA9CB2970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61332" y="79376"/>
          <a:ext cx="579437" cy="580266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3928</xdr:colOff>
      <xdr:row>1</xdr:row>
      <xdr:rowOff>213202</xdr:rowOff>
    </xdr:from>
    <xdr:to>
      <xdr:col>9</xdr:col>
      <xdr:colOff>949758</xdr:colOff>
      <xdr:row>3</xdr:row>
      <xdr:rowOff>27964</xdr:rowOff>
    </xdr:to>
    <xdr:sp macro="" textlink="">
      <xdr:nvSpPr>
        <xdr:cNvPr id="2" name="Freeform: Shape 1">
          <a:extLst>
            <a:ext uri="{FF2B5EF4-FFF2-40B4-BE49-F238E27FC236}">
              <a16:creationId xmlns:a16="http://schemas.microsoft.com/office/drawing/2014/main" id="{C2F2CCF0-0A12-40CD-8D4A-348DF3C3FB89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SpPr/>
      </xdr:nvSpPr>
      <xdr:spPr>
        <a:xfrm>
          <a:off x="7704891" y="413227"/>
          <a:ext cx="6889430" cy="1029200"/>
        </a:xfrm>
        <a:custGeom>
          <a:avLst/>
          <a:gdLst>
            <a:gd name="connsiteX0" fmla="*/ 1428724 w 6889430"/>
            <a:gd name="connsiteY0" fmla="*/ 1029201 h 1029200"/>
            <a:gd name="connsiteX1" fmla="*/ 1174534 w 6889430"/>
            <a:gd name="connsiteY1" fmla="*/ 763292 h 1029200"/>
            <a:gd name="connsiteX2" fmla="*/ 987543 w 6889430"/>
            <a:gd name="connsiteY2" fmla="*/ 539470 h 1029200"/>
            <a:gd name="connsiteX3" fmla="*/ 987543 w 6889430"/>
            <a:gd name="connsiteY3" fmla="*/ 539470 h 1029200"/>
            <a:gd name="connsiteX4" fmla="*/ 818083 w 6889430"/>
            <a:gd name="connsiteY4" fmla="*/ 696337 h 1029200"/>
            <a:gd name="connsiteX5" fmla="*/ 590189 w 6889430"/>
            <a:gd name="connsiteY5" fmla="*/ 879986 h 1029200"/>
            <a:gd name="connsiteX6" fmla="*/ 347685 w 6889430"/>
            <a:gd name="connsiteY6" fmla="*/ 679120 h 1029200"/>
            <a:gd name="connsiteX7" fmla="*/ 20452 w 6889430"/>
            <a:gd name="connsiteY7" fmla="*/ 430428 h 1029200"/>
            <a:gd name="connsiteX8" fmla="*/ 20452 w 6889430"/>
            <a:gd name="connsiteY8" fmla="*/ 430428 h 1029200"/>
            <a:gd name="connsiteX9" fmla="*/ 0 w 6889430"/>
            <a:gd name="connsiteY9" fmla="*/ 417037 h 1029200"/>
            <a:gd name="connsiteX10" fmla="*/ 20452 w 6889430"/>
            <a:gd name="connsiteY10" fmla="*/ 403646 h 1029200"/>
            <a:gd name="connsiteX11" fmla="*/ 20452 w 6889430"/>
            <a:gd name="connsiteY11" fmla="*/ 403646 h 1029200"/>
            <a:gd name="connsiteX12" fmla="*/ 385668 w 6889430"/>
            <a:gd name="connsiteY12" fmla="*/ 669555 h 1029200"/>
            <a:gd name="connsiteX13" fmla="*/ 587267 w 6889430"/>
            <a:gd name="connsiteY13" fmla="*/ 853204 h 1029200"/>
            <a:gd name="connsiteX14" fmla="*/ 771336 w 6889430"/>
            <a:gd name="connsiteY14" fmla="*/ 688685 h 1029200"/>
            <a:gd name="connsiteX15" fmla="*/ 981700 w 6889430"/>
            <a:gd name="connsiteY15" fmla="*/ 512687 h 1029200"/>
            <a:gd name="connsiteX16" fmla="*/ 981700 w 6889430"/>
            <a:gd name="connsiteY16" fmla="*/ 512687 h 1029200"/>
            <a:gd name="connsiteX17" fmla="*/ 1209595 w 6889430"/>
            <a:gd name="connsiteY17" fmla="*/ 759466 h 1029200"/>
            <a:gd name="connsiteX18" fmla="*/ 1422881 w 6889430"/>
            <a:gd name="connsiteY18" fmla="*/ 1002419 h 1029200"/>
            <a:gd name="connsiteX19" fmla="*/ 1425802 w 6889430"/>
            <a:gd name="connsiteY19" fmla="*/ 1002419 h 1029200"/>
            <a:gd name="connsiteX20" fmla="*/ 1633245 w 6889430"/>
            <a:gd name="connsiteY20" fmla="*/ 682946 h 1029200"/>
            <a:gd name="connsiteX21" fmla="*/ 1878670 w 6889430"/>
            <a:gd name="connsiteY21" fmla="*/ 344342 h 1029200"/>
            <a:gd name="connsiteX22" fmla="*/ 2097800 w 6889430"/>
            <a:gd name="connsiteY22" fmla="*/ 552861 h 1029200"/>
            <a:gd name="connsiteX23" fmla="*/ 2273103 w 6889430"/>
            <a:gd name="connsiteY23" fmla="*/ 740336 h 1029200"/>
            <a:gd name="connsiteX24" fmla="*/ 2486389 w 6889430"/>
            <a:gd name="connsiteY24" fmla="*/ 384516 h 1029200"/>
            <a:gd name="connsiteX25" fmla="*/ 2746423 w 6889430"/>
            <a:gd name="connsiteY25" fmla="*/ 0 h 1029200"/>
            <a:gd name="connsiteX26" fmla="*/ 2974317 w 6889430"/>
            <a:gd name="connsiteY26" fmla="*/ 476340 h 1029200"/>
            <a:gd name="connsiteX27" fmla="*/ 3213899 w 6889430"/>
            <a:gd name="connsiteY27" fmla="*/ 998593 h 1029200"/>
            <a:gd name="connsiteX28" fmla="*/ 3438872 w 6889430"/>
            <a:gd name="connsiteY28" fmla="*/ 648511 h 1029200"/>
            <a:gd name="connsiteX29" fmla="*/ 3643393 w 6889430"/>
            <a:gd name="connsiteY29" fmla="*/ 330951 h 1029200"/>
            <a:gd name="connsiteX30" fmla="*/ 3646314 w 6889430"/>
            <a:gd name="connsiteY30" fmla="*/ 330951 h 1029200"/>
            <a:gd name="connsiteX31" fmla="*/ 3824540 w 6889430"/>
            <a:gd name="connsiteY31" fmla="*/ 554774 h 1029200"/>
            <a:gd name="connsiteX32" fmla="*/ 4002765 w 6889430"/>
            <a:gd name="connsiteY32" fmla="*/ 790074 h 1029200"/>
            <a:gd name="connsiteX33" fmla="*/ 4143008 w 6889430"/>
            <a:gd name="connsiteY33" fmla="*/ 686772 h 1029200"/>
            <a:gd name="connsiteX34" fmla="*/ 4335842 w 6889430"/>
            <a:gd name="connsiteY34" fmla="*/ 560513 h 1029200"/>
            <a:gd name="connsiteX35" fmla="*/ 4522832 w 6889430"/>
            <a:gd name="connsiteY35" fmla="*/ 747988 h 1029200"/>
            <a:gd name="connsiteX36" fmla="*/ 4727353 w 6889430"/>
            <a:gd name="connsiteY36" fmla="*/ 956507 h 1029200"/>
            <a:gd name="connsiteX37" fmla="*/ 4955248 w 6889430"/>
            <a:gd name="connsiteY37" fmla="*/ 596860 h 1029200"/>
            <a:gd name="connsiteX38" fmla="*/ 5215281 w 6889430"/>
            <a:gd name="connsiteY38" fmla="*/ 221910 h 1029200"/>
            <a:gd name="connsiteX39" fmla="*/ 5451941 w 6889430"/>
            <a:gd name="connsiteY39" fmla="*/ 552861 h 1029200"/>
            <a:gd name="connsiteX40" fmla="*/ 5638932 w 6889430"/>
            <a:gd name="connsiteY40" fmla="*/ 855117 h 1029200"/>
            <a:gd name="connsiteX41" fmla="*/ 5828844 w 6889430"/>
            <a:gd name="connsiteY41" fmla="*/ 658077 h 1029200"/>
            <a:gd name="connsiteX42" fmla="*/ 6062582 w 6889430"/>
            <a:gd name="connsiteY42" fmla="*/ 441906 h 1029200"/>
            <a:gd name="connsiteX43" fmla="*/ 6275868 w 6889430"/>
            <a:gd name="connsiteY43" fmla="*/ 686772 h 1029200"/>
            <a:gd name="connsiteX44" fmla="*/ 6445328 w 6889430"/>
            <a:gd name="connsiteY44" fmla="*/ 906768 h 1029200"/>
            <a:gd name="connsiteX45" fmla="*/ 6603101 w 6889430"/>
            <a:gd name="connsiteY45" fmla="*/ 692511 h 1029200"/>
            <a:gd name="connsiteX46" fmla="*/ 6866057 w 6889430"/>
            <a:gd name="connsiteY46" fmla="*/ 392168 h 1029200"/>
            <a:gd name="connsiteX47" fmla="*/ 6889431 w 6889430"/>
            <a:gd name="connsiteY47" fmla="*/ 403646 h 1029200"/>
            <a:gd name="connsiteX48" fmla="*/ 6871900 w 6889430"/>
            <a:gd name="connsiteY48" fmla="*/ 418950 h 1029200"/>
            <a:gd name="connsiteX49" fmla="*/ 6644005 w 6889430"/>
            <a:gd name="connsiteY49" fmla="*/ 698250 h 1029200"/>
            <a:gd name="connsiteX50" fmla="*/ 6442406 w 6889430"/>
            <a:gd name="connsiteY50" fmla="*/ 933550 h 1029200"/>
            <a:gd name="connsiteX51" fmla="*/ 6232042 w 6889430"/>
            <a:gd name="connsiteY51" fmla="*/ 690598 h 1029200"/>
            <a:gd name="connsiteX52" fmla="*/ 6062582 w 6889430"/>
            <a:gd name="connsiteY52" fmla="*/ 468688 h 1029200"/>
            <a:gd name="connsiteX53" fmla="*/ 5872670 w 6889430"/>
            <a:gd name="connsiteY53" fmla="*/ 665729 h 1029200"/>
            <a:gd name="connsiteX54" fmla="*/ 5638932 w 6889430"/>
            <a:gd name="connsiteY54" fmla="*/ 881899 h 1029200"/>
            <a:gd name="connsiteX55" fmla="*/ 5408116 w 6889430"/>
            <a:gd name="connsiteY55" fmla="*/ 554774 h 1029200"/>
            <a:gd name="connsiteX56" fmla="*/ 5215281 w 6889430"/>
            <a:gd name="connsiteY56" fmla="*/ 248692 h 1029200"/>
            <a:gd name="connsiteX57" fmla="*/ 4996152 w 6889430"/>
            <a:gd name="connsiteY57" fmla="*/ 600686 h 1029200"/>
            <a:gd name="connsiteX58" fmla="*/ 4727353 w 6889430"/>
            <a:gd name="connsiteY58" fmla="*/ 985202 h 1029200"/>
            <a:gd name="connsiteX59" fmla="*/ 4481928 w 6889430"/>
            <a:gd name="connsiteY59" fmla="*/ 755640 h 1029200"/>
            <a:gd name="connsiteX60" fmla="*/ 4335842 w 6889430"/>
            <a:gd name="connsiteY60" fmla="*/ 587295 h 1029200"/>
            <a:gd name="connsiteX61" fmla="*/ 4180990 w 6889430"/>
            <a:gd name="connsiteY61" fmla="*/ 698250 h 1029200"/>
            <a:gd name="connsiteX62" fmla="*/ 3999843 w 6889430"/>
            <a:gd name="connsiteY62" fmla="*/ 818770 h 1029200"/>
            <a:gd name="connsiteX63" fmla="*/ 3777792 w 6889430"/>
            <a:gd name="connsiteY63" fmla="*/ 560513 h 1029200"/>
            <a:gd name="connsiteX64" fmla="*/ 3643393 w 6889430"/>
            <a:gd name="connsiteY64" fmla="*/ 359646 h 1029200"/>
            <a:gd name="connsiteX65" fmla="*/ 3643393 w 6889430"/>
            <a:gd name="connsiteY65" fmla="*/ 359646 h 1029200"/>
            <a:gd name="connsiteX66" fmla="*/ 3482698 w 6889430"/>
            <a:gd name="connsiteY66" fmla="*/ 652337 h 1029200"/>
            <a:gd name="connsiteX67" fmla="*/ 3213899 w 6889430"/>
            <a:gd name="connsiteY67" fmla="*/ 1027288 h 1029200"/>
            <a:gd name="connsiteX68" fmla="*/ 2930492 w 6889430"/>
            <a:gd name="connsiteY68" fmla="*/ 478253 h 1029200"/>
            <a:gd name="connsiteX69" fmla="*/ 2746423 w 6889430"/>
            <a:gd name="connsiteY69" fmla="*/ 26782 h 1029200"/>
            <a:gd name="connsiteX70" fmla="*/ 2530215 w 6889430"/>
            <a:gd name="connsiteY70" fmla="*/ 386429 h 1029200"/>
            <a:gd name="connsiteX71" fmla="*/ 2276025 w 6889430"/>
            <a:gd name="connsiteY71" fmla="*/ 767118 h 1029200"/>
            <a:gd name="connsiteX72" fmla="*/ 2056895 w 6889430"/>
            <a:gd name="connsiteY72" fmla="*/ 558600 h 1029200"/>
            <a:gd name="connsiteX73" fmla="*/ 1881592 w 6889430"/>
            <a:gd name="connsiteY73" fmla="*/ 371125 h 1029200"/>
            <a:gd name="connsiteX74" fmla="*/ 1679993 w 6889430"/>
            <a:gd name="connsiteY74" fmla="*/ 686772 h 1029200"/>
            <a:gd name="connsiteX75" fmla="*/ 1431646 w 6889430"/>
            <a:gd name="connsiteY75" fmla="*/ 1029201 h 1029200"/>
            <a:gd name="connsiteX76" fmla="*/ 1428724 w 6889430"/>
            <a:gd name="connsiteY76" fmla="*/ 1029201 h 1029200"/>
            <a:gd name="connsiteX77" fmla="*/ 1428724 w 6889430"/>
            <a:gd name="connsiteY77" fmla="*/ 1029201 h 10292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  <a:cxn ang="0">
              <a:pos x="connsiteX55" y="connsiteY55"/>
            </a:cxn>
            <a:cxn ang="0">
              <a:pos x="connsiteX56" y="connsiteY56"/>
            </a:cxn>
            <a:cxn ang="0">
              <a:pos x="connsiteX57" y="connsiteY57"/>
            </a:cxn>
            <a:cxn ang="0">
              <a:pos x="connsiteX58" y="connsiteY58"/>
            </a:cxn>
            <a:cxn ang="0">
              <a:pos x="connsiteX59" y="connsiteY59"/>
            </a:cxn>
            <a:cxn ang="0">
              <a:pos x="connsiteX60" y="connsiteY60"/>
            </a:cxn>
            <a:cxn ang="0">
              <a:pos x="connsiteX61" y="connsiteY61"/>
            </a:cxn>
            <a:cxn ang="0">
              <a:pos x="connsiteX62" y="connsiteY62"/>
            </a:cxn>
            <a:cxn ang="0">
              <a:pos x="connsiteX63" y="connsiteY63"/>
            </a:cxn>
            <a:cxn ang="0">
              <a:pos x="connsiteX64" y="connsiteY64"/>
            </a:cxn>
            <a:cxn ang="0">
              <a:pos x="connsiteX65" y="connsiteY65"/>
            </a:cxn>
            <a:cxn ang="0">
              <a:pos x="connsiteX66" y="connsiteY66"/>
            </a:cxn>
            <a:cxn ang="0">
              <a:pos x="connsiteX67" y="connsiteY67"/>
            </a:cxn>
            <a:cxn ang="0">
              <a:pos x="connsiteX68" y="connsiteY68"/>
            </a:cxn>
            <a:cxn ang="0">
              <a:pos x="connsiteX69" y="connsiteY69"/>
            </a:cxn>
            <a:cxn ang="0">
              <a:pos x="connsiteX70" y="connsiteY70"/>
            </a:cxn>
            <a:cxn ang="0">
              <a:pos x="connsiteX71" y="connsiteY71"/>
            </a:cxn>
            <a:cxn ang="0">
              <a:pos x="connsiteX72" y="connsiteY72"/>
            </a:cxn>
            <a:cxn ang="0">
              <a:pos x="connsiteX73" y="connsiteY73"/>
            </a:cxn>
            <a:cxn ang="0">
              <a:pos x="connsiteX74" y="connsiteY74"/>
            </a:cxn>
            <a:cxn ang="0">
              <a:pos x="connsiteX75" y="connsiteY75"/>
            </a:cxn>
            <a:cxn ang="0">
              <a:pos x="connsiteX76" y="connsiteY76"/>
            </a:cxn>
            <a:cxn ang="0">
              <a:pos x="connsiteX77" y="connsiteY77"/>
            </a:cxn>
          </a:cxnLst>
          <a:rect l="l" t="t" r="r" b="b"/>
          <a:pathLst>
            <a:path w="6889430" h="1029200">
              <a:moveTo>
                <a:pt x="1428724" y="1029201"/>
              </a:moveTo>
              <a:cubicBezTo>
                <a:pt x="1276794" y="1029201"/>
                <a:pt x="1224203" y="895290"/>
                <a:pt x="1174534" y="763292"/>
              </a:cubicBezTo>
              <a:cubicBezTo>
                <a:pt x="1130708" y="652337"/>
                <a:pt x="1086882" y="539470"/>
                <a:pt x="987543" y="539470"/>
              </a:cubicBezTo>
              <a:lnTo>
                <a:pt x="987543" y="539470"/>
              </a:lnTo>
              <a:cubicBezTo>
                <a:pt x="899892" y="539470"/>
                <a:pt x="858988" y="615990"/>
                <a:pt x="818083" y="696337"/>
              </a:cubicBezTo>
              <a:cubicBezTo>
                <a:pt x="771336" y="786248"/>
                <a:pt x="721666" y="879986"/>
                <a:pt x="590189" y="879986"/>
              </a:cubicBezTo>
              <a:cubicBezTo>
                <a:pt x="467476" y="879986"/>
                <a:pt x="409042" y="782422"/>
                <a:pt x="347685" y="679120"/>
              </a:cubicBezTo>
              <a:cubicBezTo>
                <a:pt x="274642" y="556687"/>
                <a:pt x="198677" y="430428"/>
                <a:pt x="20452" y="430428"/>
              </a:cubicBezTo>
              <a:cubicBezTo>
                <a:pt x="20452" y="430428"/>
                <a:pt x="20452" y="430428"/>
                <a:pt x="20452" y="430428"/>
              </a:cubicBezTo>
              <a:cubicBezTo>
                <a:pt x="8765" y="430428"/>
                <a:pt x="0" y="424689"/>
                <a:pt x="0" y="417037"/>
              </a:cubicBezTo>
              <a:cubicBezTo>
                <a:pt x="0" y="409385"/>
                <a:pt x="8765" y="403646"/>
                <a:pt x="20452" y="403646"/>
              </a:cubicBezTo>
              <a:lnTo>
                <a:pt x="20452" y="403646"/>
              </a:lnTo>
              <a:cubicBezTo>
                <a:pt x="227895" y="403646"/>
                <a:pt x="312625" y="545209"/>
                <a:pt x="385668" y="669555"/>
              </a:cubicBezTo>
              <a:cubicBezTo>
                <a:pt x="441181" y="763292"/>
                <a:pt x="496693" y="853204"/>
                <a:pt x="587267" y="853204"/>
              </a:cubicBezTo>
              <a:cubicBezTo>
                <a:pt x="686606" y="853204"/>
                <a:pt x="727510" y="772857"/>
                <a:pt x="771336" y="688685"/>
              </a:cubicBezTo>
              <a:cubicBezTo>
                <a:pt x="815162" y="602599"/>
                <a:pt x="861909" y="514601"/>
                <a:pt x="981700" y="512687"/>
              </a:cubicBezTo>
              <a:lnTo>
                <a:pt x="981700" y="512687"/>
              </a:lnTo>
              <a:cubicBezTo>
                <a:pt x="1113178" y="512687"/>
                <a:pt x="1159925" y="631294"/>
                <a:pt x="1209595" y="759466"/>
              </a:cubicBezTo>
              <a:cubicBezTo>
                <a:pt x="1256342" y="879986"/>
                <a:pt x="1306012" y="1002419"/>
                <a:pt x="1422881" y="1002419"/>
              </a:cubicBezTo>
              <a:cubicBezTo>
                <a:pt x="1422881" y="1002419"/>
                <a:pt x="1422881" y="1002419"/>
                <a:pt x="1425802" y="1002419"/>
              </a:cubicBezTo>
              <a:cubicBezTo>
                <a:pt x="1536828" y="1000506"/>
                <a:pt x="1586497" y="832161"/>
                <a:pt x="1633245" y="682946"/>
              </a:cubicBezTo>
              <a:cubicBezTo>
                <a:pt x="1685836" y="508862"/>
                <a:pt x="1735505" y="344342"/>
                <a:pt x="1878670" y="344342"/>
              </a:cubicBezTo>
              <a:cubicBezTo>
                <a:pt x="2001382" y="344342"/>
                <a:pt x="2051052" y="449558"/>
                <a:pt x="2097800" y="552861"/>
              </a:cubicBezTo>
              <a:cubicBezTo>
                <a:pt x="2141625" y="644685"/>
                <a:pt x="2185451" y="740336"/>
                <a:pt x="2273103" y="740336"/>
              </a:cubicBezTo>
              <a:cubicBezTo>
                <a:pt x="2395816" y="740336"/>
                <a:pt x="2439641" y="558600"/>
                <a:pt x="2486389" y="384516"/>
              </a:cubicBezTo>
              <a:cubicBezTo>
                <a:pt x="2536059" y="187475"/>
                <a:pt x="2582806" y="0"/>
                <a:pt x="2746423" y="0"/>
              </a:cubicBezTo>
              <a:cubicBezTo>
                <a:pt x="2904196" y="0"/>
                <a:pt x="2936335" y="219996"/>
                <a:pt x="2974317" y="476340"/>
              </a:cubicBezTo>
              <a:cubicBezTo>
                <a:pt x="3009378" y="721206"/>
                <a:pt x="3050282" y="998593"/>
                <a:pt x="3213899" y="998593"/>
              </a:cubicBezTo>
              <a:cubicBezTo>
                <a:pt x="3377516" y="998593"/>
                <a:pt x="3409654" y="820683"/>
                <a:pt x="3438872" y="648511"/>
              </a:cubicBezTo>
              <a:cubicBezTo>
                <a:pt x="3468089" y="485905"/>
                <a:pt x="3494385" y="332864"/>
                <a:pt x="3643393" y="330951"/>
              </a:cubicBezTo>
              <a:cubicBezTo>
                <a:pt x="3643393" y="330951"/>
                <a:pt x="3643393" y="330951"/>
                <a:pt x="3646314" y="330951"/>
              </a:cubicBezTo>
              <a:cubicBezTo>
                <a:pt x="3763184" y="330951"/>
                <a:pt x="3792401" y="439993"/>
                <a:pt x="3824540" y="554774"/>
              </a:cubicBezTo>
              <a:cubicBezTo>
                <a:pt x="3856679" y="669555"/>
                <a:pt x="3885896" y="790074"/>
                <a:pt x="4002765" y="790074"/>
              </a:cubicBezTo>
              <a:cubicBezTo>
                <a:pt x="4069965" y="790074"/>
                <a:pt x="4105025" y="740336"/>
                <a:pt x="4143008" y="686772"/>
              </a:cubicBezTo>
              <a:cubicBezTo>
                <a:pt x="4183912" y="627468"/>
                <a:pt x="4230660" y="560513"/>
                <a:pt x="4335842" y="560513"/>
              </a:cubicBezTo>
              <a:cubicBezTo>
                <a:pt x="4426415" y="560513"/>
                <a:pt x="4470241" y="648511"/>
                <a:pt x="4522832" y="747988"/>
              </a:cubicBezTo>
              <a:cubicBezTo>
                <a:pt x="4572502" y="845552"/>
                <a:pt x="4630936" y="956507"/>
                <a:pt x="4727353" y="956507"/>
              </a:cubicBezTo>
              <a:cubicBezTo>
                <a:pt x="4858831" y="956507"/>
                <a:pt x="4908500" y="772857"/>
                <a:pt x="4955248" y="596860"/>
              </a:cubicBezTo>
              <a:cubicBezTo>
                <a:pt x="5004917" y="403646"/>
                <a:pt x="5054587" y="221910"/>
                <a:pt x="5215281" y="221910"/>
              </a:cubicBezTo>
              <a:cubicBezTo>
                <a:pt x="5367211" y="221910"/>
                <a:pt x="5408116" y="382603"/>
                <a:pt x="5451941" y="552861"/>
              </a:cubicBezTo>
              <a:cubicBezTo>
                <a:pt x="5489924" y="702076"/>
                <a:pt x="5527906" y="855117"/>
                <a:pt x="5638932" y="855117"/>
              </a:cubicBezTo>
              <a:cubicBezTo>
                <a:pt x="5729505" y="855117"/>
                <a:pt x="5779175" y="755640"/>
                <a:pt x="5828844" y="658077"/>
              </a:cubicBezTo>
              <a:cubicBezTo>
                <a:pt x="5884357" y="550948"/>
                <a:pt x="5939870" y="441906"/>
                <a:pt x="6062582" y="441906"/>
              </a:cubicBezTo>
              <a:cubicBezTo>
                <a:pt x="6185294" y="441906"/>
                <a:pt x="6229120" y="560513"/>
                <a:pt x="6275868" y="686772"/>
              </a:cubicBezTo>
              <a:cubicBezTo>
                <a:pt x="6316772" y="795813"/>
                <a:pt x="6354755" y="906768"/>
                <a:pt x="6445328" y="906768"/>
              </a:cubicBezTo>
              <a:cubicBezTo>
                <a:pt x="6524215" y="906768"/>
                <a:pt x="6565119" y="797726"/>
                <a:pt x="6603101" y="692511"/>
              </a:cubicBezTo>
              <a:cubicBezTo>
                <a:pt x="6652771" y="558600"/>
                <a:pt x="6708284" y="405559"/>
                <a:pt x="6866057" y="392168"/>
              </a:cubicBezTo>
              <a:cubicBezTo>
                <a:pt x="6877743" y="390255"/>
                <a:pt x="6889431" y="395994"/>
                <a:pt x="6889431" y="403646"/>
              </a:cubicBezTo>
              <a:cubicBezTo>
                <a:pt x="6889431" y="411298"/>
                <a:pt x="6883587" y="418950"/>
                <a:pt x="6871900" y="418950"/>
              </a:cubicBezTo>
              <a:cubicBezTo>
                <a:pt x="6743344" y="430428"/>
                <a:pt x="6690753" y="571991"/>
                <a:pt x="6644005" y="698250"/>
              </a:cubicBezTo>
              <a:cubicBezTo>
                <a:pt x="6597258" y="824509"/>
                <a:pt x="6556354" y="933550"/>
                <a:pt x="6442406" y="933550"/>
              </a:cubicBezTo>
              <a:cubicBezTo>
                <a:pt x="6319694" y="933550"/>
                <a:pt x="6278790" y="814944"/>
                <a:pt x="6232042" y="690598"/>
              </a:cubicBezTo>
              <a:cubicBezTo>
                <a:pt x="6191138" y="581556"/>
                <a:pt x="6150234" y="468688"/>
                <a:pt x="6062582" y="468688"/>
              </a:cubicBezTo>
              <a:cubicBezTo>
                <a:pt x="5972008" y="468688"/>
                <a:pt x="5922339" y="568165"/>
                <a:pt x="5872670" y="665729"/>
              </a:cubicBezTo>
              <a:cubicBezTo>
                <a:pt x="5817157" y="772857"/>
                <a:pt x="5761644" y="881899"/>
                <a:pt x="5638932" y="881899"/>
              </a:cubicBezTo>
              <a:cubicBezTo>
                <a:pt x="5489924" y="881899"/>
                <a:pt x="5451941" y="723119"/>
                <a:pt x="5408116" y="554774"/>
              </a:cubicBezTo>
              <a:cubicBezTo>
                <a:pt x="5370133" y="403646"/>
                <a:pt x="5329229" y="248692"/>
                <a:pt x="5215281" y="248692"/>
              </a:cubicBezTo>
              <a:cubicBezTo>
                <a:pt x="5089647" y="248692"/>
                <a:pt x="5042900" y="428515"/>
                <a:pt x="4996152" y="600686"/>
              </a:cubicBezTo>
              <a:cubicBezTo>
                <a:pt x="4943561" y="797726"/>
                <a:pt x="4893892" y="985202"/>
                <a:pt x="4727353" y="985202"/>
              </a:cubicBezTo>
              <a:cubicBezTo>
                <a:pt x="4598797" y="985202"/>
                <a:pt x="4537441" y="868508"/>
                <a:pt x="4481928" y="755640"/>
              </a:cubicBezTo>
              <a:cubicBezTo>
                <a:pt x="4438102" y="673381"/>
                <a:pt x="4394276" y="587295"/>
                <a:pt x="4335842" y="587295"/>
              </a:cubicBezTo>
              <a:cubicBezTo>
                <a:pt x="4259877" y="587295"/>
                <a:pt x="4221895" y="640859"/>
                <a:pt x="4180990" y="698250"/>
              </a:cubicBezTo>
              <a:cubicBezTo>
                <a:pt x="4140086" y="757553"/>
                <a:pt x="4096260" y="818770"/>
                <a:pt x="3999843" y="818770"/>
              </a:cubicBezTo>
              <a:cubicBezTo>
                <a:pt x="3847913" y="818770"/>
                <a:pt x="3812853" y="686772"/>
                <a:pt x="3777792" y="560513"/>
              </a:cubicBezTo>
              <a:cubicBezTo>
                <a:pt x="3751496" y="462949"/>
                <a:pt x="3725201" y="359646"/>
                <a:pt x="3643393" y="359646"/>
              </a:cubicBezTo>
              <a:lnTo>
                <a:pt x="3643393" y="359646"/>
              </a:lnTo>
              <a:cubicBezTo>
                <a:pt x="3535289" y="361559"/>
                <a:pt x="3508993" y="508862"/>
                <a:pt x="3482698" y="652337"/>
              </a:cubicBezTo>
              <a:cubicBezTo>
                <a:pt x="3450559" y="835987"/>
                <a:pt x="3415498" y="1027288"/>
                <a:pt x="3213899" y="1027288"/>
              </a:cubicBezTo>
              <a:cubicBezTo>
                <a:pt x="3009378" y="1027288"/>
                <a:pt x="2968474" y="747988"/>
                <a:pt x="2930492" y="478253"/>
              </a:cubicBezTo>
              <a:cubicBezTo>
                <a:pt x="2901274" y="267822"/>
                <a:pt x="2866213" y="26782"/>
                <a:pt x="2746423" y="26782"/>
              </a:cubicBezTo>
              <a:cubicBezTo>
                <a:pt x="2620788" y="26782"/>
                <a:pt x="2574041" y="218084"/>
                <a:pt x="2530215" y="386429"/>
              </a:cubicBezTo>
              <a:cubicBezTo>
                <a:pt x="2480546" y="581556"/>
                <a:pt x="2433798" y="767118"/>
                <a:pt x="2276025" y="767118"/>
              </a:cubicBezTo>
              <a:cubicBezTo>
                <a:pt x="2153312" y="767118"/>
                <a:pt x="2103643" y="661903"/>
                <a:pt x="2056895" y="558600"/>
              </a:cubicBezTo>
              <a:cubicBezTo>
                <a:pt x="2013069" y="466775"/>
                <a:pt x="1969244" y="371125"/>
                <a:pt x="1881592" y="371125"/>
              </a:cubicBezTo>
              <a:cubicBezTo>
                <a:pt x="1773488" y="371125"/>
                <a:pt x="1723819" y="537557"/>
                <a:pt x="1679993" y="686772"/>
              </a:cubicBezTo>
              <a:cubicBezTo>
                <a:pt x="1627401" y="860856"/>
                <a:pt x="1577732" y="1027288"/>
                <a:pt x="1431646" y="1029201"/>
              </a:cubicBezTo>
              <a:cubicBezTo>
                <a:pt x="1431646" y="1029201"/>
                <a:pt x="1431646" y="1029201"/>
                <a:pt x="1428724" y="1029201"/>
              </a:cubicBezTo>
              <a:lnTo>
                <a:pt x="1428724" y="1029201"/>
              </a:lnTo>
              <a:close/>
            </a:path>
          </a:pathLst>
        </a:custGeom>
        <a:solidFill>
          <a:schemeClr val="accent3">
            <a:lumMod val="60000"/>
            <a:lumOff val="40000"/>
          </a:schemeClr>
        </a:solidFill>
        <a:ln w="29208" cap="flat">
          <a:noFill/>
          <a:prstDash val="solid"/>
          <a:miter/>
        </a:ln>
      </xdr:spPr>
      <xdr:txBody>
        <a:bodyPr rtlCol="0" anchor="ctr"/>
        <a:lstStyle/>
        <a:p>
          <a:endParaRPr lang="en-US"/>
        </a:p>
      </xdr:txBody>
    </xdr:sp>
    <xdr:clientData/>
  </xdr:twoCellAnchor>
  <xdr:twoCellAnchor>
    <xdr:from>
      <xdr:col>5</xdr:col>
      <xdr:colOff>6850</xdr:colOff>
      <xdr:row>0</xdr:row>
      <xdr:rowOff>197057</xdr:rowOff>
    </xdr:from>
    <xdr:to>
      <xdr:col>9</xdr:col>
      <xdr:colOff>952680</xdr:colOff>
      <xdr:row>2</xdr:row>
      <xdr:rowOff>901216</xdr:rowOff>
    </xdr:to>
    <xdr:sp macro="" textlink="">
      <xdr:nvSpPr>
        <xdr:cNvPr id="3" name="Freeform: Shape 2">
          <a:extLst>
            <a:ext uri="{FF2B5EF4-FFF2-40B4-BE49-F238E27FC236}">
              <a16:creationId xmlns:a16="http://schemas.microsoft.com/office/drawing/2014/main" id="{F2F91AE4-7FCD-4888-9B61-3ED396809F1B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SpPr/>
      </xdr:nvSpPr>
      <xdr:spPr>
        <a:xfrm>
          <a:off x="7707813" y="197057"/>
          <a:ext cx="6889430" cy="1199459"/>
        </a:xfrm>
        <a:custGeom>
          <a:avLst/>
          <a:gdLst>
            <a:gd name="connsiteX0" fmla="*/ 2974317 w 6889430"/>
            <a:gd name="connsiteY0" fmla="*/ 1199459 h 1199459"/>
            <a:gd name="connsiteX1" fmla="*/ 2679223 w 6889430"/>
            <a:gd name="connsiteY1" fmla="*/ 537557 h 1199459"/>
            <a:gd name="connsiteX2" fmla="*/ 2512685 w 6889430"/>
            <a:gd name="connsiteY2" fmla="*/ 28695 h 1199459"/>
            <a:gd name="connsiteX3" fmla="*/ 2311085 w 6889430"/>
            <a:gd name="connsiteY3" fmla="*/ 441906 h 1199459"/>
            <a:gd name="connsiteX4" fmla="*/ 2071504 w 6889430"/>
            <a:gd name="connsiteY4" fmla="*/ 876160 h 1199459"/>
            <a:gd name="connsiteX5" fmla="*/ 1855296 w 6889430"/>
            <a:gd name="connsiteY5" fmla="*/ 589208 h 1199459"/>
            <a:gd name="connsiteX6" fmla="*/ 1679993 w 6889430"/>
            <a:gd name="connsiteY6" fmla="*/ 325212 h 1199459"/>
            <a:gd name="connsiteX7" fmla="*/ 1484237 w 6889430"/>
            <a:gd name="connsiteY7" fmla="*/ 681033 h 1199459"/>
            <a:gd name="connsiteX8" fmla="*/ 1206673 w 6889430"/>
            <a:gd name="connsiteY8" fmla="*/ 1099983 h 1199459"/>
            <a:gd name="connsiteX9" fmla="*/ 955404 w 6889430"/>
            <a:gd name="connsiteY9" fmla="*/ 791987 h 1199459"/>
            <a:gd name="connsiteX10" fmla="*/ 777179 w 6889430"/>
            <a:gd name="connsiteY10" fmla="*/ 529905 h 1199459"/>
            <a:gd name="connsiteX11" fmla="*/ 777179 w 6889430"/>
            <a:gd name="connsiteY11" fmla="*/ 529905 h 1199459"/>
            <a:gd name="connsiteX12" fmla="*/ 587267 w 6889430"/>
            <a:gd name="connsiteY12" fmla="*/ 747988 h 1199459"/>
            <a:gd name="connsiteX13" fmla="*/ 350607 w 6889430"/>
            <a:gd name="connsiteY13" fmla="*/ 989028 h 1199459"/>
            <a:gd name="connsiteX14" fmla="*/ 350607 w 6889430"/>
            <a:gd name="connsiteY14" fmla="*/ 989028 h 1199459"/>
            <a:gd name="connsiteX15" fmla="*/ 178225 w 6889430"/>
            <a:gd name="connsiteY15" fmla="*/ 816857 h 1199459"/>
            <a:gd name="connsiteX16" fmla="*/ 20452 w 6889430"/>
            <a:gd name="connsiteY16" fmla="*/ 644685 h 1199459"/>
            <a:gd name="connsiteX17" fmla="*/ 0 w 6889430"/>
            <a:gd name="connsiteY17" fmla="*/ 629381 h 1199459"/>
            <a:gd name="connsiteX18" fmla="*/ 23374 w 6889430"/>
            <a:gd name="connsiteY18" fmla="*/ 615990 h 1199459"/>
            <a:gd name="connsiteX19" fmla="*/ 219129 w 6889430"/>
            <a:gd name="connsiteY19" fmla="*/ 809204 h 1199459"/>
            <a:gd name="connsiteX20" fmla="*/ 350607 w 6889430"/>
            <a:gd name="connsiteY20" fmla="*/ 958419 h 1199459"/>
            <a:gd name="connsiteX21" fmla="*/ 350607 w 6889430"/>
            <a:gd name="connsiteY21" fmla="*/ 958419 h 1199459"/>
            <a:gd name="connsiteX22" fmla="*/ 546363 w 6889430"/>
            <a:gd name="connsiteY22" fmla="*/ 736510 h 1199459"/>
            <a:gd name="connsiteX23" fmla="*/ 780101 w 6889430"/>
            <a:gd name="connsiteY23" fmla="*/ 497383 h 1199459"/>
            <a:gd name="connsiteX24" fmla="*/ 780101 w 6889430"/>
            <a:gd name="connsiteY24" fmla="*/ 497383 h 1199459"/>
            <a:gd name="connsiteX25" fmla="*/ 1002152 w 6889430"/>
            <a:gd name="connsiteY25" fmla="*/ 780509 h 1199459"/>
            <a:gd name="connsiteX26" fmla="*/ 1209595 w 6889430"/>
            <a:gd name="connsiteY26" fmla="*/ 1065548 h 1199459"/>
            <a:gd name="connsiteX27" fmla="*/ 1443333 w 6889430"/>
            <a:gd name="connsiteY27" fmla="*/ 671468 h 1199459"/>
            <a:gd name="connsiteX28" fmla="*/ 1682914 w 6889430"/>
            <a:gd name="connsiteY28" fmla="*/ 292691 h 1199459"/>
            <a:gd name="connsiteX29" fmla="*/ 1899122 w 6889430"/>
            <a:gd name="connsiteY29" fmla="*/ 579643 h 1199459"/>
            <a:gd name="connsiteX30" fmla="*/ 2074426 w 6889430"/>
            <a:gd name="connsiteY30" fmla="*/ 843639 h 1199459"/>
            <a:gd name="connsiteX31" fmla="*/ 2270181 w 6889430"/>
            <a:gd name="connsiteY31" fmla="*/ 434254 h 1199459"/>
            <a:gd name="connsiteX32" fmla="*/ 2512685 w 6889430"/>
            <a:gd name="connsiteY32" fmla="*/ 0 h 1199459"/>
            <a:gd name="connsiteX33" fmla="*/ 2720127 w 6889430"/>
            <a:gd name="connsiteY33" fmla="*/ 535644 h 1199459"/>
            <a:gd name="connsiteX34" fmla="*/ 2971396 w 6889430"/>
            <a:gd name="connsiteY34" fmla="*/ 1170764 h 1199459"/>
            <a:gd name="connsiteX35" fmla="*/ 3199290 w 6889430"/>
            <a:gd name="connsiteY35" fmla="*/ 732684 h 1199459"/>
            <a:gd name="connsiteX36" fmla="*/ 3459324 w 6889430"/>
            <a:gd name="connsiteY36" fmla="*/ 281213 h 1199459"/>
            <a:gd name="connsiteX37" fmla="*/ 3669688 w 6889430"/>
            <a:gd name="connsiteY37" fmla="*/ 594947 h 1199459"/>
            <a:gd name="connsiteX38" fmla="*/ 3818696 w 6889430"/>
            <a:gd name="connsiteY38" fmla="*/ 864682 h 1199459"/>
            <a:gd name="connsiteX39" fmla="*/ 3958939 w 6889430"/>
            <a:gd name="connsiteY39" fmla="*/ 736510 h 1199459"/>
            <a:gd name="connsiteX40" fmla="*/ 4154695 w 6889430"/>
            <a:gd name="connsiteY40" fmla="*/ 581556 h 1199459"/>
            <a:gd name="connsiteX41" fmla="*/ 4341685 w 6889430"/>
            <a:gd name="connsiteY41" fmla="*/ 784335 h 1199459"/>
            <a:gd name="connsiteX42" fmla="*/ 4546206 w 6889430"/>
            <a:gd name="connsiteY42" fmla="*/ 1011984 h 1199459"/>
            <a:gd name="connsiteX43" fmla="*/ 4777023 w 6889430"/>
            <a:gd name="connsiteY43" fmla="*/ 583469 h 1199459"/>
            <a:gd name="connsiteX44" fmla="*/ 5042900 w 6889430"/>
            <a:gd name="connsiteY44" fmla="*/ 139650 h 1199459"/>
            <a:gd name="connsiteX45" fmla="*/ 5279560 w 6889430"/>
            <a:gd name="connsiteY45" fmla="*/ 558600 h 1199459"/>
            <a:gd name="connsiteX46" fmla="*/ 5469472 w 6889430"/>
            <a:gd name="connsiteY46" fmla="*/ 946941 h 1199459"/>
            <a:gd name="connsiteX47" fmla="*/ 5662305 w 6889430"/>
            <a:gd name="connsiteY47" fmla="*/ 694424 h 1199459"/>
            <a:gd name="connsiteX48" fmla="*/ 5896043 w 6889430"/>
            <a:gd name="connsiteY48" fmla="*/ 420863 h 1199459"/>
            <a:gd name="connsiteX49" fmla="*/ 6129782 w 6889430"/>
            <a:gd name="connsiteY49" fmla="*/ 700163 h 1199459"/>
            <a:gd name="connsiteX50" fmla="*/ 6386894 w 6889430"/>
            <a:gd name="connsiteY50" fmla="*/ 1013897 h 1199459"/>
            <a:gd name="connsiteX51" fmla="*/ 6389815 w 6889430"/>
            <a:gd name="connsiteY51" fmla="*/ 1013897 h 1199459"/>
            <a:gd name="connsiteX52" fmla="*/ 6565119 w 6889430"/>
            <a:gd name="connsiteY52" fmla="*/ 845552 h 1199459"/>
            <a:gd name="connsiteX53" fmla="*/ 6868978 w 6889430"/>
            <a:gd name="connsiteY53" fmla="*/ 608338 h 1199459"/>
            <a:gd name="connsiteX54" fmla="*/ 6889430 w 6889430"/>
            <a:gd name="connsiteY54" fmla="*/ 621729 h 1199459"/>
            <a:gd name="connsiteX55" fmla="*/ 6868978 w 6889430"/>
            <a:gd name="connsiteY55" fmla="*/ 635120 h 1199459"/>
            <a:gd name="connsiteX56" fmla="*/ 6606023 w 6889430"/>
            <a:gd name="connsiteY56" fmla="*/ 853204 h 1199459"/>
            <a:gd name="connsiteX57" fmla="*/ 6386894 w 6889430"/>
            <a:gd name="connsiteY57" fmla="*/ 1040679 h 1199459"/>
            <a:gd name="connsiteX58" fmla="*/ 6088878 w 6889430"/>
            <a:gd name="connsiteY58" fmla="*/ 705902 h 1199459"/>
            <a:gd name="connsiteX59" fmla="*/ 5896043 w 6889430"/>
            <a:gd name="connsiteY59" fmla="*/ 447645 h 1199459"/>
            <a:gd name="connsiteX60" fmla="*/ 5703210 w 6889430"/>
            <a:gd name="connsiteY60" fmla="*/ 700163 h 1199459"/>
            <a:gd name="connsiteX61" fmla="*/ 5469472 w 6889430"/>
            <a:gd name="connsiteY61" fmla="*/ 973724 h 1199459"/>
            <a:gd name="connsiteX62" fmla="*/ 5235734 w 6889430"/>
            <a:gd name="connsiteY62" fmla="*/ 560513 h 1199459"/>
            <a:gd name="connsiteX63" fmla="*/ 5042900 w 6889430"/>
            <a:gd name="connsiteY63" fmla="*/ 166432 h 1199459"/>
            <a:gd name="connsiteX64" fmla="*/ 4820849 w 6889430"/>
            <a:gd name="connsiteY64" fmla="*/ 585382 h 1199459"/>
            <a:gd name="connsiteX65" fmla="*/ 4546206 w 6889430"/>
            <a:gd name="connsiteY65" fmla="*/ 1038766 h 1199459"/>
            <a:gd name="connsiteX66" fmla="*/ 4300781 w 6889430"/>
            <a:gd name="connsiteY66" fmla="*/ 791987 h 1199459"/>
            <a:gd name="connsiteX67" fmla="*/ 4154695 w 6889430"/>
            <a:gd name="connsiteY67" fmla="*/ 608338 h 1199459"/>
            <a:gd name="connsiteX68" fmla="*/ 3999843 w 6889430"/>
            <a:gd name="connsiteY68" fmla="*/ 744162 h 1199459"/>
            <a:gd name="connsiteX69" fmla="*/ 3818696 w 6889430"/>
            <a:gd name="connsiteY69" fmla="*/ 891464 h 1199459"/>
            <a:gd name="connsiteX70" fmla="*/ 3625862 w 6889430"/>
            <a:gd name="connsiteY70" fmla="*/ 596860 h 1199459"/>
            <a:gd name="connsiteX71" fmla="*/ 3456402 w 6889430"/>
            <a:gd name="connsiteY71" fmla="*/ 307995 h 1199459"/>
            <a:gd name="connsiteX72" fmla="*/ 3240194 w 6889430"/>
            <a:gd name="connsiteY72" fmla="*/ 734597 h 1199459"/>
            <a:gd name="connsiteX73" fmla="*/ 2974317 w 6889430"/>
            <a:gd name="connsiteY73" fmla="*/ 1199459 h 1199459"/>
            <a:gd name="connsiteX74" fmla="*/ 2974317 w 6889430"/>
            <a:gd name="connsiteY74" fmla="*/ 1199459 h 1199459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  <a:cxn ang="0">
              <a:pos x="connsiteX55" y="connsiteY55"/>
            </a:cxn>
            <a:cxn ang="0">
              <a:pos x="connsiteX56" y="connsiteY56"/>
            </a:cxn>
            <a:cxn ang="0">
              <a:pos x="connsiteX57" y="connsiteY57"/>
            </a:cxn>
            <a:cxn ang="0">
              <a:pos x="connsiteX58" y="connsiteY58"/>
            </a:cxn>
            <a:cxn ang="0">
              <a:pos x="connsiteX59" y="connsiteY59"/>
            </a:cxn>
            <a:cxn ang="0">
              <a:pos x="connsiteX60" y="connsiteY60"/>
            </a:cxn>
            <a:cxn ang="0">
              <a:pos x="connsiteX61" y="connsiteY61"/>
            </a:cxn>
            <a:cxn ang="0">
              <a:pos x="connsiteX62" y="connsiteY62"/>
            </a:cxn>
            <a:cxn ang="0">
              <a:pos x="connsiteX63" y="connsiteY63"/>
            </a:cxn>
            <a:cxn ang="0">
              <a:pos x="connsiteX64" y="connsiteY64"/>
            </a:cxn>
            <a:cxn ang="0">
              <a:pos x="connsiteX65" y="connsiteY65"/>
            </a:cxn>
            <a:cxn ang="0">
              <a:pos x="connsiteX66" y="connsiteY66"/>
            </a:cxn>
            <a:cxn ang="0">
              <a:pos x="connsiteX67" y="connsiteY67"/>
            </a:cxn>
            <a:cxn ang="0">
              <a:pos x="connsiteX68" y="connsiteY68"/>
            </a:cxn>
            <a:cxn ang="0">
              <a:pos x="connsiteX69" y="connsiteY69"/>
            </a:cxn>
            <a:cxn ang="0">
              <a:pos x="connsiteX70" y="connsiteY70"/>
            </a:cxn>
            <a:cxn ang="0">
              <a:pos x="connsiteX71" y="connsiteY71"/>
            </a:cxn>
            <a:cxn ang="0">
              <a:pos x="connsiteX72" y="connsiteY72"/>
            </a:cxn>
            <a:cxn ang="0">
              <a:pos x="connsiteX73" y="connsiteY73"/>
            </a:cxn>
            <a:cxn ang="0">
              <a:pos x="connsiteX74" y="connsiteY74"/>
            </a:cxn>
          </a:cxnLst>
          <a:rect l="l" t="t" r="r" b="b"/>
          <a:pathLst>
            <a:path w="6889430" h="1199459">
              <a:moveTo>
                <a:pt x="2974317" y="1199459"/>
              </a:moveTo>
              <a:cubicBezTo>
                <a:pt x="2743501" y="1199459"/>
                <a:pt x="2711362" y="862769"/>
                <a:pt x="2679223" y="537557"/>
              </a:cubicBezTo>
              <a:cubicBezTo>
                <a:pt x="2655849" y="298430"/>
                <a:pt x="2629554" y="28695"/>
                <a:pt x="2512685" y="28695"/>
              </a:cubicBezTo>
              <a:cubicBezTo>
                <a:pt x="2387050" y="28695"/>
                <a:pt x="2346146" y="248692"/>
                <a:pt x="2311085" y="441906"/>
              </a:cubicBezTo>
              <a:cubicBezTo>
                <a:pt x="2270181" y="665729"/>
                <a:pt x="2232199" y="876160"/>
                <a:pt x="2071504" y="876160"/>
              </a:cubicBezTo>
              <a:cubicBezTo>
                <a:pt x="1945870" y="876160"/>
                <a:pt x="1902044" y="736510"/>
                <a:pt x="1855296" y="589208"/>
              </a:cubicBezTo>
              <a:cubicBezTo>
                <a:pt x="1814392" y="464862"/>
                <a:pt x="1770566" y="325212"/>
                <a:pt x="1679993" y="325212"/>
              </a:cubicBezTo>
              <a:cubicBezTo>
                <a:pt x="1577732" y="325212"/>
                <a:pt x="1528063" y="514601"/>
                <a:pt x="1484237" y="681033"/>
              </a:cubicBezTo>
              <a:cubicBezTo>
                <a:pt x="1428724" y="895290"/>
                <a:pt x="1373211" y="1099983"/>
                <a:pt x="1206673" y="1099983"/>
              </a:cubicBezTo>
              <a:cubicBezTo>
                <a:pt x="1051821" y="1099983"/>
                <a:pt x="1002152" y="943115"/>
                <a:pt x="955404" y="791987"/>
              </a:cubicBezTo>
              <a:cubicBezTo>
                <a:pt x="914500" y="663816"/>
                <a:pt x="873596" y="529905"/>
                <a:pt x="777179" y="529905"/>
              </a:cubicBezTo>
              <a:lnTo>
                <a:pt x="777179" y="529905"/>
              </a:lnTo>
              <a:cubicBezTo>
                <a:pt x="686606" y="529905"/>
                <a:pt x="636936" y="640859"/>
                <a:pt x="587267" y="747988"/>
              </a:cubicBezTo>
              <a:cubicBezTo>
                <a:pt x="531754" y="866595"/>
                <a:pt x="476241" y="989028"/>
                <a:pt x="350607" y="989028"/>
              </a:cubicBezTo>
              <a:lnTo>
                <a:pt x="350607" y="989028"/>
              </a:lnTo>
              <a:cubicBezTo>
                <a:pt x="236660" y="989028"/>
                <a:pt x="207443" y="901029"/>
                <a:pt x="178225" y="816857"/>
              </a:cubicBezTo>
              <a:cubicBezTo>
                <a:pt x="149008" y="734597"/>
                <a:pt x="119791" y="650424"/>
                <a:pt x="20452" y="644685"/>
              </a:cubicBezTo>
              <a:cubicBezTo>
                <a:pt x="8765" y="644685"/>
                <a:pt x="0" y="637033"/>
                <a:pt x="0" y="629381"/>
              </a:cubicBezTo>
              <a:cubicBezTo>
                <a:pt x="0" y="621729"/>
                <a:pt x="11687" y="615990"/>
                <a:pt x="23374" y="615990"/>
              </a:cubicBezTo>
              <a:cubicBezTo>
                <a:pt x="154851" y="621729"/>
                <a:pt x="189912" y="721206"/>
                <a:pt x="219129" y="809204"/>
              </a:cubicBezTo>
              <a:cubicBezTo>
                <a:pt x="245425" y="885725"/>
                <a:pt x="271721" y="958419"/>
                <a:pt x="350607" y="958419"/>
              </a:cubicBezTo>
              <a:lnTo>
                <a:pt x="350607" y="958419"/>
              </a:lnTo>
              <a:cubicBezTo>
                <a:pt x="444102" y="958419"/>
                <a:pt x="496693" y="845552"/>
                <a:pt x="546363" y="736510"/>
              </a:cubicBezTo>
              <a:cubicBezTo>
                <a:pt x="601876" y="614077"/>
                <a:pt x="657388" y="499296"/>
                <a:pt x="780101" y="497383"/>
              </a:cubicBezTo>
              <a:lnTo>
                <a:pt x="780101" y="497383"/>
              </a:lnTo>
              <a:cubicBezTo>
                <a:pt x="914500" y="497383"/>
                <a:pt x="955404" y="635120"/>
                <a:pt x="1002152" y="780509"/>
              </a:cubicBezTo>
              <a:cubicBezTo>
                <a:pt x="1045978" y="920159"/>
                <a:pt x="1089804" y="1065548"/>
                <a:pt x="1209595" y="1065548"/>
              </a:cubicBezTo>
              <a:cubicBezTo>
                <a:pt x="1341072" y="1065548"/>
                <a:pt x="1396585" y="855117"/>
                <a:pt x="1443333" y="671468"/>
              </a:cubicBezTo>
              <a:cubicBezTo>
                <a:pt x="1495924" y="468688"/>
                <a:pt x="1542672" y="292691"/>
                <a:pt x="1682914" y="292691"/>
              </a:cubicBezTo>
              <a:cubicBezTo>
                <a:pt x="1808549" y="292691"/>
                <a:pt x="1852374" y="432341"/>
                <a:pt x="1899122" y="579643"/>
              </a:cubicBezTo>
              <a:cubicBezTo>
                <a:pt x="1940026" y="703989"/>
                <a:pt x="1983852" y="843639"/>
                <a:pt x="2074426" y="843639"/>
              </a:cubicBezTo>
              <a:cubicBezTo>
                <a:pt x="2197138" y="843639"/>
                <a:pt x="2235121" y="625555"/>
                <a:pt x="2270181" y="434254"/>
              </a:cubicBezTo>
              <a:cubicBezTo>
                <a:pt x="2311085" y="212344"/>
                <a:pt x="2349068" y="0"/>
                <a:pt x="2512685" y="0"/>
              </a:cubicBezTo>
              <a:cubicBezTo>
                <a:pt x="2670458" y="0"/>
                <a:pt x="2693832" y="248692"/>
                <a:pt x="2720127" y="535644"/>
              </a:cubicBezTo>
              <a:cubicBezTo>
                <a:pt x="2749344" y="834074"/>
                <a:pt x="2781484" y="1170764"/>
                <a:pt x="2971396" y="1170764"/>
              </a:cubicBezTo>
              <a:cubicBezTo>
                <a:pt x="3126247" y="1170764"/>
                <a:pt x="3164230" y="946941"/>
                <a:pt x="3199290" y="732684"/>
              </a:cubicBezTo>
              <a:cubicBezTo>
                <a:pt x="3237273" y="499296"/>
                <a:pt x="3272333" y="281213"/>
                <a:pt x="3459324" y="281213"/>
              </a:cubicBezTo>
              <a:cubicBezTo>
                <a:pt x="3622941" y="281213"/>
                <a:pt x="3646314" y="439993"/>
                <a:pt x="3669688" y="594947"/>
              </a:cubicBezTo>
              <a:cubicBezTo>
                <a:pt x="3690140" y="726945"/>
                <a:pt x="3710593" y="864682"/>
                <a:pt x="3818696" y="864682"/>
              </a:cubicBezTo>
              <a:cubicBezTo>
                <a:pt x="3885896" y="864682"/>
                <a:pt x="3920957" y="801552"/>
                <a:pt x="3958939" y="736510"/>
              </a:cubicBezTo>
              <a:cubicBezTo>
                <a:pt x="4002765" y="659989"/>
                <a:pt x="4046591" y="581556"/>
                <a:pt x="4154695" y="581556"/>
              </a:cubicBezTo>
              <a:cubicBezTo>
                <a:pt x="4245268" y="581556"/>
                <a:pt x="4289094" y="675294"/>
                <a:pt x="4341685" y="784335"/>
              </a:cubicBezTo>
              <a:cubicBezTo>
                <a:pt x="4391354" y="891464"/>
                <a:pt x="4446868" y="1011984"/>
                <a:pt x="4546206" y="1011984"/>
              </a:cubicBezTo>
              <a:cubicBezTo>
                <a:pt x="4677684" y="1011984"/>
                <a:pt x="4730275" y="784335"/>
                <a:pt x="4777023" y="583469"/>
              </a:cubicBezTo>
              <a:cubicBezTo>
                <a:pt x="4829613" y="355820"/>
                <a:pt x="4879283" y="139650"/>
                <a:pt x="5042900" y="139650"/>
              </a:cubicBezTo>
              <a:cubicBezTo>
                <a:pt x="5194829" y="139650"/>
                <a:pt x="5235734" y="342429"/>
                <a:pt x="5279560" y="558600"/>
              </a:cubicBezTo>
              <a:cubicBezTo>
                <a:pt x="5317542" y="740336"/>
                <a:pt x="5358446" y="946941"/>
                <a:pt x="5469472" y="946941"/>
              </a:cubicBezTo>
              <a:cubicBezTo>
                <a:pt x="5560045" y="946941"/>
                <a:pt x="5612636" y="813031"/>
                <a:pt x="5662305" y="694424"/>
              </a:cubicBezTo>
              <a:cubicBezTo>
                <a:pt x="5720740" y="552861"/>
                <a:pt x="5773331" y="420863"/>
                <a:pt x="5896043" y="420863"/>
              </a:cubicBezTo>
              <a:cubicBezTo>
                <a:pt x="6012913" y="420863"/>
                <a:pt x="6068426" y="549035"/>
                <a:pt x="6129782" y="700163"/>
              </a:cubicBezTo>
              <a:cubicBezTo>
                <a:pt x="6191138" y="845552"/>
                <a:pt x="6261259" y="1010071"/>
                <a:pt x="6386894" y="1013897"/>
              </a:cubicBezTo>
              <a:cubicBezTo>
                <a:pt x="6386894" y="1013897"/>
                <a:pt x="6389815" y="1013897"/>
                <a:pt x="6389815" y="1013897"/>
              </a:cubicBezTo>
              <a:cubicBezTo>
                <a:pt x="6474545" y="1013897"/>
                <a:pt x="6518371" y="931637"/>
                <a:pt x="6565119" y="845552"/>
              </a:cubicBezTo>
              <a:cubicBezTo>
                <a:pt x="6623554" y="734597"/>
                <a:pt x="6693675" y="608338"/>
                <a:pt x="6868978" y="608338"/>
              </a:cubicBezTo>
              <a:cubicBezTo>
                <a:pt x="6880666" y="608338"/>
                <a:pt x="6889430" y="614077"/>
                <a:pt x="6889430" y="621729"/>
              </a:cubicBezTo>
              <a:cubicBezTo>
                <a:pt x="6889430" y="629381"/>
                <a:pt x="6880666" y="635120"/>
                <a:pt x="6868978" y="635120"/>
              </a:cubicBezTo>
              <a:cubicBezTo>
                <a:pt x="6722892" y="635120"/>
                <a:pt x="6664458" y="746075"/>
                <a:pt x="6606023" y="853204"/>
              </a:cubicBezTo>
              <a:cubicBezTo>
                <a:pt x="6553432" y="950767"/>
                <a:pt x="6503763" y="1044505"/>
                <a:pt x="6386894" y="1040679"/>
              </a:cubicBezTo>
              <a:cubicBezTo>
                <a:pt x="6226199" y="1036853"/>
                <a:pt x="6156077" y="868508"/>
                <a:pt x="6088878" y="705902"/>
              </a:cubicBezTo>
              <a:cubicBezTo>
                <a:pt x="6036286" y="579643"/>
                <a:pt x="5980774" y="447645"/>
                <a:pt x="5896043" y="447645"/>
              </a:cubicBezTo>
              <a:cubicBezTo>
                <a:pt x="5805470" y="447645"/>
                <a:pt x="5752879" y="581556"/>
                <a:pt x="5703210" y="700163"/>
              </a:cubicBezTo>
              <a:cubicBezTo>
                <a:pt x="5644775" y="839813"/>
                <a:pt x="5592184" y="973724"/>
                <a:pt x="5469472" y="973724"/>
              </a:cubicBezTo>
              <a:cubicBezTo>
                <a:pt x="5320464" y="973724"/>
                <a:pt x="5279560" y="772857"/>
                <a:pt x="5235734" y="560513"/>
              </a:cubicBezTo>
              <a:cubicBezTo>
                <a:pt x="5197751" y="376864"/>
                <a:pt x="5156847" y="166432"/>
                <a:pt x="5042900" y="166432"/>
              </a:cubicBezTo>
              <a:cubicBezTo>
                <a:pt x="4917265" y="166432"/>
                <a:pt x="4864674" y="388342"/>
                <a:pt x="4820849" y="585382"/>
              </a:cubicBezTo>
              <a:cubicBezTo>
                <a:pt x="4768257" y="818770"/>
                <a:pt x="4715666" y="1038766"/>
                <a:pt x="4546206" y="1038766"/>
              </a:cubicBezTo>
              <a:cubicBezTo>
                <a:pt x="4414728" y="1038766"/>
                <a:pt x="4356294" y="912507"/>
                <a:pt x="4300781" y="791987"/>
              </a:cubicBezTo>
              <a:cubicBezTo>
                <a:pt x="4259877" y="705902"/>
                <a:pt x="4216051" y="608338"/>
                <a:pt x="4154695" y="608338"/>
              </a:cubicBezTo>
              <a:cubicBezTo>
                <a:pt x="4078730" y="608338"/>
                <a:pt x="4037826" y="677207"/>
                <a:pt x="3999843" y="744162"/>
              </a:cubicBezTo>
              <a:cubicBezTo>
                <a:pt x="3958939" y="816857"/>
                <a:pt x="3915113" y="891464"/>
                <a:pt x="3818696" y="891464"/>
              </a:cubicBezTo>
              <a:cubicBezTo>
                <a:pt x="3672610" y="891464"/>
                <a:pt x="3649236" y="747988"/>
                <a:pt x="3625862" y="596860"/>
              </a:cubicBezTo>
              <a:cubicBezTo>
                <a:pt x="3602488" y="455297"/>
                <a:pt x="3582036" y="307995"/>
                <a:pt x="3456402" y="307995"/>
              </a:cubicBezTo>
              <a:cubicBezTo>
                <a:pt x="3310316" y="307995"/>
                <a:pt x="3275255" y="524166"/>
                <a:pt x="3240194" y="734597"/>
              </a:cubicBezTo>
              <a:cubicBezTo>
                <a:pt x="3205134" y="973724"/>
                <a:pt x="3170073" y="1199459"/>
                <a:pt x="2974317" y="1199459"/>
              </a:cubicBezTo>
              <a:lnTo>
                <a:pt x="2974317" y="1199459"/>
              </a:lnTo>
              <a:close/>
            </a:path>
          </a:pathLst>
        </a:custGeom>
        <a:solidFill>
          <a:schemeClr val="accent1">
            <a:lumMod val="40000"/>
            <a:lumOff val="60000"/>
          </a:schemeClr>
        </a:solidFill>
        <a:ln w="29208" cap="flat">
          <a:noFill/>
          <a:prstDash val="solid"/>
          <a:miter/>
        </a:ln>
      </xdr:spPr>
      <xdr:txBody>
        <a:bodyPr rtlCol="0" anchor="ctr"/>
        <a:lstStyle/>
        <a:p>
          <a:endParaRPr lang="en-US"/>
        </a:p>
      </xdr:txBody>
    </xdr:sp>
    <xdr:clientData/>
  </xdr:twoCellAnchor>
  <xdr:twoCellAnchor>
    <xdr:from>
      <xdr:col>5</xdr:col>
      <xdr:colOff>3928</xdr:colOff>
      <xdr:row>1</xdr:row>
      <xdr:rowOff>142421</xdr:rowOff>
    </xdr:from>
    <xdr:to>
      <xdr:col>9</xdr:col>
      <xdr:colOff>961445</xdr:colOff>
      <xdr:row>2</xdr:row>
      <xdr:rowOff>794087</xdr:rowOff>
    </xdr:to>
    <xdr:sp macro="" textlink="">
      <xdr:nvSpPr>
        <xdr:cNvPr id="4" name="Freeform: Shape 3">
          <a:extLst>
            <a:ext uri="{FF2B5EF4-FFF2-40B4-BE49-F238E27FC236}">
              <a16:creationId xmlns:a16="http://schemas.microsoft.com/office/drawing/2014/main" id="{A6AEE3A1-7861-413E-B23F-24A1393CE04B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SpPr/>
      </xdr:nvSpPr>
      <xdr:spPr>
        <a:xfrm>
          <a:off x="7704891" y="342446"/>
          <a:ext cx="6901117" cy="946941"/>
        </a:xfrm>
        <a:custGeom>
          <a:avLst/>
          <a:gdLst>
            <a:gd name="connsiteX0" fmla="*/ 2968474 w 6901117"/>
            <a:gd name="connsiteY0" fmla="*/ 946941 h 946941"/>
            <a:gd name="connsiteX1" fmla="*/ 2690910 w 6901117"/>
            <a:gd name="connsiteY1" fmla="*/ 441906 h 946941"/>
            <a:gd name="connsiteX2" fmla="*/ 2512685 w 6901117"/>
            <a:gd name="connsiteY2" fmla="*/ 28695 h 946941"/>
            <a:gd name="connsiteX3" fmla="*/ 2316929 w 6901117"/>
            <a:gd name="connsiteY3" fmla="*/ 350081 h 946941"/>
            <a:gd name="connsiteX4" fmla="*/ 2080269 w 6901117"/>
            <a:gd name="connsiteY4" fmla="*/ 692511 h 946941"/>
            <a:gd name="connsiteX5" fmla="*/ 1855296 w 6901117"/>
            <a:gd name="connsiteY5" fmla="*/ 472514 h 946941"/>
            <a:gd name="connsiteX6" fmla="*/ 1674149 w 6901117"/>
            <a:gd name="connsiteY6" fmla="*/ 271648 h 946941"/>
            <a:gd name="connsiteX7" fmla="*/ 1446255 w 6901117"/>
            <a:gd name="connsiteY7" fmla="*/ 570078 h 946941"/>
            <a:gd name="connsiteX8" fmla="*/ 1206673 w 6901117"/>
            <a:gd name="connsiteY8" fmla="*/ 866595 h 946941"/>
            <a:gd name="connsiteX9" fmla="*/ 972935 w 6901117"/>
            <a:gd name="connsiteY9" fmla="*/ 627468 h 946941"/>
            <a:gd name="connsiteX10" fmla="*/ 809318 w 6901117"/>
            <a:gd name="connsiteY10" fmla="*/ 428515 h 946941"/>
            <a:gd name="connsiteX11" fmla="*/ 809318 w 6901117"/>
            <a:gd name="connsiteY11" fmla="*/ 428515 h 946941"/>
            <a:gd name="connsiteX12" fmla="*/ 639858 w 6901117"/>
            <a:gd name="connsiteY12" fmla="*/ 583469 h 946941"/>
            <a:gd name="connsiteX13" fmla="*/ 414885 w 6901117"/>
            <a:gd name="connsiteY13" fmla="*/ 767118 h 946941"/>
            <a:gd name="connsiteX14" fmla="*/ 186990 w 6901117"/>
            <a:gd name="connsiteY14" fmla="*/ 619816 h 946941"/>
            <a:gd name="connsiteX15" fmla="*/ 20452 w 6901117"/>
            <a:gd name="connsiteY15" fmla="*/ 499296 h 946941"/>
            <a:gd name="connsiteX16" fmla="*/ 20452 w 6901117"/>
            <a:gd name="connsiteY16" fmla="*/ 499296 h 946941"/>
            <a:gd name="connsiteX17" fmla="*/ 0 w 6901117"/>
            <a:gd name="connsiteY17" fmla="*/ 485905 h 946941"/>
            <a:gd name="connsiteX18" fmla="*/ 20452 w 6901117"/>
            <a:gd name="connsiteY18" fmla="*/ 472514 h 946941"/>
            <a:gd name="connsiteX19" fmla="*/ 20452 w 6901117"/>
            <a:gd name="connsiteY19" fmla="*/ 472514 h 946941"/>
            <a:gd name="connsiteX20" fmla="*/ 227895 w 6901117"/>
            <a:gd name="connsiteY20" fmla="*/ 610251 h 946941"/>
            <a:gd name="connsiteX21" fmla="*/ 414885 w 6901117"/>
            <a:gd name="connsiteY21" fmla="*/ 740336 h 946941"/>
            <a:gd name="connsiteX22" fmla="*/ 598954 w 6901117"/>
            <a:gd name="connsiteY22" fmla="*/ 575817 h 946941"/>
            <a:gd name="connsiteX23" fmla="*/ 809318 w 6901117"/>
            <a:gd name="connsiteY23" fmla="*/ 399820 h 946941"/>
            <a:gd name="connsiteX24" fmla="*/ 809318 w 6901117"/>
            <a:gd name="connsiteY24" fmla="*/ 399820 h 946941"/>
            <a:gd name="connsiteX25" fmla="*/ 1016761 w 6901117"/>
            <a:gd name="connsiteY25" fmla="*/ 621729 h 946941"/>
            <a:gd name="connsiteX26" fmla="*/ 1209595 w 6901117"/>
            <a:gd name="connsiteY26" fmla="*/ 839813 h 946941"/>
            <a:gd name="connsiteX27" fmla="*/ 1408272 w 6901117"/>
            <a:gd name="connsiteY27" fmla="*/ 564339 h 946941"/>
            <a:gd name="connsiteX28" fmla="*/ 1677071 w 6901117"/>
            <a:gd name="connsiteY28" fmla="*/ 242953 h 946941"/>
            <a:gd name="connsiteX29" fmla="*/ 1902044 w 6901117"/>
            <a:gd name="connsiteY29" fmla="*/ 462949 h 946941"/>
            <a:gd name="connsiteX30" fmla="*/ 2083191 w 6901117"/>
            <a:gd name="connsiteY30" fmla="*/ 663815 h 946941"/>
            <a:gd name="connsiteX31" fmla="*/ 2276025 w 6901117"/>
            <a:gd name="connsiteY31" fmla="*/ 346255 h 946941"/>
            <a:gd name="connsiteX32" fmla="*/ 2515606 w 6901117"/>
            <a:gd name="connsiteY32" fmla="*/ 0 h 946941"/>
            <a:gd name="connsiteX33" fmla="*/ 2737657 w 6901117"/>
            <a:gd name="connsiteY33" fmla="*/ 438080 h 946941"/>
            <a:gd name="connsiteX34" fmla="*/ 2971396 w 6901117"/>
            <a:gd name="connsiteY34" fmla="*/ 916333 h 946941"/>
            <a:gd name="connsiteX35" fmla="*/ 3225586 w 6901117"/>
            <a:gd name="connsiteY35" fmla="*/ 549035 h 946941"/>
            <a:gd name="connsiteX36" fmla="*/ 3450559 w 6901117"/>
            <a:gd name="connsiteY36" fmla="*/ 218083 h 946941"/>
            <a:gd name="connsiteX37" fmla="*/ 3453480 w 6901117"/>
            <a:gd name="connsiteY37" fmla="*/ 218083 h 946941"/>
            <a:gd name="connsiteX38" fmla="*/ 3628784 w 6901117"/>
            <a:gd name="connsiteY38" fmla="*/ 441906 h 946941"/>
            <a:gd name="connsiteX39" fmla="*/ 3807009 w 6901117"/>
            <a:gd name="connsiteY39" fmla="*/ 675294 h 946941"/>
            <a:gd name="connsiteX40" fmla="*/ 3947252 w 6901117"/>
            <a:gd name="connsiteY40" fmla="*/ 571991 h 946941"/>
            <a:gd name="connsiteX41" fmla="*/ 4140086 w 6901117"/>
            <a:gd name="connsiteY41" fmla="*/ 445732 h 946941"/>
            <a:gd name="connsiteX42" fmla="*/ 4324155 w 6901117"/>
            <a:gd name="connsiteY42" fmla="*/ 610251 h 946941"/>
            <a:gd name="connsiteX43" fmla="*/ 4525754 w 6901117"/>
            <a:gd name="connsiteY43" fmla="*/ 791987 h 946941"/>
            <a:gd name="connsiteX44" fmla="*/ 4753649 w 6901117"/>
            <a:gd name="connsiteY44" fmla="*/ 459123 h 946941"/>
            <a:gd name="connsiteX45" fmla="*/ 5016604 w 6901117"/>
            <a:gd name="connsiteY45" fmla="*/ 109042 h 946941"/>
            <a:gd name="connsiteX46" fmla="*/ 5250342 w 6901117"/>
            <a:gd name="connsiteY46" fmla="*/ 438080 h 946941"/>
            <a:gd name="connsiteX47" fmla="*/ 5437333 w 6901117"/>
            <a:gd name="connsiteY47" fmla="*/ 740336 h 946941"/>
            <a:gd name="connsiteX48" fmla="*/ 5627245 w 6901117"/>
            <a:gd name="connsiteY48" fmla="*/ 543296 h 946941"/>
            <a:gd name="connsiteX49" fmla="*/ 5858061 w 6901117"/>
            <a:gd name="connsiteY49" fmla="*/ 327125 h 946941"/>
            <a:gd name="connsiteX50" fmla="*/ 6080113 w 6901117"/>
            <a:gd name="connsiteY50" fmla="*/ 568165 h 946941"/>
            <a:gd name="connsiteX51" fmla="*/ 6258338 w 6901117"/>
            <a:gd name="connsiteY51" fmla="*/ 790074 h 946941"/>
            <a:gd name="connsiteX52" fmla="*/ 6258338 w 6901117"/>
            <a:gd name="connsiteY52" fmla="*/ 790074 h 946941"/>
            <a:gd name="connsiteX53" fmla="*/ 6389815 w 6901117"/>
            <a:gd name="connsiteY53" fmla="*/ 692511 h 946941"/>
            <a:gd name="connsiteX54" fmla="*/ 6880665 w 6901117"/>
            <a:gd name="connsiteY54" fmla="*/ 457210 h 946941"/>
            <a:gd name="connsiteX55" fmla="*/ 6901117 w 6901117"/>
            <a:gd name="connsiteY55" fmla="*/ 470601 h 946941"/>
            <a:gd name="connsiteX56" fmla="*/ 6880665 w 6901117"/>
            <a:gd name="connsiteY56" fmla="*/ 483992 h 946941"/>
            <a:gd name="connsiteX57" fmla="*/ 6424876 w 6901117"/>
            <a:gd name="connsiteY57" fmla="*/ 703989 h 946941"/>
            <a:gd name="connsiteX58" fmla="*/ 6255416 w 6901117"/>
            <a:gd name="connsiteY58" fmla="*/ 816857 h 946941"/>
            <a:gd name="connsiteX59" fmla="*/ 6252494 w 6901117"/>
            <a:gd name="connsiteY59" fmla="*/ 816857 h 946941"/>
            <a:gd name="connsiteX60" fmla="*/ 6033365 w 6901117"/>
            <a:gd name="connsiteY60" fmla="*/ 573904 h 946941"/>
            <a:gd name="connsiteX61" fmla="*/ 5855139 w 6901117"/>
            <a:gd name="connsiteY61" fmla="*/ 353907 h 946941"/>
            <a:gd name="connsiteX62" fmla="*/ 5665227 w 6901117"/>
            <a:gd name="connsiteY62" fmla="*/ 550948 h 946941"/>
            <a:gd name="connsiteX63" fmla="*/ 5434411 w 6901117"/>
            <a:gd name="connsiteY63" fmla="*/ 767118 h 946941"/>
            <a:gd name="connsiteX64" fmla="*/ 5206516 w 6901117"/>
            <a:gd name="connsiteY64" fmla="*/ 441906 h 946941"/>
            <a:gd name="connsiteX65" fmla="*/ 5016604 w 6901117"/>
            <a:gd name="connsiteY65" fmla="*/ 135824 h 946941"/>
            <a:gd name="connsiteX66" fmla="*/ 4797475 w 6901117"/>
            <a:gd name="connsiteY66" fmla="*/ 461036 h 946941"/>
            <a:gd name="connsiteX67" fmla="*/ 4528676 w 6901117"/>
            <a:gd name="connsiteY67" fmla="*/ 816857 h 946941"/>
            <a:gd name="connsiteX68" fmla="*/ 4286172 w 6901117"/>
            <a:gd name="connsiteY68" fmla="*/ 617903 h 946941"/>
            <a:gd name="connsiteX69" fmla="*/ 4143008 w 6901117"/>
            <a:gd name="connsiteY69" fmla="*/ 472514 h 946941"/>
            <a:gd name="connsiteX70" fmla="*/ 3991078 w 6901117"/>
            <a:gd name="connsiteY70" fmla="*/ 581556 h 946941"/>
            <a:gd name="connsiteX71" fmla="*/ 3812853 w 6901117"/>
            <a:gd name="connsiteY71" fmla="*/ 702076 h 946941"/>
            <a:gd name="connsiteX72" fmla="*/ 3593723 w 6901117"/>
            <a:gd name="connsiteY72" fmla="*/ 443819 h 946941"/>
            <a:gd name="connsiteX73" fmla="*/ 3459324 w 6901117"/>
            <a:gd name="connsiteY73" fmla="*/ 244866 h 946941"/>
            <a:gd name="connsiteX74" fmla="*/ 3459324 w 6901117"/>
            <a:gd name="connsiteY74" fmla="*/ 244866 h 946941"/>
            <a:gd name="connsiteX75" fmla="*/ 3275255 w 6901117"/>
            <a:gd name="connsiteY75" fmla="*/ 550948 h 946941"/>
            <a:gd name="connsiteX76" fmla="*/ 2968474 w 6901117"/>
            <a:gd name="connsiteY76" fmla="*/ 946941 h 946941"/>
            <a:gd name="connsiteX77" fmla="*/ 2968474 w 6901117"/>
            <a:gd name="connsiteY77" fmla="*/ 946941 h 946941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  <a:cxn ang="0">
              <a:pos x="connsiteX55" y="connsiteY55"/>
            </a:cxn>
            <a:cxn ang="0">
              <a:pos x="connsiteX56" y="connsiteY56"/>
            </a:cxn>
            <a:cxn ang="0">
              <a:pos x="connsiteX57" y="connsiteY57"/>
            </a:cxn>
            <a:cxn ang="0">
              <a:pos x="connsiteX58" y="connsiteY58"/>
            </a:cxn>
            <a:cxn ang="0">
              <a:pos x="connsiteX59" y="connsiteY59"/>
            </a:cxn>
            <a:cxn ang="0">
              <a:pos x="connsiteX60" y="connsiteY60"/>
            </a:cxn>
            <a:cxn ang="0">
              <a:pos x="connsiteX61" y="connsiteY61"/>
            </a:cxn>
            <a:cxn ang="0">
              <a:pos x="connsiteX62" y="connsiteY62"/>
            </a:cxn>
            <a:cxn ang="0">
              <a:pos x="connsiteX63" y="connsiteY63"/>
            </a:cxn>
            <a:cxn ang="0">
              <a:pos x="connsiteX64" y="connsiteY64"/>
            </a:cxn>
            <a:cxn ang="0">
              <a:pos x="connsiteX65" y="connsiteY65"/>
            </a:cxn>
            <a:cxn ang="0">
              <a:pos x="connsiteX66" y="connsiteY66"/>
            </a:cxn>
            <a:cxn ang="0">
              <a:pos x="connsiteX67" y="connsiteY67"/>
            </a:cxn>
            <a:cxn ang="0">
              <a:pos x="connsiteX68" y="connsiteY68"/>
            </a:cxn>
            <a:cxn ang="0">
              <a:pos x="connsiteX69" y="connsiteY69"/>
            </a:cxn>
            <a:cxn ang="0">
              <a:pos x="connsiteX70" y="connsiteY70"/>
            </a:cxn>
            <a:cxn ang="0">
              <a:pos x="connsiteX71" y="connsiteY71"/>
            </a:cxn>
            <a:cxn ang="0">
              <a:pos x="connsiteX72" y="connsiteY72"/>
            </a:cxn>
            <a:cxn ang="0">
              <a:pos x="connsiteX73" y="connsiteY73"/>
            </a:cxn>
            <a:cxn ang="0">
              <a:pos x="connsiteX74" y="connsiteY74"/>
            </a:cxn>
            <a:cxn ang="0">
              <a:pos x="connsiteX75" y="connsiteY75"/>
            </a:cxn>
            <a:cxn ang="0">
              <a:pos x="connsiteX76" y="connsiteY76"/>
            </a:cxn>
            <a:cxn ang="0">
              <a:pos x="connsiteX77" y="connsiteY77"/>
            </a:cxn>
          </a:cxnLst>
          <a:rect l="l" t="t" r="r" b="b"/>
          <a:pathLst>
            <a:path w="6901117" h="946941">
              <a:moveTo>
                <a:pt x="2968474" y="946941"/>
              </a:moveTo>
              <a:cubicBezTo>
                <a:pt x="2763953" y="946941"/>
                <a:pt x="2728892" y="690598"/>
                <a:pt x="2690910" y="441906"/>
              </a:cubicBezTo>
              <a:cubicBezTo>
                <a:pt x="2661693" y="239127"/>
                <a:pt x="2632475" y="28695"/>
                <a:pt x="2512685" y="28695"/>
              </a:cubicBezTo>
              <a:cubicBezTo>
                <a:pt x="2389972" y="28695"/>
                <a:pt x="2351990" y="191301"/>
                <a:pt x="2316929" y="350081"/>
              </a:cubicBezTo>
              <a:cubicBezTo>
                <a:pt x="2276025" y="526079"/>
                <a:pt x="2238042" y="692511"/>
                <a:pt x="2080269" y="692511"/>
              </a:cubicBezTo>
              <a:cubicBezTo>
                <a:pt x="1960478" y="692511"/>
                <a:pt x="1907887" y="579643"/>
                <a:pt x="1855296" y="472514"/>
              </a:cubicBezTo>
              <a:cubicBezTo>
                <a:pt x="1808549" y="373038"/>
                <a:pt x="1761801" y="271648"/>
                <a:pt x="1674149" y="271648"/>
              </a:cubicBezTo>
              <a:cubicBezTo>
                <a:pt x="1563124" y="271648"/>
                <a:pt x="1501767" y="430428"/>
                <a:pt x="1446255" y="570078"/>
              </a:cubicBezTo>
              <a:cubicBezTo>
                <a:pt x="1387820" y="723119"/>
                <a:pt x="1332307" y="866595"/>
                <a:pt x="1206673" y="866595"/>
              </a:cubicBezTo>
              <a:cubicBezTo>
                <a:pt x="1054743" y="866595"/>
                <a:pt x="1010917" y="744162"/>
                <a:pt x="972935" y="627468"/>
              </a:cubicBezTo>
              <a:cubicBezTo>
                <a:pt x="937874" y="526079"/>
                <a:pt x="905735" y="428515"/>
                <a:pt x="809318" y="428515"/>
              </a:cubicBezTo>
              <a:lnTo>
                <a:pt x="809318" y="428515"/>
              </a:lnTo>
              <a:cubicBezTo>
                <a:pt x="721666" y="428515"/>
                <a:pt x="683684" y="505035"/>
                <a:pt x="639858" y="583469"/>
              </a:cubicBezTo>
              <a:cubicBezTo>
                <a:pt x="593110" y="673381"/>
                <a:pt x="546363" y="767118"/>
                <a:pt x="414885" y="767118"/>
              </a:cubicBezTo>
              <a:cubicBezTo>
                <a:pt x="280486" y="767118"/>
                <a:pt x="230816" y="688685"/>
                <a:pt x="186990" y="619816"/>
              </a:cubicBezTo>
              <a:cubicBezTo>
                <a:pt x="146086" y="554774"/>
                <a:pt x="111026" y="499296"/>
                <a:pt x="20452" y="499296"/>
              </a:cubicBezTo>
              <a:lnTo>
                <a:pt x="20452" y="499296"/>
              </a:lnTo>
              <a:cubicBezTo>
                <a:pt x="8765" y="499296"/>
                <a:pt x="0" y="493557"/>
                <a:pt x="0" y="485905"/>
              </a:cubicBezTo>
              <a:cubicBezTo>
                <a:pt x="0" y="478253"/>
                <a:pt x="8765" y="472514"/>
                <a:pt x="20452" y="472514"/>
              </a:cubicBezTo>
              <a:lnTo>
                <a:pt x="20452" y="472514"/>
              </a:lnTo>
              <a:cubicBezTo>
                <a:pt x="140243" y="472514"/>
                <a:pt x="184069" y="543296"/>
                <a:pt x="227895" y="610251"/>
              </a:cubicBezTo>
              <a:cubicBezTo>
                <a:pt x="268799" y="677207"/>
                <a:pt x="306781" y="740336"/>
                <a:pt x="414885" y="740336"/>
              </a:cubicBezTo>
              <a:cubicBezTo>
                <a:pt x="514224" y="740336"/>
                <a:pt x="555128" y="659989"/>
                <a:pt x="598954" y="575817"/>
              </a:cubicBezTo>
              <a:cubicBezTo>
                <a:pt x="642780" y="489731"/>
                <a:pt x="689527" y="401733"/>
                <a:pt x="809318" y="399820"/>
              </a:cubicBezTo>
              <a:lnTo>
                <a:pt x="809318" y="399820"/>
              </a:lnTo>
              <a:cubicBezTo>
                <a:pt x="940796" y="399820"/>
                <a:pt x="978778" y="512688"/>
                <a:pt x="1016761" y="621729"/>
              </a:cubicBezTo>
              <a:cubicBezTo>
                <a:pt x="1051821" y="728858"/>
                <a:pt x="1089804" y="839813"/>
                <a:pt x="1209595" y="839813"/>
              </a:cubicBezTo>
              <a:cubicBezTo>
                <a:pt x="1300168" y="839813"/>
                <a:pt x="1358603" y="694424"/>
                <a:pt x="1408272" y="564339"/>
              </a:cubicBezTo>
              <a:cubicBezTo>
                <a:pt x="1472550" y="399820"/>
                <a:pt x="1533906" y="242953"/>
                <a:pt x="1677071" y="242953"/>
              </a:cubicBezTo>
              <a:cubicBezTo>
                <a:pt x="1796862" y="242953"/>
                <a:pt x="1849453" y="355820"/>
                <a:pt x="1902044" y="462949"/>
              </a:cubicBezTo>
              <a:cubicBezTo>
                <a:pt x="1948791" y="562426"/>
                <a:pt x="1995539" y="663815"/>
                <a:pt x="2083191" y="663815"/>
              </a:cubicBezTo>
              <a:cubicBezTo>
                <a:pt x="2202982" y="663815"/>
                <a:pt x="2240964" y="501209"/>
                <a:pt x="2276025" y="346255"/>
              </a:cubicBezTo>
              <a:cubicBezTo>
                <a:pt x="2316929" y="168345"/>
                <a:pt x="2354911" y="0"/>
                <a:pt x="2515606" y="0"/>
              </a:cubicBezTo>
              <a:cubicBezTo>
                <a:pt x="2673380" y="0"/>
                <a:pt x="2702597" y="202779"/>
                <a:pt x="2737657" y="438080"/>
              </a:cubicBezTo>
              <a:cubicBezTo>
                <a:pt x="2769797" y="661903"/>
                <a:pt x="2807779" y="916333"/>
                <a:pt x="2971396" y="916333"/>
              </a:cubicBezTo>
              <a:cubicBezTo>
                <a:pt x="3135012" y="916333"/>
                <a:pt x="3181760" y="721206"/>
                <a:pt x="3225586" y="549035"/>
              </a:cubicBezTo>
              <a:cubicBezTo>
                <a:pt x="3266490" y="380690"/>
                <a:pt x="3307394" y="219996"/>
                <a:pt x="3450559" y="218083"/>
              </a:cubicBezTo>
              <a:cubicBezTo>
                <a:pt x="3450559" y="218083"/>
                <a:pt x="3450559" y="218083"/>
                <a:pt x="3453480" y="218083"/>
              </a:cubicBezTo>
              <a:cubicBezTo>
                <a:pt x="3570349" y="218083"/>
                <a:pt x="3599567" y="327125"/>
                <a:pt x="3628784" y="441906"/>
              </a:cubicBezTo>
              <a:cubicBezTo>
                <a:pt x="3658001" y="556687"/>
                <a:pt x="3690140" y="675294"/>
                <a:pt x="3807009" y="675294"/>
              </a:cubicBezTo>
              <a:cubicBezTo>
                <a:pt x="3874209" y="675294"/>
                <a:pt x="3909270" y="625555"/>
                <a:pt x="3947252" y="571991"/>
              </a:cubicBezTo>
              <a:cubicBezTo>
                <a:pt x="3988156" y="512688"/>
                <a:pt x="4034904" y="445732"/>
                <a:pt x="4140086" y="445732"/>
              </a:cubicBezTo>
              <a:cubicBezTo>
                <a:pt x="4230660" y="445732"/>
                <a:pt x="4274486" y="526079"/>
                <a:pt x="4324155" y="610251"/>
              </a:cubicBezTo>
              <a:cubicBezTo>
                <a:pt x="4373824" y="700163"/>
                <a:pt x="4429337" y="791987"/>
                <a:pt x="4525754" y="791987"/>
              </a:cubicBezTo>
              <a:cubicBezTo>
                <a:pt x="4657232" y="791987"/>
                <a:pt x="4706901" y="621729"/>
                <a:pt x="4753649" y="459123"/>
              </a:cubicBezTo>
              <a:cubicBezTo>
                <a:pt x="4806240" y="279300"/>
                <a:pt x="4852988" y="109042"/>
                <a:pt x="5016604" y="109042"/>
              </a:cubicBezTo>
              <a:cubicBezTo>
                <a:pt x="5168534" y="109042"/>
                <a:pt x="5206516" y="269735"/>
                <a:pt x="5250342" y="438080"/>
              </a:cubicBezTo>
              <a:cubicBezTo>
                <a:pt x="5288325" y="585382"/>
                <a:pt x="5326307" y="740336"/>
                <a:pt x="5437333" y="740336"/>
              </a:cubicBezTo>
              <a:cubicBezTo>
                <a:pt x="5527906" y="740336"/>
                <a:pt x="5577575" y="640859"/>
                <a:pt x="5627245" y="543296"/>
              </a:cubicBezTo>
              <a:cubicBezTo>
                <a:pt x="5682758" y="438080"/>
                <a:pt x="5738270" y="327125"/>
                <a:pt x="5858061" y="327125"/>
              </a:cubicBezTo>
              <a:cubicBezTo>
                <a:pt x="5980774" y="327125"/>
                <a:pt x="6027521" y="443819"/>
                <a:pt x="6080113" y="568165"/>
              </a:cubicBezTo>
              <a:cubicBezTo>
                <a:pt x="6123938" y="677207"/>
                <a:pt x="6170686" y="788161"/>
                <a:pt x="6258338" y="790074"/>
              </a:cubicBezTo>
              <a:cubicBezTo>
                <a:pt x="6258338" y="790074"/>
                <a:pt x="6258338" y="790074"/>
                <a:pt x="6258338" y="790074"/>
              </a:cubicBezTo>
              <a:cubicBezTo>
                <a:pt x="6305085" y="790074"/>
                <a:pt x="6343068" y="746075"/>
                <a:pt x="6389815" y="692511"/>
              </a:cubicBezTo>
              <a:cubicBezTo>
                <a:pt x="6474546" y="593034"/>
                <a:pt x="6594336" y="457210"/>
                <a:pt x="6880665" y="457210"/>
              </a:cubicBezTo>
              <a:cubicBezTo>
                <a:pt x="6892352" y="457210"/>
                <a:pt x="6901117" y="462949"/>
                <a:pt x="6901117" y="470601"/>
              </a:cubicBezTo>
              <a:cubicBezTo>
                <a:pt x="6901117" y="478253"/>
                <a:pt x="6892352" y="483992"/>
                <a:pt x="6880665" y="483992"/>
              </a:cubicBezTo>
              <a:cubicBezTo>
                <a:pt x="6617710" y="483992"/>
                <a:pt x="6512528" y="606425"/>
                <a:pt x="6424876" y="703989"/>
              </a:cubicBezTo>
              <a:cubicBezTo>
                <a:pt x="6369363" y="767118"/>
                <a:pt x="6328459" y="816857"/>
                <a:pt x="6255416" y="816857"/>
              </a:cubicBezTo>
              <a:cubicBezTo>
                <a:pt x="6255416" y="816857"/>
                <a:pt x="6252494" y="816857"/>
                <a:pt x="6252494" y="816857"/>
              </a:cubicBezTo>
              <a:cubicBezTo>
                <a:pt x="6132703" y="814944"/>
                <a:pt x="6083034" y="698250"/>
                <a:pt x="6033365" y="573904"/>
              </a:cubicBezTo>
              <a:cubicBezTo>
                <a:pt x="5989539" y="464862"/>
                <a:pt x="5942791" y="353907"/>
                <a:pt x="5855139" y="353907"/>
              </a:cubicBezTo>
              <a:cubicBezTo>
                <a:pt x="5764566" y="353907"/>
                <a:pt x="5714897" y="453384"/>
                <a:pt x="5665227" y="550948"/>
              </a:cubicBezTo>
              <a:cubicBezTo>
                <a:pt x="5609714" y="656163"/>
                <a:pt x="5554202" y="767118"/>
                <a:pt x="5434411" y="767118"/>
              </a:cubicBezTo>
              <a:cubicBezTo>
                <a:pt x="5288325" y="767118"/>
                <a:pt x="5247421" y="608338"/>
                <a:pt x="5206516" y="441906"/>
              </a:cubicBezTo>
              <a:cubicBezTo>
                <a:pt x="5168534" y="290778"/>
                <a:pt x="5127630" y="135824"/>
                <a:pt x="5016604" y="135824"/>
              </a:cubicBezTo>
              <a:cubicBezTo>
                <a:pt x="4890970" y="135824"/>
                <a:pt x="4844222" y="302256"/>
                <a:pt x="4797475" y="461036"/>
              </a:cubicBezTo>
              <a:cubicBezTo>
                <a:pt x="4744883" y="644685"/>
                <a:pt x="4695214" y="816857"/>
                <a:pt x="4528676" y="816857"/>
              </a:cubicBezTo>
              <a:cubicBezTo>
                <a:pt x="4400120" y="816857"/>
                <a:pt x="4341686" y="709728"/>
                <a:pt x="4286172" y="617903"/>
              </a:cubicBezTo>
              <a:cubicBezTo>
                <a:pt x="4245268" y="545209"/>
                <a:pt x="4201443" y="472514"/>
                <a:pt x="4143008" y="472514"/>
              </a:cubicBezTo>
              <a:cubicBezTo>
                <a:pt x="4067043" y="472514"/>
                <a:pt x="4029060" y="526079"/>
                <a:pt x="3991078" y="581556"/>
              </a:cubicBezTo>
              <a:cubicBezTo>
                <a:pt x="3950174" y="640859"/>
                <a:pt x="3906348" y="702076"/>
                <a:pt x="3812853" y="702076"/>
              </a:cubicBezTo>
              <a:cubicBezTo>
                <a:pt x="3660923" y="702076"/>
                <a:pt x="3625862" y="571991"/>
                <a:pt x="3593723" y="443819"/>
              </a:cubicBezTo>
              <a:cubicBezTo>
                <a:pt x="3567428" y="346255"/>
                <a:pt x="3541132" y="244866"/>
                <a:pt x="3459324" y="244866"/>
              </a:cubicBezTo>
              <a:cubicBezTo>
                <a:pt x="3459324" y="244866"/>
                <a:pt x="3459324" y="244866"/>
                <a:pt x="3459324" y="244866"/>
              </a:cubicBezTo>
              <a:cubicBezTo>
                <a:pt x="3351220" y="246779"/>
                <a:pt x="3313238" y="401733"/>
                <a:pt x="3275255" y="550948"/>
              </a:cubicBezTo>
              <a:cubicBezTo>
                <a:pt x="3216821" y="747988"/>
                <a:pt x="3170073" y="946941"/>
                <a:pt x="2968474" y="946941"/>
              </a:cubicBezTo>
              <a:lnTo>
                <a:pt x="2968474" y="946941"/>
              </a:lnTo>
              <a:close/>
            </a:path>
          </a:pathLst>
        </a:custGeom>
        <a:solidFill>
          <a:schemeClr val="tx2">
            <a:lumMod val="50000"/>
            <a:lumOff val="50000"/>
          </a:schemeClr>
        </a:solidFill>
        <a:ln w="29208" cap="flat">
          <a:noFill/>
          <a:prstDash val="solid"/>
          <a:miter/>
        </a:ln>
      </xdr:spPr>
      <xdr:txBody>
        <a:bodyPr rtlCol="0" anchor="ctr"/>
        <a:lstStyle/>
        <a:p>
          <a:endParaRPr lang="en-US"/>
        </a:p>
      </xdr:txBody>
    </xdr:sp>
    <xdr:clientData/>
  </xdr:twoCellAnchor>
  <xdr:twoCellAnchor editAs="oneCell">
    <xdr:from>
      <xdr:col>1</xdr:col>
      <xdr:colOff>1480344</xdr:colOff>
      <xdr:row>0</xdr:row>
      <xdr:rowOff>79376</xdr:rowOff>
    </xdr:from>
    <xdr:to>
      <xdr:col>1</xdr:col>
      <xdr:colOff>2059781</xdr:colOff>
      <xdr:row>2</xdr:row>
      <xdr:rowOff>164342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47575F03-5A93-4208-B173-7E086AFEED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61332" y="79376"/>
          <a:ext cx="579437" cy="580266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3928</xdr:colOff>
      <xdr:row>1</xdr:row>
      <xdr:rowOff>213202</xdr:rowOff>
    </xdr:from>
    <xdr:to>
      <xdr:col>9</xdr:col>
      <xdr:colOff>949758</xdr:colOff>
      <xdr:row>3</xdr:row>
      <xdr:rowOff>27964</xdr:rowOff>
    </xdr:to>
    <xdr:sp macro="" textlink="">
      <xdr:nvSpPr>
        <xdr:cNvPr id="2" name="Freeform: Shape 1">
          <a:extLst>
            <a:ext uri="{FF2B5EF4-FFF2-40B4-BE49-F238E27FC236}">
              <a16:creationId xmlns:a16="http://schemas.microsoft.com/office/drawing/2014/main" id="{36B20E9F-931A-4370-AC5A-4CEEA0C2762B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SpPr/>
      </xdr:nvSpPr>
      <xdr:spPr>
        <a:xfrm>
          <a:off x="7704891" y="413227"/>
          <a:ext cx="6889430" cy="1029200"/>
        </a:xfrm>
        <a:custGeom>
          <a:avLst/>
          <a:gdLst>
            <a:gd name="connsiteX0" fmla="*/ 1428724 w 6889430"/>
            <a:gd name="connsiteY0" fmla="*/ 1029201 h 1029200"/>
            <a:gd name="connsiteX1" fmla="*/ 1174534 w 6889430"/>
            <a:gd name="connsiteY1" fmla="*/ 763292 h 1029200"/>
            <a:gd name="connsiteX2" fmla="*/ 987543 w 6889430"/>
            <a:gd name="connsiteY2" fmla="*/ 539470 h 1029200"/>
            <a:gd name="connsiteX3" fmla="*/ 987543 w 6889430"/>
            <a:gd name="connsiteY3" fmla="*/ 539470 h 1029200"/>
            <a:gd name="connsiteX4" fmla="*/ 818083 w 6889430"/>
            <a:gd name="connsiteY4" fmla="*/ 696337 h 1029200"/>
            <a:gd name="connsiteX5" fmla="*/ 590189 w 6889430"/>
            <a:gd name="connsiteY5" fmla="*/ 879986 h 1029200"/>
            <a:gd name="connsiteX6" fmla="*/ 347685 w 6889430"/>
            <a:gd name="connsiteY6" fmla="*/ 679120 h 1029200"/>
            <a:gd name="connsiteX7" fmla="*/ 20452 w 6889430"/>
            <a:gd name="connsiteY7" fmla="*/ 430428 h 1029200"/>
            <a:gd name="connsiteX8" fmla="*/ 20452 w 6889430"/>
            <a:gd name="connsiteY8" fmla="*/ 430428 h 1029200"/>
            <a:gd name="connsiteX9" fmla="*/ 0 w 6889430"/>
            <a:gd name="connsiteY9" fmla="*/ 417037 h 1029200"/>
            <a:gd name="connsiteX10" fmla="*/ 20452 w 6889430"/>
            <a:gd name="connsiteY10" fmla="*/ 403646 h 1029200"/>
            <a:gd name="connsiteX11" fmla="*/ 20452 w 6889430"/>
            <a:gd name="connsiteY11" fmla="*/ 403646 h 1029200"/>
            <a:gd name="connsiteX12" fmla="*/ 385668 w 6889430"/>
            <a:gd name="connsiteY12" fmla="*/ 669555 h 1029200"/>
            <a:gd name="connsiteX13" fmla="*/ 587267 w 6889430"/>
            <a:gd name="connsiteY13" fmla="*/ 853204 h 1029200"/>
            <a:gd name="connsiteX14" fmla="*/ 771336 w 6889430"/>
            <a:gd name="connsiteY14" fmla="*/ 688685 h 1029200"/>
            <a:gd name="connsiteX15" fmla="*/ 981700 w 6889430"/>
            <a:gd name="connsiteY15" fmla="*/ 512687 h 1029200"/>
            <a:gd name="connsiteX16" fmla="*/ 981700 w 6889430"/>
            <a:gd name="connsiteY16" fmla="*/ 512687 h 1029200"/>
            <a:gd name="connsiteX17" fmla="*/ 1209595 w 6889430"/>
            <a:gd name="connsiteY17" fmla="*/ 759466 h 1029200"/>
            <a:gd name="connsiteX18" fmla="*/ 1422881 w 6889430"/>
            <a:gd name="connsiteY18" fmla="*/ 1002419 h 1029200"/>
            <a:gd name="connsiteX19" fmla="*/ 1425802 w 6889430"/>
            <a:gd name="connsiteY19" fmla="*/ 1002419 h 1029200"/>
            <a:gd name="connsiteX20" fmla="*/ 1633245 w 6889430"/>
            <a:gd name="connsiteY20" fmla="*/ 682946 h 1029200"/>
            <a:gd name="connsiteX21" fmla="*/ 1878670 w 6889430"/>
            <a:gd name="connsiteY21" fmla="*/ 344342 h 1029200"/>
            <a:gd name="connsiteX22" fmla="*/ 2097800 w 6889430"/>
            <a:gd name="connsiteY22" fmla="*/ 552861 h 1029200"/>
            <a:gd name="connsiteX23" fmla="*/ 2273103 w 6889430"/>
            <a:gd name="connsiteY23" fmla="*/ 740336 h 1029200"/>
            <a:gd name="connsiteX24" fmla="*/ 2486389 w 6889430"/>
            <a:gd name="connsiteY24" fmla="*/ 384516 h 1029200"/>
            <a:gd name="connsiteX25" fmla="*/ 2746423 w 6889430"/>
            <a:gd name="connsiteY25" fmla="*/ 0 h 1029200"/>
            <a:gd name="connsiteX26" fmla="*/ 2974317 w 6889430"/>
            <a:gd name="connsiteY26" fmla="*/ 476340 h 1029200"/>
            <a:gd name="connsiteX27" fmla="*/ 3213899 w 6889430"/>
            <a:gd name="connsiteY27" fmla="*/ 998593 h 1029200"/>
            <a:gd name="connsiteX28" fmla="*/ 3438872 w 6889430"/>
            <a:gd name="connsiteY28" fmla="*/ 648511 h 1029200"/>
            <a:gd name="connsiteX29" fmla="*/ 3643393 w 6889430"/>
            <a:gd name="connsiteY29" fmla="*/ 330951 h 1029200"/>
            <a:gd name="connsiteX30" fmla="*/ 3646314 w 6889430"/>
            <a:gd name="connsiteY30" fmla="*/ 330951 h 1029200"/>
            <a:gd name="connsiteX31" fmla="*/ 3824540 w 6889430"/>
            <a:gd name="connsiteY31" fmla="*/ 554774 h 1029200"/>
            <a:gd name="connsiteX32" fmla="*/ 4002765 w 6889430"/>
            <a:gd name="connsiteY32" fmla="*/ 790074 h 1029200"/>
            <a:gd name="connsiteX33" fmla="*/ 4143008 w 6889430"/>
            <a:gd name="connsiteY33" fmla="*/ 686772 h 1029200"/>
            <a:gd name="connsiteX34" fmla="*/ 4335842 w 6889430"/>
            <a:gd name="connsiteY34" fmla="*/ 560513 h 1029200"/>
            <a:gd name="connsiteX35" fmla="*/ 4522832 w 6889430"/>
            <a:gd name="connsiteY35" fmla="*/ 747988 h 1029200"/>
            <a:gd name="connsiteX36" fmla="*/ 4727353 w 6889430"/>
            <a:gd name="connsiteY36" fmla="*/ 956507 h 1029200"/>
            <a:gd name="connsiteX37" fmla="*/ 4955248 w 6889430"/>
            <a:gd name="connsiteY37" fmla="*/ 596860 h 1029200"/>
            <a:gd name="connsiteX38" fmla="*/ 5215281 w 6889430"/>
            <a:gd name="connsiteY38" fmla="*/ 221910 h 1029200"/>
            <a:gd name="connsiteX39" fmla="*/ 5451941 w 6889430"/>
            <a:gd name="connsiteY39" fmla="*/ 552861 h 1029200"/>
            <a:gd name="connsiteX40" fmla="*/ 5638932 w 6889430"/>
            <a:gd name="connsiteY40" fmla="*/ 855117 h 1029200"/>
            <a:gd name="connsiteX41" fmla="*/ 5828844 w 6889430"/>
            <a:gd name="connsiteY41" fmla="*/ 658077 h 1029200"/>
            <a:gd name="connsiteX42" fmla="*/ 6062582 w 6889430"/>
            <a:gd name="connsiteY42" fmla="*/ 441906 h 1029200"/>
            <a:gd name="connsiteX43" fmla="*/ 6275868 w 6889430"/>
            <a:gd name="connsiteY43" fmla="*/ 686772 h 1029200"/>
            <a:gd name="connsiteX44" fmla="*/ 6445328 w 6889430"/>
            <a:gd name="connsiteY44" fmla="*/ 906768 h 1029200"/>
            <a:gd name="connsiteX45" fmla="*/ 6603101 w 6889430"/>
            <a:gd name="connsiteY45" fmla="*/ 692511 h 1029200"/>
            <a:gd name="connsiteX46" fmla="*/ 6866057 w 6889430"/>
            <a:gd name="connsiteY46" fmla="*/ 392168 h 1029200"/>
            <a:gd name="connsiteX47" fmla="*/ 6889431 w 6889430"/>
            <a:gd name="connsiteY47" fmla="*/ 403646 h 1029200"/>
            <a:gd name="connsiteX48" fmla="*/ 6871900 w 6889430"/>
            <a:gd name="connsiteY48" fmla="*/ 418950 h 1029200"/>
            <a:gd name="connsiteX49" fmla="*/ 6644005 w 6889430"/>
            <a:gd name="connsiteY49" fmla="*/ 698250 h 1029200"/>
            <a:gd name="connsiteX50" fmla="*/ 6442406 w 6889430"/>
            <a:gd name="connsiteY50" fmla="*/ 933550 h 1029200"/>
            <a:gd name="connsiteX51" fmla="*/ 6232042 w 6889430"/>
            <a:gd name="connsiteY51" fmla="*/ 690598 h 1029200"/>
            <a:gd name="connsiteX52" fmla="*/ 6062582 w 6889430"/>
            <a:gd name="connsiteY52" fmla="*/ 468688 h 1029200"/>
            <a:gd name="connsiteX53" fmla="*/ 5872670 w 6889430"/>
            <a:gd name="connsiteY53" fmla="*/ 665729 h 1029200"/>
            <a:gd name="connsiteX54" fmla="*/ 5638932 w 6889430"/>
            <a:gd name="connsiteY54" fmla="*/ 881899 h 1029200"/>
            <a:gd name="connsiteX55" fmla="*/ 5408116 w 6889430"/>
            <a:gd name="connsiteY55" fmla="*/ 554774 h 1029200"/>
            <a:gd name="connsiteX56" fmla="*/ 5215281 w 6889430"/>
            <a:gd name="connsiteY56" fmla="*/ 248692 h 1029200"/>
            <a:gd name="connsiteX57" fmla="*/ 4996152 w 6889430"/>
            <a:gd name="connsiteY57" fmla="*/ 600686 h 1029200"/>
            <a:gd name="connsiteX58" fmla="*/ 4727353 w 6889430"/>
            <a:gd name="connsiteY58" fmla="*/ 985202 h 1029200"/>
            <a:gd name="connsiteX59" fmla="*/ 4481928 w 6889430"/>
            <a:gd name="connsiteY59" fmla="*/ 755640 h 1029200"/>
            <a:gd name="connsiteX60" fmla="*/ 4335842 w 6889430"/>
            <a:gd name="connsiteY60" fmla="*/ 587295 h 1029200"/>
            <a:gd name="connsiteX61" fmla="*/ 4180990 w 6889430"/>
            <a:gd name="connsiteY61" fmla="*/ 698250 h 1029200"/>
            <a:gd name="connsiteX62" fmla="*/ 3999843 w 6889430"/>
            <a:gd name="connsiteY62" fmla="*/ 818770 h 1029200"/>
            <a:gd name="connsiteX63" fmla="*/ 3777792 w 6889430"/>
            <a:gd name="connsiteY63" fmla="*/ 560513 h 1029200"/>
            <a:gd name="connsiteX64" fmla="*/ 3643393 w 6889430"/>
            <a:gd name="connsiteY64" fmla="*/ 359646 h 1029200"/>
            <a:gd name="connsiteX65" fmla="*/ 3643393 w 6889430"/>
            <a:gd name="connsiteY65" fmla="*/ 359646 h 1029200"/>
            <a:gd name="connsiteX66" fmla="*/ 3482698 w 6889430"/>
            <a:gd name="connsiteY66" fmla="*/ 652337 h 1029200"/>
            <a:gd name="connsiteX67" fmla="*/ 3213899 w 6889430"/>
            <a:gd name="connsiteY67" fmla="*/ 1027288 h 1029200"/>
            <a:gd name="connsiteX68" fmla="*/ 2930492 w 6889430"/>
            <a:gd name="connsiteY68" fmla="*/ 478253 h 1029200"/>
            <a:gd name="connsiteX69" fmla="*/ 2746423 w 6889430"/>
            <a:gd name="connsiteY69" fmla="*/ 26782 h 1029200"/>
            <a:gd name="connsiteX70" fmla="*/ 2530215 w 6889430"/>
            <a:gd name="connsiteY70" fmla="*/ 386429 h 1029200"/>
            <a:gd name="connsiteX71" fmla="*/ 2276025 w 6889430"/>
            <a:gd name="connsiteY71" fmla="*/ 767118 h 1029200"/>
            <a:gd name="connsiteX72" fmla="*/ 2056895 w 6889430"/>
            <a:gd name="connsiteY72" fmla="*/ 558600 h 1029200"/>
            <a:gd name="connsiteX73" fmla="*/ 1881592 w 6889430"/>
            <a:gd name="connsiteY73" fmla="*/ 371125 h 1029200"/>
            <a:gd name="connsiteX74" fmla="*/ 1679993 w 6889430"/>
            <a:gd name="connsiteY74" fmla="*/ 686772 h 1029200"/>
            <a:gd name="connsiteX75" fmla="*/ 1431646 w 6889430"/>
            <a:gd name="connsiteY75" fmla="*/ 1029201 h 1029200"/>
            <a:gd name="connsiteX76" fmla="*/ 1428724 w 6889430"/>
            <a:gd name="connsiteY76" fmla="*/ 1029201 h 1029200"/>
            <a:gd name="connsiteX77" fmla="*/ 1428724 w 6889430"/>
            <a:gd name="connsiteY77" fmla="*/ 1029201 h 10292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  <a:cxn ang="0">
              <a:pos x="connsiteX55" y="connsiteY55"/>
            </a:cxn>
            <a:cxn ang="0">
              <a:pos x="connsiteX56" y="connsiteY56"/>
            </a:cxn>
            <a:cxn ang="0">
              <a:pos x="connsiteX57" y="connsiteY57"/>
            </a:cxn>
            <a:cxn ang="0">
              <a:pos x="connsiteX58" y="connsiteY58"/>
            </a:cxn>
            <a:cxn ang="0">
              <a:pos x="connsiteX59" y="connsiteY59"/>
            </a:cxn>
            <a:cxn ang="0">
              <a:pos x="connsiteX60" y="connsiteY60"/>
            </a:cxn>
            <a:cxn ang="0">
              <a:pos x="connsiteX61" y="connsiteY61"/>
            </a:cxn>
            <a:cxn ang="0">
              <a:pos x="connsiteX62" y="connsiteY62"/>
            </a:cxn>
            <a:cxn ang="0">
              <a:pos x="connsiteX63" y="connsiteY63"/>
            </a:cxn>
            <a:cxn ang="0">
              <a:pos x="connsiteX64" y="connsiteY64"/>
            </a:cxn>
            <a:cxn ang="0">
              <a:pos x="connsiteX65" y="connsiteY65"/>
            </a:cxn>
            <a:cxn ang="0">
              <a:pos x="connsiteX66" y="connsiteY66"/>
            </a:cxn>
            <a:cxn ang="0">
              <a:pos x="connsiteX67" y="connsiteY67"/>
            </a:cxn>
            <a:cxn ang="0">
              <a:pos x="connsiteX68" y="connsiteY68"/>
            </a:cxn>
            <a:cxn ang="0">
              <a:pos x="connsiteX69" y="connsiteY69"/>
            </a:cxn>
            <a:cxn ang="0">
              <a:pos x="connsiteX70" y="connsiteY70"/>
            </a:cxn>
            <a:cxn ang="0">
              <a:pos x="connsiteX71" y="connsiteY71"/>
            </a:cxn>
            <a:cxn ang="0">
              <a:pos x="connsiteX72" y="connsiteY72"/>
            </a:cxn>
            <a:cxn ang="0">
              <a:pos x="connsiteX73" y="connsiteY73"/>
            </a:cxn>
            <a:cxn ang="0">
              <a:pos x="connsiteX74" y="connsiteY74"/>
            </a:cxn>
            <a:cxn ang="0">
              <a:pos x="connsiteX75" y="connsiteY75"/>
            </a:cxn>
            <a:cxn ang="0">
              <a:pos x="connsiteX76" y="connsiteY76"/>
            </a:cxn>
            <a:cxn ang="0">
              <a:pos x="connsiteX77" y="connsiteY77"/>
            </a:cxn>
          </a:cxnLst>
          <a:rect l="l" t="t" r="r" b="b"/>
          <a:pathLst>
            <a:path w="6889430" h="1029200">
              <a:moveTo>
                <a:pt x="1428724" y="1029201"/>
              </a:moveTo>
              <a:cubicBezTo>
                <a:pt x="1276794" y="1029201"/>
                <a:pt x="1224203" y="895290"/>
                <a:pt x="1174534" y="763292"/>
              </a:cubicBezTo>
              <a:cubicBezTo>
                <a:pt x="1130708" y="652337"/>
                <a:pt x="1086882" y="539470"/>
                <a:pt x="987543" y="539470"/>
              </a:cubicBezTo>
              <a:lnTo>
                <a:pt x="987543" y="539470"/>
              </a:lnTo>
              <a:cubicBezTo>
                <a:pt x="899892" y="539470"/>
                <a:pt x="858988" y="615990"/>
                <a:pt x="818083" y="696337"/>
              </a:cubicBezTo>
              <a:cubicBezTo>
                <a:pt x="771336" y="786248"/>
                <a:pt x="721666" y="879986"/>
                <a:pt x="590189" y="879986"/>
              </a:cubicBezTo>
              <a:cubicBezTo>
                <a:pt x="467476" y="879986"/>
                <a:pt x="409042" y="782422"/>
                <a:pt x="347685" y="679120"/>
              </a:cubicBezTo>
              <a:cubicBezTo>
                <a:pt x="274642" y="556687"/>
                <a:pt x="198677" y="430428"/>
                <a:pt x="20452" y="430428"/>
              </a:cubicBezTo>
              <a:cubicBezTo>
                <a:pt x="20452" y="430428"/>
                <a:pt x="20452" y="430428"/>
                <a:pt x="20452" y="430428"/>
              </a:cubicBezTo>
              <a:cubicBezTo>
                <a:pt x="8765" y="430428"/>
                <a:pt x="0" y="424689"/>
                <a:pt x="0" y="417037"/>
              </a:cubicBezTo>
              <a:cubicBezTo>
                <a:pt x="0" y="409385"/>
                <a:pt x="8765" y="403646"/>
                <a:pt x="20452" y="403646"/>
              </a:cubicBezTo>
              <a:lnTo>
                <a:pt x="20452" y="403646"/>
              </a:lnTo>
              <a:cubicBezTo>
                <a:pt x="227895" y="403646"/>
                <a:pt x="312625" y="545209"/>
                <a:pt x="385668" y="669555"/>
              </a:cubicBezTo>
              <a:cubicBezTo>
                <a:pt x="441181" y="763292"/>
                <a:pt x="496693" y="853204"/>
                <a:pt x="587267" y="853204"/>
              </a:cubicBezTo>
              <a:cubicBezTo>
                <a:pt x="686606" y="853204"/>
                <a:pt x="727510" y="772857"/>
                <a:pt x="771336" y="688685"/>
              </a:cubicBezTo>
              <a:cubicBezTo>
                <a:pt x="815162" y="602599"/>
                <a:pt x="861909" y="514601"/>
                <a:pt x="981700" y="512687"/>
              </a:cubicBezTo>
              <a:lnTo>
                <a:pt x="981700" y="512687"/>
              </a:lnTo>
              <a:cubicBezTo>
                <a:pt x="1113178" y="512687"/>
                <a:pt x="1159925" y="631294"/>
                <a:pt x="1209595" y="759466"/>
              </a:cubicBezTo>
              <a:cubicBezTo>
                <a:pt x="1256342" y="879986"/>
                <a:pt x="1306012" y="1002419"/>
                <a:pt x="1422881" y="1002419"/>
              </a:cubicBezTo>
              <a:cubicBezTo>
                <a:pt x="1422881" y="1002419"/>
                <a:pt x="1422881" y="1002419"/>
                <a:pt x="1425802" y="1002419"/>
              </a:cubicBezTo>
              <a:cubicBezTo>
                <a:pt x="1536828" y="1000506"/>
                <a:pt x="1586497" y="832161"/>
                <a:pt x="1633245" y="682946"/>
              </a:cubicBezTo>
              <a:cubicBezTo>
                <a:pt x="1685836" y="508862"/>
                <a:pt x="1735505" y="344342"/>
                <a:pt x="1878670" y="344342"/>
              </a:cubicBezTo>
              <a:cubicBezTo>
                <a:pt x="2001382" y="344342"/>
                <a:pt x="2051052" y="449558"/>
                <a:pt x="2097800" y="552861"/>
              </a:cubicBezTo>
              <a:cubicBezTo>
                <a:pt x="2141625" y="644685"/>
                <a:pt x="2185451" y="740336"/>
                <a:pt x="2273103" y="740336"/>
              </a:cubicBezTo>
              <a:cubicBezTo>
                <a:pt x="2395816" y="740336"/>
                <a:pt x="2439641" y="558600"/>
                <a:pt x="2486389" y="384516"/>
              </a:cubicBezTo>
              <a:cubicBezTo>
                <a:pt x="2536059" y="187475"/>
                <a:pt x="2582806" y="0"/>
                <a:pt x="2746423" y="0"/>
              </a:cubicBezTo>
              <a:cubicBezTo>
                <a:pt x="2904196" y="0"/>
                <a:pt x="2936335" y="219996"/>
                <a:pt x="2974317" y="476340"/>
              </a:cubicBezTo>
              <a:cubicBezTo>
                <a:pt x="3009378" y="721206"/>
                <a:pt x="3050282" y="998593"/>
                <a:pt x="3213899" y="998593"/>
              </a:cubicBezTo>
              <a:cubicBezTo>
                <a:pt x="3377516" y="998593"/>
                <a:pt x="3409654" y="820683"/>
                <a:pt x="3438872" y="648511"/>
              </a:cubicBezTo>
              <a:cubicBezTo>
                <a:pt x="3468089" y="485905"/>
                <a:pt x="3494385" y="332864"/>
                <a:pt x="3643393" y="330951"/>
              </a:cubicBezTo>
              <a:cubicBezTo>
                <a:pt x="3643393" y="330951"/>
                <a:pt x="3643393" y="330951"/>
                <a:pt x="3646314" y="330951"/>
              </a:cubicBezTo>
              <a:cubicBezTo>
                <a:pt x="3763184" y="330951"/>
                <a:pt x="3792401" y="439993"/>
                <a:pt x="3824540" y="554774"/>
              </a:cubicBezTo>
              <a:cubicBezTo>
                <a:pt x="3856679" y="669555"/>
                <a:pt x="3885896" y="790074"/>
                <a:pt x="4002765" y="790074"/>
              </a:cubicBezTo>
              <a:cubicBezTo>
                <a:pt x="4069965" y="790074"/>
                <a:pt x="4105025" y="740336"/>
                <a:pt x="4143008" y="686772"/>
              </a:cubicBezTo>
              <a:cubicBezTo>
                <a:pt x="4183912" y="627468"/>
                <a:pt x="4230660" y="560513"/>
                <a:pt x="4335842" y="560513"/>
              </a:cubicBezTo>
              <a:cubicBezTo>
                <a:pt x="4426415" y="560513"/>
                <a:pt x="4470241" y="648511"/>
                <a:pt x="4522832" y="747988"/>
              </a:cubicBezTo>
              <a:cubicBezTo>
                <a:pt x="4572502" y="845552"/>
                <a:pt x="4630936" y="956507"/>
                <a:pt x="4727353" y="956507"/>
              </a:cubicBezTo>
              <a:cubicBezTo>
                <a:pt x="4858831" y="956507"/>
                <a:pt x="4908500" y="772857"/>
                <a:pt x="4955248" y="596860"/>
              </a:cubicBezTo>
              <a:cubicBezTo>
                <a:pt x="5004917" y="403646"/>
                <a:pt x="5054587" y="221910"/>
                <a:pt x="5215281" y="221910"/>
              </a:cubicBezTo>
              <a:cubicBezTo>
                <a:pt x="5367211" y="221910"/>
                <a:pt x="5408116" y="382603"/>
                <a:pt x="5451941" y="552861"/>
              </a:cubicBezTo>
              <a:cubicBezTo>
                <a:pt x="5489924" y="702076"/>
                <a:pt x="5527906" y="855117"/>
                <a:pt x="5638932" y="855117"/>
              </a:cubicBezTo>
              <a:cubicBezTo>
                <a:pt x="5729505" y="855117"/>
                <a:pt x="5779175" y="755640"/>
                <a:pt x="5828844" y="658077"/>
              </a:cubicBezTo>
              <a:cubicBezTo>
                <a:pt x="5884357" y="550948"/>
                <a:pt x="5939870" y="441906"/>
                <a:pt x="6062582" y="441906"/>
              </a:cubicBezTo>
              <a:cubicBezTo>
                <a:pt x="6185294" y="441906"/>
                <a:pt x="6229120" y="560513"/>
                <a:pt x="6275868" y="686772"/>
              </a:cubicBezTo>
              <a:cubicBezTo>
                <a:pt x="6316772" y="795813"/>
                <a:pt x="6354755" y="906768"/>
                <a:pt x="6445328" y="906768"/>
              </a:cubicBezTo>
              <a:cubicBezTo>
                <a:pt x="6524215" y="906768"/>
                <a:pt x="6565119" y="797726"/>
                <a:pt x="6603101" y="692511"/>
              </a:cubicBezTo>
              <a:cubicBezTo>
                <a:pt x="6652771" y="558600"/>
                <a:pt x="6708284" y="405559"/>
                <a:pt x="6866057" y="392168"/>
              </a:cubicBezTo>
              <a:cubicBezTo>
                <a:pt x="6877743" y="390255"/>
                <a:pt x="6889431" y="395994"/>
                <a:pt x="6889431" y="403646"/>
              </a:cubicBezTo>
              <a:cubicBezTo>
                <a:pt x="6889431" y="411298"/>
                <a:pt x="6883587" y="418950"/>
                <a:pt x="6871900" y="418950"/>
              </a:cubicBezTo>
              <a:cubicBezTo>
                <a:pt x="6743344" y="430428"/>
                <a:pt x="6690753" y="571991"/>
                <a:pt x="6644005" y="698250"/>
              </a:cubicBezTo>
              <a:cubicBezTo>
                <a:pt x="6597258" y="824509"/>
                <a:pt x="6556354" y="933550"/>
                <a:pt x="6442406" y="933550"/>
              </a:cubicBezTo>
              <a:cubicBezTo>
                <a:pt x="6319694" y="933550"/>
                <a:pt x="6278790" y="814944"/>
                <a:pt x="6232042" y="690598"/>
              </a:cubicBezTo>
              <a:cubicBezTo>
                <a:pt x="6191138" y="581556"/>
                <a:pt x="6150234" y="468688"/>
                <a:pt x="6062582" y="468688"/>
              </a:cubicBezTo>
              <a:cubicBezTo>
                <a:pt x="5972008" y="468688"/>
                <a:pt x="5922339" y="568165"/>
                <a:pt x="5872670" y="665729"/>
              </a:cubicBezTo>
              <a:cubicBezTo>
                <a:pt x="5817157" y="772857"/>
                <a:pt x="5761644" y="881899"/>
                <a:pt x="5638932" y="881899"/>
              </a:cubicBezTo>
              <a:cubicBezTo>
                <a:pt x="5489924" y="881899"/>
                <a:pt x="5451941" y="723119"/>
                <a:pt x="5408116" y="554774"/>
              </a:cubicBezTo>
              <a:cubicBezTo>
                <a:pt x="5370133" y="403646"/>
                <a:pt x="5329229" y="248692"/>
                <a:pt x="5215281" y="248692"/>
              </a:cubicBezTo>
              <a:cubicBezTo>
                <a:pt x="5089647" y="248692"/>
                <a:pt x="5042900" y="428515"/>
                <a:pt x="4996152" y="600686"/>
              </a:cubicBezTo>
              <a:cubicBezTo>
                <a:pt x="4943561" y="797726"/>
                <a:pt x="4893892" y="985202"/>
                <a:pt x="4727353" y="985202"/>
              </a:cubicBezTo>
              <a:cubicBezTo>
                <a:pt x="4598797" y="985202"/>
                <a:pt x="4537441" y="868508"/>
                <a:pt x="4481928" y="755640"/>
              </a:cubicBezTo>
              <a:cubicBezTo>
                <a:pt x="4438102" y="673381"/>
                <a:pt x="4394276" y="587295"/>
                <a:pt x="4335842" y="587295"/>
              </a:cubicBezTo>
              <a:cubicBezTo>
                <a:pt x="4259877" y="587295"/>
                <a:pt x="4221895" y="640859"/>
                <a:pt x="4180990" y="698250"/>
              </a:cubicBezTo>
              <a:cubicBezTo>
                <a:pt x="4140086" y="757553"/>
                <a:pt x="4096260" y="818770"/>
                <a:pt x="3999843" y="818770"/>
              </a:cubicBezTo>
              <a:cubicBezTo>
                <a:pt x="3847913" y="818770"/>
                <a:pt x="3812853" y="686772"/>
                <a:pt x="3777792" y="560513"/>
              </a:cubicBezTo>
              <a:cubicBezTo>
                <a:pt x="3751496" y="462949"/>
                <a:pt x="3725201" y="359646"/>
                <a:pt x="3643393" y="359646"/>
              </a:cubicBezTo>
              <a:lnTo>
                <a:pt x="3643393" y="359646"/>
              </a:lnTo>
              <a:cubicBezTo>
                <a:pt x="3535289" y="361559"/>
                <a:pt x="3508993" y="508862"/>
                <a:pt x="3482698" y="652337"/>
              </a:cubicBezTo>
              <a:cubicBezTo>
                <a:pt x="3450559" y="835987"/>
                <a:pt x="3415498" y="1027288"/>
                <a:pt x="3213899" y="1027288"/>
              </a:cubicBezTo>
              <a:cubicBezTo>
                <a:pt x="3009378" y="1027288"/>
                <a:pt x="2968474" y="747988"/>
                <a:pt x="2930492" y="478253"/>
              </a:cubicBezTo>
              <a:cubicBezTo>
                <a:pt x="2901274" y="267822"/>
                <a:pt x="2866213" y="26782"/>
                <a:pt x="2746423" y="26782"/>
              </a:cubicBezTo>
              <a:cubicBezTo>
                <a:pt x="2620788" y="26782"/>
                <a:pt x="2574041" y="218084"/>
                <a:pt x="2530215" y="386429"/>
              </a:cubicBezTo>
              <a:cubicBezTo>
                <a:pt x="2480546" y="581556"/>
                <a:pt x="2433798" y="767118"/>
                <a:pt x="2276025" y="767118"/>
              </a:cubicBezTo>
              <a:cubicBezTo>
                <a:pt x="2153312" y="767118"/>
                <a:pt x="2103643" y="661903"/>
                <a:pt x="2056895" y="558600"/>
              </a:cubicBezTo>
              <a:cubicBezTo>
                <a:pt x="2013069" y="466775"/>
                <a:pt x="1969244" y="371125"/>
                <a:pt x="1881592" y="371125"/>
              </a:cubicBezTo>
              <a:cubicBezTo>
                <a:pt x="1773488" y="371125"/>
                <a:pt x="1723819" y="537557"/>
                <a:pt x="1679993" y="686772"/>
              </a:cubicBezTo>
              <a:cubicBezTo>
                <a:pt x="1627401" y="860856"/>
                <a:pt x="1577732" y="1027288"/>
                <a:pt x="1431646" y="1029201"/>
              </a:cubicBezTo>
              <a:cubicBezTo>
                <a:pt x="1431646" y="1029201"/>
                <a:pt x="1431646" y="1029201"/>
                <a:pt x="1428724" y="1029201"/>
              </a:cubicBezTo>
              <a:lnTo>
                <a:pt x="1428724" y="1029201"/>
              </a:lnTo>
              <a:close/>
            </a:path>
          </a:pathLst>
        </a:custGeom>
        <a:solidFill>
          <a:schemeClr val="accent3">
            <a:lumMod val="60000"/>
            <a:lumOff val="40000"/>
          </a:schemeClr>
        </a:solidFill>
        <a:ln w="29208" cap="flat">
          <a:noFill/>
          <a:prstDash val="solid"/>
          <a:miter/>
        </a:ln>
      </xdr:spPr>
      <xdr:txBody>
        <a:bodyPr rtlCol="0" anchor="ctr"/>
        <a:lstStyle/>
        <a:p>
          <a:endParaRPr lang="en-US"/>
        </a:p>
      </xdr:txBody>
    </xdr:sp>
    <xdr:clientData/>
  </xdr:twoCellAnchor>
  <xdr:twoCellAnchor>
    <xdr:from>
      <xdr:col>5</xdr:col>
      <xdr:colOff>6850</xdr:colOff>
      <xdr:row>0</xdr:row>
      <xdr:rowOff>197057</xdr:rowOff>
    </xdr:from>
    <xdr:to>
      <xdr:col>9</xdr:col>
      <xdr:colOff>952680</xdr:colOff>
      <xdr:row>2</xdr:row>
      <xdr:rowOff>901216</xdr:rowOff>
    </xdr:to>
    <xdr:sp macro="" textlink="">
      <xdr:nvSpPr>
        <xdr:cNvPr id="3" name="Freeform: Shape 2">
          <a:extLst>
            <a:ext uri="{FF2B5EF4-FFF2-40B4-BE49-F238E27FC236}">
              <a16:creationId xmlns:a16="http://schemas.microsoft.com/office/drawing/2014/main" id="{A9FFE239-D934-4EC5-9252-305F42FCDC7B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SpPr/>
      </xdr:nvSpPr>
      <xdr:spPr>
        <a:xfrm>
          <a:off x="7707813" y="197057"/>
          <a:ext cx="6889430" cy="1199459"/>
        </a:xfrm>
        <a:custGeom>
          <a:avLst/>
          <a:gdLst>
            <a:gd name="connsiteX0" fmla="*/ 2974317 w 6889430"/>
            <a:gd name="connsiteY0" fmla="*/ 1199459 h 1199459"/>
            <a:gd name="connsiteX1" fmla="*/ 2679223 w 6889430"/>
            <a:gd name="connsiteY1" fmla="*/ 537557 h 1199459"/>
            <a:gd name="connsiteX2" fmla="*/ 2512685 w 6889430"/>
            <a:gd name="connsiteY2" fmla="*/ 28695 h 1199459"/>
            <a:gd name="connsiteX3" fmla="*/ 2311085 w 6889430"/>
            <a:gd name="connsiteY3" fmla="*/ 441906 h 1199459"/>
            <a:gd name="connsiteX4" fmla="*/ 2071504 w 6889430"/>
            <a:gd name="connsiteY4" fmla="*/ 876160 h 1199459"/>
            <a:gd name="connsiteX5" fmla="*/ 1855296 w 6889430"/>
            <a:gd name="connsiteY5" fmla="*/ 589208 h 1199459"/>
            <a:gd name="connsiteX6" fmla="*/ 1679993 w 6889430"/>
            <a:gd name="connsiteY6" fmla="*/ 325212 h 1199459"/>
            <a:gd name="connsiteX7" fmla="*/ 1484237 w 6889430"/>
            <a:gd name="connsiteY7" fmla="*/ 681033 h 1199459"/>
            <a:gd name="connsiteX8" fmla="*/ 1206673 w 6889430"/>
            <a:gd name="connsiteY8" fmla="*/ 1099983 h 1199459"/>
            <a:gd name="connsiteX9" fmla="*/ 955404 w 6889430"/>
            <a:gd name="connsiteY9" fmla="*/ 791987 h 1199459"/>
            <a:gd name="connsiteX10" fmla="*/ 777179 w 6889430"/>
            <a:gd name="connsiteY10" fmla="*/ 529905 h 1199459"/>
            <a:gd name="connsiteX11" fmla="*/ 777179 w 6889430"/>
            <a:gd name="connsiteY11" fmla="*/ 529905 h 1199459"/>
            <a:gd name="connsiteX12" fmla="*/ 587267 w 6889430"/>
            <a:gd name="connsiteY12" fmla="*/ 747988 h 1199459"/>
            <a:gd name="connsiteX13" fmla="*/ 350607 w 6889430"/>
            <a:gd name="connsiteY13" fmla="*/ 989028 h 1199459"/>
            <a:gd name="connsiteX14" fmla="*/ 350607 w 6889430"/>
            <a:gd name="connsiteY14" fmla="*/ 989028 h 1199459"/>
            <a:gd name="connsiteX15" fmla="*/ 178225 w 6889430"/>
            <a:gd name="connsiteY15" fmla="*/ 816857 h 1199459"/>
            <a:gd name="connsiteX16" fmla="*/ 20452 w 6889430"/>
            <a:gd name="connsiteY16" fmla="*/ 644685 h 1199459"/>
            <a:gd name="connsiteX17" fmla="*/ 0 w 6889430"/>
            <a:gd name="connsiteY17" fmla="*/ 629381 h 1199459"/>
            <a:gd name="connsiteX18" fmla="*/ 23374 w 6889430"/>
            <a:gd name="connsiteY18" fmla="*/ 615990 h 1199459"/>
            <a:gd name="connsiteX19" fmla="*/ 219129 w 6889430"/>
            <a:gd name="connsiteY19" fmla="*/ 809204 h 1199459"/>
            <a:gd name="connsiteX20" fmla="*/ 350607 w 6889430"/>
            <a:gd name="connsiteY20" fmla="*/ 958419 h 1199459"/>
            <a:gd name="connsiteX21" fmla="*/ 350607 w 6889430"/>
            <a:gd name="connsiteY21" fmla="*/ 958419 h 1199459"/>
            <a:gd name="connsiteX22" fmla="*/ 546363 w 6889430"/>
            <a:gd name="connsiteY22" fmla="*/ 736510 h 1199459"/>
            <a:gd name="connsiteX23" fmla="*/ 780101 w 6889430"/>
            <a:gd name="connsiteY23" fmla="*/ 497383 h 1199459"/>
            <a:gd name="connsiteX24" fmla="*/ 780101 w 6889430"/>
            <a:gd name="connsiteY24" fmla="*/ 497383 h 1199459"/>
            <a:gd name="connsiteX25" fmla="*/ 1002152 w 6889430"/>
            <a:gd name="connsiteY25" fmla="*/ 780509 h 1199459"/>
            <a:gd name="connsiteX26" fmla="*/ 1209595 w 6889430"/>
            <a:gd name="connsiteY26" fmla="*/ 1065548 h 1199459"/>
            <a:gd name="connsiteX27" fmla="*/ 1443333 w 6889430"/>
            <a:gd name="connsiteY27" fmla="*/ 671468 h 1199459"/>
            <a:gd name="connsiteX28" fmla="*/ 1682914 w 6889430"/>
            <a:gd name="connsiteY28" fmla="*/ 292691 h 1199459"/>
            <a:gd name="connsiteX29" fmla="*/ 1899122 w 6889430"/>
            <a:gd name="connsiteY29" fmla="*/ 579643 h 1199459"/>
            <a:gd name="connsiteX30" fmla="*/ 2074426 w 6889430"/>
            <a:gd name="connsiteY30" fmla="*/ 843639 h 1199459"/>
            <a:gd name="connsiteX31" fmla="*/ 2270181 w 6889430"/>
            <a:gd name="connsiteY31" fmla="*/ 434254 h 1199459"/>
            <a:gd name="connsiteX32" fmla="*/ 2512685 w 6889430"/>
            <a:gd name="connsiteY32" fmla="*/ 0 h 1199459"/>
            <a:gd name="connsiteX33" fmla="*/ 2720127 w 6889430"/>
            <a:gd name="connsiteY33" fmla="*/ 535644 h 1199459"/>
            <a:gd name="connsiteX34" fmla="*/ 2971396 w 6889430"/>
            <a:gd name="connsiteY34" fmla="*/ 1170764 h 1199459"/>
            <a:gd name="connsiteX35" fmla="*/ 3199290 w 6889430"/>
            <a:gd name="connsiteY35" fmla="*/ 732684 h 1199459"/>
            <a:gd name="connsiteX36" fmla="*/ 3459324 w 6889430"/>
            <a:gd name="connsiteY36" fmla="*/ 281213 h 1199459"/>
            <a:gd name="connsiteX37" fmla="*/ 3669688 w 6889430"/>
            <a:gd name="connsiteY37" fmla="*/ 594947 h 1199459"/>
            <a:gd name="connsiteX38" fmla="*/ 3818696 w 6889430"/>
            <a:gd name="connsiteY38" fmla="*/ 864682 h 1199459"/>
            <a:gd name="connsiteX39" fmla="*/ 3958939 w 6889430"/>
            <a:gd name="connsiteY39" fmla="*/ 736510 h 1199459"/>
            <a:gd name="connsiteX40" fmla="*/ 4154695 w 6889430"/>
            <a:gd name="connsiteY40" fmla="*/ 581556 h 1199459"/>
            <a:gd name="connsiteX41" fmla="*/ 4341685 w 6889430"/>
            <a:gd name="connsiteY41" fmla="*/ 784335 h 1199459"/>
            <a:gd name="connsiteX42" fmla="*/ 4546206 w 6889430"/>
            <a:gd name="connsiteY42" fmla="*/ 1011984 h 1199459"/>
            <a:gd name="connsiteX43" fmla="*/ 4777023 w 6889430"/>
            <a:gd name="connsiteY43" fmla="*/ 583469 h 1199459"/>
            <a:gd name="connsiteX44" fmla="*/ 5042900 w 6889430"/>
            <a:gd name="connsiteY44" fmla="*/ 139650 h 1199459"/>
            <a:gd name="connsiteX45" fmla="*/ 5279560 w 6889430"/>
            <a:gd name="connsiteY45" fmla="*/ 558600 h 1199459"/>
            <a:gd name="connsiteX46" fmla="*/ 5469472 w 6889430"/>
            <a:gd name="connsiteY46" fmla="*/ 946941 h 1199459"/>
            <a:gd name="connsiteX47" fmla="*/ 5662305 w 6889430"/>
            <a:gd name="connsiteY47" fmla="*/ 694424 h 1199459"/>
            <a:gd name="connsiteX48" fmla="*/ 5896043 w 6889430"/>
            <a:gd name="connsiteY48" fmla="*/ 420863 h 1199459"/>
            <a:gd name="connsiteX49" fmla="*/ 6129782 w 6889430"/>
            <a:gd name="connsiteY49" fmla="*/ 700163 h 1199459"/>
            <a:gd name="connsiteX50" fmla="*/ 6386894 w 6889430"/>
            <a:gd name="connsiteY50" fmla="*/ 1013897 h 1199459"/>
            <a:gd name="connsiteX51" fmla="*/ 6389815 w 6889430"/>
            <a:gd name="connsiteY51" fmla="*/ 1013897 h 1199459"/>
            <a:gd name="connsiteX52" fmla="*/ 6565119 w 6889430"/>
            <a:gd name="connsiteY52" fmla="*/ 845552 h 1199459"/>
            <a:gd name="connsiteX53" fmla="*/ 6868978 w 6889430"/>
            <a:gd name="connsiteY53" fmla="*/ 608338 h 1199459"/>
            <a:gd name="connsiteX54" fmla="*/ 6889430 w 6889430"/>
            <a:gd name="connsiteY54" fmla="*/ 621729 h 1199459"/>
            <a:gd name="connsiteX55" fmla="*/ 6868978 w 6889430"/>
            <a:gd name="connsiteY55" fmla="*/ 635120 h 1199459"/>
            <a:gd name="connsiteX56" fmla="*/ 6606023 w 6889430"/>
            <a:gd name="connsiteY56" fmla="*/ 853204 h 1199459"/>
            <a:gd name="connsiteX57" fmla="*/ 6386894 w 6889430"/>
            <a:gd name="connsiteY57" fmla="*/ 1040679 h 1199459"/>
            <a:gd name="connsiteX58" fmla="*/ 6088878 w 6889430"/>
            <a:gd name="connsiteY58" fmla="*/ 705902 h 1199459"/>
            <a:gd name="connsiteX59" fmla="*/ 5896043 w 6889430"/>
            <a:gd name="connsiteY59" fmla="*/ 447645 h 1199459"/>
            <a:gd name="connsiteX60" fmla="*/ 5703210 w 6889430"/>
            <a:gd name="connsiteY60" fmla="*/ 700163 h 1199459"/>
            <a:gd name="connsiteX61" fmla="*/ 5469472 w 6889430"/>
            <a:gd name="connsiteY61" fmla="*/ 973724 h 1199459"/>
            <a:gd name="connsiteX62" fmla="*/ 5235734 w 6889430"/>
            <a:gd name="connsiteY62" fmla="*/ 560513 h 1199459"/>
            <a:gd name="connsiteX63" fmla="*/ 5042900 w 6889430"/>
            <a:gd name="connsiteY63" fmla="*/ 166432 h 1199459"/>
            <a:gd name="connsiteX64" fmla="*/ 4820849 w 6889430"/>
            <a:gd name="connsiteY64" fmla="*/ 585382 h 1199459"/>
            <a:gd name="connsiteX65" fmla="*/ 4546206 w 6889430"/>
            <a:gd name="connsiteY65" fmla="*/ 1038766 h 1199459"/>
            <a:gd name="connsiteX66" fmla="*/ 4300781 w 6889430"/>
            <a:gd name="connsiteY66" fmla="*/ 791987 h 1199459"/>
            <a:gd name="connsiteX67" fmla="*/ 4154695 w 6889430"/>
            <a:gd name="connsiteY67" fmla="*/ 608338 h 1199459"/>
            <a:gd name="connsiteX68" fmla="*/ 3999843 w 6889430"/>
            <a:gd name="connsiteY68" fmla="*/ 744162 h 1199459"/>
            <a:gd name="connsiteX69" fmla="*/ 3818696 w 6889430"/>
            <a:gd name="connsiteY69" fmla="*/ 891464 h 1199459"/>
            <a:gd name="connsiteX70" fmla="*/ 3625862 w 6889430"/>
            <a:gd name="connsiteY70" fmla="*/ 596860 h 1199459"/>
            <a:gd name="connsiteX71" fmla="*/ 3456402 w 6889430"/>
            <a:gd name="connsiteY71" fmla="*/ 307995 h 1199459"/>
            <a:gd name="connsiteX72" fmla="*/ 3240194 w 6889430"/>
            <a:gd name="connsiteY72" fmla="*/ 734597 h 1199459"/>
            <a:gd name="connsiteX73" fmla="*/ 2974317 w 6889430"/>
            <a:gd name="connsiteY73" fmla="*/ 1199459 h 1199459"/>
            <a:gd name="connsiteX74" fmla="*/ 2974317 w 6889430"/>
            <a:gd name="connsiteY74" fmla="*/ 1199459 h 1199459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  <a:cxn ang="0">
              <a:pos x="connsiteX55" y="connsiteY55"/>
            </a:cxn>
            <a:cxn ang="0">
              <a:pos x="connsiteX56" y="connsiteY56"/>
            </a:cxn>
            <a:cxn ang="0">
              <a:pos x="connsiteX57" y="connsiteY57"/>
            </a:cxn>
            <a:cxn ang="0">
              <a:pos x="connsiteX58" y="connsiteY58"/>
            </a:cxn>
            <a:cxn ang="0">
              <a:pos x="connsiteX59" y="connsiteY59"/>
            </a:cxn>
            <a:cxn ang="0">
              <a:pos x="connsiteX60" y="connsiteY60"/>
            </a:cxn>
            <a:cxn ang="0">
              <a:pos x="connsiteX61" y="connsiteY61"/>
            </a:cxn>
            <a:cxn ang="0">
              <a:pos x="connsiteX62" y="connsiteY62"/>
            </a:cxn>
            <a:cxn ang="0">
              <a:pos x="connsiteX63" y="connsiteY63"/>
            </a:cxn>
            <a:cxn ang="0">
              <a:pos x="connsiteX64" y="connsiteY64"/>
            </a:cxn>
            <a:cxn ang="0">
              <a:pos x="connsiteX65" y="connsiteY65"/>
            </a:cxn>
            <a:cxn ang="0">
              <a:pos x="connsiteX66" y="connsiteY66"/>
            </a:cxn>
            <a:cxn ang="0">
              <a:pos x="connsiteX67" y="connsiteY67"/>
            </a:cxn>
            <a:cxn ang="0">
              <a:pos x="connsiteX68" y="connsiteY68"/>
            </a:cxn>
            <a:cxn ang="0">
              <a:pos x="connsiteX69" y="connsiteY69"/>
            </a:cxn>
            <a:cxn ang="0">
              <a:pos x="connsiteX70" y="connsiteY70"/>
            </a:cxn>
            <a:cxn ang="0">
              <a:pos x="connsiteX71" y="connsiteY71"/>
            </a:cxn>
            <a:cxn ang="0">
              <a:pos x="connsiteX72" y="connsiteY72"/>
            </a:cxn>
            <a:cxn ang="0">
              <a:pos x="connsiteX73" y="connsiteY73"/>
            </a:cxn>
            <a:cxn ang="0">
              <a:pos x="connsiteX74" y="connsiteY74"/>
            </a:cxn>
          </a:cxnLst>
          <a:rect l="l" t="t" r="r" b="b"/>
          <a:pathLst>
            <a:path w="6889430" h="1199459">
              <a:moveTo>
                <a:pt x="2974317" y="1199459"/>
              </a:moveTo>
              <a:cubicBezTo>
                <a:pt x="2743501" y="1199459"/>
                <a:pt x="2711362" y="862769"/>
                <a:pt x="2679223" y="537557"/>
              </a:cubicBezTo>
              <a:cubicBezTo>
                <a:pt x="2655849" y="298430"/>
                <a:pt x="2629554" y="28695"/>
                <a:pt x="2512685" y="28695"/>
              </a:cubicBezTo>
              <a:cubicBezTo>
                <a:pt x="2387050" y="28695"/>
                <a:pt x="2346146" y="248692"/>
                <a:pt x="2311085" y="441906"/>
              </a:cubicBezTo>
              <a:cubicBezTo>
                <a:pt x="2270181" y="665729"/>
                <a:pt x="2232199" y="876160"/>
                <a:pt x="2071504" y="876160"/>
              </a:cubicBezTo>
              <a:cubicBezTo>
                <a:pt x="1945870" y="876160"/>
                <a:pt x="1902044" y="736510"/>
                <a:pt x="1855296" y="589208"/>
              </a:cubicBezTo>
              <a:cubicBezTo>
                <a:pt x="1814392" y="464862"/>
                <a:pt x="1770566" y="325212"/>
                <a:pt x="1679993" y="325212"/>
              </a:cubicBezTo>
              <a:cubicBezTo>
                <a:pt x="1577732" y="325212"/>
                <a:pt x="1528063" y="514601"/>
                <a:pt x="1484237" y="681033"/>
              </a:cubicBezTo>
              <a:cubicBezTo>
                <a:pt x="1428724" y="895290"/>
                <a:pt x="1373211" y="1099983"/>
                <a:pt x="1206673" y="1099983"/>
              </a:cubicBezTo>
              <a:cubicBezTo>
                <a:pt x="1051821" y="1099983"/>
                <a:pt x="1002152" y="943115"/>
                <a:pt x="955404" y="791987"/>
              </a:cubicBezTo>
              <a:cubicBezTo>
                <a:pt x="914500" y="663816"/>
                <a:pt x="873596" y="529905"/>
                <a:pt x="777179" y="529905"/>
              </a:cubicBezTo>
              <a:lnTo>
                <a:pt x="777179" y="529905"/>
              </a:lnTo>
              <a:cubicBezTo>
                <a:pt x="686606" y="529905"/>
                <a:pt x="636936" y="640859"/>
                <a:pt x="587267" y="747988"/>
              </a:cubicBezTo>
              <a:cubicBezTo>
                <a:pt x="531754" y="866595"/>
                <a:pt x="476241" y="989028"/>
                <a:pt x="350607" y="989028"/>
              </a:cubicBezTo>
              <a:lnTo>
                <a:pt x="350607" y="989028"/>
              </a:lnTo>
              <a:cubicBezTo>
                <a:pt x="236660" y="989028"/>
                <a:pt x="207443" y="901029"/>
                <a:pt x="178225" y="816857"/>
              </a:cubicBezTo>
              <a:cubicBezTo>
                <a:pt x="149008" y="734597"/>
                <a:pt x="119791" y="650424"/>
                <a:pt x="20452" y="644685"/>
              </a:cubicBezTo>
              <a:cubicBezTo>
                <a:pt x="8765" y="644685"/>
                <a:pt x="0" y="637033"/>
                <a:pt x="0" y="629381"/>
              </a:cubicBezTo>
              <a:cubicBezTo>
                <a:pt x="0" y="621729"/>
                <a:pt x="11687" y="615990"/>
                <a:pt x="23374" y="615990"/>
              </a:cubicBezTo>
              <a:cubicBezTo>
                <a:pt x="154851" y="621729"/>
                <a:pt x="189912" y="721206"/>
                <a:pt x="219129" y="809204"/>
              </a:cubicBezTo>
              <a:cubicBezTo>
                <a:pt x="245425" y="885725"/>
                <a:pt x="271721" y="958419"/>
                <a:pt x="350607" y="958419"/>
              </a:cubicBezTo>
              <a:lnTo>
                <a:pt x="350607" y="958419"/>
              </a:lnTo>
              <a:cubicBezTo>
                <a:pt x="444102" y="958419"/>
                <a:pt x="496693" y="845552"/>
                <a:pt x="546363" y="736510"/>
              </a:cubicBezTo>
              <a:cubicBezTo>
                <a:pt x="601876" y="614077"/>
                <a:pt x="657388" y="499296"/>
                <a:pt x="780101" y="497383"/>
              </a:cubicBezTo>
              <a:lnTo>
                <a:pt x="780101" y="497383"/>
              </a:lnTo>
              <a:cubicBezTo>
                <a:pt x="914500" y="497383"/>
                <a:pt x="955404" y="635120"/>
                <a:pt x="1002152" y="780509"/>
              </a:cubicBezTo>
              <a:cubicBezTo>
                <a:pt x="1045978" y="920159"/>
                <a:pt x="1089804" y="1065548"/>
                <a:pt x="1209595" y="1065548"/>
              </a:cubicBezTo>
              <a:cubicBezTo>
                <a:pt x="1341072" y="1065548"/>
                <a:pt x="1396585" y="855117"/>
                <a:pt x="1443333" y="671468"/>
              </a:cubicBezTo>
              <a:cubicBezTo>
                <a:pt x="1495924" y="468688"/>
                <a:pt x="1542672" y="292691"/>
                <a:pt x="1682914" y="292691"/>
              </a:cubicBezTo>
              <a:cubicBezTo>
                <a:pt x="1808549" y="292691"/>
                <a:pt x="1852374" y="432341"/>
                <a:pt x="1899122" y="579643"/>
              </a:cubicBezTo>
              <a:cubicBezTo>
                <a:pt x="1940026" y="703989"/>
                <a:pt x="1983852" y="843639"/>
                <a:pt x="2074426" y="843639"/>
              </a:cubicBezTo>
              <a:cubicBezTo>
                <a:pt x="2197138" y="843639"/>
                <a:pt x="2235121" y="625555"/>
                <a:pt x="2270181" y="434254"/>
              </a:cubicBezTo>
              <a:cubicBezTo>
                <a:pt x="2311085" y="212344"/>
                <a:pt x="2349068" y="0"/>
                <a:pt x="2512685" y="0"/>
              </a:cubicBezTo>
              <a:cubicBezTo>
                <a:pt x="2670458" y="0"/>
                <a:pt x="2693832" y="248692"/>
                <a:pt x="2720127" y="535644"/>
              </a:cubicBezTo>
              <a:cubicBezTo>
                <a:pt x="2749344" y="834074"/>
                <a:pt x="2781484" y="1170764"/>
                <a:pt x="2971396" y="1170764"/>
              </a:cubicBezTo>
              <a:cubicBezTo>
                <a:pt x="3126247" y="1170764"/>
                <a:pt x="3164230" y="946941"/>
                <a:pt x="3199290" y="732684"/>
              </a:cubicBezTo>
              <a:cubicBezTo>
                <a:pt x="3237273" y="499296"/>
                <a:pt x="3272333" y="281213"/>
                <a:pt x="3459324" y="281213"/>
              </a:cubicBezTo>
              <a:cubicBezTo>
                <a:pt x="3622941" y="281213"/>
                <a:pt x="3646314" y="439993"/>
                <a:pt x="3669688" y="594947"/>
              </a:cubicBezTo>
              <a:cubicBezTo>
                <a:pt x="3690140" y="726945"/>
                <a:pt x="3710593" y="864682"/>
                <a:pt x="3818696" y="864682"/>
              </a:cubicBezTo>
              <a:cubicBezTo>
                <a:pt x="3885896" y="864682"/>
                <a:pt x="3920957" y="801552"/>
                <a:pt x="3958939" y="736510"/>
              </a:cubicBezTo>
              <a:cubicBezTo>
                <a:pt x="4002765" y="659989"/>
                <a:pt x="4046591" y="581556"/>
                <a:pt x="4154695" y="581556"/>
              </a:cubicBezTo>
              <a:cubicBezTo>
                <a:pt x="4245268" y="581556"/>
                <a:pt x="4289094" y="675294"/>
                <a:pt x="4341685" y="784335"/>
              </a:cubicBezTo>
              <a:cubicBezTo>
                <a:pt x="4391354" y="891464"/>
                <a:pt x="4446868" y="1011984"/>
                <a:pt x="4546206" y="1011984"/>
              </a:cubicBezTo>
              <a:cubicBezTo>
                <a:pt x="4677684" y="1011984"/>
                <a:pt x="4730275" y="784335"/>
                <a:pt x="4777023" y="583469"/>
              </a:cubicBezTo>
              <a:cubicBezTo>
                <a:pt x="4829613" y="355820"/>
                <a:pt x="4879283" y="139650"/>
                <a:pt x="5042900" y="139650"/>
              </a:cubicBezTo>
              <a:cubicBezTo>
                <a:pt x="5194829" y="139650"/>
                <a:pt x="5235734" y="342429"/>
                <a:pt x="5279560" y="558600"/>
              </a:cubicBezTo>
              <a:cubicBezTo>
                <a:pt x="5317542" y="740336"/>
                <a:pt x="5358446" y="946941"/>
                <a:pt x="5469472" y="946941"/>
              </a:cubicBezTo>
              <a:cubicBezTo>
                <a:pt x="5560045" y="946941"/>
                <a:pt x="5612636" y="813031"/>
                <a:pt x="5662305" y="694424"/>
              </a:cubicBezTo>
              <a:cubicBezTo>
                <a:pt x="5720740" y="552861"/>
                <a:pt x="5773331" y="420863"/>
                <a:pt x="5896043" y="420863"/>
              </a:cubicBezTo>
              <a:cubicBezTo>
                <a:pt x="6012913" y="420863"/>
                <a:pt x="6068426" y="549035"/>
                <a:pt x="6129782" y="700163"/>
              </a:cubicBezTo>
              <a:cubicBezTo>
                <a:pt x="6191138" y="845552"/>
                <a:pt x="6261259" y="1010071"/>
                <a:pt x="6386894" y="1013897"/>
              </a:cubicBezTo>
              <a:cubicBezTo>
                <a:pt x="6386894" y="1013897"/>
                <a:pt x="6389815" y="1013897"/>
                <a:pt x="6389815" y="1013897"/>
              </a:cubicBezTo>
              <a:cubicBezTo>
                <a:pt x="6474545" y="1013897"/>
                <a:pt x="6518371" y="931637"/>
                <a:pt x="6565119" y="845552"/>
              </a:cubicBezTo>
              <a:cubicBezTo>
                <a:pt x="6623554" y="734597"/>
                <a:pt x="6693675" y="608338"/>
                <a:pt x="6868978" y="608338"/>
              </a:cubicBezTo>
              <a:cubicBezTo>
                <a:pt x="6880666" y="608338"/>
                <a:pt x="6889430" y="614077"/>
                <a:pt x="6889430" y="621729"/>
              </a:cubicBezTo>
              <a:cubicBezTo>
                <a:pt x="6889430" y="629381"/>
                <a:pt x="6880666" y="635120"/>
                <a:pt x="6868978" y="635120"/>
              </a:cubicBezTo>
              <a:cubicBezTo>
                <a:pt x="6722892" y="635120"/>
                <a:pt x="6664458" y="746075"/>
                <a:pt x="6606023" y="853204"/>
              </a:cubicBezTo>
              <a:cubicBezTo>
                <a:pt x="6553432" y="950767"/>
                <a:pt x="6503763" y="1044505"/>
                <a:pt x="6386894" y="1040679"/>
              </a:cubicBezTo>
              <a:cubicBezTo>
                <a:pt x="6226199" y="1036853"/>
                <a:pt x="6156077" y="868508"/>
                <a:pt x="6088878" y="705902"/>
              </a:cubicBezTo>
              <a:cubicBezTo>
                <a:pt x="6036286" y="579643"/>
                <a:pt x="5980774" y="447645"/>
                <a:pt x="5896043" y="447645"/>
              </a:cubicBezTo>
              <a:cubicBezTo>
                <a:pt x="5805470" y="447645"/>
                <a:pt x="5752879" y="581556"/>
                <a:pt x="5703210" y="700163"/>
              </a:cubicBezTo>
              <a:cubicBezTo>
                <a:pt x="5644775" y="839813"/>
                <a:pt x="5592184" y="973724"/>
                <a:pt x="5469472" y="973724"/>
              </a:cubicBezTo>
              <a:cubicBezTo>
                <a:pt x="5320464" y="973724"/>
                <a:pt x="5279560" y="772857"/>
                <a:pt x="5235734" y="560513"/>
              </a:cubicBezTo>
              <a:cubicBezTo>
                <a:pt x="5197751" y="376864"/>
                <a:pt x="5156847" y="166432"/>
                <a:pt x="5042900" y="166432"/>
              </a:cubicBezTo>
              <a:cubicBezTo>
                <a:pt x="4917265" y="166432"/>
                <a:pt x="4864674" y="388342"/>
                <a:pt x="4820849" y="585382"/>
              </a:cubicBezTo>
              <a:cubicBezTo>
                <a:pt x="4768257" y="818770"/>
                <a:pt x="4715666" y="1038766"/>
                <a:pt x="4546206" y="1038766"/>
              </a:cubicBezTo>
              <a:cubicBezTo>
                <a:pt x="4414728" y="1038766"/>
                <a:pt x="4356294" y="912507"/>
                <a:pt x="4300781" y="791987"/>
              </a:cubicBezTo>
              <a:cubicBezTo>
                <a:pt x="4259877" y="705902"/>
                <a:pt x="4216051" y="608338"/>
                <a:pt x="4154695" y="608338"/>
              </a:cubicBezTo>
              <a:cubicBezTo>
                <a:pt x="4078730" y="608338"/>
                <a:pt x="4037826" y="677207"/>
                <a:pt x="3999843" y="744162"/>
              </a:cubicBezTo>
              <a:cubicBezTo>
                <a:pt x="3958939" y="816857"/>
                <a:pt x="3915113" y="891464"/>
                <a:pt x="3818696" y="891464"/>
              </a:cubicBezTo>
              <a:cubicBezTo>
                <a:pt x="3672610" y="891464"/>
                <a:pt x="3649236" y="747988"/>
                <a:pt x="3625862" y="596860"/>
              </a:cubicBezTo>
              <a:cubicBezTo>
                <a:pt x="3602488" y="455297"/>
                <a:pt x="3582036" y="307995"/>
                <a:pt x="3456402" y="307995"/>
              </a:cubicBezTo>
              <a:cubicBezTo>
                <a:pt x="3310316" y="307995"/>
                <a:pt x="3275255" y="524166"/>
                <a:pt x="3240194" y="734597"/>
              </a:cubicBezTo>
              <a:cubicBezTo>
                <a:pt x="3205134" y="973724"/>
                <a:pt x="3170073" y="1199459"/>
                <a:pt x="2974317" y="1199459"/>
              </a:cubicBezTo>
              <a:lnTo>
                <a:pt x="2974317" y="1199459"/>
              </a:lnTo>
              <a:close/>
            </a:path>
          </a:pathLst>
        </a:custGeom>
        <a:solidFill>
          <a:schemeClr val="accent1">
            <a:lumMod val="40000"/>
            <a:lumOff val="60000"/>
          </a:schemeClr>
        </a:solidFill>
        <a:ln w="29208" cap="flat">
          <a:noFill/>
          <a:prstDash val="solid"/>
          <a:miter/>
        </a:ln>
      </xdr:spPr>
      <xdr:txBody>
        <a:bodyPr rtlCol="0" anchor="ctr"/>
        <a:lstStyle/>
        <a:p>
          <a:endParaRPr lang="en-US"/>
        </a:p>
      </xdr:txBody>
    </xdr:sp>
    <xdr:clientData/>
  </xdr:twoCellAnchor>
  <xdr:twoCellAnchor>
    <xdr:from>
      <xdr:col>5</xdr:col>
      <xdr:colOff>3928</xdr:colOff>
      <xdr:row>1</xdr:row>
      <xdr:rowOff>142421</xdr:rowOff>
    </xdr:from>
    <xdr:to>
      <xdr:col>9</xdr:col>
      <xdr:colOff>961445</xdr:colOff>
      <xdr:row>2</xdr:row>
      <xdr:rowOff>794087</xdr:rowOff>
    </xdr:to>
    <xdr:sp macro="" textlink="">
      <xdr:nvSpPr>
        <xdr:cNvPr id="4" name="Freeform: Shape 3">
          <a:extLst>
            <a:ext uri="{FF2B5EF4-FFF2-40B4-BE49-F238E27FC236}">
              <a16:creationId xmlns:a16="http://schemas.microsoft.com/office/drawing/2014/main" id="{9FD399A5-7639-4B9D-A79D-9FC350C28B15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SpPr/>
      </xdr:nvSpPr>
      <xdr:spPr>
        <a:xfrm>
          <a:off x="7704891" y="342446"/>
          <a:ext cx="6901117" cy="946941"/>
        </a:xfrm>
        <a:custGeom>
          <a:avLst/>
          <a:gdLst>
            <a:gd name="connsiteX0" fmla="*/ 2968474 w 6901117"/>
            <a:gd name="connsiteY0" fmla="*/ 946941 h 946941"/>
            <a:gd name="connsiteX1" fmla="*/ 2690910 w 6901117"/>
            <a:gd name="connsiteY1" fmla="*/ 441906 h 946941"/>
            <a:gd name="connsiteX2" fmla="*/ 2512685 w 6901117"/>
            <a:gd name="connsiteY2" fmla="*/ 28695 h 946941"/>
            <a:gd name="connsiteX3" fmla="*/ 2316929 w 6901117"/>
            <a:gd name="connsiteY3" fmla="*/ 350081 h 946941"/>
            <a:gd name="connsiteX4" fmla="*/ 2080269 w 6901117"/>
            <a:gd name="connsiteY4" fmla="*/ 692511 h 946941"/>
            <a:gd name="connsiteX5" fmla="*/ 1855296 w 6901117"/>
            <a:gd name="connsiteY5" fmla="*/ 472514 h 946941"/>
            <a:gd name="connsiteX6" fmla="*/ 1674149 w 6901117"/>
            <a:gd name="connsiteY6" fmla="*/ 271648 h 946941"/>
            <a:gd name="connsiteX7" fmla="*/ 1446255 w 6901117"/>
            <a:gd name="connsiteY7" fmla="*/ 570078 h 946941"/>
            <a:gd name="connsiteX8" fmla="*/ 1206673 w 6901117"/>
            <a:gd name="connsiteY8" fmla="*/ 866595 h 946941"/>
            <a:gd name="connsiteX9" fmla="*/ 972935 w 6901117"/>
            <a:gd name="connsiteY9" fmla="*/ 627468 h 946941"/>
            <a:gd name="connsiteX10" fmla="*/ 809318 w 6901117"/>
            <a:gd name="connsiteY10" fmla="*/ 428515 h 946941"/>
            <a:gd name="connsiteX11" fmla="*/ 809318 w 6901117"/>
            <a:gd name="connsiteY11" fmla="*/ 428515 h 946941"/>
            <a:gd name="connsiteX12" fmla="*/ 639858 w 6901117"/>
            <a:gd name="connsiteY12" fmla="*/ 583469 h 946941"/>
            <a:gd name="connsiteX13" fmla="*/ 414885 w 6901117"/>
            <a:gd name="connsiteY13" fmla="*/ 767118 h 946941"/>
            <a:gd name="connsiteX14" fmla="*/ 186990 w 6901117"/>
            <a:gd name="connsiteY14" fmla="*/ 619816 h 946941"/>
            <a:gd name="connsiteX15" fmla="*/ 20452 w 6901117"/>
            <a:gd name="connsiteY15" fmla="*/ 499296 h 946941"/>
            <a:gd name="connsiteX16" fmla="*/ 20452 w 6901117"/>
            <a:gd name="connsiteY16" fmla="*/ 499296 h 946941"/>
            <a:gd name="connsiteX17" fmla="*/ 0 w 6901117"/>
            <a:gd name="connsiteY17" fmla="*/ 485905 h 946941"/>
            <a:gd name="connsiteX18" fmla="*/ 20452 w 6901117"/>
            <a:gd name="connsiteY18" fmla="*/ 472514 h 946941"/>
            <a:gd name="connsiteX19" fmla="*/ 20452 w 6901117"/>
            <a:gd name="connsiteY19" fmla="*/ 472514 h 946941"/>
            <a:gd name="connsiteX20" fmla="*/ 227895 w 6901117"/>
            <a:gd name="connsiteY20" fmla="*/ 610251 h 946941"/>
            <a:gd name="connsiteX21" fmla="*/ 414885 w 6901117"/>
            <a:gd name="connsiteY21" fmla="*/ 740336 h 946941"/>
            <a:gd name="connsiteX22" fmla="*/ 598954 w 6901117"/>
            <a:gd name="connsiteY22" fmla="*/ 575817 h 946941"/>
            <a:gd name="connsiteX23" fmla="*/ 809318 w 6901117"/>
            <a:gd name="connsiteY23" fmla="*/ 399820 h 946941"/>
            <a:gd name="connsiteX24" fmla="*/ 809318 w 6901117"/>
            <a:gd name="connsiteY24" fmla="*/ 399820 h 946941"/>
            <a:gd name="connsiteX25" fmla="*/ 1016761 w 6901117"/>
            <a:gd name="connsiteY25" fmla="*/ 621729 h 946941"/>
            <a:gd name="connsiteX26" fmla="*/ 1209595 w 6901117"/>
            <a:gd name="connsiteY26" fmla="*/ 839813 h 946941"/>
            <a:gd name="connsiteX27" fmla="*/ 1408272 w 6901117"/>
            <a:gd name="connsiteY27" fmla="*/ 564339 h 946941"/>
            <a:gd name="connsiteX28" fmla="*/ 1677071 w 6901117"/>
            <a:gd name="connsiteY28" fmla="*/ 242953 h 946941"/>
            <a:gd name="connsiteX29" fmla="*/ 1902044 w 6901117"/>
            <a:gd name="connsiteY29" fmla="*/ 462949 h 946941"/>
            <a:gd name="connsiteX30" fmla="*/ 2083191 w 6901117"/>
            <a:gd name="connsiteY30" fmla="*/ 663815 h 946941"/>
            <a:gd name="connsiteX31" fmla="*/ 2276025 w 6901117"/>
            <a:gd name="connsiteY31" fmla="*/ 346255 h 946941"/>
            <a:gd name="connsiteX32" fmla="*/ 2515606 w 6901117"/>
            <a:gd name="connsiteY32" fmla="*/ 0 h 946941"/>
            <a:gd name="connsiteX33" fmla="*/ 2737657 w 6901117"/>
            <a:gd name="connsiteY33" fmla="*/ 438080 h 946941"/>
            <a:gd name="connsiteX34" fmla="*/ 2971396 w 6901117"/>
            <a:gd name="connsiteY34" fmla="*/ 916333 h 946941"/>
            <a:gd name="connsiteX35" fmla="*/ 3225586 w 6901117"/>
            <a:gd name="connsiteY35" fmla="*/ 549035 h 946941"/>
            <a:gd name="connsiteX36" fmla="*/ 3450559 w 6901117"/>
            <a:gd name="connsiteY36" fmla="*/ 218083 h 946941"/>
            <a:gd name="connsiteX37" fmla="*/ 3453480 w 6901117"/>
            <a:gd name="connsiteY37" fmla="*/ 218083 h 946941"/>
            <a:gd name="connsiteX38" fmla="*/ 3628784 w 6901117"/>
            <a:gd name="connsiteY38" fmla="*/ 441906 h 946941"/>
            <a:gd name="connsiteX39" fmla="*/ 3807009 w 6901117"/>
            <a:gd name="connsiteY39" fmla="*/ 675294 h 946941"/>
            <a:gd name="connsiteX40" fmla="*/ 3947252 w 6901117"/>
            <a:gd name="connsiteY40" fmla="*/ 571991 h 946941"/>
            <a:gd name="connsiteX41" fmla="*/ 4140086 w 6901117"/>
            <a:gd name="connsiteY41" fmla="*/ 445732 h 946941"/>
            <a:gd name="connsiteX42" fmla="*/ 4324155 w 6901117"/>
            <a:gd name="connsiteY42" fmla="*/ 610251 h 946941"/>
            <a:gd name="connsiteX43" fmla="*/ 4525754 w 6901117"/>
            <a:gd name="connsiteY43" fmla="*/ 791987 h 946941"/>
            <a:gd name="connsiteX44" fmla="*/ 4753649 w 6901117"/>
            <a:gd name="connsiteY44" fmla="*/ 459123 h 946941"/>
            <a:gd name="connsiteX45" fmla="*/ 5016604 w 6901117"/>
            <a:gd name="connsiteY45" fmla="*/ 109042 h 946941"/>
            <a:gd name="connsiteX46" fmla="*/ 5250342 w 6901117"/>
            <a:gd name="connsiteY46" fmla="*/ 438080 h 946941"/>
            <a:gd name="connsiteX47" fmla="*/ 5437333 w 6901117"/>
            <a:gd name="connsiteY47" fmla="*/ 740336 h 946941"/>
            <a:gd name="connsiteX48" fmla="*/ 5627245 w 6901117"/>
            <a:gd name="connsiteY48" fmla="*/ 543296 h 946941"/>
            <a:gd name="connsiteX49" fmla="*/ 5858061 w 6901117"/>
            <a:gd name="connsiteY49" fmla="*/ 327125 h 946941"/>
            <a:gd name="connsiteX50" fmla="*/ 6080113 w 6901117"/>
            <a:gd name="connsiteY50" fmla="*/ 568165 h 946941"/>
            <a:gd name="connsiteX51" fmla="*/ 6258338 w 6901117"/>
            <a:gd name="connsiteY51" fmla="*/ 790074 h 946941"/>
            <a:gd name="connsiteX52" fmla="*/ 6258338 w 6901117"/>
            <a:gd name="connsiteY52" fmla="*/ 790074 h 946941"/>
            <a:gd name="connsiteX53" fmla="*/ 6389815 w 6901117"/>
            <a:gd name="connsiteY53" fmla="*/ 692511 h 946941"/>
            <a:gd name="connsiteX54" fmla="*/ 6880665 w 6901117"/>
            <a:gd name="connsiteY54" fmla="*/ 457210 h 946941"/>
            <a:gd name="connsiteX55" fmla="*/ 6901117 w 6901117"/>
            <a:gd name="connsiteY55" fmla="*/ 470601 h 946941"/>
            <a:gd name="connsiteX56" fmla="*/ 6880665 w 6901117"/>
            <a:gd name="connsiteY56" fmla="*/ 483992 h 946941"/>
            <a:gd name="connsiteX57" fmla="*/ 6424876 w 6901117"/>
            <a:gd name="connsiteY57" fmla="*/ 703989 h 946941"/>
            <a:gd name="connsiteX58" fmla="*/ 6255416 w 6901117"/>
            <a:gd name="connsiteY58" fmla="*/ 816857 h 946941"/>
            <a:gd name="connsiteX59" fmla="*/ 6252494 w 6901117"/>
            <a:gd name="connsiteY59" fmla="*/ 816857 h 946941"/>
            <a:gd name="connsiteX60" fmla="*/ 6033365 w 6901117"/>
            <a:gd name="connsiteY60" fmla="*/ 573904 h 946941"/>
            <a:gd name="connsiteX61" fmla="*/ 5855139 w 6901117"/>
            <a:gd name="connsiteY61" fmla="*/ 353907 h 946941"/>
            <a:gd name="connsiteX62" fmla="*/ 5665227 w 6901117"/>
            <a:gd name="connsiteY62" fmla="*/ 550948 h 946941"/>
            <a:gd name="connsiteX63" fmla="*/ 5434411 w 6901117"/>
            <a:gd name="connsiteY63" fmla="*/ 767118 h 946941"/>
            <a:gd name="connsiteX64" fmla="*/ 5206516 w 6901117"/>
            <a:gd name="connsiteY64" fmla="*/ 441906 h 946941"/>
            <a:gd name="connsiteX65" fmla="*/ 5016604 w 6901117"/>
            <a:gd name="connsiteY65" fmla="*/ 135824 h 946941"/>
            <a:gd name="connsiteX66" fmla="*/ 4797475 w 6901117"/>
            <a:gd name="connsiteY66" fmla="*/ 461036 h 946941"/>
            <a:gd name="connsiteX67" fmla="*/ 4528676 w 6901117"/>
            <a:gd name="connsiteY67" fmla="*/ 816857 h 946941"/>
            <a:gd name="connsiteX68" fmla="*/ 4286172 w 6901117"/>
            <a:gd name="connsiteY68" fmla="*/ 617903 h 946941"/>
            <a:gd name="connsiteX69" fmla="*/ 4143008 w 6901117"/>
            <a:gd name="connsiteY69" fmla="*/ 472514 h 946941"/>
            <a:gd name="connsiteX70" fmla="*/ 3991078 w 6901117"/>
            <a:gd name="connsiteY70" fmla="*/ 581556 h 946941"/>
            <a:gd name="connsiteX71" fmla="*/ 3812853 w 6901117"/>
            <a:gd name="connsiteY71" fmla="*/ 702076 h 946941"/>
            <a:gd name="connsiteX72" fmla="*/ 3593723 w 6901117"/>
            <a:gd name="connsiteY72" fmla="*/ 443819 h 946941"/>
            <a:gd name="connsiteX73" fmla="*/ 3459324 w 6901117"/>
            <a:gd name="connsiteY73" fmla="*/ 244866 h 946941"/>
            <a:gd name="connsiteX74" fmla="*/ 3459324 w 6901117"/>
            <a:gd name="connsiteY74" fmla="*/ 244866 h 946941"/>
            <a:gd name="connsiteX75" fmla="*/ 3275255 w 6901117"/>
            <a:gd name="connsiteY75" fmla="*/ 550948 h 946941"/>
            <a:gd name="connsiteX76" fmla="*/ 2968474 w 6901117"/>
            <a:gd name="connsiteY76" fmla="*/ 946941 h 946941"/>
            <a:gd name="connsiteX77" fmla="*/ 2968474 w 6901117"/>
            <a:gd name="connsiteY77" fmla="*/ 946941 h 946941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  <a:cxn ang="0">
              <a:pos x="connsiteX55" y="connsiteY55"/>
            </a:cxn>
            <a:cxn ang="0">
              <a:pos x="connsiteX56" y="connsiteY56"/>
            </a:cxn>
            <a:cxn ang="0">
              <a:pos x="connsiteX57" y="connsiteY57"/>
            </a:cxn>
            <a:cxn ang="0">
              <a:pos x="connsiteX58" y="connsiteY58"/>
            </a:cxn>
            <a:cxn ang="0">
              <a:pos x="connsiteX59" y="connsiteY59"/>
            </a:cxn>
            <a:cxn ang="0">
              <a:pos x="connsiteX60" y="connsiteY60"/>
            </a:cxn>
            <a:cxn ang="0">
              <a:pos x="connsiteX61" y="connsiteY61"/>
            </a:cxn>
            <a:cxn ang="0">
              <a:pos x="connsiteX62" y="connsiteY62"/>
            </a:cxn>
            <a:cxn ang="0">
              <a:pos x="connsiteX63" y="connsiteY63"/>
            </a:cxn>
            <a:cxn ang="0">
              <a:pos x="connsiteX64" y="connsiteY64"/>
            </a:cxn>
            <a:cxn ang="0">
              <a:pos x="connsiteX65" y="connsiteY65"/>
            </a:cxn>
            <a:cxn ang="0">
              <a:pos x="connsiteX66" y="connsiteY66"/>
            </a:cxn>
            <a:cxn ang="0">
              <a:pos x="connsiteX67" y="connsiteY67"/>
            </a:cxn>
            <a:cxn ang="0">
              <a:pos x="connsiteX68" y="connsiteY68"/>
            </a:cxn>
            <a:cxn ang="0">
              <a:pos x="connsiteX69" y="connsiteY69"/>
            </a:cxn>
            <a:cxn ang="0">
              <a:pos x="connsiteX70" y="connsiteY70"/>
            </a:cxn>
            <a:cxn ang="0">
              <a:pos x="connsiteX71" y="connsiteY71"/>
            </a:cxn>
            <a:cxn ang="0">
              <a:pos x="connsiteX72" y="connsiteY72"/>
            </a:cxn>
            <a:cxn ang="0">
              <a:pos x="connsiteX73" y="connsiteY73"/>
            </a:cxn>
            <a:cxn ang="0">
              <a:pos x="connsiteX74" y="connsiteY74"/>
            </a:cxn>
            <a:cxn ang="0">
              <a:pos x="connsiteX75" y="connsiteY75"/>
            </a:cxn>
            <a:cxn ang="0">
              <a:pos x="connsiteX76" y="connsiteY76"/>
            </a:cxn>
            <a:cxn ang="0">
              <a:pos x="connsiteX77" y="connsiteY77"/>
            </a:cxn>
          </a:cxnLst>
          <a:rect l="l" t="t" r="r" b="b"/>
          <a:pathLst>
            <a:path w="6901117" h="946941">
              <a:moveTo>
                <a:pt x="2968474" y="946941"/>
              </a:moveTo>
              <a:cubicBezTo>
                <a:pt x="2763953" y="946941"/>
                <a:pt x="2728892" y="690598"/>
                <a:pt x="2690910" y="441906"/>
              </a:cubicBezTo>
              <a:cubicBezTo>
                <a:pt x="2661693" y="239127"/>
                <a:pt x="2632475" y="28695"/>
                <a:pt x="2512685" y="28695"/>
              </a:cubicBezTo>
              <a:cubicBezTo>
                <a:pt x="2389972" y="28695"/>
                <a:pt x="2351990" y="191301"/>
                <a:pt x="2316929" y="350081"/>
              </a:cubicBezTo>
              <a:cubicBezTo>
                <a:pt x="2276025" y="526079"/>
                <a:pt x="2238042" y="692511"/>
                <a:pt x="2080269" y="692511"/>
              </a:cubicBezTo>
              <a:cubicBezTo>
                <a:pt x="1960478" y="692511"/>
                <a:pt x="1907887" y="579643"/>
                <a:pt x="1855296" y="472514"/>
              </a:cubicBezTo>
              <a:cubicBezTo>
                <a:pt x="1808549" y="373038"/>
                <a:pt x="1761801" y="271648"/>
                <a:pt x="1674149" y="271648"/>
              </a:cubicBezTo>
              <a:cubicBezTo>
                <a:pt x="1563124" y="271648"/>
                <a:pt x="1501767" y="430428"/>
                <a:pt x="1446255" y="570078"/>
              </a:cubicBezTo>
              <a:cubicBezTo>
                <a:pt x="1387820" y="723119"/>
                <a:pt x="1332307" y="866595"/>
                <a:pt x="1206673" y="866595"/>
              </a:cubicBezTo>
              <a:cubicBezTo>
                <a:pt x="1054743" y="866595"/>
                <a:pt x="1010917" y="744162"/>
                <a:pt x="972935" y="627468"/>
              </a:cubicBezTo>
              <a:cubicBezTo>
                <a:pt x="937874" y="526079"/>
                <a:pt x="905735" y="428515"/>
                <a:pt x="809318" y="428515"/>
              </a:cubicBezTo>
              <a:lnTo>
                <a:pt x="809318" y="428515"/>
              </a:lnTo>
              <a:cubicBezTo>
                <a:pt x="721666" y="428515"/>
                <a:pt x="683684" y="505035"/>
                <a:pt x="639858" y="583469"/>
              </a:cubicBezTo>
              <a:cubicBezTo>
                <a:pt x="593110" y="673381"/>
                <a:pt x="546363" y="767118"/>
                <a:pt x="414885" y="767118"/>
              </a:cubicBezTo>
              <a:cubicBezTo>
                <a:pt x="280486" y="767118"/>
                <a:pt x="230816" y="688685"/>
                <a:pt x="186990" y="619816"/>
              </a:cubicBezTo>
              <a:cubicBezTo>
                <a:pt x="146086" y="554774"/>
                <a:pt x="111026" y="499296"/>
                <a:pt x="20452" y="499296"/>
              </a:cubicBezTo>
              <a:lnTo>
                <a:pt x="20452" y="499296"/>
              </a:lnTo>
              <a:cubicBezTo>
                <a:pt x="8765" y="499296"/>
                <a:pt x="0" y="493557"/>
                <a:pt x="0" y="485905"/>
              </a:cubicBezTo>
              <a:cubicBezTo>
                <a:pt x="0" y="478253"/>
                <a:pt x="8765" y="472514"/>
                <a:pt x="20452" y="472514"/>
              </a:cubicBezTo>
              <a:lnTo>
                <a:pt x="20452" y="472514"/>
              </a:lnTo>
              <a:cubicBezTo>
                <a:pt x="140243" y="472514"/>
                <a:pt x="184069" y="543296"/>
                <a:pt x="227895" y="610251"/>
              </a:cubicBezTo>
              <a:cubicBezTo>
                <a:pt x="268799" y="677207"/>
                <a:pt x="306781" y="740336"/>
                <a:pt x="414885" y="740336"/>
              </a:cubicBezTo>
              <a:cubicBezTo>
                <a:pt x="514224" y="740336"/>
                <a:pt x="555128" y="659989"/>
                <a:pt x="598954" y="575817"/>
              </a:cubicBezTo>
              <a:cubicBezTo>
                <a:pt x="642780" y="489731"/>
                <a:pt x="689527" y="401733"/>
                <a:pt x="809318" y="399820"/>
              </a:cubicBezTo>
              <a:lnTo>
                <a:pt x="809318" y="399820"/>
              </a:lnTo>
              <a:cubicBezTo>
                <a:pt x="940796" y="399820"/>
                <a:pt x="978778" y="512688"/>
                <a:pt x="1016761" y="621729"/>
              </a:cubicBezTo>
              <a:cubicBezTo>
                <a:pt x="1051821" y="728858"/>
                <a:pt x="1089804" y="839813"/>
                <a:pt x="1209595" y="839813"/>
              </a:cubicBezTo>
              <a:cubicBezTo>
                <a:pt x="1300168" y="839813"/>
                <a:pt x="1358603" y="694424"/>
                <a:pt x="1408272" y="564339"/>
              </a:cubicBezTo>
              <a:cubicBezTo>
                <a:pt x="1472550" y="399820"/>
                <a:pt x="1533906" y="242953"/>
                <a:pt x="1677071" y="242953"/>
              </a:cubicBezTo>
              <a:cubicBezTo>
                <a:pt x="1796862" y="242953"/>
                <a:pt x="1849453" y="355820"/>
                <a:pt x="1902044" y="462949"/>
              </a:cubicBezTo>
              <a:cubicBezTo>
                <a:pt x="1948791" y="562426"/>
                <a:pt x="1995539" y="663815"/>
                <a:pt x="2083191" y="663815"/>
              </a:cubicBezTo>
              <a:cubicBezTo>
                <a:pt x="2202982" y="663815"/>
                <a:pt x="2240964" y="501209"/>
                <a:pt x="2276025" y="346255"/>
              </a:cubicBezTo>
              <a:cubicBezTo>
                <a:pt x="2316929" y="168345"/>
                <a:pt x="2354911" y="0"/>
                <a:pt x="2515606" y="0"/>
              </a:cubicBezTo>
              <a:cubicBezTo>
                <a:pt x="2673380" y="0"/>
                <a:pt x="2702597" y="202779"/>
                <a:pt x="2737657" y="438080"/>
              </a:cubicBezTo>
              <a:cubicBezTo>
                <a:pt x="2769797" y="661903"/>
                <a:pt x="2807779" y="916333"/>
                <a:pt x="2971396" y="916333"/>
              </a:cubicBezTo>
              <a:cubicBezTo>
                <a:pt x="3135012" y="916333"/>
                <a:pt x="3181760" y="721206"/>
                <a:pt x="3225586" y="549035"/>
              </a:cubicBezTo>
              <a:cubicBezTo>
                <a:pt x="3266490" y="380690"/>
                <a:pt x="3307394" y="219996"/>
                <a:pt x="3450559" y="218083"/>
              </a:cubicBezTo>
              <a:cubicBezTo>
                <a:pt x="3450559" y="218083"/>
                <a:pt x="3450559" y="218083"/>
                <a:pt x="3453480" y="218083"/>
              </a:cubicBezTo>
              <a:cubicBezTo>
                <a:pt x="3570349" y="218083"/>
                <a:pt x="3599567" y="327125"/>
                <a:pt x="3628784" y="441906"/>
              </a:cubicBezTo>
              <a:cubicBezTo>
                <a:pt x="3658001" y="556687"/>
                <a:pt x="3690140" y="675294"/>
                <a:pt x="3807009" y="675294"/>
              </a:cubicBezTo>
              <a:cubicBezTo>
                <a:pt x="3874209" y="675294"/>
                <a:pt x="3909270" y="625555"/>
                <a:pt x="3947252" y="571991"/>
              </a:cubicBezTo>
              <a:cubicBezTo>
                <a:pt x="3988156" y="512688"/>
                <a:pt x="4034904" y="445732"/>
                <a:pt x="4140086" y="445732"/>
              </a:cubicBezTo>
              <a:cubicBezTo>
                <a:pt x="4230660" y="445732"/>
                <a:pt x="4274486" y="526079"/>
                <a:pt x="4324155" y="610251"/>
              </a:cubicBezTo>
              <a:cubicBezTo>
                <a:pt x="4373824" y="700163"/>
                <a:pt x="4429337" y="791987"/>
                <a:pt x="4525754" y="791987"/>
              </a:cubicBezTo>
              <a:cubicBezTo>
                <a:pt x="4657232" y="791987"/>
                <a:pt x="4706901" y="621729"/>
                <a:pt x="4753649" y="459123"/>
              </a:cubicBezTo>
              <a:cubicBezTo>
                <a:pt x="4806240" y="279300"/>
                <a:pt x="4852988" y="109042"/>
                <a:pt x="5016604" y="109042"/>
              </a:cubicBezTo>
              <a:cubicBezTo>
                <a:pt x="5168534" y="109042"/>
                <a:pt x="5206516" y="269735"/>
                <a:pt x="5250342" y="438080"/>
              </a:cubicBezTo>
              <a:cubicBezTo>
                <a:pt x="5288325" y="585382"/>
                <a:pt x="5326307" y="740336"/>
                <a:pt x="5437333" y="740336"/>
              </a:cubicBezTo>
              <a:cubicBezTo>
                <a:pt x="5527906" y="740336"/>
                <a:pt x="5577575" y="640859"/>
                <a:pt x="5627245" y="543296"/>
              </a:cubicBezTo>
              <a:cubicBezTo>
                <a:pt x="5682758" y="438080"/>
                <a:pt x="5738270" y="327125"/>
                <a:pt x="5858061" y="327125"/>
              </a:cubicBezTo>
              <a:cubicBezTo>
                <a:pt x="5980774" y="327125"/>
                <a:pt x="6027521" y="443819"/>
                <a:pt x="6080113" y="568165"/>
              </a:cubicBezTo>
              <a:cubicBezTo>
                <a:pt x="6123938" y="677207"/>
                <a:pt x="6170686" y="788161"/>
                <a:pt x="6258338" y="790074"/>
              </a:cubicBezTo>
              <a:cubicBezTo>
                <a:pt x="6258338" y="790074"/>
                <a:pt x="6258338" y="790074"/>
                <a:pt x="6258338" y="790074"/>
              </a:cubicBezTo>
              <a:cubicBezTo>
                <a:pt x="6305085" y="790074"/>
                <a:pt x="6343068" y="746075"/>
                <a:pt x="6389815" y="692511"/>
              </a:cubicBezTo>
              <a:cubicBezTo>
                <a:pt x="6474546" y="593034"/>
                <a:pt x="6594336" y="457210"/>
                <a:pt x="6880665" y="457210"/>
              </a:cubicBezTo>
              <a:cubicBezTo>
                <a:pt x="6892352" y="457210"/>
                <a:pt x="6901117" y="462949"/>
                <a:pt x="6901117" y="470601"/>
              </a:cubicBezTo>
              <a:cubicBezTo>
                <a:pt x="6901117" y="478253"/>
                <a:pt x="6892352" y="483992"/>
                <a:pt x="6880665" y="483992"/>
              </a:cubicBezTo>
              <a:cubicBezTo>
                <a:pt x="6617710" y="483992"/>
                <a:pt x="6512528" y="606425"/>
                <a:pt x="6424876" y="703989"/>
              </a:cubicBezTo>
              <a:cubicBezTo>
                <a:pt x="6369363" y="767118"/>
                <a:pt x="6328459" y="816857"/>
                <a:pt x="6255416" y="816857"/>
              </a:cubicBezTo>
              <a:cubicBezTo>
                <a:pt x="6255416" y="816857"/>
                <a:pt x="6252494" y="816857"/>
                <a:pt x="6252494" y="816857"/>
              </a:cubicBezTo>
              <a:cubicBezTo>
                <a:pt x="6132703" y="814944"/>
                <a:pt x="6083034" y="698250"/>
                <a:pt x="6033365" y="573904"/>
              </a:cubicBezTo>
              <a:cubicBezTo>
                <a:pt x="5989539" y="464862"/>
                <a:pt x="5942791" y="353907"/>
                <a:pt x="5855139" y="353907"/>
              </a:cubicBezTo>
              <a:cubicBezTo>
                <a:pt x="5764566" y="353907"/>
                <a:pt x="5714897" y="453384"/>
                <a:pt x="5665227" y="550948"/>
              </a:cubicBezTo>
              <a:cubicBezTo>
                <a:pt x="5609714" y="656163"/>
                <a:pt x="5554202" y="767118"/>
                <a:pt x="5434411" y="767118"/>
              </a:cubicBezTo>
              <a:cubicBezTo>
                <a:pt x="5288325" y="767118"/>
                <a:pt x="5247421" y="608338"/>
                <a:pt x="5206516" y="441906"/>
              </a:cubicBezTo>
              <a:cubicBezTo>
                <a:pt x="5168534" y="290778"/>
                <a:pt x="5127630" y="135824"/>
                <a:pt x="5016604" y="135824"/>
              </a:cubicBezTo>
              <a:cubicBezTo>
                <a:pt x="4890970" y="135824"/>
                <a:pt x="4844222" y="302256"/>
                <a:pt x="4797475" y="461036"/>
              </a:cubicBezTo>
              <a:cubicBezTo>
                <a:pt x="4744883" y="644685"/>
                <a:pt x="4695214" y="816857"/>
                <a:pt x="4528676" y="816857"/>
              </a:cubicBezTo>
              <a:cubicBezTo>
                <a:pt x="4400120" y="816857"/>
                <a:pt x="4341686" y="709728"/>
                <a:pt x="4286172" y="617903"/>
              </a:cubicBezTo>
              <a:cubicBezTo>
                <a:pt x="4245268" y="545209"/>
                <a:pt x="4201443" y="472514"/>
                <a:pt x="4143008" y="472514"/>
              </a:cubicBezTo>
              <a:cubicBezTo>
                <a:pt x="4067043" y="472514"/>
                <a:pt x="4029060" y="526079"/>
                <a:pt x="3991078" y="581556"/>
              </a:cubicBezTo>
              <a:cubicBezTo>
                <a:pt x="3950174" y="640859"/>
                <a:pt x="3906348" y="702076"/>
                <a:pt x="3812853" y="702076"/>
              </a:cubicBezTo>
              <a:cubicBezTo>
                <a:pt x="3660923" y="702076"/>
                <a:pt x="3625862" y="571991"/>
                <a:pt x="3593723" y="443819"/>
              </a:cubicBezTo>
              <a:cubicBezTo>
                <a:pt x="3567428" y="346255"/>
                <a:pt x="3541132" y="244866"/>
                <a:pt x="3459324" y="244866"/>
              </a:cubicBezTo>
              <a:cubicBezTo>
                <a:pt x="3459324" y="244866"/>
                <a:pt x="3459324" y="244866"/>
                <a:pt x="3459324" y="244866"/>
              </a:cubicBezTo>
              <a:cubicBezTo>
                <a:pt x="3351220" y="246779"/>
                <a:pt x="3313238" y="401733"/>
                <a:pt x="3275255" y="550948"/>
              </a:cubicBezTo>
              <a:cubicBezTo>
                <a:pt x="3216821" y="747988"/>
                <a:pt x="3170073" y="946941"/>
                <a:pt x="2968474" y="946941"/>
              </a:cubicBezTo>
              <a:lnTo>
                <a:pt x="2968474" y="946941"/>
              </a:lnTo>
              <a:close/>
            </a:path>
          </a:pathLst>
        </a:custGeom>
        <a:solidFill>
          <a:schemeClr val="tx2">
            <a:lumMod val="50000"/>
            <a:lumOff val="50000"/>
          </a:schemeClr>
        </a:solidFill>
        <a:ln w="29208" cap="flat">
          <a:noFill/>
          <a:prstDash val="solid"/>
          <a:miter/>
        </a:ln>
      </xdr:spPr>
      <xdr:txBody>
        <a:bodyPr rtlCol="0" anchor="ctr"/>
        <a:lstStyle/>
        <a:p>
          <a:endParaRPr lang="en-US"/>
        </a:p>
      </xdr:txBody>
    </xdr:sp>
    <xdr:clientData/>
  </xdr:twoCellAnchor>
  <xdr:twoCellAnchor editAs="oneCell">
    <xdr:from>
      <xdr:col>1</xdr:col>
      <xdr:colOff>1480344</xdr:colOff>
      <xdr:row>0</xdr:row>
      <xdr:rowOff>79376</xdr:rowOff>
    </xdr:from>
    <xdr:to>
      <xdr:col>1</xdr:col>
      <xdr:colOff>2059781</xdr:colOff>
      <xdr:row>2</xdr:row>
      <xdr:rowOff>164342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4A2BAC68-3C8B-40BC-A775-FAA138D098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61332" y="79376"/>
          <a:ext cx="579437" cy="580266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1</xdr:row>
      <xdr:rowOff>0</xdr:rowOff>
    </xdr:from>
    <xdr:to>
      <xdr:col>5</xdr:col>
      <xdr:colOff>0</xdr:colOff>
      <xdr:row>2</xdr:row>
      <xdr:rowOff>0</xdr:rowOff>
    </xdr:to>
    <xdr:sp macro="[0]!Sheet8.Toggle_Click" textlink="">
      <xdr:nvSpPr>
        <xdr:cNvPr id="7" name="Rectangle 6">
          <a:extLst>
            <a:ext uri="{FF2B5EF4-FFF2-40B4-BE49-F238E27FC236}">
              <a16:creationId xmlns:a16="http://schemas.microsoft.com/office/drawing/2014/main" id="{BA805804-D615-E6C0-A5A1-59069DDDBF8D}"/>
            </a:ext>
          </a:extLst>
        </xdr:cNvPr>
        <xdr:cNvSpPr/>
      </xdr:nvSpPr>
      <xdr:spPr>
        <a:xfrm>
          <a:off x="6278563" y="198438"/>
          <a:ext cx="1424781" cy="293687"/>
        </a:xfrm>
        <a:prstGeom prst="rect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Toggle Highlight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3928</xdr:colOff>
      <xdr:row>1</xdr:row>
      <xdr:rowOff>213202</xdr:rowOff>
    </xdr:from>
    <xdr:to>
      <xdr:col>9</xdr:col>
      <xdr:colOff>949758</xdr:colOff>
      <xdr:row>3</xdr:row>
      <xdr:rowOff>27964</xdr:rowOff>
    </xdr:to>
    <xdr:sp macro="" textlink="">
      <xdr:nvSpPr>
        <xdr:cNvPr id="2" name="Freeform: Shape 1">
          <a:extLst>
            <a:ext uri="{FF2B5EF4-FFF2-40B4-BE49-F238E27FC236}">
              <a16:creationId xmlns:a16="http://schemas.microsoft.com/office/drawing/2014/main" id="{D12695FF-4938-4375-9DB2-F0AE4B26C4B8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SpPr/>
      </xdr:nvSpPr>
      <xdr:spPr>
        <a:xfrm>
          <a:off x="7704891" y="413227"/>
          <a:ext cx="6889430" cy="1029200"/>
        </a:xfrm>
        <a:custGeom>
          <a:avLst/>
          <a:gdLst>
            <a:gd name="connsiteX0" fmla="*/ 1428724 w 6889430"/>
            <a:gd name="connsiteY0" fmla="*/ 1029201 h 1029200"/>
            <a:gd name="connsiteX1" fmla="*/ 1174534 w 6889430"/>
            <a:gd name="connsiteY1" fmla="*/ 763292 h 1029200"/>
            <a:gd name="connsiteX2" fmla="*/ 987543 w 6889430"/>
            <a:gd name="connsiteY2" fmla="*/ 539470 h 1029200"/>
            <a:gd name="connsiteX3" fmla="*/ 987543 w 6889430"/>
            <a:gd name="connsiteY3" fmla="*/ 539470 h 1029200"/>
            <a:gd name="connsiteX4" fmla="*/ 818083 w 6889430"/>
            <a:gd name="connsiteY4" fmla="*/ 696337 h 1029200"/>
            <a:gd name="connsiteX5" fmla="*/ 590189 w 6889430"/>
            <a:gd name="connsiteY5" fmla="*/ 879986 h 1029200"/>
            <a:gd name="connsiteX6" fmla="*/ 347685 w 6889430"/>
            <a:gd name="connsiteY6" fmla="*/ 679120 h 1029200"/>
            <a:gd name="connsiteX7" fmla="*/ 20452 w 6889430"/>
            <a:gd name="connsiteY7" fmla="*/ 430428 h 1029200"/>
            <a:gd name="connsiteX8" fmla="*/ 20452 w 6889430"/>
            <a:gd name="connsiteY8" fmla="*/ 430428 h 1029200"/>
            <a:gd name="connsiteX9" fmla="*/ 0 w 6889430"/>
            <a:gd name="connsiteY9" fmla="*/ 417037 h 1029200"/>
            <a:gd name="connsiteX10" fmla="*/ 20452 w 6889430"/>
            <a:gd name="connsiteY10" fmla="*/ 403646 h 1029200"/>
            <a:gd name="connsiteX11" fmla="*/ 20452 w 6889430"/>
            <a:gd name="connsiteY11" fmla="*/ 403646 h 1029200"/>
            <a:gd name="connsiteX12" fmla="*/ 385668 w 6889430"/>
            <a:gd name="connsiteY12" fmla="*/ 669555 h 1029200"/>
            <a:gd name="connsiteX13" fmla="*/ 587267 w 6889430"/>
            <a:gd name="connsiteY13" fmla="*/ 853204 h 1029200"/>
            <a:gd name="connsiteX14" fmla="*/ 771336 w 6889430"/>
            <a:gd name="connsiteY14" fmla="*/ 688685 h 1029200"/>
            <a:gd name="connsiteX15" fmla="*/ 981700 w 6889430"/>
            <a:gd name="connsiteY15" fmla="*/ 512687 h 1029200"/>
            <a:gd name="connsiteX16" fmla="*/ 981700 w 6889430"/>
            <a:gd name="connsiteY16" fmla="*/ 512687 h 1029200"/>
            <a:gd name="connsiteX17" fmla="*/ 1209595 w 6889430"/>
            <a:gd name="connsiteY17" fmla="*/ 759466 h 1029200"/>
            <a:gd name="connsiteX18" fmla="*/ 1422881 w 6889430"/>
            <a:gd name="connsiteY18" fmla="*/ 1002419 h 1029200"/>
            <a:gd name="connsiteX19" fmla="*/ 1425802 w 6889430"/>
            <a:gd name="connsiteY19" fmla="*/ 1002419 h 1029200"/>
            <a:gd name="connsiteX20" fmla="*/ 1633245 w 6889430"/>
            <a:gd name="connsiteY20" fmla="*/ 682946 h 1029200"/>
            <a:gd name="connsiteX21" fmla="*/ 1878670 w 6889430"/>
            <a:gd name="connsiteY21" fmla="*/ 344342 h 1029200"/>
            <a:gd name="connsiteX22" fmla="*/ 2097800 w 6889430"/>
            <a:gd name="connsiteY22" fmla="*/ 552861 h 1029200"/>
            <a:gd name="connsiteX23" fmla="*/ 2273103 w 6889430"/>
            <a:gd name="connsiteY23" fmla="*/ 740336 h 1029200"/>
            <a:gd name="connsiteX24" fmla="*/ 2486389 w 6889430"/>
            <a:gd name="connsiteY24" fmla="*/ 384516 h 1029200"/>
            <a:gd name="connsiteX25" fmla="*/ 2746423 w 6889430"/>
            <a:gd name="connsiteY25" fmla="*/ 0 h 1029200"/>
            <a:gd name="connsiteX26" fmla="*/ 2974317 w 6889430"/>
            <a:gd name="connsiteY26" fmla="*/ 476340 h 1029200"/>
            <a:gd name="connsiteX27" fmla="*/ 3213899 w 6889430"/>
            <a:gd name="connsiteY27" fmla="*/ 998593 h 1029200"/>
            <a:gd name="connsiteX28" fmla="*/ 3438872 w 6889430"/>
            <a:gd name="connsiteY28" fmla="*/ 648511 h 1029200"/>
            <a:gd name="connsiteX29" fmla="*/ 3643393 w 6889430"/>
            <a:gd name="connsiteY29" fmla="*/ 330951 h 1029200"/>
            <a:gd name="connsiteX30" fmla="*/ 3646314 w 6889430"/>
            <a:gd name="connsiteY30" fmla="*/ 330951 h 1029200"/>
            <a:gd name="connsiteX31" fmla="*/ 3824540 w 6889430"/>
            <a:gd name="connsiteY31" fmla="*/ 554774 h 1029200"/>
            <a:gd name="connsiteX32" fmla="*/ 4002765 w 6889430"/>
            <a:gd name="connsiteY32" fmla="*/ 790074 h 1029200"/>
            <a:gd name="connsiteX33" fmla="*/ 4143008 w 6889430"/>
            <a:gd name="connsiteY33" fmla="*/ 686772 h 1029200"/>
            <a:gd name="connsiteX34" fmla="*/ 4335842 w 6889430"/>
            <a:gd name="connsiteY34" fmla="*/ 560513 h 1029200"/>
            <a:gd name="connsiteX35" fmla="*/ 4522832 w 6889430"/>
            <a:gd name="connsiteY35" fmla="*/ 747988 h 1029200"/>
            <a:gd name="connsiteX36" fmla="*/ 4727353 w 6889430"/>
            <a:gd name="connsiteY36" fmla="*/ 956507 h 1029200"/>
            <a:gd name="connsiteX37" fmla="*/ 4955248 w 6889430"/>
            <a:gd name="connsiteY37" fmla="*/ 596860 h 1029200"/>
            <a:gd name="connsiteX38" fmla="*/ 5215281 w 6889430"/>
            <a:gd name="connsiteY38" fmla="*/ 221910 h 1029200"/>
            <a:gd name="connsiteX39" fmla="*/ 5451941 w 6889430"/>
            <a:gd name="connsiteY39" fmla="*/ 552861 h 1029200"/>
            <a:gd name="connsiteX40" fmla="*/ 5638932 w 6889430"/>
            <a:gd name="connsiteY40" fmla="*/ 855117 h 1029200"/>
            <a:gd name="connsiteX41" fmla="*/ 5828844 w 6889430"/>
            <a:gd name="connsiteY41" fmla="*/ 658077 h 1029200"/>
            <a:gd name="connsiteX42" fmla="*/ 6062582 w 6889430"/>
            <a:gd name="connsiteY42" fmla="*/ 441906 h 1029200"/>
            <a:gd name="connsiteX43" fmla="*/ 6275868 w 6889430"/>
            <a:gd name="connsiteY43" fmla="*/ 686772 h 1029200"/>
            <a:gd name="connsiteX44" fmla="*/ 6445328 w 6889430"/>
            <a:gd name="connsiteY44" fmla="*/ 906768 h 1029200"/>
            <a:gd name="connsiteX45" fmla="*/ 6603101 w 6889430"/>
            <a:gd name="connsiteY45" fmla="*/ 692511 h 1029200"/>
            <a:gd name="connsiteX46" fmla="*/ 6866057 w 6889430"/>
            <a:gd name="connsiteY46" fmla="*/ 392168 h 1029200"/>
            <a:gd name="connsiteX47" fmla="*/ 6889431 w 6889430"/>
            <a:gd name="connsiteY47" fmla="*/ 403646 h 1029200"/>
            <a:gd name="connsiteX48" fmla="*/ 6871900 w 6889430"/>
            <a:gd name="connsiteY48" fmla="*/ 418950 h 1029200"/>
            <a:gd name="connsiteX49" fmla="*/ 6644005 w 6889430"/>
            <a:gd name="connsiteY49" fmla="*/ 698250 h 1029200"/>
            <a:gd name="connsiteX50" fmla="*/ 6442406 w 6889430"/>
            <a:gd name="connsiteY50" fmla="*/ 933550 h 1029200"/>
            <a:gd name="connsiteX51" fmla="*/ 6232042 w 6889430"/>
            <a:gd name="connsiteY51" fmla="*/ 690598 h 1029200"/>
            <a:gd name="connsiteX52" fmla="*/ 6062582 w 6889430"/>
            <a:gd name="connsiteY52" fmla="*/ 468688 h 1029200"/>
            <a:gd name="connsiteX53" fmla="*/ 5872670 w 6889430"/>
            <a:gd name="connsiteY53" fmla="*/ 665729 h 1029200"/>
            <a:gd name="connsiteX54" fmla="*/ 5638932 w 6889430"/>
            <a:gd name="connsiteY54" fmla="*/ 881899 h 1029200"/>
            <a:gd name="connsiteX55" fmla="*/ 5408116 w 6889430"/>
            <a:gd name="connsiteY55" fmla="*/ 554774 h 1029200"/>
            <a:gd name="connsiteX56" fmla="*/ 5215281 w 6889430"/>
            <a:gd name="connsiteY56" fmla="*/ 248692 h 1029200"/>
            <a:gd name="connsiteX57" fmla="*/ 4996152 w 6889430"/>
            <a:gd name="connsiteY57" fmla="*/ 600686 h 1029200"/>
            <a:gd name="connsiteX58" fmla="*/ 4727353 w 6889430"/>
            <a:gd name="connsiteY58" fmla="*/ 985202 h 1029200"/>
            <a:gd name="connsiteX59" fmla="*/ 4481928 w 6889430"/>
            <a:gd name="connsiteY59" fmla="*/ 755640 h 1029200"/>
            <a:gd name="connsiteX60" fmla="*/ 4335842 w 6889430"/>
            <a:gd name="connsiteY60" fmla="*/ 587295 h 1029200"/>
            <a:gd name="connsiteX61" fmla="*/ 4180990 w 6889430"/>
            <a:gd name="connsiteY61" fmla="*/ 698250 h 1029200"/>
            <a:gd name="connsiteX62" fmla="*/ 3999843 w 6889430"/>
            <a:gd name="connsiteY62" fmla="*/ 818770 h 1029200"/>
            <a:gd name="connsiteX63" fmla="*/ 3777792 w 6889430"/>
            <a:gd name="connsiteY63" fmla="*/ 560513 h 1029200"/>
            <a:gd name="connsiteX64" fmla="*/ 3643393 w 6889430"/>
            <a:gd name="connsiteY64" fmla="*/ 359646 h 1029200"/>
            <a:gd name="connsiteX65" fmla="*/ 3643393 w 6889430"/>
            <a:gd name="connsiteY65" fmla="*/ 359646 h 1029200"/>
            <a:gd name="connsiteX66" fmla="*/ 3482698 w 6889430"/>
            <a:gd name="connsiteY66" fmla="*/ 652337 h 1029200"/>
            <a:gd name="connsiteX67" fmla="*/ 3213899 w 6889430"/>
            <a:gd name="connsiteY67" fmla="*/ 1027288 h 1029200"/>
            <a:gd name="connsiteX68" fmla="*/ 2930492 w 6889430"/>
            <a:gd name="connsiteY68" fmla="*/ 478253 h 1029200"/>
            <a:gd name="connsiteX69" fmla="*/ 2746423 w 6889430"/>
            <a:gd name="connsiteY69" fmla="*/ 26782 h 1029200"/>
            <a:gd name="connsiteX70" fmla="*/ 2530215 w 6889430"/>
            <a:gd name="connsiteY70" fmla="*/ 386429 h 1029200"/>
            <a:gd name="connsiteX71" fmla="*/ 2276025 w 6889430"/>
            <a:gd name="connsiteY71" fmla="*/ 767118 h 1029200"/>
            <a:gd name="connsiteX72" fmla="*/ 2056895 w 6889430"/>
            <a:gd name="connsiteY72" fmla="*/ 558600 h 1029200"/>
            <a:gd name="connsiteX73" fmla="*/ 1881592 w 6889430"/>
            <a:gd name="connsiteY73" fmla="*/ 371125 h 1029200"/>
            <a:gd name="connsiteX74" fmla="*/ 1679993 w 6889430"/>
            <a:gd name="connsiteY74" fmla="*/ 686772 h 1029200"/>
            <a:gd name="connsiteX75" fmla="*/ 1431646 w 6889430"/>
            <a:gd name="connsiteY75" fmla="*/ 1029201 h 1029200"/>
            <a:gd name="connsiteX76" fmla="*/ 1428724 w 6889430"/>
            <a:gd name="connsiteY76" fmla="*/ 1029201 h 1029200"/>
            <a:gd name="connsiteX77" fmla="*/ 1428724 w 6889430"/>
            <a:gd name="connsiteY77" fmla="*/ 1029201 h 10292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  <a:cxn ang="0">
              <a:pos x="connsiteX55" y="connsiteY55"/>
            </a:cxn>
            <a:cxn ang="0">
              <a:pos x="connsiteX56" y="connsiteY56"/>
            </a:cxn>
            <a:cxn ang="0">
              <a:pos x="connsiteX57" y="connsiteY57"/>
            </a:cxn>
            <a:cxn ang="0">
              <a:pos x="connsiteX58" y="connsiteY58"/>
            </a:cxn>
            <a:cxn ang="0">
              <a:pos x="connsiteX59" y="connsiteY59"/>
            </a:cxn>
            <a:cxn ang="0">
              <a:pos x="connsiteX60" y="connsiteY60"/>
            </a:cxn>
            <a:cxn ang="0">
              <a:pos x="connsiteX61" y="connsiteY61"/>
            </a:cxn>
            <a:cxn ang="0">
              <a:pos x="connsiteX62" y="connsiteY62"/>
            </a:cxn>
            <a:cxn ang="0">
              <a:pos x="connsiteX63" y="connsiteY63"/>
            </a:cxn>
            <a:cxn ang="0">
              <a:pos x="connsiteX64" y="connsiteY64"/>
            </a:cxn>
            <a:cxn ang="0">
              <a:pos x="connsiteX65" y="connsiteY65"/>
            </a:cxn>
            <a:cxn ang="0">
              <a:pos x="connsiteX66" y="connsiteY66"/>
            </a:cxn>
            <a:cxn ang="0">
              <a:pos x="connsiteX67" y="connsiteY67"/>
            </a:cxn>
            <a:cxn ang="0">
              <a:pos x="connsiteX68" y="connsiteY68"/>
            </a:cxn>
            <a:cxn ang="0">
              <a:pos x="connsiteX69" y="connsiteY69"/>
            </a:cxn>
            <a:cxn ang="0">
              <a:pos x="connsiteX70" y="connsiteY70"/>
            </a:cxn>
            <a:cxn ang="0">
              <a:pos x="connsiteX71" y="connsiteY71"/>
            </a:cxn>
            <a:cxn ang="0">
              <a:pos x="connsiteX72" y="connsiteY72"/>
            </a:cxn>
            <a:cxn ang="0">
              <a:pos x="connsiteX73" y="connsiteY73"/>
            </a:cxn>
            <a:cxn ang="0">
              <a:pos x="connsiteX74" y="connsiteY74"/>
            </a:cxn>
            <a:cxn ang="0">
              <a:pos x="connsiteX75" y="connsiteY75"/>
            </a:cxn>
            <a:cxn ang="0">
              <a:pos x="connsiteX76" y="connsiteY76"/>
            </a:cxn>
            <a:cxn ang="0">
              <a:pos x="connsiteX77" y="connsiteY77"/>
            </a:cxn>
          </a:cxnLst>
          <a:rect l="l" t="t" r="r" b="b"/>
          <a:pathLst>
            <a:path w="6889430" h="1029200">
              <a:moveTo>
                <a:pt x="1428724" y="1029201"/>
              </a:moveTo>
              <a:cubicBezTo>
                <a:pt x="1276794" y="1029201"/>
                <a:pt x="1224203" y="895290"/>
                <a:pt x="1174534" y="763292"/>
              </a:cubicBezTo>
              <a:cubicBezTo>
                <a:pt x="1130708" y="652337"/>
                <a:pt x="1086882" y="539470"/>
                <a:pt x="987543" y="539470"/>
              </a:cubicBezTo>
              <a:lnTo>
                <a:pt x="987543" y="539470"/>
              </a:lnTo>
              <a:cubicBezTo>
                <a:pt x="899892" y="539470"/>
                <a:pt x="858988" y="615990"/>
                <a:pt x="818083" y="696337"/>
              </a:cubicBezTo>
              <a:cubicBezTo>
                <a:pt x="771336" y="786248"/>
                <a:pt x="721666" y="879986"/>
                <a:pt x="590189" y="879986"/>
              </a:cubicBezTo>
              <a:cubicBezTo>
                <a:pt x="467476" y="879986"/>
                <a:pt x="409042" y="782422"/>
                <a:pt x="347685" y="679120"/>
              </a:cubicBezTo>
              <a:cubicBezTo>
                <a:pt x="274642" y="556687"/>
                <a:pt x="198677" y="430428"/>
                <a:pt x="20452" y="430428"/>
              </a:cubicBezTo>
              <a:cubicBezTo>
                <a:pt x="20452" y="430428"/>
                <a:pt x="20452" y="430428"/>
                <a:pt x="20452" y="430428"/>
              </a:cubicBezTo>
              <a:cubicBezTo>
                <a:pt x="8765" y="430428"/>
                <a:pt x="0" y="424689"/>
                <a:pt x="0" y="417037"/>
              </a:cubicBezTo>
              <a:cubicBezTo>
                <a:pt x="0" y="409385"/>
                <a:pt x="8765" y="403646"/>
                <a:pt x="20452" y="403646"/>
              </a:cubicBezTo>
              <a:lnTo>
                <a:pt x="20452" y="403646"/>
              </a:lnTo>
              <a:cubicBezTo>
                <a:pt x="227895" y="403646"/>
                <a:pt x="312625" y="545209"/>
                <a:pt x="385668" y="669555"/>
              </a:cubicBezTo>
              <a:cubicBezTo>
                <a:pt x="441181" y="763292"/>
                <a:pt x="496693" y="853204"/>
                <a:pt x="587267" y="853204"/>
              </a:cubicBezTo>
              <a:cubicBezTo>
                <a:pt x="686606" y="853204"/>
                <a:pt x="727510" y="772857"/>
                <a:pt x="771336" y="688685"/>
              </a:cubicBezTo>
              <a:cubicBezTo>
                <a:pt x="815162" y="602599"/>
                <a:pt x="861909" y="514601"/>
                <a:pt x="981700" y="512687"/>
              </a:cubicBezTo>
              <a:lnTo>
                <a:pt x="981700" y="512687"/>
              </a:lnTo>
              <a:cubicBezTo>
                <a:pt x="1113178" y="512687"/>
                <a:pt x="1159925" y="631294"/>
                <a:pt x="1209595" y="759466"/>
              </a:cubicBezTo>
              <a:cubicBezTo>
                <a:pt x="1256342" y="879986"/>
                <a:pt x="1306012" y="1002419"/>
                <a:pt x="1422881" y="1002419"/>
              </a:cubicBezTo>
              <a:cubicBezTo>
                <a:pt x="1422881" y="1002419"/>
                <a:pt x="1422881" y="1002419"/>
                <a:pt x="1425802" y="1002419"/>
              </a:cubicBezTo>
              <a:cubicBezTo>
                <a:pt x="1536828" y="1000506"/>
                <a:pt x="1586497" y="832161"/>
                <a:pt x="1633245" y="682946"/>
              </a:cubicBezTo>
              <a:cubicBezTo>
                <a:pt x="1685836" y="508862"/>
                <a:pt x="1735505" y="344342"/>
                <a:pt x="1878670" y="344342"/>
              </a:cubicBezTo>
              <a:cubicBezTo>
                <a:pt x="2001382" y="344342"/>
                <a:pt x="2051052" y="449558"/>
                <a:pt x="2097800" y="552861"/>
              </a:cubicBezTo>
              <a:cubicBezTo>
                <a:pt x="2141625" y="644685"/>
                <a:pt x="2185451" y="740336"/>
                <a:pt x="2273103" y="740336"/>
              </a:cubicBezTo>
              <a:cubicBezTo>
                <a:pt x="2395816" y="740336"/>
                <a:pt x="2439641" y="558600"/>
                <a:pt x="2486389" y="384516"/>
              </a:cubicBezTo>
              <a:cubicBezTo>
                <a:pt x="2536059" y="187475"/>
                <a:pt x="2582806" y="0"/>
                <a:pt x="2746423" y="0"/>
              </a:cubicBezTo>
              <a:cubicBezTo>
                <a:pt x="2904196" y="0"/>
                <a:pt x="2936335" y="219996"/>
                <a:pt x="2974317" y="476340"/>
              </a:cubicBezTo>
              <a:cubicBezTo>
                <a:pt x="3009378" y="721206"/>
                <a:pt x="3050282" y="998593"/>
                <a:pt x="3213899" y="998593"/>
              </a:cubicBezTo>
              <a:cubicBezTo>
                <a:pt x="3377516" y="998593"/>
                <a:pt x="3409654" y="820683"/>
                <a:pt x="3438872" y="648511"/>
              </a:cubicBezTo>
              <a:cubicBezTo>
                <a:pt x="3468089" y="485905"/>
                <a:pt x="3494385" y="332864"/>
                <a:pt x="3643393" y="330951"/>
              </a:cubicBezTo>
              <a:cubicBezTo>
                <a:pt x="3643393" y="330951"/>
                <a:pt x="3643393" y="330951"/>
                <a:pt x="3646314" y="330951"/>
              </a:cubicBezTo>
              <a:cubicBezTo>
                <a:pt x="3763184" y="330951"/>
                <a:pt x="3792401" y="439993"/>
                <a:pt x="3824540" y="554774"/>
              </a:cubicBezTo>
              <a:cubicBezTo>
                <a:pt x="3856679" y="669555"/>
                <a:pt x="3885896" y="790074"/>
                <a:pt x="4002765" y="790074"/>
              </a:cubicBezTo>
              <a:cubicBezTo>
                <a:pt x="4069965" y="790074"/>
                <a:pt x="4105025" y="740336"/>
                <a:pt x="4143008" y="686772"/>
              </a:cubicBezTo>
              <a:cubicBezTo>
                <a:pt x="4183912" y="627468"/>
                <a:pt x="4230660" y="560513"/>
                <a:pt x="4335842" y="560513"/>
              </a:cubicBezTo>
              <a:cubicBezTo>
                <a:pt x="4426415" y="560513"/>
                <a:pt x="4470241" y="648511"/>
                <a:pt x="4522832" y="747988"/>
              </a:cubicBezTo>
              <a:cubicBezTo>
                <a:pt x="4572502" y="845552"/>
                <a:pt x="4630936" y="956507"/>
                <a:pt x="4727353" y="956507"/>
              </a:cubicBezTo>
              <a:cubicBezTo>
                <a:pt x="4858831" y="956507"/>
                <a:pt x="4908500" y="772857"/>
                <a:pt x="4955248" y="596860"/>
              </a:cubicBezTo>
              <a:cubicBezTo>
                <a:pt x="5004917" y="403646"/>
                <a:pt x="5054587" y="221910"/>
                <a:pt x="5215281" y="221910"/>
              </a:cubicBezTo>
              <a:cubicBezTo>
                <a:pt x="5367211" y="221910"/>
                <a:pt x="5408116" y="382603"/>
                <a:pt x="5451941" y="552861"/>
              </a:cubicBezTo>
              <a:cubicBezTo>
                <a:pt x="5489924" y="702076"/>
                <a:pt x="5527906" y="855117"/>
                <a:pt x="5638932" y="855117"/>
              </a:cubicBezTo>
              <a:cubicBezTo>
                <a:pt x="5729505" y="855117"/>
                <a:pt x="5779175" y="755640"/>
                <a:pt x="5828844" y="658077"/>
              </a:cubicBezTo>
              <a:cubicBezTo>
                <a:pt x="5884357" y="550948"/>
                <a:pt x="5939870" y="441906"/>
                <a:pt x="6062582" y="441906"/>
              </a:cubicBezTo>
              <a:cubicBezTo>
                <a:pt x="6185294" y="441906"/>
                <a:pt x="6229120" y="560513"/>
                <a:pt x="6275868" y="686772"/>
              </a:cubicBezTo>
              <a:cubicBezTo>
                <a:pt x="6316772" y="795813"/>
                <a:pt x="6354755" y="906768"/>
                <a:pt x="6445328" y="906768"/>
              </a:cubicBezTo>
              <a:cubicBezTo>
                <a:pt x="6524215" y="906768"/>
                <a:pt x="6565119" y="797726"/>
                <a:pt x="6603101" y="692511"/>
              </a:cubicBezTo>
              <a:cubicBezTo>
                <a:pt x="6652771" y="558600"/>
                <a:pt x="6708284" y="405559"/>
                <a:pt x="6866057" y="392168"/>
              </a:cubicBezTo>
              <a:cubicBezTo>
                <a:pt x="6877743" y="390255"/>
                <a:pt x="6889431" y="395994"/>
                <a:pt x="6889431" y="403646"/>
              </a:cubicBezTo>
              <a:cubicBezTo>
                <a:pt x="6889431" y="411298"/>
                <a:pt x="6883587" y="418950"/>
                <a:pt x="6871900" y="418950"/>
              </a:cubicBezTo>
              <a:cubicBezTo>
                <a:pt x="6743344" y="430428"/>
                <a:pt x="6690753" y="571991"/>
                <a:pt x="6644005" y="698250"/>
              </a:cubicBezTo>
              <a:cubicBezTo>
                <a:pt x="6597258" y="824509"/>
                <a:pt x="6556354" y="933550"/>
                <a:pt x="6442406" y="933550"/>
              </a:cubicBezTo>
              <a:cubicBezTo>
                <a:pt x="6319694" y="933550"/>
                <a:pt x="6278790" y="814944"/>
                <a:pt x="6232042" y="690598"/>
              </a:cubicBezTo>
              <a:cubicBezTo>
                <a:pt x="6191138" y="581556"/>
                <a:pt x="6150234" y="468688"/>
                <a:pt x="6062582" y="468688"/>
              </a:cubicBezTo>
              <a:cubicBezTo>
                <a:pt x="5972008" y="468688"/>
                <a:pt x="5922339" y="568165"/>
                <a:pt x="5872670" y="665729"/>
              </a:cubicBezTo>
              <a:cubicBezTo>
                <a:pt x="5817157" y="772857"/>
                <a:pt x="5761644" y="881899"/>
                <a:pt x="5638932" y="881899"/>
              </a:cubicBezTo>
              <a:cubicBezTo>
                <a:pt x="5489924" y="881899"/>
                <a:pt x="5451941" y="723119"/>
                <a:pt x="5408116" y="554774"/>
              </a:cubicBezTo>
              <a:cubicBezTo>
                <a:pt x="5370133" y="403646"/>
                <a:pt x="5329229" y="248692"/>
                <a:pt x="5215281" y="248692"/>
              </a:cubicBezTo>
              <a:cubicBezTo>
                <a:pt x="5089647" y="248692"/>
                <a:pt x="5042900" y="428515"/>
                <a:pt x="4996152" y="600686"/>
              </a:cubicBezTo>
              <a:cubicBezTo>
                <a:pt x="4943561" y="797726"/>
                <a:pt x="4893892" y="985202"/>
                <a:pt x="4727353" y="985202"/>
              </a:cubicBezTo>
              <a:cubicBezTo>
                <a:pt x="4598797" y="985202"/>
                <a:pt x="4537441" y="868508"/>
                <a:pt x="4481928" y="755640"/>
              </a:cubicBezTo>
              <a:cubicBezTo>
                <a:pt x="4438102" y="673381"/>
                <a:pt x="4394276" y="587295"/>
                <a:pt x="4335842" y="587295"/>
              </a:cubicBezTo>
              <a:cubicBezTo>
                <a:pt x="4259877" y="587295"/>
                <a:pt x="4221895" y="640859"/>
                <a:pt x="4180990" y="698250"/>
              </a:cubicBezTo>
              <a:cubicBezTo>
                <a:pt x="4140086" y="757553"/>
                <a:pt x="4096260" y="818770"/>
                <a:pt x="3999843" y="818770"/>
              </a:cubicBezTo>
              <a:cubicBezTo>
                <a:pt x="3847913" y="818770"/>
                <a:pt x="3812853" y="686772"/>
                <a:pt x="3777792" y="560513"/>
              </a:cubicBezTo>
              <a:cubicBezTo>
                <a:pt x="3751496" y="462949"/>
                <a:pt x="3725201" y="359646"/>
                <a:pt x="3643393" y="359646"/>
              </a:cubicBezTo>
              <a:lnTo>
                <a:pt x="3643393" y="359646"/>
              </a:lnTo>
              <a:cubicBezTo>
                <a:pt x="3535289" y="361559"/>
                <a:pt x="3508993" y="508862"/>
                <a:pt x="3482698" y="652337"/>
              </a:cubicBezTo>
              <a:cubicBezTo>
                <a:pt x="3450559" y="835987"/>
                <a:pt x="3415498" y="1027288"/>
                <a:pt x="3213899" y="1027288"/>
              </a:cubicBezTo>
              <a:cubicBezTo>
                <a:pt x="3009378" y="1027288"/>
                <a:pt x="2968474" y="747988"/>
                <a:pt x="2930492" y="478253"/>
              </a:cubicBezTo>
              <a:cubicBezTo>
                <a:pt x="2901274" y="267822"/>
                <a:pt x="2866213" y="26782"/>
                <a:pt x="2746423" y="26782"/>
              </a:cubicBezTo>
              <a:cubicBezTo>
                <a:pt x="2620788" y="26782"/>
                <a:pt x="2574041" y="218084"/>
                <a:pt x="2530215" y="386429"/>
              </a:cubicBezTo>
              <a:cubicBezTo>
                <a:pt x="2480546" y="581556"/>
                <a:pt x="2433798" y="767118"/>
                <a:pt x="2276025" y="767118"/>
              </a:cubicBezTo>
              <a:cubicBezTo>
                <a:pt x="2153312" y="767118"/>
                <a:pt x="2103643" y="661903"/>
                <a:pt x="2056895" y="558600"/>
              </a:cubicBezTo>
              <a:cubicBezTo>
                <a:pt x="2013069" y="466775"/>
                <a:pt x="1969244" y="371125"/>
                <a:pt x="1881592" y="371125"/>
              </a:cubicBezTo>
              <a:cubicBezTo>
                <a:pt x="1773488" y="371125"/>
                <a:pt x="1723819" y="537557"/>
                <a:pt x="1679993" y="686772"/>
              </a:cubicBezTo>
              <a:cubicBezTo>
                <a:pt x="1627401" y="860856"/>
                <a:pt x="1577732" y="1027288"/>
                <a:pt x="1431646" y="1029201"/>
              </a:cubicBezTo>
              <a:cubicBezTo>
                <a:pt x="1431646" y="1029201"/>
                <a:pt x="1431646" y="1029201"/>
                <a:pt x="1428724" y="1029201"/>
              </a:cubicBezTo>
              <a:lnTo>
                <a:pt x="1428724" y="1029201"/>
              </a:lnTo>
              <a:close/>
            </a:path>
          </a:pathLst>
        </a:custGeom>
        <a:solidFill>
          <a:schemeClr val="accent3">
            <a:lumMod val="60000"/>
            <a:lumOff val="40000"/>
          </a:schemeClr>
        </a:solidFill>
        <a:ln w="29208" cap="flat">
          <a:noFill/>
          <a:prstDash val="solid"/>
          <a:miter/>
        </a:ln>
      </xdr:spPr>
      <xdr:txBody>
        <a:bodyPr rtlCol="0" anchor="ctr"/>
        <a:lstStyle/>
        <a:p>
          <a:endParaRPr lang="en-US"/>
        </a:p>
      </xdr:txBody>
    </xdr:sp>
    <xdr:clientData/>
  </xdr:twoCellAnchor>
  <xdr:twoCellAnchor>
    <xdr:from>
      <xdr:col>5</xdr:col>
      <xdr:colOff>6850</xdr:colOff>
      <xdr:row>0</xdr:row>
      <xdr:rowOff>197057</xdr:rowOff>
    </xdr:from>
    <xdr:to>
      <xdr:col>9</xdr:col>
      <xdr:colOff>952680</xdr:colOff>
      <xdr:row>2</xdr:row>
      <xdr:rowOff>901216</xdr:rowOff>
    </xdr:to>
    <xdr:sp macro="" textlink="">
      <xdr:nvSpPr>
        <xdr:cNvPr id="3" name="Freeform: Shape 2">
          <a:extLst>
            <a:ext uri="{FF2B5EF4-FFF2-40B4-BE49-F238E27FC236}">
              <a16:creationId xmlns:a16="http://schemas.microsoft.com/office/drawing/2014/main" id="{0CBD7CF1-CE6A-432B-B5BE-19D8B431E791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SpPr/>
      </xdr:nvSpPr>
      <xdr:spPr>
        <a:xfrm>
          <a:off x="7707813" y="197057"/>
          <a:ext cx="6889430" cy="1199459"/>
        </a:xfrm>
        <a:custGeom>
          <a:avLst/>
          <a:gdLst>
            <a:gd name="connsiteX0" fmla="*/ 2974317 w 6889430"/>
            <a:gd name="connsiteY0" fmla="*/ 1199459 h 1199459"/>
            <a:gd name="connsiteX1" fmla="*/ 2679223 w 6889430"/>
            <a:gd name="connsiteY1" fmla="*/ 537557 h 1199459"/>
            <a:gd name="connsiteX2" fmla="*/ 2512685 w 6889430"/>
            <a:gd name="connsiteY2" fmla="*/ 28695 h 1199459"/>
            <a:gd name="connsiteX3" fmla="*/ 2311085 w 6889430"/>
            <a:gd name="connsiteY3" fmla="*/ 441906 h 1199459"/>
            <a:gd name="connsiteX4" fmla="*/ 2071504 w 6889430"/>
            <a:gd name="connsiteY4" fmla="*/ 876160 h 1199459"/>
            <a:gd name="connsiteX5" fmla="*/ 1855296 w 6889430"/>
            <a:gd name="connsiteY5" fmla="*/ 589208 h 1199459"/>
            <a:gd name="connsiteX6" fmla="*/ 1679993 w 6889430"/>
            <a:gd name="connsiteY6" fmla="*/ 325212 h 1199459"/>
            <a:gd name="connsiteX7" fmla="*/ 1484237 w 6889430"/>
            <a:gd name="connsiteY7" fmla="*/ 681033 h 1199459"/>
            <a:gd name="connsiteX8" fmla="*/ 1206673 w 6889430"/>
            <a:gd name="connsiteY8" fmla="*/ 1099983 h 1199459"/>
            <a:gd name="connsiteX9" fmla="*/ 955404 w 6889430"/>
            <a:gd name="connsiteY9" fmla="*/ 791987 h 1199459"/>
            <a:gd name="connsiteX10" fmla="*/ 777179 w 6889430"/>
            <a:gd name="connsiteY10" fmla="*/ 529905 h 1199459"/>
            <a:gd name="connsiteX11" fmla="*/ 777179 w 6889430"/>
            <a:gd name="connsiteY11" fmla="*/ 529905 h 1199459"/>
            <a:gd name="connsiteX12" fmla="*/ 587267 w 6889430"/>
            <a:gd name="connsiteY12" fmla="*/ 747988 h 1199459"/>
            <a:gd name="connsiteX13" fmla="*/ 350607 w 6889430"/>
            <a:gd name="connsiteY13" fmla="*/ 989028 h 1199459"/>
            <a:gd name="connsiteX14" fmla="*/ 350607 w 6889430"/>
            <a:gd name="connsiteY14" fmla="*/ 989028 h 1199459"/>
            <a:gd name="connsiteX15" fmla="*/ 178225 w 6889430"/>
            <a:gd name="connsiteY15" fmla="*/ 816857 h 1199459"/>
            <a:gd name="connsiteX16" fmla="*/ 20452 w 6889430"/>
            <a:gd name="connsiteY16" fmla="*/ 644685 h 1199459"/>
            <a:gd name="connsiteX17" fmla="*/ 0 w 6889430"/>
            <a:gd name="connsiteY17" fmla="*/ 629381 h 1199459"/>
            <a:gd name="connsiteX18" fmla="*/ 23374 w 6889430"/>
            <a:gd name="connsiteY18" fmla="*/ 615990 h 1199459"/>
            <a:gd name="connsiteX19" fmla="*/ 219129 w 6889430"/>
            <a:gd name="connsiteY19" fmla="*/ 809204 h 1199459"/>
            <a:gd name="connsiteX20" fmla="*/ 350607 w 6889430"/>
            <a:gd name="connsiteY20" fmla="*/ 958419 h 1199459"/>
            <a:gd name="connsiteX21" fmla="*/ 350607 w 6889430"/>
            <a:gd name="connsiteY21" fmla="*/ 958419 h 1199459"/>
            <a:gd name="connsiteX22" fmla="*/ 546363 w 6889430"/>
            <a:gd name="connsiteY22" fmla="*/ 736510 h 1199459"/>
            <a:gd name="connsiteX23" fmla="*/ 780101 w 6889430"/>
            <a:gd name="connsiteY23" fmla="*/ 497383 h 1199459"/>
            <a:gd name="connsiteX24" fmla="*/ 780101 w 6889430"/>
            <a:gd name="connsiteY24" fmla="*/ 497383 h 1199459"/>
            <a:gd name="connsiteX25" fmla="*/ 1002152 w 6889430"/>
            <a:gd name="connsiteY25" fmla="*/ 780509 h 1199459"/>
            <a:gd name="connsiteX26" fmla="*/ 1209595 w 6889430"/>
            <a:gd name="connsiteY26" fmla="*/ 1065548 h 1199459"/>
            <a:gd name="connsiteX27" fmla="*/ 1443333 w 6889430"/>
            <a:gd name="connsiteY27" fmla="*/ 671468 h 1199459"/>
            <a:gd name="connsiteX28" fmla="*/ 1682914 w 6889430"/>
            <a:gd name="connsiteY28" fmla="*/ 292691 h 1199459"/>
            <a:gd name="connsiteX29" fmla="*/ 1899122 w 6889430"/>
            <a:gd name="connsiteY29" fmla="*/ 579643 h 1199459"/>
            <a:gd name="connsiteX30" fmla="*/ 2074426 w 6889430"/>
            <a:gd name="connsiteY30" fmla="*/ 843639 h 1199459"/>
            <a:gd name="connsiteX31" fmla="*/ 2270181 w 6889430"/>
            <a:gd name="connsiteY31" fmla="*/ 434254 h 1199459"/>
            <a:gd name="connsiteX32" fmla="*/ 2512685 w 6889430"/>
            <a:gd name="connsiteY32" fmla="*/ 0 h 1199459"/>
            <a:gd name="connsiteX33" fmla="*/ 2720127 w 6889430"/>
            <a:gd name="connsiteY33" fmla="*/ 535644 h 1199459"/>
            <a:gd name="connsiteX34" fmla="*/ 2971396 w 6889430"/>
            <a:gd name="connsiteY34" fmla="*/ 1170764 h 1199459"/>
            <a:gd name="connsiteX35" fmla="*/ 3199290 w 6889430"/>
            <a:gd name="connsiteY35" fmla="*/ 732684 h 1199459"/>
            <a:gd name="connsiteX36" fmla="*/ 3459324 w 6889430"/>
            <a:gd name="connsiteY36" fmla="*/ 281213 h 1199459"/>
            <a:gd name="connsiteX37" fmla="*/ 3669688 w 6889430"/>
            <a:gd name="connsiteY37" fmla="*/ 594947 h 1199459"/>
            <a:gd name="connsiteX38" fmla="*/ 3818696 w 6889430"/>
            <a:gd name="connsiteY38" fmla="*/ 864682 h 1199459"/>
            <a:gd name="connsiteX39" fmla="*/ 3958939 w 6889430"/>
            <a:gd name="connsiteY39" fmla="*/ 736510 h 1199459"/>
            <a:gd name="connsiteX40" fmla="*/ 4154695 w 6889430"/>
            <a:gd name="connsiteY40" fmla="*/ 581556 h 1199459"/>
            <a:gd name="connsiteX41" fmla="*/ 4341685 w 6889430"/>
            <a:gd name="connsiteY41" fmla="*/ 784335 h 1199459"/>
            <a:gd name="connsiteX42" fmla="*/ 4546206 w 6889430"/>
            <a:gd name="connsiteY42" fmla="*/ 1011984 h 1199459"/>
            <a:gd name="connsiteX43" fmla="*/ 4777023 w 6889430"/>
            <a:gd name="connsiteY43" fmla="*/ 583469 h 1199459"/>
            <a:gd name="connsiteX44" fmla="*/ 5042900 w 6889430"/>
            <a:gd name="connsiteY44" fmla="*/ 139650 h 1199459"/>
            <a:gd name="connsiteX45" fmla="*/ 5279560 w 6889430"/>
            <a:gd name="connsiteY45" fmla="*/ 558600 h 1199459"/>
            <a:gd name="connsiteX46" fmla="*/ 5469472 w 6889430"/>
            <a:gd name="connsiteY46" fmla="*/ 946941 h 1199459"/>
            <a:gd name="connsiteX47" fmla="*/ 5662305 w 6889430"/>
            <a:gd name="connsiteY47" fmla="*/ 694424 h 1199459"/>
            <a:gd name="connsiteX48" fmla="*/ 5896043 w 6889430"/>
            <a:gd name="connsiteY48" fmla="*/ 420863 h 1199459"/>
            <a:gd name="connsiteX49" fmla="*/ 6129782 w 6889430"/>
            <a:gd name="connsiteY49" fmla="*/ 700163 h 1199459"/>
            <a:gd name="connsiteX50" fmla="*/ 6386894 w 6889430"/>
            <a:gd name="connsiteY50" fmla="*/ 1013897 h 1199459"/>
            <a:gd name="connsiteX51" fmla="*/ 6389815 w 6889430"/>
            <a:gd name="connsiteY51" fmla="*/ 1013897 h 1199459"/>
            <a:gd name="connsiteX52" fmla="*/ 6565119 w 6889430"/>
            <a:gd name="connsiteY52" fmla="*/ 845552 h 1199459"/>
            <a:gd name="connsiteX53" fmla="*/ 6868978 w 6889430"/>
            <a:gd name="connsiteY53" fmla="*/ 608338 h 1199459"/>
            <a:gd name="connsiteX54" fmla="*/ 6889430 w 6889430"/>
            <a:gd name="connsiteY54" fmla="*/ 621729 h 1199459"/>
            <a:gd name="connsiteX55" fmla="*/ 6868978 w 6889430"/>
            <a:gd name="connsiteY55" fmla="*/ 635120 h 1199459"/>
            <a:gd name="connsiteX56" fmla="*/ 6606023 w 6889430"/>
            <a:gd name="connsiteY56" fmla="*/ 853204 h 1199459"/>
            <a:gd name="connsiteX57" fmla="*/ 6386894 w 6889430"/>
            <a:gd name="connsiteY57" fmla="*/ 1040679 h 1199459"/>
            <a:gd name="connsiteX58" fmla="*/ 6088878 w 6889430"/>
            <a:gd name="connsiteY58" fmla="*/ 705902 h 1199459"/>
            <a:gd name="connsiteX59" fmla="*/ 5896043 w 6889430"/>
            <a:gd name="connsiteY59" fmla="*/ 447645 h 1199459"/>
            <a:gd name="connsiteX60" fmla="*/ 5703210 w 6889430"/>
            <a:gd name="connsiteY60" fmla="*/ 700163 h 1199459"/>
            <a:gd name="connsiteX61" fmla="*/ 5469472 w 6889430"/>
            <a:gd name="connsiteY61" fmla="*/ 973724 h 1199459"/>
            <a:gd name="connsiteX62" fmla="*/ 5235734 w 6889430"/>
            <a:gd name="connsiteY62" fmla="*/ 560513 h 1199459"/>
            <a:gd name="connsiteX63" fmla="*/ 5042900 w 6889430"/>
            <a:gd name="connsiteY63" fmla="*/ 166432 h 1199459"/>
            <a:gd name="connsiteX64" fmla="*/ 4820849 w 6889430"/>
            <a:gd name="connsiteY64" fmla="*/ 585382 h 1199459"/>
            <a:gd name="connsiteX65" fmla="*/ 4546206 w 6889430"/>
            <a:gd name="connsiteY65" fmla="*/ 1038766 h 1199459"/>
            <a:gd name="connsiteX66" fmla="*/ 4300781 w 6889430"/>
            <a:gd name="connsiteY66" fmla="*/ 791987 h 1199459"/>
            <a:gd name="connsiteX67" fmla="*/ 4154695 w 6889430"/>
            <a:gd name="connsiteY67" fmla="*/ 608338 h 1199459"/>
            <a:gd name="connsiteX68" fmla="*/ 3999843 w 6889430"/>
            <a:gd name="connsiteY68" fmla="*/ 744162 h 1199459"/>
            <a:gd name="connsiteX69" fmla="*/ 3818696 w 6889430"/>
            <a:gd name="connsiteY69" fmla="*/ 891464 h 1199459"/>
            <a:gd name="connsiteX70" fmla="*/ 3625862 w 6889430"/>
            <a:gd name="connsiteY70" fmla="*/ 596860 h 1199459"/>
            <a:gd name="connsiteX71" fmla="*/ 3456402 w 6889430"/>
            <a:gd name="connsiteY71" fmla="*/ 307995 h 1199459"/>
            <a:gd name="connsiteX72" fmla="*/ 3240194 w 6889430"/>
            <a:gd name="connsiteY72" fmla="*/ 734597 h 1199459"/>
            <a:gd name="connsiteX73" fmla="*/ 2974317 w 6889430"/>
            <a:gd name="connsiteY73" fmla="*/ 1199459 h 1199459"/>
            <a:gd name="connsiteX74" fmla="*/ 2974317 w 6889430"/>
            <a:gd name="connsiteY74" fmla="*/ 1199459 h 1199459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  <a:cxn ang="0">
              <a:pos x="connsiteX55" y="connsiteY55"/>
            </a:cxn>
            <a:cxn ang="0">
              <a:pos x="connsiteX56" y="connsiteY56"/>
            </a:cxn>
            <a:cxn ang="0">
              <a:pos x="connsiteX57" y="connsiteY57"/>
            </a:cxn>
            <a:cxn ang="0">
              <a:pos x="connsiteX58" y="connsiteY58"/>
            </a:cxn>
            <a:cxn ang="0">
              <a:pos x="connsiteX59" y="connsiteY59"/>
            </a:cxn>
            <a:cxn ang="0">
              <a:pos x="connsiteX60" y="connsiteY60"/>
            </a:cxn>
            <a:cxn ang="0">
              <a:pos x="connsiteX61" y="connsiteY61"/>
            </a:cxn>
            <a:cxn ang="0">
              <a:pos x="connsiteX62" y="connsiteY62"/>
            </a:cxn>
            <a:cxn ang="0">
              <a:pos x="connsiteX63" y="connsiteY63"/>
            </a:cxn>
            <a:cxn ang="0">
              <a:pos x="connsiteX64" y="connsiteY64"/>
            </a:cxn>
            <a:cxn ang="0">
              <a:pos x="connsiteX65" y="connsiteY65"/>
            </a:cxn>
            <a:cxn ang="0">
              <a:pos x="connsiteX66" y="connsiteY66"/>
            </a:cxn>
            <a:cxn ang="0">
              <a:pos x="connsiteX67" y="connsiteY67"/>
            </a:cxn>
            <a:cxn ang="0">
              <a:pos x="connsiteX68" y="connsiteY68"/>
            </a:cxn>
            <a:cxn ang="0">
              <a:pos x="connsiteX69" y="connsiteY69"/>
            </a:cxn>
            <a:cxn ang="0">
              <a:pos x="connsiteX70" y="connsiteY70"/>
            </a:cxn>
            <a:cxn ang="0">
              <a:pos x="connsiteX71" y="connsiteY71"/>
            </a:cxn>
            <a:cxn ang="0">
              <a:pos x="connsiteX72" y="connsiteY72"/>
            </a:cxn>
            <a:cxn ang="0">
              <a:pos x="connsiteX73" y="connsiteY73"/>
            </a:cxn>
            <a:cxn ang="0">
              <a:pos x="connsiteX74" y="connsiteY74"/>
            </a:cxn>
          </a:cxnLst>
          <a:rect l="l" t="t" r="r" b="b"/>
          <a:pathLst>
            <a:path w="6889430" h="1199459">
              <a:moveTo>
                <a:pt x="2974317" y="1199459"/>
              </a:moveTo>
              <a:cubicBezTo>
                <a:pt x="2743501" y="1199459"/>
                <a:pt x="2711362" y="862769"/>
                <a:pt x="2679223" y="537557"/>
              </a:cubicBezTo>
              <a:cubicBezTo>
                <a:pt x="2655849" y="298430"/>
                <a:pt x="2629554" y="28695"/>
                <a:pt x="2512685" y="28695"/>
              </a:cubicBezTo>
              <a:cubicBezTo>
                <a:pt x="2387050" y="28695"/>
                <a:pt x="2346146" y="248692"/>
                <a:pt x="2311085" y="441906"/>
              </a:cubicBezTo>
              <a:cubicBezTo>
                <a:pt x="2270181" y="665729"/>
                <a:pt x="2232199" y="876160"/>
                <a:pt x="2071504" y="876160"/>
              </a:cubicBezTo>
              <a:cubicBezTo>
                <a:pt x="1945870" y="876160"/>
                <a:pt x="1902044" y="736510"/>
                <a:pt x="1855296" y="589208"/>
              </a:cubicBezTo>
              <a:cubicBezTo>
                <a:pt x="1814392" y="464862"/>
                <a:pt x="1770566" y="325212"/>
                <a:pt x="1679993" y="325212"/>
              </a:cubicBezTo>
              <a:cubicBezTo>
                <a:pt x="1577732" y="325212"/>
                <a:pt x="1528063" y="514601"/>
                <a:pt x="1484237" y="681033"/>
              </a:cubicBezTo>
              <a:cubicBezTo>
                <a:pt x="1428724" y="895290"/>
                <a:pt x="1373211" y="1099983"/>
                <a:pt x="1206673" y="1099983"/>
              </a:cubicBezTo>
              <a:cubicBezTo>
                <a:pt x="1051821" y="1099983"/>
                <a:pt x="1002152" y="943115"/>
                <a:pt x="955404" y="791987"/>
              </a:cubicBezTo>
              <a:cubicBezTo>
                <a:pt x="914500" y="663816"/>
                <a:pt x="873596" y="529905"/>
                <a:pt x="777179" y="529905"/>
              </a:cubicBezTo>
              <a:lnTo>
                <a:pt x="777179" y="529905"/>
              </a:lnTo>
              <a:cubicBezTo>
                <a:pt x="686606" y="529905"/>
                <a:pt x="636936" y="640859"/>
                <a:pt x="587267" y="747988"/>
              </a:cubicBezTo>
              <a:cubicBezTo>
                <a:pt x="531754" y="866595"/>
                <a:pt x="476241" y="989028"/>
                <a:pt x="350607" y="989028"/>
              </a:cubicBezTo>
              <a:lnTo>
                <a:pt x="350607" y="989028"/>
              </a:lnTo>
              <a:cubicBezTo>
                <a:pt x="236660" y="989028"/>
                <a:pt x="207443" y="901029"/>
                <a:pt x="178225" y="816857"/>
              </a:cubicBezTo>
              <a:cubicBezTo>
                <a:pt x="149008" y="734597"/>
                <a:pt x="119791" y="650424"/>
                <a:pt x="20452" y="644685"/>
              </a:cubicBezTo>
              <a:cubicBezTo>
                <a:pt x="8765" y="644685"/>
                <a:pt x="0" y="637033"/>
                <a:pt x="0" y="629381"/>
              </a:cubicBezTo>
              <a:cubicBezTo>
                <a:pt x="0" y="621729"/>
                <a:pt x="11687" y="615990"/>
                <a:pt x="23374" y="615990"/>
              </a:cubicBezTo>
              <a:cubicBezTo>
                <a:pt x="154851" y="621729"/>
                <a:pt x="189912" y="721206"/>
                <a:pt x="219129" y="809204"/>
              </a:cubicBezTo>
              <a:cubicBezTo>
                <a:pt x="245425" y="885725"/>
                <a:pt x="271721" y="958419"/>
                <a:pt x="350607" y="958419"/>
              </a:cubicBezTo>
              <a:lnTo>
                <a:pt x="350607" y="958419"/>
              </a:lnTo>
              <a:cubicBezTo>
                <a:pt x="444102" y="958419"/>
                <a:pt x="496693" y="845552"/>
                <a:pt x="546363" y="736510"/>
              </a:cubicBezTo>
              <a:cubicBezTo>
                <a:pt x="601876" y="614077"/>
                <a:pt x="657388" y="499296"/>
                <a:pt x="780101" y="497383"/>
              </a:cubicBezTo>
              <a:lnTo>
                <a:pt x="780101" y="497383"/>
              </a:lnTo>
              <a:cubicBezTo>
                <a:pt x="914500" y="497383"/>
                <a:pt x="955404" y="635120"/>
                <a:pt x="1002152" y="780509"/>
              </a:cubicBezTo>
              <a:cubicBezTo>
                <a:pt x="1045978" y="920159"/>
                <a:pt x="1089804" y="1065548"/>
                <a:pt x="1209595" y="1065548"/>
              </a:cubicBezTo>
              <a:cubicBezTo>
                <a:pt x="1341072" y="1065548"/>
                <a:pt x="1396585" y="855117"/>
                <a:pt x="1443333" y="671468"/>
              </a:cubicBezTo>
              <a:cubicBezTo>
                <a:pt x="1495924" y="468688"/>
                <a:pt x="1542672" y="292691"/>
                <a:pt x="1682914" y="292691"/>
              </a:cubicBezTo>
              <a:cubicBezTo>
                <a:pt x="1808549" y="292691"/>
                <a:pt x="1852374" y="432341"/>
                <a:pt x="1899122" y="579643"/>
              </a:cubicBezTo>
              <a:cubicBezTo>
                <a:pt x="1940026" y="703989"/>
                <a:pt x="1983852" y="843639"/>
                <a:pt x="2074426" y="843639"/>
              </a:cubicBezTo>
              <a:cubicBezTo>
                <a:pt x="2197138" y="843639"/>
                <a:pt x="2235121" y="625555"/>
                <a:pt x="2270181" y="434254"/>
              </a:cubicBezTo>
              <a:cubicBezTo>
                <a:pt x="2311085" y="212344"/>
                <a:pt x="2349068" y="0"/>
                <a:pt x="2512685" y="0"/>
              </a:cubicBezTo>
              <a:cubicBezTo>
                <a:pt x="2670458" y="0"/>
                <a:pt x="2693832" y="248692"/>
                <a:pt x="2720127" y="535644"/>
              </a:cubicBezTo>
              <a:cubicBezTo>
                <a:pt x="2749344" y="834074"/>
                <a:pt x="2781484" y="1170764"/>
                <a:pt x="2971396" y="1170764"/>
              </a:cubicBezTo>
              <a:cubicBezTo>
                <a:pt x="3126247" y="1170764"/>
                <a:pt x="3164230" y="946941"/>
                <a:pt x="3199290" y="732684"/>
              </a:cubicBezTo>
              <a:cubicBezTo>
                <a:pt x="3237273" y="499296"/>
                <a:pt x="3272333" y="281213"/>
                <a:pt x="3459324" y="281213"/>
              </a:cubicBezTo>
              <a:cubicBezTo>
                <a:pt x="3622941" y="281213"/>
                <a:pt x="3646314" y="439993"/>
                <a:pt x="3669688" y="594947"/>
              </a:cubicBezTo>
              <a:cubicBezTo>
                <a:pt x="3690140" y="726945"/>
                <a:pt x="3710593" y="864682"/>
                <a:pt x="3818696" y="864682"/>
              </a:cubicBezTo>
              <a:cubicBezTo>
                <a:pt x="3885896" y="864682"/>
                <a:pt x="3920957" y="801552"/>
                <a:pt x="3958939" y="736510"/>
              </a:cubicBezTo>
              <a:cubicBezTo>
                <a:pt x="4002765" y="659989"/>
                <a:pt x="4046591" y="581556"/>
                <a:pt x="4154695" y="581556"/>
              </a:cubicBezTo>
              <a:cubicBezTo>
                <a:pt x="4245268" y="581556"/>
                <a:pt x="4289094" y="675294"/>
                <a:pt x="4341685" y="784335"/>
              </a:cubicBezTo>
              <a:cubicBezTo>
                <a:pt x="4391354" y="891464"/>
                <a:pt x="4446868" y="1011984"/>
                <a:pt x="4546206" y="1011984"/>
              </a:cubicBezTo>
              <a:cubicBezTo>
                <a:pt x="4677684" y="1011984"/>
                <a:pt x="4730275" y="784335"/>
                <a:pt x="4777023" y="583469"/>
              </a:cubicBezTo>
              <a:cubicBezTo>
                <a:pt x="4829613" y="355820"/>
                <a:pt x="4879283" y="139650"/>
                <a:pt x="5042900" y="139650"/>
              </a:cubicBezTo>
              <a:cubicBezTo>
                <a:pt x="5194829" y="139650"/>
                <a:pt x="5235734" y="342429"/>
                <a:pt x="5279560" y="558600"/>
              </a:cubicBezTo>
              <a:cubicBezTo>
                <a:pt x="5317542" y="740336"/>
                <a:pt x="5358446" y="946941"/>
                <a:pt x="5469472" y="946941"/>
              </a:cubicBezTo>
              <a:cubicBezTo>
                <a:pt x="5560045" y="946941"/>
                <a:pt x="5612636" y="813031"/>
                <a:pt x="5662305" y="694424"/>
              </a:cubicBezTo>
              <a:cubicBezTo>
                <a:pt x="5720740" y="552861"/>
                <a:pt x="5773331" y="420863"/>
                <a:pt x="5896043" y="420863"/>
              </a:cubicBezTo>
              <a:cubicBezTo>
                <a:pt x="6012913" y="420863"/>
                <a:pt x="6068426" y="549035"/>
                <a:pt x="6129782" y="700163"/>
              </a:cubicBezTo>
              <a:cubicBezTo>
                <a:pt x="6191138" y="845552"/>
                <a:pt x="6261259" y="1010071"/>
                <a:pt x="6386894" y="1013897"/>
              </a:cubicBezTo>
              <a:cubicBezTo>
                <a:pt x="6386894" y="1013897"/>
                <a:pt x="6389815" y="1013897"/>
                <a:pt x="6389815" y="1013897"/>
              </a:cubicBezTo>
              <a:cubicBezTo>
                <a:pt x="6474545" y="1013897"/>
                <a:pt x="6518371" y="931637"/>
                <a:pt x="6565119" y="845552"/>
              </a:cubicBezTo>
              <a:cubicBezTo>
                <a:pt x="6623554" y="734597"/>
                <a:pt x="6693675" y="608338"/>
                <a:pt x="6868978" y="608338"/>
              </a:cubicBezTo>
              <a:cubicBezTo>
                <a:pt x="6880666" y="608338"/>
                <a:pt x="6889430" y="614077"/>
                <a:pt x="6889430" y="621729"/>
              </a:cubicBezTo>
              <a:cubicBezTo>
                <a:pt x="6889430" y="629381"/>
                <a:pt x="6880666" y="635120"/>
                <a:pt x="6868978" y="635120"/>
              </a:cubicBezTo>
              <a:cubicBezTo>
                <a:pt x="6722892" y="635120"/>
                <a:pt x="6664458" y="746075"/>
                <a:pt x="6606023" y="853204"/>
              </a:cubicBezTo>
              <a:cubicBezTo>
                <a:pt x="6553432" y="950767"/>
                <a:pt x="6503763" y="1044505"/>
                <a:pt x="6386894" y="1040679"/>
              </a:cubicBezTo>
              <a:cubicBezTo>
                <a:pt x="6226199" y="1036853"/>
                <a:pt x="6156077" y="868508"/>
                <a:pt x="6088878" y="705902"/>
              </a:cubicBezTo>
              <a:cubicBezTo>
                <a:pt x="6036286" y="579643"/>
                <a:pt x="5980774" y="447645"/>
                <a:pt x="5896043" y="447645"/>
              </a:cubicBezTo>
              <a:cubicBezTo>
                <a:pt x="5805470" y="447645"/>
                <a:pt x="5752879" y="581556"/>
                <a:pt x="5703210" y="700163"/>
              </a:cubicBezTo>
              <a:cubicBezTo>
                <a:pt x="5644775" y="839813"/>
                <a:pt x="5592184" y="973724"/>
                <a:pt x="5469472" y="973724"/>
              </a:cubicBezTo>
              <a:cubicBezTo>
                <a:pt x="5320464" y="973724"/>
                <a:pt x="5279560" y="772857"/>
                <a:pt x="5235734" y="560513"/>
              </a:cubicBezTo>
              <a:cubicBezTo>
                <a:pt x="5197751" y="376864"/>
                <a:pt x="5156847" y="166432"/>
                <a:pt x="5042900" y="166432"/>
              </a:cubicBezTo>
              <a:cubicBezTo>
                <a:pt x="4917265" y="166432"/>
                <a:pt x="4864674" y="388342"/>
                <a:pt x="4820849" y="585382"/>
              </a:cubicBezTo>
              <a:cubicBezTo>
                <a:pt x="4768257" y="818770"/>
                <a:pt x="4715666" y="1038766"/>
                <a:pt x="4546206" y="1038766"/>
              </a:cubicBezTo>
              <a:cubicBezTo>
                <a:pt x="4414728" y="1038766"/>
                <a:pt x="4356294" y="912507"/>
                <a:pt x="4300781" y="791987"/>
              </a:cubicBezTo>
              <a:cubicBezTo>
                <a:pt x="4259877" y="705902"/>
                <a:pt x="4216051" y="608338"/>
                <a:pt x="4154695" y="608338"/>
              </a:cubicBezTo>
              <a:cubicBezTo>
                <a:pt x="4078730" y="608338"/>
                <a:pt x="4037826" y="677207"/>
                <a:pt x="3999843" y="744162"/>
              </a:cubicBezTo>
              <a:cubicBezTo>
                <a:pt x="3958939" y="816857"/>
                <a:pt x="3915113" y="891464"/>
                <a:pt x="3818696" y="891464"/>
              </a:cubicBezTo>
              <a:cubicBezTo>
                <a:pt x="3672610" y="891464"/>
                <a:pt x="3649236" y="747988"/>
                <a:pt x="3625862" y="596860"/>
              </a:cubicBezTo>
              <a:cubicBezTo>
                <a:pt x="3602488" y="455297"/>
                <a:pt x="3582036" y="307995"/>
                <a:pt x="3456402" y="307995"/>
              </a:cubicBezTo>
              <a:cubicBezTo>
                <a:pt x="3310316" y="307995"/>
                <a:pt x="3275255" y="524166"/>
                <a:pt x="3240194" y="734597"/>
              </a:cubicBezTo>
              <a:cubicBezTo>
                <a:pt x="3205134" y="973724"/>
                <a:pt x="3170073" y="1199459"/>
                <a:pt x="2974317" y="1199459"/>
              </a:cubicBezTo>
              <a:lnTo>
                <a:pt x="2974317" y="1199459"/>
              </a:lnTo>
              <a:close/>
            </a:path>
          </a:pathLst>
        </a:custGeom>
        <a:solidFill>
          <a:schemeClr val="accent1">
            <a:lumMod val="40000"/>
            <a:lumOff val="60000"/>
          </a:schemeClr>
        </a:solidFill>
        <a:ln w="29208" cap="flat">
          <a:noFill/>
          <a:prstDash val="solid"/>
          <a:miter/>
        </a:ln>
      </xdr:spPr>
      <xdr:txBody>
        <a:bodyPr rtlCol="0" anchor="ctr"/>
        <a:lstStyle/>
        <a:p>
          <a:endParaRPr lang="en-US"/>
        </a:p>
      </xdr:txBody>
    </xdr:sp>
    <xdr:clientData/>
  </xdr:twoCellAnchor>
  <xdr:twoCellAnchor>
    <xdr:from>
      <xdr:col>5</xdr:col>
      <xdr:colOff>3928</xdr:colOff>
      <xdr:row>1</xdr:row>
      <xdr:rowOff>142421</xdr:rowOff>
    </xdr:from>
    <xdr:to>
      <xdr:col>9</xdr:col>
      <xdr:colOff>961445</xdr:colOff>
      <xdr:row>2</xdr:row>
      <xdr:rowOff>794087</xdr:rowOff>
    </xdr:to>
    <xdr:sp macro="" textlink="">
      <xdr:nvSpPr>
        <xdr:cNvPr id="4" name="Freeform: Shape 3">
          <a:extLst>
            <a:ext uri="{FF2B5EF4-FFF2-40B4-BE49-F238E27FC236}">
              <a16:creationId xmlns:a16="http://schemas.microsoft.com/office/drawing/2014/main" id="{ECB2CC95-E62F-48C4-990C-1E662167D7F3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SpPr/>
      </xdr:nvSpPr>
      <xdr:spPr>
        <a:xfrm>
          <a:off x="7704891" y="342446"/>
          <a:ext cx="6901117" cy="946941"/>
        </a:xfrm>
        <a:custGeom>
          <a:avLst/>
          <a:gdLst>
            <a:gd name="connsiteX0" fmla="*/ 2968474 w 6901117"/>
            <a:gd name="connsiteY0" fmla="*/ 946941 h 946941"/>
            <a:gd name="connsiteX1" fmla="*/ 2690910 w 6901117"/>
            <a:gd name="connsiteY1" fmla="*/ 441906 h 946941"/>
            <a:gd name="connsiteX2" fmla="*/ 2512685 w 6901117"/>
            <a:gd name="connsiteY2" fmla="*/ 28695 h 946941"/>
            <a:gd name="connsiteX3" fmla="*/ 2316929 w 6901117"/>
            <a:gd name="connsiteY3" fmla="*/ 350081 h 946941"/>
            <a:gd name="connsiteX4" fmla="*/ 2080269 w 6901117"/>
            <a:gd name="connsiteY4" fmla="*/ 692511 h 946941"/>
            <a:gd name="connsiteX5" fmla="*/ 1855296 w 6901117"/>
            <a:gd name="connsiteY5" fmla="*/ 472514 h 946941"/>
            <a:gd name="connsiteX6" fmla="*/ 1674149 w 6901117"/>
            <a:gd name="connsiteY6" fmla="*/ 271648 h 946941"/>
            <a:gd name="connsiteX7" fmla="*/ 1446255 w 6901117"/>
            <a:gd name="connsiteY7" fmla="*/ 570078 h 946941"/>
            <a:gd name="connsiteX8" fmla="*/ 1206673 w 6901117"/>
            <a:gd name="connsiteY8" fmla="*/ 866595 h 946941"/>
            <a:gd name="connsiteX9" fmla="*/ 972935 w 6901117"/>
            <a:gd name="connsiteY9" fmla="*/ 627468 h 946941"/>
            <a:gd name="connsiteX10" fmla="*/ 809318 w 6901117"/>
            <a:gd name="connsiteY10" fmla="*/ 428515 h 946941"/>
            <a:gd name="connsiteX11" fmla="*/ 809318 w 6901117"/>
            <a:gd name="connsiteY11" fmla="*/ 428515 h 946941"/>
            <a:gd name="connsiteX12" fmla="*/ 639858 w 6901117"/>
            <a:gd name="connsiteY12" fmla="*/ 583469 h 946941"/>
            <a:gd name="connsiteX13" fmla="*/ 414885 w 6901117"/>
            <a:gd name="connsiteY13" fmla="*/ 767118 h 946941"/>
            <a:gd name="connsiteX14" fmla="*/ 186990 w 6901117"/>
            <a:gd name="connsiteY14" fmla="*/ 619816 h 946941"/>
            <a:gd name="connsiteX15" fmla="*/ 20452 w 6901117"/>
            <a:gd name="connsiteY15" fmla="*/ 499296 h 946941"/>
            <a:gd name="connsiteX16" fmla="*/ 20452 w 6901117"/>
            <a:gd name="connsiteY16" fmla="*/ 499296 h 946941"/>
            <a:gd name="connsiteX17" fmla="*/ 0 w 6901117"/>
            <a:gd name="connsiteY17" fmla="*/ 485905 h 946941"/>
            <a:gd name="connsiteX18" fmla="*/ 20452 w 6901117"/>
            <a:gd name="connsiteY18" fmla="*/ 472514 h 946941"/>
            <a:gd name="connsiteX19" fmla="*/ 20452 w 6901117"/>
            <a:gd name="connsiteY19" fmla="*/ 472514 h 946941"/>
            <a:gd name="connsiteX20" fmla="*/ 227895 w 6901117"/>
            <a:gd name="connsiteY20" fmla="*/ 610251 h 946941"/>
            <a:gd name="connsiteX21" fmla="*/ 414885 w 6901117"/>
            <a:gd name="connsiteY21" fmla="*/ 740336 h 946941"/>
            <a:gd name="connsiteX22" fmla="*/ 598954 w 6901117"/>
            <a:gd name="connsiteY22" fmla="*/ 575817 h 946941"/>
            <a:gd name="connsiteX23" fmla="*/ 809318 w 6901117"/>
            <a:gd name="connsiteY23" fmla="*/ 399820 h 946941"/>
            <a:gd name="connsiteX24" fmla="*/ 809318 w 6901117"/>
            <a:gd name="connsiteY24" fmla="*/ 399820 h 946941"/>
            <a:gd name="connsiteX25" fmla="*/ 1016761 w 6901117"/>
            <a:gd name="connsiteY25" fmla="*/ 621729 h 946941"/>
            <a:gd name="connsiteX26" fmla="*/ 1209595 w 6901117"/>
            <a:gd name="connsiteY26" fmla="*/ 839813 h 946941"/>
            <a:gd name="connsiteX27" fmla="*/ 1408272 w 6901117"/>
            <a:gd name="connsiteY27" fmla="*/ 564339 h 946941"/>
            <a:gd name="connsiteX28" fmla="*/ 1677071 w 6901117"/>
            <a:gd name="connsiteY28" fmla="*/ 242953 h 946941"/>
            <a:gd name="connsiteX29" fmla="*/ 1902044 w 6901117"/>
            <a:gd name="connsiteY29" fmla="*/ 462949 h 946941"/>
            <a:gd name="connsiteX30" fmla="*/ 2083191 w 6901117"/>
            <a:gd name="connsiteY30" fmla="*/ 663815 h 946941"/>
            <a:gd name="connsiteX31" fmla="*/ 2276025 w 6901117"/>
            <a:gd name="connsiteY31" fmla="*/ 346255 h 946941"/>
            <a:gd name="connsiteX32" fmla="*/ 2515606 w 6901117"/>
            <a:gd name="connsiteY32" fmla="*/ 0 h 946941"/>
            <a:gd name="connsiteX33" fmla="*/ 2737657 w 6901117"/>
            <a:gd name="connsiteY33" fmla="*/ 438080 h 946941"/>
            <a:gd name="connsiteX34" fmla="*/ 2971396 w 6901117"/>
            <a:gd name="connsiteY34" fmla="*/ 916333 h 946941"/>
            <a:gd name="connsiteX35" fmla="*/ 3225586 w 6901117"/>
            <a:gd name="connsiteY35" fmla="*/ 549035 h 946941"/>
            <a:gd name="connsiteX36" fmla="*/ 3450559 w 6901117"/>
            <a:gd name="connsiteY36" fmla="*/ 218083 h 946941"/>
            <a:gd name="connsiteX37" fmla="*/ 3453480 w 6901117"/>
            <a:gd name="connsiteY37" fmla="*/ 218083 h 946941"/>
            <a:gd name="connsiteX38" fmla="*/ 3628784 w 6901117"/>
            <a:gd name="connsiteY38" fmla="*/ 441906 h 946941"/>
            <a:gd name="connsiteX39" fmla="*/ 3807009 w 6901117"/>
            <a:gd name="connsiteY39" fmla="*/ 675294 h 946941"/>
            <a:gd name="connsiteX40" fmla="*/ 3947252 w 6901117"/>
            <a:gd name="connsiteY40" fmla="*/ 571991 h 946941"/>
            <a:gd name="connsiteX41" fmla="*/ 4140086 w 6901117"/>
            <a:gd name="connsiteY41" fmla="*/ 445732 h 946941"/>
            <a:gd name="connsiteX42" fmla="*/ 4324155 w 6901117"/>
            <a:gd name="connsiteY42" fmla="*/ 610251 h 946941"/>
            <a:gd name="connsiteX43" fmla="*/ 4525754 w 6901117"/>
            <a:gd name="connsiteY43" fmla="*/ 791987 h 946941"/>
            <a:gd name="connsiteX44" fmla="*/ 4753649 w 6901117"/>
            <a:gd name="connsiteY44" fmla="*/ 459123 h 946941"/>
            <a:gd name="connsiteX45" fmla="*/ 5016604 w 6901117"/>
            <a:gd name="connsiteY45" fmla="*/ 109042 h 946941"/>
            <a:gd name="connsiteX46" fmla="*/ 5250342 w 6901117"/>
            <a:gd name="connsiteY46" fmla="*/ 438080 h 946941"/>
            <a:gd name="connsiteX47" fmla="*/ 5437333 w 6901117"/>
            <a:gd name="connsiteY47" fmla="*/ 740336 h 946941"/>
            <a:gd name="connsiteX48" fmla="*/ 5627245 w 6901117"/>
            <a:gd name="connsiteY48" fmla="*/ 543296 h 946941"/>
            <a:gd name="connsiteX49" fmla="*/ 5858061 w 6901117"/>
            <a:gd name="connsiteY49" fmla="*/ 327125 h 946941"/>
            <a:gd name="connsiteX50" fmla="*/ 6080113 w 6901117"/>
            <a:gd name="connsiteY50" fmla="*/ 568165 h 946941"/>
            <a:gd name="connsiteX51" fmla="*/ 6258338 w 6901117"/>
            <a:gd name="connsiteY51" fmla="*/ 790074 h 946941"/>
            <a:gd name="connsiteX52" fmla="*/ 6258338 w 6901117"/>
            <a:gd name="connsiteY52" fmla="*/ 790074 h 946941"/>
            <a:gd name="connsiteX53" fmla="*/ 6389815 w 6901117"/>
            <a:gd name="connsiteY53" fmla="*/ 692511 h 946941"/>
            <a:gd name="connsiteX54" fmla="*/ 6880665 w 6901117"/>
            <a:gd name="connsiteY54" fmla="*/ 457210 h 946941"/>
            <a:gd name="connsiteX55" fmla="*/ 6901117 w 6901117"/>
            <a:gd name="connsiteY55" fmla="*/ 470601 h 946941"/>
            <a:gd name="connsiteX56" fmla="*/ 6880665 w 6901117"/>
            <a:gd name="connsiteY56" fmla="*/ 483992 h 946941"/>
            <a:gd name="connsiteX57" fmla="*/ 6424876 w 6901117"/>
            <a:gd name="connsiteY57" fmla="*/ 703989 h 946941"/>
            <a:gd name="connsiteX58" fmla="*/ 6255416 w 6901117"/>
            <a:gd name="connsiteY58" fmla="*/ 816857 h 946941"/>
            <a:gd name="connsiteX59" fmla="*/ 6252494 w 6901117"/>
            <a:gd name="connsiteY59" fmla="*/ 816857 h 946941"/>
            <a:gd name="connsiteX60" fmla="*/ 6033365 w 6901117"/>
            <a:gd name="connsiteY60" fmla="*/ 573904 h 946941"/>
            <a:gd name="connsiteX61" fmla="*/ 5855139 w 6901117"/>
            <a:gd name="connsiteY61" fmla="*/ 353907 h 946941"/>
            <a:gd name="connsiteX62" fmla="*/ 5665227 w 6901117"/>
            <a:gd name="connsiteY62" fmla="*/ 550948 h 946941"/>
            <a:gd name="connsiteX63" fmla="*/ 5434411 w 6901117"/>
            <a:gd name="connsiteY63" fmla="*/ 767118 h 946941"/>
            <a:gd name="connsiteX64" fmla="*/ 5206516 w 6901117"/>
            <a:gd name="connsiteY64" fmla="*/ 441906 h 946941"/>
            <a:gd name="connsiteX65" fmla="*/ 5016604 w 6901117"/>
            <a:gd name="connsiteY65" fmla="*/ 135824 h 946941"/>
            <a:gd name="connsiteX66" fmla="*/ 4797475 w 6901117"/>
            <a:gd name="connsiteY66" fmla="*/ 461036 h 946941"/>
            <a:gd name="connsiteX67" fmla="*/ 4528676 w 6901117"/>
            <a:gd name="connsiteY67" fmla="*/ 816857 h 946941"/>
            <a:gd name="connsiteX68" fmla="*/ 4286172 w 6901117"/>
            <a:gd name="connsiteY68" fmla="*/ 617903 h 946941"/>
            <a:gd name="connsiteX69" fmla="*/ 4143008 w 6901117"/>
            <a:gd name="connsiteY69" fmla="*/ 472514 h 946941"/>
            <a:gd name="connsiteX70" fmla="*/ 3991078 w 6901117"/>
            <a:gd name="connsiteY70" fmla="*/ 581556 h 946941"/>
            <a:gd name="connsiteX71" fmla="*/ 3812853 w 6901117"/>
            <a:gd name="connsiteY71" fmla="*/ 702076 h 946941"/>
            <a:gd name="connsiteX72" fmla="*/ 3593723 w 6901117"/>
            <a:gd name="connsiteY72" fmla="*/ 443819 h 946941"/>
            <a:gd name="connsiteX73" fmla="*/ 3459324 w 6901117"/>
            <a:gd name="connsiteY73" fmla="*/ 244866 h 946941"/>
            <a:gd name="connsiteX74" fmla="*/ 3459324 w 6901117"/>
            <a:gd name="connsiteY74" fmla="*/ 244866 h 946941"/>
            <a:gd name="connsiteX75" fmla="*/ 3275255 w 6901117"/>
            <a:gd name="connsiteY75" fmla="*/ 550948 h 946941"/>
            <a:gd name="connsiteX76" fmla="*/ 2968474 w 6901117"/>
            <a:gd name="connsiteY76" fmla="*/ 946941 h 946941"/>
            <a:gd name="connsiteX77" fmla="*/ 2968474 w 6901117"/>
            <a:gd name="connsiteY77" fmla="*/ 946941 h 946941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  <a:cxn ang="0">
              <a:pos x="connsiteX55" y="connsiteY55"/>
            </a:cxn>
            <a:cxn ang="0">
              <a:pos x="connsiteX56" y="connsiteY56"/>
            </a:cxn>
            <a:cxn ang="0">
              <a:pos x="connsiteX57" y="connsiteY57"/>
            </a:cxn>
            <a:cxn ang="0">
              <a:pos x="connsiteX58" y="connsiteY58"/>
            </a:cxn>
            <a:cxn ang="0">
              <a:pos x="connsiteX59" y="connsiteY59"/>
            </a:cxn>
            <a:cxn ang="0">
              <a:pos x="connsiteX60" y="connsiteY60"/>
            </a:cxn>
            <a:cxn ang="0">
              <a:pos x="connsiteX61" y="connsiteY61"/>
            </a:cxn>
            <a:cxn ang="0">
              <a:pos x="connsiteX62" y="connsiteY62"/>
            </a:cxn>
            <a:cxn ang="0">
              <a:pos x="connsiteX63" y="connsiteY63"/>
            </a:cxn>
            <a:cxn ang="0">
              <a:pos x="connsiteX64" y="connsiteY64"/>
            </a:cxn>
            <a:cxn ang="0">
              <a:pos x="connsiteX65" y="connsiteY65"/>
            </a:cxn>
            <a:cxn ang="0">
              <a:pos x="connsiteX66" y="connsiteY66"/>
            </a:cxn>
            <a:cxn ang="0">
              <a:pos x="connsiteX67" y="connsiteY67"/>
            </a:cxn>
            <a:cxn ang="0">
              <a:pos x="connsiteX68" y="connsiteY68"/>
            </a:cxn>
            <a:cxn ang="0">
              <a:pos x="connsiteX69" y="connsiteY69"/>
            </a:cxn>
            <a:cxn ang="0">
              <a:pos x="connsiteX70" y="connsiteY70"/>
            </a:cxn>
            <a:cxn ang="0">
              <a:pos x="connsiteX71" y="connsiteY71"/>
            </a:cxn>
            <a:cxn ang="0">
              <a:pos x="connsiteX72" y="connsiteY72"/>
            </a:cxn>
            <a:cxn ang="0">
              <a:pos x="connsiteX73" y="connsiteY73"/>
            </a:cxn>
            <a:cxn ang="0">
              <a:pos x="connsiteX74" y="connsiteY74"/>
            </a:cxn>
            <a:cxn ang="0">
              <a:pos x="connsiteX75" y="connsiteY75"/>
            </a:cxn>
            <a:cxn ang="0">
              <a:pos x="connsiteX76" y="connsiteY76"/>
            </a:cxn>
            <a:cxn ang="0">
              <a:pos x="connsiteX77" y="connsiteY77"/>
            </a:cxn>
          </a:cxnLst>
          <a:rect l="l" t="t" r="r" b="b"/>
          <a:pathLst>
            <a:path w="6901117" h="946941">
              <a:moveTo>
                <a:pt x="2968474" y="946941"/>
              </a:moveTo>
              <a:cubicBezTo>
                <a:pt x="2763953" y="946941"/>
                <a:pt x="2728892" y="690598"/>
                <a:pt x="2690910" y="441906"/>
              </a:cubicBezTo>
              <a:cubicBezTo>
                <a:pt x="2661693" y="239127"/>
                <a:pt x="2632475" y="28695"/>
                <a:pt x="2512685" y="28695"/>
              </a:cubicBezTo>
              <a:cubicBezTo>
                <a:pt x="2389972" y="28695"/>
                <a:pt x="2351990" y="191301"/>
                <a:pt x="2316929" y="350081"/>
              </a:cubicBezTo>
              <a:cubicBezTo>
                <a:pt x="2276025" y="526079"/>
                <a:pt x="2238042" y="692511"/>
                <a:pt x="2080269" y="692511"/>
              </a:cubicBezTo>
              <a:cubicBezTo>
                <a:pt x="1960478" y="692511"/>
                <a:pt x="1907887" y="579643"/>
                <a:pt x="1855296" y="472514"/>
              </a:cubicBezTo>
              <a:cubicBezTo>
                <a:pt x="1808549" y="373038"/>
                <a:pt x="1761801" y="271648"/>
                <a:pt x="1674149" y="271648"/>
              </a:cubicBezTo>
              <a:cubicBezTo>
                <a:pt x="1563124" y="271648"/>
                <a:pt x="1501767" y="430428"/>
                <a:pt x="1446255" y="570078"/>
              </a:cubicBezTo>
              <a:cubicBezTo>
                <a:pt x="1387820" y="723119"/>
                <a:pt x="1332307" y="866595"/>
                <a:pt x="1206673" y="866595"/>
              </a:cubicBezTo>
              <a:cubicBezTo>
                <a:pt x="1054743" y="866595"/>
                <a:pt x="1010917" y="744162"/>
                <a:pt x="972935" y="627468"/>
              </a:cubicBezTo>
              <a:cubicBezTo>
                <a:pt x="937874" y="526079"/>
                <a:pt x="905735" y="428515"/>
                <a:pt x="809318" y="428515"/>
              </a:cubicBezTo>
              <a:lnTo>
                <a:pt x="809318" y="428515"/>
              </a:lnTo>
              <a:cubicBezTo>
                <a:pt x="721666" y="428515"/>
                <a:pt x="683684" y="505035"/>
                <a:pt x="639858" y="583469"/>
              </a:cubicBezTo>
              <a:cubicBezTo>
                <a:pt x="593110" y="673381"/>
                <a:pt x="546363" y="767118"/>
                <a:pt x="414885" y="767118"/>
              </a:cubicBezTo>
              <a:cubicBezTo>
                <a:pt x="280486" y="767118"/>
                <a:pt x="230816" y="688685"/>
                <a:pt x="186990" y="619816"/>
              </a:cubicBezTo>
              <a:cubicBezTo>
                <a:pt x="146086" y="554774"/>
                <a:pt x="111026" y="499296"/>
                <a:pt x="20452" y="499296"/>
              </a:cubicBezTo>
              <a:lnTo>
                <a:pt x="20452" y="499296"/>
              </a:lnTo>
              <a:cubicBezTo>
                <a:pt x="8765" y="499296"/>
                <a:pt x="0" y="493557"/>
                <a:pt x="0" y="485905"/>
              </a:cubicBezTo>
              <a:cubicBezTo>
                <a:pt x="0" y="478253"/>
                <a:pt x="8765" y="472514"/>
                <a:pt x="20452" y="472514"/>
              </a:cubicBezTo>
              <a:lnTo>
                <a:pt x="20452" y="472514"/>
              </a:lnTo>
              <a:cubicBezTo>
                <a:pt x="140243" y="472514"/>
                <a:pt x="184069" y="543296"/>
                <a:pt x="227895" y="610251"/>
              </a:cubicBezTo>
              <a:cubicBezTo>
                <a:pt x="268799" y="677207"/>
                <a:pt x="306781" y="740336"/>
                <a:pt x="414885" y="740336"/>
              </a:cubicBezTo>
              <a:cubicBezTo>
                <a:pt x="514224" y="740336"/>
                <a:pt x="555128" y="659989"/>
                <a:pt x="598954" y="575817"/>
              </a:cubicBezTo>
              <a:cubicBezTo>
                <a:pt x="642780" y="489731"/>
                <a:pt x="689527" y="401733"/>
                <a:pt x="809318" y="399820"/>
              </a:cubicBezTo>
              <a:lnTo>
                <a:pt x="809318" y="399820"/>
              </a:lnTo>
              <a:cubicBezTo>
                <a:pt x="940796" y="399820"/>
                <a:pt x="978778" y="512688"/>
                <a:pt x="1016761" y="621729"/>
              </a:cubicBezTo>
              <a:cubicBezTo>
                <a:pt x="1051821" y="728858"/>
                <a:pt x="1089804" y="839813"/>
                <a:pt x="1209595" y="839813"/>
              </a:cubicBezTo>
              <a:cubicBezTo>
                <a:pt x="1300168" y="839813"/>
                <a:pt x="1358603" y="694424"/>
                <a:pt x="1408272" y="564339"/>
              </a:cubicBezTo>
              <a:cubicBezTo>
                <a:pt x="1472550" y="399820"/>
                <a:pt x="1533906" y="242953"/>
                <a:pt x="1677071" y="242953"/>
              </a:cubicBezTo>
              <a:cubicBezTo>
                <a:pt x="1796862" y="242953"/>
                <a:pt x="1849453" y="355820"/>
                <a:pt x="1902044" y="462949"/>
              </a:cubicBezTo>
              <a:cubicBezTo>
                <a:pt x="1948791" y="562426"/>
                <a:pt x="1995539" y="663815"/>
                <a:pt x="2083191" y="663815"/>
              </a:cubicBezTo>
              <a:cubicBezTo>
                <a:pt x="2202982" y="663815"/>
                <a:pt x="2240964" y="501209"/>
                <a:pt x="2276025" y="346255"/>
              </a:cubicBezTo>
              <a:cubicBezTo>
                <a:pt x="2316929" y="168345"/>
                <a:pt x="2354911" y="0"/>
                <a:pt x="2515606" y="0"/>
              </a:cubicBezTo>
              <a:cubicBezTo>
                <a:pt x="2673380" y="0"/>
                <a:pt x="2702597" y="202779"/>
                <a:pt x="2737657" y="438080"/>
              </a:cubicBezTo>
              <a:cubicBezTo>
                <a:pt x="2769797" y="661903"/>
                <a:pt x="2807779" y="916333"/>
                <a:pt x="2971396" y="916333"/>
              </a:cubicBezTo>
              <a:cubicBezTo>
                <a:pt x="3135012" y="916333"/>
                <a:pt x="3181760" y="721206"/>
                <a:pt x="3225586" y="549035"/>
              </a:cubicBezTo>
              <a:cubicBezTo>
                <a:pt x="3266490" y="380690"/>
                <a:pt x="3307394" y="219996"/>
                <a:pt x="3450559" y="218083"/>
              </a:cubicBezTo>
              <a:cubicBezTo>
                <a:pt x="3450559" y="218083"/>
                <a:pt x="3450559" y="218083"/>
                <a:pt x="3453480" y="218083"/>
              </a:cubicBezTo>
              <a:cubicBezTo>
                <a:pt x="3570349" y="218083"/>
                <a:pt x="3599567" y="327125"/>
                <a:pt x="3628784" y="441906"/>
              </a:cubicBezTo>
              <a:cubicBezTo>
                <a:pt x="3658001" y="556687"/>
                <a:pt x="3690140" y="675294"/>
                <a:pt x="3807009" y="675294"/>
              </a:cubicBezTo>
              <a:cubicBezTo>
                <a:pt x="3874209" y="675294"/>
                <a:pt x="3909270" y="625555"/>
                <a:pt x="3947252" y="571991"/>
              </a:cubicBezTo>
              <a:cubicBezTo>
                <a:pt x="3988156" y="512688"/>
                <a:pt x="4034904" y="445732"/>
                <a:pt x="4140086" y="445732"/>
              </a:cubicBezTo>
              <a:cubicBezTo>
                <a:pt x="4230660" y="445732"/>
                <a:pt x="4274486" y="526079"/>
                <a:pt x="4324155" y="610251"/>
              </a:cubicBezTo>
              <a:cubicBezTo>
                <a:pt x="4373824" y="700163"/>
                <a:pt x="4429337" y="791987"/>
                <a:pt x="4525754" y="791987"/>
              </a:cubicBezTo>
              <a:cubicBezTo>
                <a:pt x="4657232" y="791987"/>
                <a:pt x="4706901" y="621729"/>
                <a:pt x="4753649" y="459123"/>
              </a:cubicBezTo>
              <a:cubicBezTo>
                <a:pt x="4806240" y="279300"/>
                <a:pt x="4852988" y="109042"/>
                <a:pt x="5016604" y="109042"/>
              </a:cubicBezTo>
              <a:cubicBezTo>
                <a:pt x="5168534" y="109042"/>
                <a:pt x="5206516" y="269735"/>
                <a:pt x="5250342" y="438080"/>
              </a:cubicBezTo>
              <a:cubicBezTo>
                <a:pt x="5288325" y="585382"/>
                <a:pt x="5326307" y="740336"/>
                <a:pt x="5437333" y="740336"/>
              </a:cubicBezTo>
              <a:cubicBezTo>
                <a:pt x="5527906" y="740336"/>
                <a:pt x="5577575" y="640859"/>
                <a:pt x="5627245" y="543296"/>
              </a:cubicBezTo>
              <a:cubicBezTo>
                <a:pt x="5682758" y="438080"/>
                <a:pt x="5738270" y="327125"/>
                <a:pt x="5858061" y="327125"/>
              </a:cubicBezTo>
              <a:cubicBezTo>
                <a:pt x="5980774" y="327125"/>
                <a:pt x="6027521" y="443819"/>
                <a:pt x="6080113" y="568165"/>
              </a:cubicBezTo>
              <a:cubicBezTo>
                <a:pt x="6123938" y="677207"/>
                <a:pt x="6170686" y="788161"/>
                <a:pt x="6258338" y="790074"/>
              </a:cubicBezTo>
              <a:cubicBezTo>
                <a:pt x="6258338" y="790074"/>
                <a:pt x="6258338" y="790074"/>
                <a:pt x="6258338" y="790074"/>
              </a:cubicBezTo>
              <a:cubicBezTo>
                <a:pt x="6305085" y="790074"/>
                <a:pt x="6343068" y="746075"/>
                <a:pt x="6389815" y="692511"/>
              </a:cubicBezTo>
              <a:cubicBezTo>
                <a:pt x="6474546" y="593034"/>
                <a:pt x="6594336" y="457210"/>
                <a:pt x="6880665" y="457210"/>
              </a:cubicBezTo>
              <a:cubicBezTo>
                <a:pt x="6892352" y="457210"/>
                <a:pt x="6901117" y="462949"/>
                <a:pt x="6901117" y="470601"/>
              </a:cubicBezTo>
              <a:cubicBezTo>
                <a:pt x="6901117" y="478253"/>
                <a:pt x="6892352" y="483992"/>
                <a:pt x="6880665" y="483992"/>
              </a:cubicBezTo>
              <a:cubicBezTo>
                <a:pt x="6617710" y="483992"/>
                <a:pt x="6512528" y="606425"/>
                <a:pt x="6424876" y="703989"/>
              </a:cubicBezTo>
              <a:cubicBezTo>
                <a:pt x="6369363" y="767118"/>
                <a:pt x="6328459" y="816857"/>
                <a:pt x="6255416" y="816857"/>
              </a:cubicBezTo>
              <a:cubicBezTo>
                <a:pt x="6255416" y="816857"/>
                <a:pt x="6252494" y="816857"/>
                <a:pt x="6252494" y="816857"/>
              </a:cubicBezTo>
              <a:cubicBezTo>
                <a:pt x="6132703" y="814944"/>
                <a:pt x="6083034" y="698250"/>
                <a:pt x="6033365" y="573904"/>
              </a:cubicBezTo>
              <a:cubicBezTo>
                <a:pt x="5989539" y="464862"/>
                <a:pt x="5942791" y="353907"/>
                <a:pt x="5855139" y="353907"/>
              </a:cubicBezTo>
              <a:cubicBezTo>
                <a:pt x="5764566" y="353907"/>
                <a:pt x="5714897" y="453384"/>
                <a:pt x="5665227" y="550948"/>
              </a:cubicBezTo>
              <a:cubicBezTo>
                <a:pt x="5609714" y="656163"/>
                <a:pt x="5554202" y="767118"/>
                <a:pt x="5434411" y="767118"/>
              </a:cubicBezTo>
              <a:cubicBezTo>
                <a:pt x="5288325" y="767118"/>
                <a:pt x="5247421" y="608338"/>
                <a:pt x="5206516" y="441906"/>
              </a:cubicBezTo>
              <a:cubicBezTo>
                <a:pt x="5168534" y="290778"/>
                <a:pt x="5127630" y="135824"/>
                <a:pt x="5016604" y="135824"/>
              </a:cubicBezTo>
              <a:cubicBezTo>
                <a:pt x="4890970" y="135824"/>
                <a:pt x="4844222" y="302256"/>
                <a:pt x="4797475" y="461036"/>
              </a:cubicBezTo>
              <a:cubicBezTo>
                <a:pt x="4744883" y="644685"/>
                <a:pt x="4695214" y="816857"/>
                <a:pt x="4528676" y="816857"/>
              </a:cubicBezTo>
              <a:cubicBezTo>
                <a:pt x="4400120" y="816857"/>
                <a:pt x="4341686" y="709728"/>
                <a:pt x="4286172" y="617903"/>
              </a:cubicBezTo>
              <a:cubicBezTo>
                <a:pt x="4245268" y="545209"/>
                <a:pt x="4201443" y="472514"/>
                <a:pt x="4143008" y="472514"/>
              </a:cubicBezTo>
              <a:cubicBezTo>
                <a:pt x="4067043" y="472514"/>
                <a:pt x="4029060" y="526079"/>
                <a:pt x="3991078" y="581556"/>
              </a:cubicBezTo>
              <a:cubicBezTo>
                <a:pt x="3950174" y="640859"/>
                <a:pt x="3906348" y="702076"/>
                <a:pt x="3812853" y="702076"/>
              </a:cubicBezTo>
              <a:cubicBezTo>
                <a:pt x="3660923" y="702076"/>
                <a:pt x="3625862" y="571991"/>
                <a:pt x="3593723" y="443819"/>
              </a:cubicBezTo>
              <a:cubicBezTo>
                <a:pt x="3567428" y="346255"/>
                <a:pt x="3541132" y="244866"/>
                <a:pt x="3459324" y="244866"/>
              </a:cubicBezTo>
              <a:cubicBezTo>
                <a:pt x="3459324" y="244866"/>
                <a:pt x="3459324" y="244866"/>
                <a:pt x="3459324" y="244866"/>
              </a:cubicBezTo>
              <a:cubicBezTo>
                <a:pt x="3351220" y="246779"/>
                <a:pt x="3313238" y="401733"/>
                <a:pt x="3275255" y="550948"/>
              </a:cubicBezTo>
              <a:cubicBezTo>
                <a:pt x="3216821" y="747988"/>
                <a:pt x="3170073" y="946941"/>
                <a:pt x="2968474" y="946941"/>
              </a:cubicBezTo>
              <a:lnTo>
                <a:pt x="2968474" y="946941"/>
              </a:lnTo>
              <a:close/>
            </a:path>
          </a:pathLst>
        </a:custGeom>
        <a:solidFill>
          <a:schemeClr val="tx2">
            <a:lumMod val="50000"/>
            <a:lumOff val="50000"/>
          </a:schemeClr>
        </a:solidFill>
        <a:ln w="29208" cap="flat">
          <a:noFill/>
          <a:prstDash val="solid"/>
          <a:miter/>
        </a:ln>
      </xdr:spPr>
      <xdr:txBody>
        <a:bodyPr rtlCol="0" anchor="ctr"/>
        <a:lstStyle/>
        <a:p>
          <a:endParaRPr lang="en-US"/>
        </a:p>
      </xdr:txBody>
    </xdr:sp>
    <xdr:clientData/>
  </xdr:twoCellAnchor>
  <xdr:twoCellAnchor editAs="oneCell">
    <xdr:from>
      <xdr:col>1</xdr:col>
      <xdr:colOff>1480344</xdr:colOff>
      <xdr:row>0</xdr:row>
      <xdr:rowOff>79376</xdr:rowOff>
    </xdr:from>
    <xdr:to>
      <xdr:col>1</xdr:col>
      <xdr:colOff>2059781</xdr:colOff>
      <xdr:row>2</xdr:row>
      <xdr:rowOff>164342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7F89DD48-83E2-4515-B143-8E4F80E6C5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61332" y="79376"/>
          <a:ext cx="579437" cy="580266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0604C69-1436-4905-B319-FAC6864BB6D9}" name="Table6" displayName="Table6" ref="B6:J190" totalsRowShown="0" headerRowDxfId="11" dataDxfId="10" tableBorderDxfId="9">
  <autoFilter ref="B6:J190" xr:uid="{90604C69-1436-4905-B319-FAC6864BB6D9}"/>
  <tableColumns count="9">
    <tableColumn id="1" xr3:uid="{675DDC92-AC89-464D-9079-65AB9D83AC55}" name="Opportunity name" dataDxfId="8"/>
    <tableColumn id="2" xr3:uid="{341DE8A7-2E8C-49B2-AB69-D5C54FF9E0BE}" name="Sales _x000a_agent" dataDxfId="7"/>
    <tableColumn id="3" xr3:uid="{A8950E7A-C198-49F1-8857-590B6048DD1B}" name="Sales _x000a_region" dataDxfId="6"/>
    <tableColumn id="4" xr3:uid="{2AF15798-B65F-488B-9B6E-B61E1901DA84}" name="Sales _x000a_category" dataDxfId="5"/>
    <tableColumn id="5" xr3:uid="{C04923BC-D033-41BC-9D77-789303CB57DC}" name="Forecast amount" dataDxfId="4"/>
    <tableColumn id="6" xr3:uid="{A0D7A06C-ED44-44D5-9316-C4FBB8D121FE}" name="Sales _x000a_phase" dataDxfId="3"/>
    <tableColumn id="7" xr3:uid="{9537C4C2-8817-40BE-8467-05DC2427C3F6}" name="Probability of sale" dataDxfId="2"/>
    <tableColumn id="8" xr3:uid="{849D2A94-8063-491B-A8C6-03A5DB5CD9A7}" name="Forecast _x000a_close" dataDxfId="1"/>
    <tableColumn id="9" xr3:uid="{E4B9E335-4EA8-4BF7-BED6-9E63838EF510}" name="Weighted forecast" dataDxfId="0">
      <calculatedColumnFormula>Bonus!$F7*Bonus!$H7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youtube.com/watch?v=2bWObFD_CEI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6.bin"/><Relationship Id="rId5" Type="http://schemas.openxmlformats.org/officeDocument/2006/relationships/comments" Target="../comments10.xm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E16F32-F6F3-4320-A500-7EDF3266AAB4}">
  <sheetPr codeName="End_Result"/>
  <dimension ref="A1:K29"/>
  <sheetViews>
    <sheetView tabSelected="1" zoomScale="120" zoomScaleNormal="120" workbookViewId="0">
      <selection activeCell="B4" sqref="B4"/>
    </sheetView>
  </sheetViews>
  <sheetFormatPr defaultColWidth="9.19921875" defaultRowHeight="21" customHeight="1" x14ac:dyDescent="0.5"/>
  <cols>
    <col min="1" max="1" width="3.9296875" style="12" customWidth="1"/>
    <col min="2" max="2" width="35.9296875" style="28" customWidth="1"/>
    <col min="3" max="3" width="22" style="28" customWidth="1"/>
    <col min="4" max="4" width="26" style="28" customWidth="1"/>
    <col min="5" max="5" width="19.9296875" style="28" customWidth="1"/>
    <col min="6" max="6" width="18" style="29" customWidth="1"/>
    <col min="7" max="7" width="25.19921875" style="28" customWidth="1"/>
    <col min="8" max="8" width="18" style="30" customWidth="1"/>
    <col min="9" max="9" width="22" style="31" customWidth="1"/>
    <col min="10" max="10" width="18" style="29" customWidth="1"/>
    <col min="11" max="11" width="3.9296875" style="12" customWidth="1"/>
    <col min="12" max="16384" width="9.19921875" style="1"/>
  </cols>
  <sheetData>
    <row r="1" spans="1:11" ht="15.75" x14ac:dyDescent="0.5">
      <c r="B1" s="12"/>
      <c r="C1" s="33"/>
      <c r="D1" s="33"/>
      <c r="E1" s="33"/>
      <c r="F1" s="12"/>
      <c r="G1" s="12"/>
      <c r="H1" s="12"/>
      <c r="I1" s="12"/>
      <c r="J1" s="34"/>
      <c r="K1" s="12" t="s">
        <v>0</v>
      </c>
    </row>
    <row r="2" spans="1:11" s="2" customFormat="1" ht="49.9" customHeight="1" x14ac:dyDescent="0.7">
      <c r="A2" s="35"/>
      <c r="B2" s="36"/>
      <c r="C2" s="50" t="s">
        <v>87</v>
      </c>
      <c r="D2" s="37"/>
      <c r="E2" s="45" t="s">
        <v>84</v>
      </c>
      <c r="F2" s="12"/>
      <c r="G2" s="38"/>
      <c r="H2" s="38"/>
      <c r="I2" s="38"/>
      <c r="J2" s="39"/>
      <c r="K2" s="35"/>
    </row>
    <row r="3" spans="1:11" s="3" customFormat="1" ht="72.400000000000006" x14ac:dyDescent="2.15">
      <c r="A3" s="40"/>
      <c r="B3" s="44" t="s">
        <v>86</v>
      </c>
      <c r="C3" s="41"/>
      <c r="D3" s="41"/>
      <c r="E3" s="41"/>
      <c r="F3" s="40"/>
      <c r="G3" s="42"/>
      <c r="H3" s="42"/>
      <c r="I3" s="42"/>
      <c r="J3" s="43"/>
      <c r="K3" s="40"/>
    </row>
    <row r="4" spans="1:11" s="2" customFormat="1" ht="15.75" x14ac:dyDescent="0.5">
      <c r="A4" s="35"/>
      <c r="B4" s="52" t="s">
        <v>81</v>
      </c>
      <c r="C4" s="37"/>
      <c r="D4" s="37"/>
      <c r="E4" s="37"/>
      <c r="F4" s="35"/>
      <c r="G4" s="38"/>
      <c r="H4" s="38"/>
      <c r="I4" s="38"/>
      <c r="J4" s="39"/>
      <c r="K4" s="35"/>
    </row>
    <row r="5" spans="1:11" ht="15.75" x14ac:dyDescent="0.5">
      <c r="B5" s="51"/>
      <c r="C5" s="4"/>
      <c r="D5" s="4"/>
      <c r="E5" s="4"/>
      <c r="F5" s="5"/>
      <c r="G5" s="5"/>
      <c r="H5" s="5"/>
      <c r="I5" s="5"/>
      <c r="J5" s="6"/>
    </row>
    <row r="6" spans="1:11" s="7" customFormat="1" ht="40.5" x14ac:dyDescent="0.55000000000000004">
      <c r="A6" s="32"/>
      <c r="B6" s="8" t="s">
        <v>1</v>
      </c>
      <c r="C6" s="9" t="s">
        <v>2</v>
      </c>
      <c r="D6" s="9" t="s">
        <v>3</v>
      </c>
      <c r="E6" s="9" t="s">
        <v>4</v>
      </c>
      <c r="F6" s="9" t="s">
        <v>5</v>
      </c>
      <c r="G6" s="9" t="s">
        <v>6</v>
      </c>
      <c r="H6" s="10" t="s">
        <v>7</v>
      </c>
      <c r="I6" s="9" t="s">
        <v>8</v>
      </c>
      <c r="J6" s="11" t="s">
        <v>9</v>
      </c>
      <c r="K6" s="32"/>
    </row>
    <row r="7" spans="1:11" ht="15.75" x14ac:dyDescent="0.5">
      <c r="B7" s="13" t="s">
        <v>10</v>
      </c>
      <c r="C7" s="13" t="s">
        <v>11</v>
      </c>
      <c r="D7" s="13" t="s">
        <v>12</v>
      </c>
      <c r="E7" s="13" t="s">
        <v>13</v>
      </c>
      <c r="F7" s="14">
        <v>150000</v>
      </c>
      <c r="G7" s="13" t="s">
        <v>14</v>
      </c>
      <c r="H7" s="15">
        <v>0.9</v>
      </c>
      <c r="I7" s="16">
        <f ca="1">DATE(YEAR(TODAY())+1,1,1)</f>
        <v>45658</v>
      </c>
      <c r="J7" s="17">
        <f>'End Result'!$F7*'End Result'!$H7</f>
        <v>135000</v>
      </c>
    </row>
    <row r="8" spans="1:11" ht="15.75" x14ac:dyDescent="0.5">
      <c r="B8" s="18" t="s">
        <v>15</v>
      </c>
      <c r="C8" s="18" t="s">
        <v>16</v>
      </c>
      <c r="D8" s="18" t="s">
        <v>17</v>
      </c>
      <c r="E8" s="18" t="s">
        <v>18</v>
      </c>
      <c r="F8" s="19">
        <v>145200</v>
      </c>
      <c r="G8" s="18" t="s">
        <v>19</v>
      </c>
      <c r="H8" s="20">
        <v>0.1</v>
      </c>
      <c r="I8" s="21">
        <f ca="1">DATE(YEAR(TODAY())+1,2,1)</f>
        <v>45689</v>
      </c>
      <c r="J8" s="22">
        <f>'End Result'!$F8*'End Result'!$H8</f>
        <v>14520</v>
      </c>
    </row>
    <row r="9" spans="1:11" ht="15.75" x14ac:dyDescent="0.5">
      <c r="B9" s="18" t="s">
        <v>20</v>
      </c>
      <c r="C9" s="18" t="s">
        <v>21</v>
      </c>
      <c r="D9" s="18" t="s">
        <v>22</v>
      </c>
      <c r="E9" s="18" t="s">
        <v>23</v>
      </c>
      <c r="F9" s="19">
        <v>162500</v>
      </c>
      <c r="G9" s="18" t="s">
        <v>24</v>
      </c>
      <c r="H9" s="20">
        <v>0.2</v>
      </c>
      <c r="I9" s="21">
        <f ca="1">DATE(YEAR(TODAY())+1,3,1)</f>
        <v>45717</v>
      </c>
      <c r="J9" s="22">
        <f>'End Result'!$F9*'End Result'!$H9</f>
        <v>32500</v>
      </c>
    </row>
    <row r="10" spans="1:11" ht="15.75" x14ac:dyDescent="0.5">
      <c r="B10" s="18" t="s">
        <v>25</v>
      </c>
      <c r="C10" s="18" t="s">
        <v>26</v>
      </c>
      <c r="D10" s="18" t="s">
        <v>27</v>
      </c>
      <c r="E10" s="18" t="s">
        <v>28</v>
      </c>
      <c r="F10" s="19">
        <v>147500</v>
      </c>
      <c r="G10" s="18" t="s">
        <v>29</v>
      </c>
      <c r="H10" s="20">
        <v>0.3</v>
      </c>
      <c r="I10" s="21">
        <f ca="1">DATE(YEAR(TODAY())+1,4,1)</f>
        <v>45748</v>
      </c>
      <c r="J10" s="22">
        <f>'End Result'!$F10*'End Result'!$H10</f>
        <v>44250</v>
      </c>
    </row>
    <row r="11" spans="1:11" ht="15.75" x14ac:dyDescent="0.5">
      <c r="B11" s="18" t="s">
        <v>30</v>
      </c>
      <c r="C11" s="18" t="s">
        <v>31</v>
      </c>
      <c r="D11" s="18" t="s">
        <v>32</v>
      </c>
      <c r="E11" s="18" t="s">
        <v>33</v>
      </c>
      <c r="F11" s="19">
        <v>148000</v>
      </c>
      <c r="G11" s="18" t="s">
        <v>34</v>
      </c>
      <c r="H11" s="20">
        <v>0.4</v>
      </c>
      <c r="I11" s="21">
        <f ca="1">DATE(YEAR(TODAY())+1,5,1)</f>
        <v>45778</v>
      </c>
      <c r="J11" s="22">
        <f>'End Result'!$F11*'End Result'!$H11</f>
        <v>59200</v>
      </c>
    </row>
    <row r="12" spans="1:11" ht="15.75" x14ac:dyDescent="0.5">
      <c r="B12" s="18" t="s">
        <v>35</v>
      </c>
      <c r="C12" s="18" t="s">
        <v>11</v>
      </c>
      <c r="D12" s="18" t="s">
        <v>36</v>
      </c>
      <c r="E12" s="18" t="s">
        <v>37</v>
      </c>
      <c r="F12" s="19">
        <v>175000</v>
      </c>
      <c r="G12" s="18" t="s">
        <v>38</v>
      </c>
      <c r="H12" s="20">
        <v>0.5</v>
      </c>
      <c r="I12" s="21">
        <f ca="1">DATE(YEAR(TODAY())+1,6,1)</f>
        <v>45809</v>
      </c>
      <c r="J12" s="22">
        <f>'End Result'!$F12*'End Result'!$H12</f>
        <v>87500</v>
      </c>
    </row>
    <row r="13" spans="1:11" ht="15.75" x14ac:dyDescent="0.5">
      <c r="B13" s="18" t="s">
        <v>39</v>
      </c>
      <c r="C13" s="18" t="s">
        <v>21</v>
      </c>
      <c r="D13" s="18" t="s">
        <v>40</v>
      </c>
      <c r="E13" s="18" t="s">
        <v>28</v>
      </c>
      <c r="F13" s="19">
        <v>149000</v>
      </c>
      <c r="G13" s="18" t="s">
        <v>41</v>
      </c>
      <c r="H13" s="20">
        <v>0.6</v>
      </c>
      <c r="I13" s="21">
        <f ca="1">DATE(YEAR(TODAY())+1,7,1)</f>
        <v>45839</v>
      </c>
      <c r="J13" s="22">
        <f>'End Result'!$F13*'End Result'!$H13</f>
        <v>89400</v>
      </c>
    </row>
    <row r="14" spans="1:11" ht="15.75" x14ac:dyDescent="0.5">
      <c r="B14" s="18" t="s">
        <v>42</v>
      </c>
      <c r="C14" s="18" t="s">
        <v>31</v>
      </c>
      <c r="D14" s="18" t="s">
        <v>43</v>
      </c>
      <c r="E14" s="18" t="s">
        <v>23</v>
      </c>
      <c r="F14" s="19">
        <v>142000</v>
      </c>
      <c r="G14" s="18" t="s">
        <v>44</v>
      </c>
      <c r="H14" s="20">
        <v>0.7</v>
      </c>
      <c r="I14" s="21">
        <f ca="1">DATE(YEAR(TODAY())+1,8,1)</f>
        <v>45870</v>
      </c>
      <c r="J14" s="22">
        <f>'End Result'!$F14*'End Result'!$H14</f>
        <v>99400</v>
      </c>
    </row>
    <row r="15" spans="1:11" ht="15.75" x14ac:dyDescent="0.5">
      <c r="B15" s="18" t="s">
        <v>45</v>
      </c>
      <c r="C15" s="18" t="s">
        <v>21</v>
      </c>
      <c r="D15" s="18" t="s">
        <v>46</v>
      </c>
      <c r="E15" s="18" t="s">
        <v>28</v>
      </c>
      <c r="F15" s="19">
        <v>172500</v>
      </c>
      <c r="G15" s="18" t="s">
        <v>47</v>
      </c>
      <c r="H15" s="20">
        <v>0.9</v>
      </c>
      <c r="I15" s="21">
        <f ca="1">DATE(YEAR(TODAY())+1,10,1)</f>
        <v>45931</v>
      </c>
      <c r="J15" s="22">
        <f>'End Result'!$F15*'End Result'!$H15</f>
        <v>155250</v>
      </c>
    </row>
    <row r="16" spans="1:11" ht="15.75" x14ac:dyDescent="0.5">
      <c r="B16" s="18" t="s">
        <v>48</v>
      </c>
      <c r="C16" s="18" t="s">
        <v>26</v>
      </c>
      <c r="D16" s="18" t="s">
        <v>49</v>
      </c>
      <c r="E16" s="18" t="s">
        <v>18</v>
      </c>
      <c r="F16" s="19">
        <v>163500</v>
      </c>
      <c r="G16" s="18" t="s">
        <v>29</v>
      </c>
      <c r="H16" s="20">
        <v>0.2</v>
      </c>
      <c r="I16" s="21">
        <f ca="1">DATE(YEAR(TODAY())+1,11,1)</f>
        <v>45962</v>
      </c>
      <c r="J16" s="22">
        <f>'End Result'!$F16*'End Result'!$H16</f>
        <v>32700</v>
      </c>
    </row>
    <row r="17" spans="2:10" ht="15.75" x14ac:dyDescent="0.5">
      <c r="B17" s="18" t="s">
        <v>50</v>
      </c>
      <c r="C17" s="18" t="s">
        <v>31</v>
      </c>
      <c r="D17" s="18" t="s">
        <v>51</v>
      </c>
      <c r="E17" s="18" t="s">
        <v>18</v>
      </c>
      <c r="F17" s="19">
        <v>155500</v>
      </c>
      <c r="G17" s="18" t="s">
        <v>14</v>
      </c>
      <c r="H17" s="20">
        <v>1</v>
      </c>
      <c r="I17" s="21">
        <f ca="1">DATE(YEAR(TODAY())+1,12,1)</f>
        <v>45992</v>
      </c>
      <c r="J17" s="22">
        <f>'End Result'!$F17*'End Result'!$H17</f>
        <v>155500</v>
      </c>
    </row>
    <row r="18" spans="2:10" ht="15.75" x14ac:dyDescent="0.5">
      <c r="B18" s="18" t="s">
        <v>52</v>
      </c>
      <c r="C18" s="18" t="s">
        <v>26</v>
      </c>
      <c r="D18" s="18" t="s">
        <v>53</v>
      </c>
      <c r="E18" s="18" t="s">
        <v>13</v>
      </c>
      <c r="F18" s="19">
        <v>166000</v>
      </c>
      <c r="G18" s="18" t="s">
        <v>19</v>
      </c>
      <c r="H18" s="20">
        <v>0.1</v>
      </c>
      <c r="I18" s="21">
        <f ca="1">DATE(YEAR(TODAY())+1,1,1)</f>
        <v>45658</v>
      </c>
      <c r="J18" s="22">
        <f>'End Result'!$F18*'End Result'!$H18</f>
        <v>16600</v>
      </c>
    </row>
    <row r="19" spans="2:10" ht="15.75" x14ac:dyDescent="0.5">
      <c r="B19" s="18" t="s">
        <v>54</v>
      </c>
      <c r="C19" s="18" t="s">
        <v>21</v>
      </c>
      <c r="D19" s="18" t="s">
        <v>55</v>
      </c>
      <c r="E19" s="18" t="s">
        <v>23</v>
      </c>
      <c r="F19" s="19">
        <v>180000</v>
      </c>
      <c r="G19" s="18" t="s">
        <v>34</v>
      </c>
      <c r="H19" s="20">
        <v>0.3</v>
      </c>
      <c r="I19" s="21">
        <f ca="1">DATE(YEAR(TODAY())+1,3,1)</f>
        <v>45717</v>
      </c>
      <c r="J19" s="22">
        <f>'End Result'!$F19*'End Result'!$H19</f>
        <v>54000</v>
      </c>
    </row>
    <row r="20" spans="2:10" ht="15.75" x14ac:dyDescent="0.5">
      <c r="B20" s="18" t="s">
        <v>56</v>
      </c>
      <c r="C20" s="18" t="s">
        <v>16</v>
      </c>
      <c r="D20" s="18" t="s">
        <v>57</v>
      </c>
      <c r="E20" s="18" t="s">
        <v>58</v>
      </c>
      <c r="F20" s="19">
        <v>140000</v>
      </c>
      <c r="G20" s="18" t="s">
        <v>41</v>
      </c>
      <c r="H20" s="20">
        <v>0.6</v>
      </c>
      <c r="I20" s="21">
        <f ca="1">DATE(YEAR(TODAY())+1,5,1)</f>
        <v>45778</v>
      </c>
      <c r="J20" s="22">
        <f>'End Result'!$F20*'End Result'!$H20</f>
        <v>84000</v>
      </c>
    </row>
    <row r="21" spans="2:10" ht="15.75" x14ac:dyDescent="0.5">
      <c r="B21" s="18" t="s">
        <v>59</v>
      </c>
      <c r="C21" s="18" t="s">
        <v>11</v>
      </c>
      <c r="D21" s="18" t="s">
        <v>60</v>
      </c>
      <c r="E21" s="18" t="s">
        <v>37</v>
      </c>
      <c r="F21" s="19">
        <v>155000</v>
      </c>
      <c r="G21" s="18" t="s">
        <v>29</v>
      </c>
      <c r="H21" s="20">
        <v>0.3</v>
      </c>
      <c r="I21" s="21">
        <f ca="1">DATE(YEAR(TODAY())+1,6,1)</f>
        <v>45809</v>
      </c>
      <c r="J21" s="22">
        <f>'End Result'!$F21*'End Result'!$H21</f>
        <v>46500</v>
      </c>
    </row>
    <row r="22" spans="2:10" ht="15.75" x14ac:dyDescent="0.5">
      <c r="B22" s="18" t="s">
        <v>61</v>
      </c>
      <c r="C22" s="18" t="s">
        <v>16</v>
      </c>
      <c r="D22" s="18" t="s">
        <v>62</v>
      </c>
      <c r="E22" s="18" t="s">
        <v>33</v>
      </c>
      <c r="F22" s="19">
        <v>173200</v>
      </c>
      <c r="G22" s="18" t="s">
        <v>38</v>
      </c>
      <c r="H22" s="20">
        <v>0.5</v>
      </c>
      <c r="I22" s="21">
        <f ca="1">DATE(YEAR(TODAY())+1,10,1)</f>
        <v>45931</v>
      </c>
      <c r="J22" s="22">
        <f>'End Result'!$F22*'End Result'!$H22</f>
        <v>86600</v>
      </c>
    </row>
    <row r="23" spans="2:10" ht="15.75" x14ac:dyDescent="0.5">
      <c r="B23" s="18" t="s">
        <v>63</v>
      </c>
      <c r="C23" s="18" t="s">
        <v>31</v>
      </c>
      <c r="D23" s="18" t="s">
        <v>64</v>
      </c>
      <c r="E23" s="18" t="s">
        <v>58</v>
      </c>
      <c r="F23" s="19">
        <v>146500</v>
      </c>
      <c r="G23" s="18" t="s">
        <v>41</v>
      </c>
      <c r="H23" s="20">
        <v>0.6</v>
      </c>
      <c r="I23" s="21">
        <f ca="1">DATE(YEAR(TODAY())+1,12,1)</f>
        <v>45992</v>
      </c>
      <c r="J23" s="22">
        <f>'End Result'!$F23*'End Result'!$H23</f>
        <v>87900</v>
      </c>
    </row>
    <row r="24" spans="2:10" ht="15.75" x14ac:dyDescent="0.5">
      <c r="B24" s="18" t="s">
        <v>65</v>
      </c>
      <c r="C24" s="18" t="s">
        <v>26</v>
      </c>
      <c r="D24" s="18" t="s">
        <v>12</v>
      </c>
      <c r="E24" s="18" t="s">
        <v>37</v>
      </c>
      <c r="F24" s="19">
        <v>156750</v>
      </c>
      <c r="G24" s="18" t="s">
        <v>44</v>
      </c>
      <c r="H24" s="20">
        <v>0.7</v>
      </c>
      <c r="I24" s="21">
        <f ca="1">DATE(YEAR(TODAY())+1,11,1)</f>
        <v>45962</v>
      </c>
      <c r="J24" s="22">
        <f>'End Result'!$F24*'End Result'!$H24</f>
        <v>109725</v>
      </c>
    </row>
    <row r="25" spans="2:10" ht="15.75" x14ac:dyDescent="0.5">
      <c r="B25" s="18" t="s">
        <v>66</v>
      </c>
      <c r="C25" s="18" t="s">
        <v>21</v>
      </c>
      <c r="D25" s="18" t="s">
        <v>27</v>
      </c>
      <c r="E25" s="18" t="s">
        <v>67</v>
      </c>
      <c r="F25" s="19">
        <v>162000</v>
      </c>
      <c r="G25" s="18" t="s">
        <v>47</v>
      </c>
      <c r="H25" s="20">
        <v>0.9</v>
      </c>
      <c r="I25" s="21">
        <f ca="1">DATE(YEAR(TODAY())+1,2,1)</f>
        <v>45689</v>
      </c>
      <c r="J25" s="22">
        <f>'End Result'!$F25*'End Result'!$H25</f>
        <v>145800</v>
      </c>
    </row>
    <row r="26" spans="2:10" ht="15.75" x14ac:dyDescent="0.5">
      <c r="B26" s="18" t="s">
        <v>68</v>
      </c>
      <c r="C26" s="18" t="s">
        <v>26</v>
      </c>
      <c r="D26" s="18" t="s">
        <v>40</v>
      </c>
      <c r="E26" s="18" t="s">
        <v>28</v>
      </c>
      <c r="F26" s="19">
        <v>157000</v>
      </c>
      <c r="G26" s="18" t="s">
        <v>14</v>
      </c>
      <c r="H26" s="20">
        <v>1</v>
      </c>
      <c r="I26" s="21">
        <f ca="1">DATE(YEAR(TODAY())+1,3,1)</f>
        <v>45717</v>
      </c>
      <c r="J26" s="22">
        <f>'End Result'!$F26*'End Result'!$H26</f>
        <v>157000</v>
      </c>
    </row>
    <row r="27" spans="2:10" ht="15.75" x14ac:dyDescent="0.5">
      <c r="B27" s="18" t="s">
        <v>69</v>
      </c>
      <c r="C27" s="18" t="s">
        <v>16</v>
      </c>
      <c r="D27" s="18" t="s">
        <v>46</v>
      </c>
      <c r="E27" s="18" t="s">
        <v>58</v>
      </c>
      <c r="F27" s="19">
        <v>173000</v>
      </c>
      <c r="G27" s="18" t="s">
        <v>34</v>
      </c>
      <c r="H27" s="20">
        <v>0.4</v>
      </c>
      <c r="I27" s="21">
        <f ca="1">DATE(YEAR(TODAY())+1,4,1)</f>
        <v>45748</v>
      </c>
      <c r="J27" s="22">
        <f>'End Result'!$F27*'End Result'!$H27</f>
        <v>69200</v>
      </c>
    </row>
    <row r="28" spans="2:10" ht="15.75" x14ac:dyDescent="0.5">
      <c r="B28" s="18" t="s">
        <v>70</v>
      </c>
      <c r="C28" s="18" t="s">
        <v>31</v>
      </c>
      <c r="D28" s="18" t="s">
        <v>71</v>
      </c>
      <c r="E28" s="18" t="s">
        <v>28</v>
      </c>
      <c r="F28" s="19">
        <v>171000</v>
      </c>
      <c r="G28" s="18" t="s">
        <v>38</v>
      </c>
      <c r="H28" s="20">
        <v>0.5</v>
      </c>
      <c r="I28" s="21">
        <f ca="1">DATE(YEAR(TODAY())+1,8,1)</f>
        <v>45870</v>
      </c>
      <c r="J28" s="22">
        <f>'End Result'!$F28*'End Result'!$H28</f>
        <v>85500</v>
      </c>
    </row>
    <row r="29" spans="2:10" ht="15.75" x14ac:dyDescent="0.5">
      <c r="B29" s="23" t="s">
        <v>72</v>
      </c>
      <c r="C29" s="23" t="s">
        <v>11</v>
      </c>
      <c r="D29" s="23" t="s">
        <v>62</v>
      </c>
      <c r="E29" s="23" t="s">
        <v>18</v>
      </c>
      <c r="F29" s="24">
        <v>168000</v>
      </c>
      <c r="G29" s="23" t="s">
        <v>41</v>
      </c>
      <c r="H29" s="25">
        <v>0.6</v>
      </c>
      <c r="I29" s="26">
        <f ca="1">DATE(YEAR(TODAY())+1,9,1)</f>
        <v>45901</v>
      </c>
      <c r="J29" s="27">
        <f>'End Result'!$F29*'End Result'!$H29</f>
        <v>100800</v>
      </c>
    </row>
  </sheetData>
  <conditionalFormatting sqref="B7:J29">
    <cfRule type="expression" priority="1" stopIfTrue="1">
      <formula>IF(Highlight_switch_2="Off",TRUE,FALSE)</formula>
    </cfRule>
    <cfRule type="expression" dxfId="23" priority="2">
      <formula>AND(ROW()=CELL("row"),COLUMN()=CELL("col"))</formula>
    </cfRule>
    <cfRule type="expression" dxfId="22" priority="3">
      <formula>OR(ROW()=CELL("row"),COLUMN()=CELL("col"))</formula>
    </cfRule>
  </conditionalFormatting>
  <dataValidations count="1">
    <dataValidation type="list" allowBlank="1" showInputMessage="1" showErrorMessage="1" sqref="E2" xr:uid="{D19CE36B-BE3F-4C51-87B4-E1A5925B6D19}">
      <formula1>"On, Off"</formula1>
    </dataValidation>
  </dataValidations>
  <hyperlinks>
    <hyperlink ref="C2" r:id="rId1" display="Click for YouTube video" xr:uid="{4E5CE530-9EB4-416E-96D3-1813974AD698}"/>
  </hyperlinks>
  <pageMargins left="0.7" right="0.7" top="0.75" bottom="0.75" header="0.3" footer="0.3"/>
  <pageSetup orientation="portrait" r:id="rId2"/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106A29-3534-405C-98BA-5700E6149233}">
  <sheetPr codeName="Sheet1"/>
  <dimension ref="A1:K29"/>
  <sheetViews>
    <sheetView zoomScale="120" zoomScaleNormal="120" workbookViewId="0">
      <selection activeCell="B4" sqref="B4"/>
    </sheetView>
  </sheetViews>
  <sheetFormatPr defaultColWidth="9.19921875" defaultRowHeight="21" customHeight="1" x14ac:dyDescent="0.5"/>
  <cols>
    <col min="1" max="1" width="3.9296875" style="12" customWidth="1"/>
    <col min="2" max="2" width="35.9296875" style="28" customWidth="1"/>
    <col min="3" max="3" width="22" style="28" customWidth="1"/>
    <col min="4" max="4" width="26" style="28" customWidth="1"/>
    <col min="5" max="5" width="19.9296875" style="28" customWidth="1"/>
    <col min="6" max="6" width="18" style="29" customWidth="1"/>
    <col min="7" max="7" width="25.19921875" style="28" customWidth="1"/>
    <col min="8" max="8" width="18" style="30" customWidth="1"/>
    <col min="9" max="9" width="22" style="31" customWidth="1"/>
    <col min="10" max="10" width="18" style="29" customWidth="1"/>
    <col min="11" max="11" width="3.9296875" style="12" customWidth="1"/>
    <col min="12" max="16384" width="9.19921875" style="1"/>
  </cols>
  <sheetData>
    <row r="1" spans="1:11" ht="15.75" x14ac:dyDescent="0.5">
      <c r="B1" s="12"/>
      <c r="C1" s="33"/>
      <c r="D1" s="33"/>
      <c r="E1" s="33"/>
      <c r="F1" s="12"/>
      <c r="G1" s="12"/>
      <c r="H1" s="12"/>
      <c r="I1" s="12"/>
      <c r="J1" s="34"/>
      <c r="K1" s="12" t="s">
        <v>0</v>
      </c>
    </row>
    <row r="2" spans="1:11" s="2" customFormat="1" ht="23.25" x14ac:dyDescent="0.7">
      <c r="A2" s="35"/>
      <c r="B2" s="36" t="s">
        <v>73</v>
      </c>
      <c r="C2" s="37"/>
      <c r="D2" s="37"/>
      <c r="E2" s="37"/>
      <c r="F2" s="35"/>
      <c r="G2" s="38"/>
      <c r="H2" s="38"/>
      <c r="I2" s="38"/>
      <c r="J2" s="39"/>
      <c r="K2" s="35"/>
    </row>
    <row r="3" spans="1:11" s="3" customFormat="1" ht="72.400000000000006" x14ac:dyDescent="2.15">
      <c r="A3" s="40"/>
      <c r="B3" s="44" t="s">
        <v>78</v>
      </c>
      <c r="C3" s="41"/>
      <c r="D3" s="41"/>
      <c r="E3" s="41"/>
      <c r="F3" s="40"/>
      <c r="G3" s="42"/>
      <c r="H3" s="42"/>
      <c r="I3" s="42"/>
      <c r="J3" s="43"/>
      <c r="K3" s="40"/>
    </row>
    <row r="4" spans="1:11" s="2" customFormat="1" ht="15.75" x14ac:dyDescent="0.5">
      <c r="A4" s="35"/>
      <c r="B4" s="52" t="s">
        <v>81</v>
      </c>
      <c r="C4" s="37"/>
      <c r="D4" s="37"/>
      <c r="E4" s="37"/>
      <c r="F4" s="35"/>
      <c r="G4" s="38"/>
      <c r="H4" s="38"/>
      <c r="I4" s="38"/>
      <c r="J4" s="39"/>
      <c r="K4" s="35"/>
    </row>
    <row r="5" spans="1:11" ht="15.75" x14ac:dyDescent="0.5">
      <c r="B5" s="51"/>
      <c r="C5" s="4"/>
      <c r="D5" s="4"/>
      <c r="E5" s="4"/>
      <c r="F5" s="5"/>
      <c r="G5" s="5"/>
      <c r="H5" s="5"/>
      <c r="I5" s="5"/>
      <c r="J5" s="6"/>
    </row>
    <row r="6" spans="1:11" s="7" customFormat="1" ht="40.5" x14ac:dyDescent="0.55000000000000004">
      <c r="A6" s="32"/>
      <c r="B6" s="8" t="s">
        <v>1</v>
      </c>
      <c r="C6" s="9" t="s">
        <v>2</v>
      </c>
      <c r="D6" s="9" t="s">
        <v>3</v>
      </c>
      <c r="E6" s="9" t="s">
        <v>4</v>
      </c>
      <c r="F6" s="9" t="s">
        <v>5</v>
      </c>
      <c r="G6" s="9" t="s">
        <v>6</v>
      </c>
      <c r="H6" s="10" t="s">
        <v>7</v>
      </c>
      <c r="I6" s="9" t="s">
        <v>8</v>
      </c>
      <c r="J6" s="11" t="s">
        <v>9</v>
      </c>
      <c r="K6" s="32"/>
    </row>
    <row r="7" spans="1:11" ht="15.75" x14ac:dyDescent="0.5">
      <c r="B7" s="13" t="s">
        <v>10</v>
      </c>
      <c r="C7" s="13" t="s">
        <v>11</v>
      </c>
      <c r="D7" s="13" t="s">
        <v>12</v>
      </c>
      <c r="E7" s="13" t="s">
        <v>13</v>
      </c>
      <c r="F7" s="14">
        <v>150000</v>
      </c>
      <c r="G7" s="13" t="s">
        <v>14</v>
      </c>
      <c r="H7" s="15">
        <v>0.9</v>
      </c>
      <c r="I7" s="16">
        <f ca="1">DATE(YEAR(TODAY())+1,1,1)</f>
        <v>45658</v>
      </c>
      <c r="J7" s="17">
        <f>'Level 0'!$F7*'Level 0'!$H7</f>
        <v>135000</v>
      </c>
    </row>
    <row r="8" spans="1:11" ht="15.75" x14ac:dyDescent="0.5">
      <c r="B8" s="18" t="s">
        <v>15</v>
      </c>
      <c r="C8" s="18" t="s">
        <v>16</v>
      </c>
      <c r="D8" s="18" t="s">
        <v>17</v>
      </c>
      <c r="E8" s="18" t="s">
        <v>18</v>
      </c>
      <c r="F8" s="19">
        <v>145200</v>
      </c>
      <c r="G8" s="18" t="s">
        <v>19</v>
      </c>
      <c r="H8" s="20">
        <v>0.1</v>
      </c>
      <c r="I8" s="21">
        <f ca="1">DATE(YEAR(TODAY())+1,2,1)</f>
        <v>45689</v>
      </c>
      <c r="J8" s="22">
        <f>'Level 0'!$F8*'Level 0'!$H8</f>
        <v>14520</v>
      </c>
    </row>
    <row r="9" spans="1:11" ht="15.75" x14ac:dyDescent="0.5">
      <c r="B9" s="18" t="s">
        <v>20</v>
      </c>
      <c r="C9" s="18" t="s">
        <v>21</v>
      </c>
      <c r="D9" s="18" t="s">
        <v>22</v>
      </c>
      <c r="E9" s="18" t="s">
        <v>23</v>
      </c>
      <c r="F9" s="19">
        <v>162500</v>
      </c>
      <c r="G9" s="18" t="s">
        <v>24</v>
      </c>
      <c r="H9" s="20">
        <v>0.2</v>
      </c>
      <c r="I9" s="21">
        <f ca="1">DATE(YEAR(TODAY())+1,3,1)</f>
        <v>45717</v>
      </c>
      <c r="J9" s="22">
        <f>'Level 0'!$F9*'Level 0'!$H9</f>
        <v>32500</v>
      </c>
    </row>
    <row r="10" spans="1:11" ht="15.75" x14ac:dyDescent="0.5">
      <c r="B10" s="18" t="s">
        <v>25</v>
      </c>
      <c r="C10" s="18" t="s">
        <v>26</v>
      </c>
      <c r="D10" s="18" t="s">
        <v>27</v>
      </c>
      <c r="E10" s="18" t="s">
        <v>28</v>
      </c>
      <c r="F10" s="19">
        <v>147500</v>
      </c>
      <c r="G10" s="18" t="s">
        <v>29</v>
      </c>
      <c r="H10" s="20">
        <v>0.3</v>
      </c>
      <c r="I10" s="21">
        <f ca="1">DATE(YEAR(TODAY())+1,4,1)</f>
        <v>45748</v>
      </c>
      <c r="J10" s="22">
        <f>'Level 0'!$F10*'Level 0'!$H10</f>
        <v>44250</v>
      </c>
    </row>
    <row r="11" spans="1:11" ht="15.75" x14ac:dyDescent="0.5">
      <c r="B11" s="18" t="s">
        <v>30</v>
      </c>
      <c r="C11" s="18" t="s">
        <v>31</v>
      </c>
      <c r="D11" s="18" t="s">
        <v>32</v>
      </c>
      <c r="E11" s="18" t="s">
        <v>33</v>
      </c>
      <c r="F11" s="19">
        <v>148000</v>
      </c>
      <c r="G11" s="18" t="s">
        <v>34</v>
      </c>
      <c r="H11" s="20">
        <v>0.4</v>
      </c>
      <c r="I11" s="21">
        <f ca="1">DATE(YEAR(TODAY())+1,5,1)</f>
        <v>45778</v>
      </c>
      <c r="J11" s="22">
        <f>'Level 0'!$F11*'Level 0'!$H11</f>
        <v>59200</v>
      </c>
    </row>
    <row r="12" spans="1:11" ht="15.75" x14ac:dyDescent="0.5">
      <c r="B12" s="18" t="s">
        <v>35</v>
      </c>
      <c r="C12" s="18" t="s">
        <v>11</v>
      </c>
      <c r="D12" s="18" t="s">
        <v>36</v>
      </c>
      <c r="E12" s="18" t="s">
        <v>37</v>
      </c>
      <c r="F12" s="19">
        <v>175000</v>
      </c>
      <c r="G12" s="18" t="s">
        <v>38</v>
      </c>
      <c r="H12" s="20">
        <v>0.5</v>
      </c>
      <c r="I12" s="21">
        <f ca="1">DATE(YEAR(TODAY())+1,6,1)</f>
        <v>45809</v>
      </c>
      <c r="J12" s="22">
        <f>'Level 0'!$F12*'Level 0'!$H12</f>
        <v>87500</v>
      </c>
    </row>
    <row r="13" spans="1:11" ht="15.75" x14ac:dyDescent="0.5">
      <c r="B13" s="18" t="s">
        <v>39</v>
      </c>
      <c r="C13" s="18" t="s">
        <v>21</v>
      </c>
      <c r="D13" s="18" t="s">
        <v>40</v>
      </c>
      <c r="E13" s="18" t="s">
        <v>28</v>
      </c>
      <c r="F13" s="19">
        <v>149000</v>
      </c>
      <c r="G13" s="18" t="s">
        <v>41</v>
      </c>
      <c r="H13" s="20">
        <v>0.6</v>
      </c>
      <c r="I13" s="21">
        <f ca="1">DATE(YEAR(TODAY())+1,7,1)</f>
        <v>45839</v>
      </c>
      <c r="J13" s="22">
        <f>'Level 0'!$F13*'Level 0'!$H13</f>
        <v>89400</v>
      </c>
    </row>
    <row r="14" spans="1:11" ht="15.75" x14ac:dyDescent="0.5">
      <c r="B14" s="18" t="s">
        <v>42</v>
      </c>
      <c r="C14" s="18" t="s">
        <v>31</v>
      </c>
      <c r="D14" s="18" t="s">
        <v>43</v>
      </c>
      <c r="E14" s="18" t="s">
        <v>23</v>
      </c>
      <c r="F14" s="19">
        <v>142000</v>
      </c>
      <c r="G14" s="18" t="s">
        <v>44</v>
      </c>
      <c r="H14" s="20">
        <v>0.7</v>
      </c>
      <c r="I14" s="21">
        <f ca="1">DATE(YEAR(TODAY())+1,8,1)</f>
        <v>45870</v>
      </c>
      <c r="J14" s="22">
        <f>'Level 0'!$F14*'Level 0'!$H14</f>
        <v>99400</v>
      </c>
    </row>
    <row r="15" spans="1:11" ht="15.75" x14ac:dyDescent="0.5">
      <c r="B15" s="18" t="s">
        <v>45</v>
      </c>
      <c r="C15" s="18" t="s">
        <v>21</v>
      </c>
      <c r="D15" s="18" t="s">
        <v>46</v>
      </c>
      <c r="E15" s="18" t="s">
        <v>28</v>
      </c>
      <c r="F15" s="19">
        <v>172500</v>
      </c>
      <c r="G15" s="18" t="s">
        <v>47</v>
      </c>
      <c r="H15" s="20">
        <v>0.9</v>
      </c>
      <c r="I15" s="21">
        <f ca="1">DATE(YEAR(TODAY())+1,10,1)</f>
        <v>45931</v>
      </c>
      <c r="J15" s="22">
        <f>'Level 0'!$F15*'Level 0'!$H15</f>
        <v>155250</v>
      </c>
    </row>
    <row r="16" spans="1:11" ht="15.75" x14ac:dyDescent="0.5">
      <c r="B16" s="18" t="s">
        <v>48</v>
      </c>
      <c r="C16" s="18" t="s">
        <v>26</v>
      </c>
      <c r="D16" s="18" t="s">
        <v>49</v>
      </c>
      <c r="E16" s="18" t="s">
        <v>18</v>
      </c>
      <c r="F16" s="19">
        <v>163500</v>
      </c>
      <c r="G16" s="18" t="s">
        <v>29</v>
      </c>
      <c r="H16" s="20">
        <v>0.2</v>
      </c>
      <c r="I16" s="21">
        <f ca="1">DATE(YEAR(TODAY())+1,11,1)</f>
        <v>45962</v>
      </c>
      <c r="J16" s="22">
        <f>'Level 0'!$F16*'Level 0'!$H16</f>
        <v>32700</v>
      </c>
    </row>
    <row r="17" spans="2:10" ht="15.75" x14ac:dyDescent="0.5">
      <c r="B17" s="18" t="s">
        <v>50</v>
      </c>
      <c r="C17" s="18" t="s">
        <v>31</v>
      </c>
      <c r="D17" s="18" t="s">
        <v>51</v>
      </c>
      <c r="E17" s="18" t="s">
        <v>18</v>
      </c>
      <c r="F17" s="19">
        <v>155500</v>
      </c>
      <c r="G17" s="18" t="s">
        <v>14</v>
      </c>
      <c r="H17" s="20">
        <v>1</v>
      </c>
      <c r="I17" s="21">
        <f ca="1">DATE(YEAR(TODAY())+1,12,1)</f>
        <v>45992</v>
      </c>
      <c r="J17" s="22">
        <f>'Level 0'!$F17*'Level 0'!$H17</f>
        <v>155500</v>
      </c>
    </row>
    <row r="18" spans="2:10" ht="15.75" x14ac:dyDescent="0.5">
      <c r="B18" s="18" t="s">
        <v>52</v>
      </c>
      <c r="C18" s="18" t="s">
        <v>26</v>
      </c>
      <c r="D18" s="18" t="s">
        <v>53</v>
      </c>
      <c r="E18" s="18" t="s">
        <v>13</v>
      </c>
      <c r="F18" s="19">
        <v>166000</v>
      </c>
      <c r="G18" s="18" t="s">
        <v>19</v>
      </c>
      <c r="H18" s="20">
        <v>0.1</v>
      </c>
      <c r="I18" s="21">
        <f ca="1">DATE(YEAR(TODAY())+1,1,1)</f>
        <v>45658</v>
      </c>
      <c r="J18" s="22">
        <f>'Level 0'!$F18*'Level 0'!$H18</f>
        <v>16600</v>
      </c>
    </row>
    <row r="19" spans="2:10" ht="15.75" x14ac:dyDescent="0.5">
      <c r="B19" s="18" t="s">
        <v>54</v>
      </c>
      <c r="C19" s="18" t="s">
        <v>21</v>
      </c>
      <c r="D19" s="18" t="s">
        <v>55</v>
      </c>
      <c r="E19" s="18" t="s">
        <v>23</v>
      </c>
      <c r="F19" s="19">
        <v>180000</v>
      </c>
      <c r="G19" s="18" t="s">
        <v>34</v>
      </c>
      <c r="H19" s="20">
        <v>0.3</v>
      </c>
      <c r="I19" s="21">
        <f ca="1">DATE(YEAR(TODAY())+1,3,1)</f>
        <v>45717</v>
      </c>
      <c r="J19" s="22">
        <f>'Level 0'!$F19*'Level 0'!$H19</f>
        <v>54000</v>
      </c>
    </row>
    <row r="20" spans="2:10" ht="15.75" x14ac:dyDescent="0.5">
      <c r="B20" s="18" t="s">
        <v>56</v>
      </c>
      <c r="C20" s="18" t="s">
        <v>16</v>
      </c>
      <c r="D20" s="18" t="s">
        <v>57</v>
      </c>
      <c r="E20" s="18" t="s">
        <v>58</v>
      </c>
      <c r="F20" s="19">
        <v>140000</v>
      </c>
      <c r="G20" s="18" t="s">
        <v>41</v>
      </c>
      <c r="H20" s="20">
        <v>0.6</v>
      </c>
      <c r="I20" s="21">
        <f ca="1">DATE(YEAR(TODAY())+1,5,1)</f>
        <v>45778</v>
      </c>
      <c r="J20" s="22">
        <f>'Level 0'!$F20*'Level 0'!$H20</f>
        <v>84000</v>
      </c>
    </row>
    <row r="21" spans="2:10" ht="15.75" x14ac:dyDescent="0.5">
      <c r="B21" s="18" t="s">
        <v>59</v>
      </c>
      <c r="C21" s="18" t="s">
        <v>11</v>
      </c>
      <c r="D21" s="18" t="s">
        <v>60</v>
      </c>
      <c r="E21" s="18" t="s">
        <v>37</v>
      </c>
      <c r="F21" s="19">
        <v>155000</v>
      </c>
      <c r="G21" s="18" t="s">
        <v>29</v>
      </c>
      <c r="H21" s="20">
        <v>0.3</v>
      </c>
      <c r="I21" s="21">
        <f ca="1">DATE(YEAR(TODAY())+1,6,1)</f>
        <v>45809</v>
      </c>
      <c r="J21" s="22">
        <f>'Level 0'!$F21*'Level 0'!$H21</f>
        <v>46500</v>
      </c>
    </row>
    <row r="22" spans="2:10" ht="15.75" x14ac:dyDescent="0.5">
      <c r="B22" s="18" t="s">
        <v>61</v>
      </c>
      <c r="C22" s="18" t="s">
        <v>16</v>
      </c>
      <c r="D22" s="18" t="s">
        <v>62</v>
      </c>
      <c r="E22" s="18" t="s">
        <v>33</v>
      </c>
      <c r="F22" s="19">
        <v>173200</v>
      </c>
      <c r="G22" s="18" t="s">
        <v>38</v>
      </c>
      <c r="H22" s="20">
        <v>0.5</v>
      </c>
      <c r="I22" s="21">
        <f ca="1">DATE(YEAR(TODAY())+1,10,1)</f>
        <v>45931</v>
      </c>
      <c r="J22" s="22">
        <f>'Level 0'!$F22*'Level 0'!$H22</f>
        <v>86600</v>
      </c>
    </row>
    <row r="23" spans="2:10" ht="15.75" x14ac:dyDescent="0.5">
      <c r="B23" s="18" t="s">
        <v>63</v>
      </c>
      <c r="C23" s="18" t="s">
        <v>31</v>
      </c>
      <c r="D23" s="18" t="s">
        <v>64</v>
      </c>
      <c r="E23" s="18" t="s">
        <v>58</v>
      </c>
      <c r="F23" s="19">
        <v>146500</v>
      </c>
      <c r="G23" s="18" t="s">
        <v>41</v>
      </c>
      <c r="H23" s="20">
        <v>0.6</v>
      </c>
      <c r="I23" s="21">
        <f ca="1">DATE(YEAR(TODAY())+1,12,1)</f>
        <v>45992</v>
      </c>
      <c r="J23" s="22">
        <f>'Level 0'!$F23*'Level 0'!$H23</f>
        <v>87900</v>
      </c>
    </row>
    <row r="24" spans="2:10" ht="15.75" x14ac:dyDescent="0.5">
      <c r="B24" s="18" t="s">
        <v>65</v>
      </c>
      <c r="C24" s="18" t="s">
        <v>26</v>
      </c>
      <c r="D24" s="18" t="s">
        <v>12</v>
      </c>
      <c r="E24" s="18" t="s">
        <v>37</v>
      </c>
      <c r="F24" s="19">
        <v>156750</v>
      </c>
      <c r="G24" s="18" t="s">
        <v>44</v>
      </c>
      <c r="H24" s="20">
        <v>0.7</v>
      </c>
      <c r="I24" s="21">
        <f ca="1">DATE(YEAR(TODAY())+1,11,1)</f>
        <v>45962</v>
      </c>
      <c r="J24" s="22">
        <f>'Level 0'!$F24*'Level 0'!$H24</f>
        <v>109725</v>
      </c>
    </row>
    <row r="25" spans="2:10" ht="15.75" x14ac:dyDescent="0.5">
      <c r="B25" s="18" t="s">
        <v>66</v>
      </c>
      <c r="C25" s="18" t="s">
        <v>21</v>
      </c>
      <c r="D25" s="18" t="s">
        <v>27</v>
      </c>
      <c r="E25" s="18" t="s">
        <v>67</v>
      </c>
      <c r="F25" s="19">
        <v>162000</v>
      </c>
      <c r="G25" s="18" t="s">
        <v>47</v>
      </c>
      <c r="H25" s="20">
        <v>0.9</v>
      </c>
      <c r="I25" s="21">
        <f ca="1">DATE(YEAR(TODAY())+1,2,1)</f>
        <v>45689</v>
      </c>
      <c r="J25" s="22">
        <f>'Level 0'!$F25*'Level 0'!$H25</f>
        <v>145800</v>
      </c>
    </row>
    <row r="26" spans="2:10" ht="15.75" x14ac:dyDescent="0.5">
      <c r="B26" s="18" t="s">
        <v>68</v>
      </c>
      <c r="C26" s="18" t="s">
        <v>26</v>
      </c>
      <c r="D26" s="18" t="s">
        <v>40</v>
      </c>
      <c r="E26" s="18" t="s">
        <v>28</v>
      </c>
      <c r="F26" s="19">
        <v>157000</v>
      </c>
      <c r="G26" s="18" t="s">
        <v>14</v>
      </c>
      <c r="H26" s="20">
        <v>1</v>
      </c>
      <c r="I26" s="21">
        <f ca="1">DATE(YEAR(TODAY())+1,3,1)</f>
        <v>45717</v>
      </c>
      <c r="J26" s="22">
        <f>'Level 0'!$F26*'Level 0'!$H26</f>
        <v>157000</v>
      </c>
    </row>
    <row r="27" spans="2:10" ht="15.75" x14ac:dyDescent="0.5">
      <c r="B27" s="18" t="s">
        <v>69</v>
      </c>
      <c r="C27" s="18" t="s">
        <v>16</v>
      </c>
      <c r="D27" s="18" t="s">
        <v>46</v>
      </c>
      <c r="E27" s="18" t="s">
        <v>58</v>
      </c>
      <c r="F27" s="19">
        <v>173000</v>
      </c>
      <c r="G27" s="18" t="s">
        <v>34</v>
      </c>
      <c r="H27" s="20">
        <v>0.4</v>
      </c>
      <c r="I27" s="21">
        <f ca="1">DATE(YEAR(TODAY())+1,4,1)</f>
        <v>45748</v>
      </c>
      <c r="J27" s="22">
        <f>'Level 0'!$F27*'Level 0'!$H27</f>
        <v>69200</v>
      </c>
    </row>
    <row r="28" spans="2:10" ht="15.75" x14ac:dyDescent="0.5">
      <c r="B28" s="18" t="s">
        <v>70</v>
      </c>
      <c r="C28" s="18" t="s">
        <v>31</v>
      </c>
      <c r="D28" s="18" t="s">
        <v>71</v>
      </c>
      <c r="E28" s="18" t="s">
        <v>28</v>
      </c>
      <c r="F28" s="19">
        <v>171000</v>
      </c>
      <c r="G28" s="18" t="s">
        <v>38</v>
      </c>
      <c r="H28" s="20">
        <v>0.5</v>
      </c>
      <c r="I28" s="21">
        <f ca="1">DATE(YEAR(TODAY())+1,8,1)</f>
        <v>45870</v>
      </c>
      <c r="J28" s="22">
        <f>'Level 0'!$F28*'Level 0'!$H28</f>
        <v>85500</v>
      </c>
    </row>
    <row r="29" spans="2:10" ht="15.75" x14ac:dyDescent="0.5">
      <c r="B29" s="23" t="s">
        <v>72</v>
      </c>
      <c r="C29" s="23" t="s">
        <v>11</v>
      </c>
      <c r="D29" s="23" t="s">
        <v>62</v>
      </c>
      <c r="E29" s="23" t="s">
        <v>18</v>
      </c>
      <c r="F29" s="24">
        <v>168000</v>
      </c>
      <c r="G29" s="23" t="s">
        <v>41</v>
      </c>
      <c r="H29" s="25">
        <v>0.6</v>
      </c>
      <c r="I29" s="26">
        <f ca="1">DATE(YEAR(TODAY())+1,9,1)</f>
        <v>45901</v>
      </c>
      <c r="J29" s="27">
        <f>'Level 0'!$F29*'Level 0'!$H29</f>
        <v>100800</v>
      </c>
    </row>
  </sheetData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EFF4BE-6CDC-4472-B70A-2FE2319FEF98}">
  <sheetPr codeName="Sheet2"/>
  <dimension ref="A1:K34"/>
  <sheetViews>
    <sheetView zoomScale="120" zoomScaleNormal="120" workbookViewId="0">
      <selection activeCell="B4" sqref="B4"/>
    </sheetView>
  </sheetViews>
  <sheetFormatPr defaultColWidth="9.19921875" defaultRowHeight="21" customHeight="1" x14ac:dyDescent="0.5"/>
  <cols>
    <col min="1" max="1" width="3.9296875" style="12" customWidth="1"/>
    <col min="2" max="2" width="35.9296875" style="28" customWidth="1"/>
    <col min="3" max="3" width="22" style="28" customWidth="1"/>
    <col min="4" max="4" width="26" style="28" customWidth="1"/>
    <col min="5" max="5" width="19.9296875" style="28" customWidth="1"/>
    <col min="6" max="6" width="18" style="29" customWidth="1"/>
    <col min="7" max="7" width="25.19921875" style="28" customWidth="1"/>
    <col min="8" max="8" width="18" style="30" customWidth="1"/>
    <col min="9" max="9" width="22" style="31" customWidth="1"/>
    <col min="10" max="10" width="18" style="29" customWidth="1"/>
    <col min="11" max="11" width="3.9296875" style="12" customWidth="1"/>
    <col min="12" max="16384" width="9.19921875" style="1"/>
  </cols>
  <sheetData>
    <row r="1" spans="1:11" ht="15.75" x14ac:dyDescent="0.5">
      <c r="B1" s="12"/>
      <c r="C1" s="33"/>
      <c r="D1" s="33"/>
      <c r="E1" s="33"/>
      <c r="F1" s="12"/>
      <c r="G1" s="12"/>
      <c r="H1" s="12"/>
      <c r="I1" s="12"/>
      <c r="J1" s="34"/>
      <c r="K1" s="12" t="s">
        <v>0</v>
      </c>
    </row>
    <row r="2" spans="1:11" s="2" customFormat="1" ht="23.25" x14ac:dyDescent="0.7">
      <c r="A2" s="35"/>
      <c r="B2" s="36" t="s">
        <v>73</v>
      </c>
      <c r="C2" s="37"/>
      <c r="D2" s="37"/>
      <c r="E2" s="37"/>
      <c r="F2" s="35"/>
      <c r="G2" s="38"/>
      <c r="H2" s="38"/>
      <c r="I2" s="38"/>
      <c r="J2" s="39"/>
      <c r="K2" s="35"/>
    </row>
    <row r="3" spans="1:11" s="3" customFormat="1" ht="72.400000000000006" x14ac:dyDescent="2.15">
      <c r="A3" s="40"/>
      <c r="B3" s="44" t="s">
        <v>74</v>
      </c>
      <c r="C3" s="41"/>
      <c r="D3" s="41"/>
      <c r="E3" s="41"/>
      <c r="F3" s="40"/>
      <c r="G3" s="42"/>
      <c r="H3" s="42"/>
      <c r="I3" s="42"/>
      <c r="J3" s="43"/>
      <c r="K3" s="40"/>
    </row>
    <row r="4" spans="1:11" s="2" customFormat="1" ht="15.75" x14ac:dyDescent="0.5">
      <c r="A4" s="35"/>
      <c r="B4" s="52" t="s">
        <v>81</v>
      </c>
      <c r="C4" s="37"/>
      <c r="D4" s="37"/>
      <c r="E4" s="37"/>
      <c r="F4" s="35"/>
      <c r="G4" s="38"/>
      <c r="H4" s="38"/>
      <c r="I4" s="38"/>
      <c r="J4" s="39"/>
      <c r="K4" s="35"/>
    </row>
    <row r="5" spans="1:11" ht="15.75" x14ac:dyDescent="0.5">
      <c r="B5" s="51"/>
      <c r="C5" s="4"/>
      <c r="D5" s="4"/>
      <c r="E5" s="4"/>
      <c r="F5" s="5"/>
      <c r="G5" s="5"/>
      <c r="H5" s="5"/>
      <c r="I5" s="5"/>
      <c r="J5" s="6"/>
    </row>
    <row r="6" spans="1:11" s="7" customFormat="1" ht="40.5" x14ac:dyDescent="0.55000000000000004">
      <c r="A6" s="32"/>
      <c r="B6" s="8" t="s">
        <v>1</v>
      </c>
      <c r="C6" s="9" t="s">
        <v>2</v>
      </c>
      <c r="D6" s="9" t="s">
        <v>3</v>
      </c>
      <c r="E6" s="9" t="s">
        <v>4</v>
      </c>
      <c r="F6" s="9" t="s">
        <v>5</v>
      </c>
      <c r="G6" s="9" t="s">
        <v>6</v>
      </c>
      <c r="H6" s="10" t="s">
        <v>7</v>
      </c>
      <c r="I6" s="9" t="s">
        <v>8</v>
      </c>
      <c r="J6" s="11" t="s">
        <v>9</v>
      </c>
      <c r="K6" s="32"/>
    </row>
    <row r="7" spans="1:11" ht="15.75" x14ac:dyDescent="0.5">
      <c r="B7" s="13" t="s">
        <v>10</v>
      </c>
      <c r="C7" s="13" t="s">
        <v>11</v>
      </c>
      <c r="D7" s="13" t="s">
        <v>12</v>
      </c>
      <c r="E7" s="13" t="s">
        <v>13</v>
      </c>
      <c r="F7" s="14">
        <v>150000</v>
      </c>
      <c r="G7" s="13" t="s">
        <v>14</v>
      </c>
      <c r="H7" s="15">
        <v>0.9</v>
      </c>
      <c r="I7" s="16">
        <f ca="1">DATE(YEAR(TODAY())+1,1,1)</f>
        <v>45658</v>
      </c>
      <c r="J7" s="17">
        <f>'Level 1'!$F7*'Level 1'!$H7</f>
        <v>135000</v>
      </c>
    </row>
    <row r="8" spans="1:11" ht="15.75" x14ac:dyDescent="0.5">
      <c r="B8" s="18" t="s">
        <v>15</v>
      </c>
      <c r="C8" s="18" t="s">
        <v>16</v>
      </c>
      <c r="D8" s="18" t="s">
        <v>17</v>
      </c>
      <c r="E8" s="18" t="s">
        <v>18</v>
      </c>
      <c r="F8" s="19">
        <v>145200</v>
      </c>
      <c r="G8" s="18" t="s">
        <v>19</v>
      </c>
      <c r="H8" s="20">
        <v>0.1</v>
      </c>
      <c r="I8" s="21">
        <f ca="1">DATE(YEAR(TODAY())+1,2,1)</f>
        <v>45689</v>
      </c>
      <c r="J8" s="22">
        <f>'Level 1'!$F8*'Level 1'!$H8</f>
        <v>14520</v>
      </c>
    </row>
    <row r="9" spans="1:11" ht="15.75" x14ac:dyDescent="0.5">
      <c r="B9" s="18" t="s">
        <v>20</v>
      </c>
      <c r="C9" s="18" t="s">
        <v>21</v>
      </c>
      <c r="D9" s="18" t="s">
        <v>22</v>
      </c>
      <c r="E9" s="18" t="s">
        <v>23</v>
      </c>
      <c r="F9" s="19">
        <v>162500</v>
      </c>
      <c r="G9" s="18" t="s">
        <v>24</v>
      </c>
      <c r="H9" s="20">
        <v>0.2</v>
      </c>
      <c r="I9" s="21">
        <f ca="1">DATE(YEAR(TODAY())+1,3,1)</f>
        <v>45717</v>
      </c>
      <c r="J9" s="22">
        <f>'Level 1'!$F9*'Level 1'!$H9</f>
        <v>32500</v>
      </c>
    </row>
    <row r="10" spans="1:11" ht="15.75" x14ac:dyDescent="0.5">
      <c r="B10" s="18" t="s">
        <v>25</v>
      </c>
      <c r="C10" s="18" t="s">
        <v>26</v>
      </c>
      <c r="D10" s="18" t="s">
        <v>27</v>
      </c>
      <c r="E10" s="18" t="s">
        <v>28</v>
      </c>
      <c r="F10" s="19">
        <v>147500</v>
      </c>
      <c r="G10" s="18" t="s">
        <v>29</v>
      </c>
      <c r="H10" s="20">
        <v>0.3</v>
      </c>
      <c r="I10" s="21">
        <f ca="1">DATE(YEAR(TODAY())+1,4,1)</f>
        <v>45748</v>
      </c>
      <c r="J10" s="22">
        <f>'Level 1'!$F10*'Level 1'!$H10</f>
        <v>44250</v>
      </c>
    </row>
    <row r="11" spans="1:11" ht="15.75" x14ac:dyDescent="0.5">
      <c r="B11" s="18" t="s">
        <v>30</v>
      </c>
      <c r="C11" s="18" t="s">
        <v>31</v>
      </c>
      <c r="D11" s="18" t="s">
        <v>32</v>
      </c>
      <c r="E11" s="18" t="s">
        <v>33</v>
      </c>
      <c r="F11" s="19">
        <v>148000</v>
      </c>
      <c r="G11" s="18" t="s">
        <v>34</v>
      </c>
      <c r="H11" s="20">
        <v>0.4</v>
      </c>
      <c r="I11" s="21">
        <f ca="1">DATE(YEAR(TODAY())+1,5,1)</f>
        <v>45778</v>
      </c>
      <c r="J11" s="22">
        <f>'Level 1'!$F11*'Level 1'!$H11</f>
        <v>59200</v>
      </c>
    </row>
    <row r="12" spans="1:11" ht="15.75" x14ac:dyDescent="0.5">
      <c r="B12" s="18" t="s">
        <v>35</v>
      </c>
      <c r="C12" s="18" t="s">
        <v>11</v>
      </c>
      <c r="D12" s="18" t="s">
        <v>36</v>
      </c>
      <c r="E12" s="18" t="s">
        <v>37</v>
      </c>
      <c r="F12" s="19">
        <v>175000</v>
      </c>
      <c r="G12" s="18" t="s">
        <v>38</v>
      </c>
      <c r="H12" s="20">
        <v>0.5</v>
      </c>
      <c r="I12" s="21">
        <f ca="1">DATE(YEAR(TODAY())+1,6,1)</f>
        <v>45809</v>
      </c>
      <c r="J12" s="22">
        <f>'Level 1'!$F12*'Level 1'!$H12</f>
        <v>87500</v>
      </c>
    </row>
    <row r="13" spans="1:11" ht="15.75" x14ac:dyDescent="0.5">
      <c r="B13" s="18" t="s">
        <v>39</v>
      </c>
      <c r="C13" s="18" t="s">
        <v>21</v>
      </c>
      <c r="D13" s="18" t="s">
        <v>40</v>
      </c>
      <c r="E13" s="18" t="s">
        <v>28</v>
      </c>
      <c r="F13" s="19">
        <v>149000</v>
      </c>
      <c r="G13" s="18" t="s">
        <v>41</v>
      </c>
      <c r="H13" s="20">
        <v>0.6</v>
      </c>
      <c r="I13" s="21">
        <f ca="1">DATE(YEAR(TODAY())+1,7,1)</f>
        <v>45839</v>
      </c>
      <c r="J13" s="22">
        <f>'Level 1'!$F13*'Level 1'!$H13</f>
        <v>89400</v>
      </c>
    </row>
    <row r="14" spans="1:11" ht="15.75" x14ac:dyDescent="0.5">
      <c r="B14" s="18" t="s">
        <v>42</v>
      </c>
      <c r="C14" s="18" t="s">
        <v>31</v>
      </c>
      <c r="D14" s="18" t="s">
        <v>43</v>
      </c>
      <c r="E14" s="18" t="s">
        <v>23</v>
      </c>
      <c r="F14" s="19">
        <v>142000</v>
      </c>
      <c r="G14" s="18" t="s">
        <v>44</v>
      </c>
      <c r="H14" s="20">
        <v>0.7</v>
      </c>
      <c r="I14" s="21">
        <f ca="1">DATE(YEAR(TODAY())+1,8,1)</f>
        <v>45870</v>
      </c>
      <c r="J14" s="22">
        <f>'Level 1'!$F14*'Level 1'!$H14</f>
        <v>99400</v>
      </c>
    </row>
    <row r="15" spans="1:11" ht="15.75" x14ac:dyDescent="0.5">
      <c r="B15" s="18" t="s">
        <v>45</v>
      </c>
      <c r="C15" s="18" t="s">
        <v>21</v>
      </c>
      <c r="D15" s="18" t="s">
        <v>46</v>
      </c>
      <c r="E15" s="18" t="s">
        <v>28</v>
      </c>
      <c r="F15" s="19">
        <v>172500</v>
      </c>
      <c r="G15" s="18" t="s">
        <v>47</v>
      </c>
      <c r="H15" s="20">
        <v>0.9</v>
      </c>
      <c r="I15" s="21">
        <f ca="1">DATE(YEAR(TODAY())+1,10,1)</f>
        <v>45931</v>
      </c>
      <c r="J15" s="22">
        <f>'Level 1'!$F15*'Level 1'!$H15</f>
        <v>155250</v>
      </c>
    </row>
    <row r="16" spans="1:11" ht="15.75" x14ac:dyDescent="0.5">
      <c r="B16" s="18" t="s">
        <v>48</v>
      </c>
      <c r="C16" s="18" t="s">
        <v>26</v>
      </c>
      <c r="D16" s="18" t="s">
        <v>49</v>
      </c>
      <c r="E16" s="18" t="s">
        <v>18</v>
      </c>
      <c r="F16" s="19">
        <v>163500</v>
      </c>
      <c r="G16" s="18" t="s">
        <v>29</v>
      </c>
      <c r="H16" s="20">
        <v>0.2</v>
      </c>
      <c r="I16" s="21">
        <f ca="1">DATE(YEAR(TODAY())+1,11,1)</f>
        <v>45962</v>
      </c>
      <c r="J16" s="22">
        <f>'Level 1'!$F16*'Level 1'!$H16</f>
        <v>32700</v>
      </c>
    </row>
    <row r="17" spans="2:10" ht="15.75" x14ac:dyDescent="0.5">
      <c r="B17" s="18" t="s">
        <v>50</v>
      </c>
      <c r="C17" s="18" t="s">
        <v>31</v>
      </c>
      <c r="D17" s="18" t="s">
        <v>51</v>
      </c>
      <c r="E17" s="18" t="s">
        <v>18</v>
      </c>
      <c r="F17" s="19">
        <v>155500</v>
      </c>
      <c r="G17" s="18" t="s">
        <v>14</v>
      </c>
      <c r="H17" s="20">
        <v>1</v>
      </c>
      <c r="I17" s="21">
        <f ca="1">DATE(YEAR(TODAY())+1,12,1)</f>
        <v>45992</v>
      </c>
      <c r="J17" s="22">
        <f>'Level 1'!$F17*'Level 1'!$H17</f>
        <v>155500</v>
      </c>
    </row>
    <row r="18" spans="2:10" ht="15.75" x14ac:dyDescent="0.5">
      <c r="B18" s="18" t="s">
        <v>52</v>
      </c>
      <c r="C18" s="18" t="s">
        <v>26</v>
      </c>
      <c r="D18" s="18" t="s">
        <v>53</v>
      </c>
      <c r="E18" s="18" t="s">
        <v>13</v>
      </c>
      <c r="F18" s="19">
        <v>166000</v>
      </c>
      <c r="G18" s="18" t="s">
        <v>19</v>
      </c>
      <c r="H18" s="20">
        <v>0.1</v>
      </c>
      <c r="I18" s="21">
        <f ca="1">DATE(YEAR(TODAY())+1,1,1)</f>
        <v>45658</v>
      </c>
      <c r="J18" s="22">
        <f>'Level 1'!$F18*'Level 1'!$H18</f>
        <v>16600</v>
      </c>
    </row>
    <row r="19" spans="2:10" ht="15.75" x14ac:dyDescent="0.5">
      <c r="B19" s="18" t="s">
        <v>54</v>
      </c>
      <c r="C19" s="18" t="s">
        <v>21</v>
      </c>
      <c r="D19" s="18" t="s">
        <v>55</v>
      </c>
      <c r="E19" s="18" t="s">
        <v>23</v>
      </c>
      <c r="F19" s="19">
        <v>180000</v>
      </c>
      <c r="G19" s="18" t="s">
        <v>34</v>
      </c>
      <c r="H19" s="20">
        <v>0.3</v>
      </c>
      <c r="I19" s="21">
        <f ca="1">DATE(YEAR(TODAY())+1,3,1)</f>
        <v>45717</v>
      </c>
      <c r="J19" s="22">
        <f>'Level 1'!$F19*'Level 1'!$H19</f>
        <v>54000</v>
      </c>
    </row>
    <row r="20" spans="2:10" ht="15.75" x14ac:dyDescent="0.5">
      <c r="B20" s="18" t="s">
        <v>56</v>
      </c>
      <c r="C20" s="18" t="s">
        <v>16</v>
      </c>
      <c r="D20" s="18" t="s">
        <v>57</v>
      </c>
      <c r="E20" s="18" t="s">
        <v>58</v>
      </c>
      <c r="F20" s="19">
        <v>140000</v>
      </c>
      <c r="G20" s="18" t="s">
        <v>41</v>
      </c>
      <c r="H20" s="20">
        <v>0.6</v>
      </c>
      <c r="I20" s="21">
        <f ca="1">DATE(YEAR(TODAY())+1,5,1)</f>
        <v>45778</v>
      </c>
      <c r="J20" s="22">
        <f>'Level 1'!$F20*'Level 1'!$H20</f>
        <v>84000</v>
      </c>
    </row>
    <row r="21" spans="2:10" ht="15.75" x14ac:dyDescent="0.5">
      <c r="B21" s="18" t="s">
        <v>59</v>
      </c>
      <c r="C21" s="18" t="s">
        <v>11</v>
      </c>
      <c r="D21" s="18" t="s">
        <v>60</v>
      </c>
      <c r="E21" s="18" t="s">
        <v>37</v>
      </c>
      <c r="F21" s="19">
        <v>155000</v>
      </c>
      <c r="G21" s="18" t="s">
        <v>29</v>
      </c>
      <c r="H21" s="20">
        <v>0.3</v>
      </c>
      <c r="I21" s="21">
        <f ca="1">DATE(YEAR(TODAY())+1,6,1)</f>
        <v>45809</v>
      </c>
      <c r="J21" s="22">
        <f>'Level 1'!$F21*'Level 1'!$H21</f>
        <v>46500</v>
      </c>
    </row>
    <row r="22" spans="2:10" ht="15.75" x14ac:dyDescent="0.5">
      <c r="B22" s="18" t="s">
        <v>61</v>
      </c>
      <c r="C22" s="18" t="s">
        <v>16</v>
      </c>
      <c r="D22" s="18" t="s">
        <v>62</v>
      </c>
      <c r="E22" s="18" t="s">
        <v>33</v>
      </c>
      <c r="F22" s="19">
        <v>173200</v>
      </c>
      <c r="G22" s="18" t="s">
        <v>38</v>
      </c>
      <c r="H22" s="20">
        <v>0.5</v>
      </c>
      <c r="I22" s="21">
        <f ca="1">DATE(YEAR(TODAY())+1,10,1)</f>
        <v>45931</v>
      </c>
      <c r="J22" s="22">
        <f>'Level 1'!$F22*'Level 1'!$H22</f>
        <v>86600</v>
      </c>
    </row>
    <row r="23" spans="2:10" ht="15.75" x14ac:dyDescent="0.5">
      <c r="B23" s="18" t="s">
        <v>63</v>
      </c>
      <c r="C23" s="18" t="s">
        <v>31</v>
      </c>
      <c r="D23" s="18" t="s">
        <v>64</v>
      </c>
      <c r="E23" s="18" t="s">
        <v>58</v>
      </c>
      <c r="F23" s="19">
        <v>146500</v>
      </c>
      <c r="G23" s="18" t="s">
        <v>41</v>
      </c>
      <c r="H23" s="20">
        <v>0.6</v>
      </c>
      <c r="I23" s="21">
        <f ca="1">DATE(YEAR(TODAY())+1,12,1)</f>
        <v>45992</v>
      </c>
      <c r="J23" s="22">
        <f>'Level 1'!$F23*'Level 1'!$H23</f>
        <v>87900</v>
      </c>
    </row>
    <row r="24" spans="2:10" ht="15.75" x14ac:dyDescent="0.5">
      <c r="B24" s="18" t="s">
        <v>65</v>
      </c>
      <c r="C24" s="18" t="s">
        <v>26</v>
      </c>
      <c r="D24" s="18" t="s">
        <v>12</v>
      </c>
      <c r="E24" s="18" t="s">
        <v>37</v>
      </c>
      <c r="F24" s="19">
        <v>156750</v>
      </c>
      <c r="G24" s="18" t="s">
        <v>44</v>
      </c>
      <c r="H24" s="20">
        <v>0.7</v>
      </c>
      <c r="I24" s="21">
        <f ca="1">DATE(YEAR(TODAY())+1,11,1)</f>
        <v>45962</v>
      </c>
      <c r="J24" s="22">
        <f>'Level 1'!$F24*'Level 1'!$H24</f>
        <v>109725</v>
      </c>
    </row>
    <row r="25" spans="2:10" ht="15.75" x14ac:dyDescent="0.5">
      <c r="B25" s="18" t="s">
        <v>66</v>
      </c>
      <c r="C25" s="18" t="s">
        <v>21</v>
      </c>
      <c r="D25" s="18" t="s">
        <v>27</v>
      </c>
      <c r="E25" s="18" t="s">
        <v>67</v>
      </c>
      <c r="F25" s="19">
        <v>162000</v>
      </c>
      <c r="G25" s="18" t="s">
        <v>47</v>
      </c>
      <c r="H25" s="20">
        <v>0.9</v>
      </c>
      <c r="I25" s="21">
        <f ca="1">DATE(YEAR(TODAY())+1,2,1)</f>
        <v>45689</v>
      </c>
      <c r="J25" s="22">
        <f>'Level 1'!$F25*'Level 1'!$H25</f>
        <v>145800</v>
      </c>
    </row>
    <row r="26" spans="2:10" ht="15.75" x14ac:dyDescent="0.5">
      <c r="B26" s="18" t="s">
        <v>68</v>
      </c>
      <c r="C26" s="18" t="s">
        <v>26</v>
      </c>
      <c r="D26" s="18" t="s">
        <v>40</v>
      </c>
      <c r="E26" s="18" t="s">
        <v>28</v>
      </c>
      <c r="F26" s="19">
        <v>157000</v>
      </c>
      <c r="G26" s="18" t="s">
        <v>14</v>
      </c>
      <c r="H26" s="20">
        <v>1</v>
      </c>
      <c r="I26" s="21">
        <f ca="1">DATE(YEAR(TODAY())+1,3,1)</f>
        <v>45717</v>
      </c>
      <c r="J26" s="22">
        <f>'Level 1'!$F26*'Level 1'!$H26</f>
        <v>157000</v>
      </c>
    </row>
    <row r="27" spans="2:10" ht="15.75" x14ac:dyDescent="0.5">
      <c r="B27" s="18" t="s">
        <v>69</v>
      </c>
      <c r="C27" s="18" t="s">
        <v>16</v>
      </c>
      <c r="D27" s="18" t="s">
        <v>46</v>
      </c>
      <c r="E27" s="18" t="s">
        <v>58</v>
      </c>
      <c r="F27" s="19">
        <v>173000</v>
      </c>
      <c r="G27" s="18" t="s">
        <v>34</v>
      </c>
      <c r="H27" s="20">
        <v>0.4</v>
      </c>
      <c r="I27" s="21">
        <f ca="1">DATE(YEAR(TODAY())+1,4,1)</f>
        <v>45748</v>
      </c>
      <c r="J27" s="22">
        <f>'Level 1'!$F27*'Level 1'!$H27</f>
        <v>69200</v>
      </c>
    </row>
    <row r="28" spans="2:10" ht="15.75" x14ac:dyDescent="0.5">
      <c r="B28" s="18" t="s">
        <v>70</v>
      </c>
      <c r="C28" s="18" t="s">
        <v>31</v>
      </c>
      <c r="D28" s="18" t="s">
        <v>71</v>
      </c>
      <c r="E28" s="18" t="s">
        <v>28</v>
      </c>
      <c r="F28" s="19">
        <v>171000</v>
      </c>
      <c r="G28" s="18" t="s">
        <v>38</v>
      </c>
      <c r="H28" s="20">
        <v>0.5</v>
      </c>
      <c r="I28" s="21">
        <f ca="1">DATE(YEAR(TODAY())+1,8,1)</f>
        <v>45870</v>
      </c>
      <c r="J28" s="22">
        <f>'Level 1'!$F28*'Level 1'!$H28</f>
        <v>85500</v>
      </c>
    </row>
    <row r="29" spans="2:10" ht="15.75" x14ac:dyDescent="0.5">
      <c r="B29" s="23" t="s">
        <v>72</v>
      </c>
      <c r="C29" s="23" t="s">
        <v>11</v>
      </c>
      <c r="D29" s="23" t="s">
        <v>62</v>
      </c>
      <c r="E29" s="23" t="s">
        <v>18</v>
      </c>
      <c r="F29" s="24">
        <v>168000</v>
      </c>
      <c r="G29" s="23" t="s">
        <v>41</v>
      </c>
      <c r="H29" s="25">
        <v>0.6</v>
      </c>
      <c r="I29" s="26">
        <f ca="1">DATE(YEAR(TODAY())+1,9,1)</f>
        <v>45901</v>
      </c>
      <c r="J29" s="27">
        <f>'Level 1'!$F29*'Level 1'!$H29</f>
        <v>100800</v>
      </c>
    </row>
    <row r="32" spans="2:10" ht="21" customHeight="1" x14ac:dyDescent="0.5">
      <c r="F32" s="28"/>
    </row>
    <row r="33" spans="6:6" ht="21" customHeight="1" x14ac:dyDescent="0.5">
      <c r="F33" s="28"/>
    </row>
    <row r="34" spans="6:6" ht="21" customHeight="1" x14ac:dyDescent="0.5">
      <c r="F34" s="28"/>
    </row>
  </sheetData>
  <conditionalFormatting sqref="B7:J29">
    <cfRule type="expression" dxfId="21" priority="1">
      <formula>ROW()=CELL("row")</formula>
    </cfRule>
  </conditionalFormatting>
  <pageMargins left="0.7" right="0.7" top="0.75" bottom="0.75" header="0.3" footer="0.3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541A2A-7D19-4479-A7CB-D73F0AF31620}">
  <sheetPr codeName="Sheet3"/>
  <dimension ref="A1:K29"/>
  <sheetViews>
    <sheetView zoomScale="120" zoomScaleNormal="120" workbookViewId="0">
      <selection activeCell="B4" sqref="B4"/>
    </sheetView>
  </sheetViews>
  <sheetFormatPr defaultColWidth="9.19921875" defaultRowHeight="21" customHeight="1" x14ac:dyDescent="0.5"/>
  <cols>
    <col min="1" max="1" width="3.9296875" style="12" customWidth="1"/>
    <col min="2" max="2" width="35.9296875" style="28" customWidth="1"/>
    <col min="3" max="3" width="22" style="28" customWidth="1"/>
    <col min="4" max="4" width="26" style="28" customWidth="1"/>
    <col min="5" max="5" width="19.9296875" style="28" customWidth="1"/>
    <col min="6" max="6" width="18" style="29" customWidth="1"/>
    <col min="7" max="7" width="25.19921875" style="28" customWidth="1"/>
    <col min="8" max="8" width="18" style="30" customWidth="1"/>
    <col min="9" max="9" width="22" style="31" customWidth="1"/>
    <col min="10" max="10" width="18" style="29" customWidth="1"/>
    <col min="11" max="11" width="3.9296875" style="12" customWidth="1"/>
    <col min="12" max="16384" width="9.19921875" style="1"/>
  </cols>
  <sheetData>
    <row r="1" spans="1:11" ht="15.75" x14ac:dyDescent="0.5">
      <c r="B1" s="12"/>
      <c r="C1" s="33"/>
      <c r="D1" s="33"/>
      <c r="E1" s="33"/>
      <c r="F1" s="12"/>
      <c r="G1" s="12"/>
      <c r="H1" s="12"/>
      <c r="I1" s="12"/>
      <c r="J1" s="34"/>
      <c r="K1" s="12" t="s">
        <v>0</v>
      </c>
    </row>
    <row r="2" spans="1:11" s="2" customFormat="1" ht="23.25" x14ac:dyDescent="0.7">
      <c r="A2" s="35"/>
      <c r="B2" s="36" t="s">
        <v>73</v>
      </c>
      <c r="C2" s="37"/>
      <c r="D2" s="37"/>
      <c r="E2" s="37"/>
      <c r="F2" s="35"/>
      <c r="G2" s="38"/>
      <c r="H2" s="38"/>
      <c r="I2" s="38"/>
      <c r="J2" s="39"/>
      <c r="K2" s="35"/>
    </row>
    <row r="3" spans="1:11" s="3" customFormat="1" ht="72.400000000000006" x14ac:dyDescent="2.15">
      <c r="A3" s="40"/>
      <c r="B3" s="44" t="s">
        <v>75</v>
      </c>
      <c r="C3" s="41"/>
      <c r="D3" s="41"/>
      <c r="E3" s="41"/>
      <c r="F3" s="40"/>
      <c r="G3" s="42"/>
      <c r="H3" s="42"/>
      <c r="I3" s="42"/>
      <c r="J3" s="43"/>
      <c r="K3" s="40"/>
    </row>
    <row r="4" spans="1:11" s="2" customFormat="1" ht="15.75" x14ac:dyDescent="0.5">
      <c r="A4" s="35"/>
      <c r="B4" s="52" t="s">
        <v>81</v>
      </c>
      <c r="C4" s="37"/>
      <c r="D4" s="37"/>
      <c r="E4" s="37"/>
      <c r="F4" s="35"/>
      <c r="G4" s="38"/>
      <c r="H4" s="38"/>
      <c r="I4" s="38"/>
      <c r="J4" s="39"/>
      <c r="K4" s="35"/>
    </row>
    <row r="5" spans="1:11" ht="15.75" x14ac:dyDescent="0.5">
      <c r="B5" s="51"/>
      <c r="C5" s="4"/>
      <c r="D5" s="4"/>
      <c r="E5" s="4"/>
      <c r="F5" s="5"/>
      <c r="G5" s="5"/>
      <c r="H5" s="5"/>
      <c r="I5" s="5"/>
      <c r="J5" s="6"/>
    </row>
    <row r="6" spans="1:11" s="7" customFormat="1" ht="40.5" x14ac:dyDescent="0.55000000000000004">
      <c r="A6" s="32"/>
      <c r="B6" s="8" t="s">
        <v>1</v>
      </c>
      <c r="C6" s="9" t="s">
        <v>2</v>
      </c>
      <c r="D6" s="9" t="s">
        <v>3</v>
      </c>
      <c r="E6" s="9" t="s">
        <v>4</v>
      </c>
      <c r="F6" s="9" t="s">
        <v>5</v>
      </c>
      <c r="G6" s="9" t="s">
        <v>6</v>
      </c>
      <c r="H6" s="10" t="s">
        <v>7</v>
      </c>
      <c r="I6" s="9" t="s">
        <v>8</v>
      </c>
      <c r="J6" s="11" t="s">
        <v>9</v>
      </c>
      <c r="K6" s="32"/>
    </row>
    <row r="7" spans="1:11" ht="15.75" x14ac:dyDescent="0.5">
      <c r="B7" s="13" t="s">
        <v>10</v>
      </c>
      <c r="C7" s="13" t="s">
        <v>11</v>
      </c>
      <c r="D7" s="13" t="s">
        <v>12</v>
      </c>
      <c r="E7" s="13" t="s">
        <v>13</v>
      </c>
      <c r="F7" s="14">
        <v>150000</v>
      </c>
      <c r="G7" s="13" t="s">
        <v>14</v>
      </c>
      <c r="H7" s="15">
        <v>0.9</v>
      </c>
      <c r="I7" s="16">
        <f ca="1">DATE(YEAR(TODAY())+1,1,1)</f>
        <v>45658</v>
      </c>
      <c r="J7" s="17">
        <f>'Level 2'!$F7*'Level 2'!$H7</f>
        <v>135000</v>
      </c>
    </row>
    <row r="8" spans="1:11" ht="15.75" x14ac:dyDescent="0.5">
      <c r="B8" s="18" t="s">
        <v>15</v>
      </c>
      <c r="C8" s="18" t="s">
        <v>16</v>
      </c>
      <c r="D8" s="18" t="s">
        <v>17</v>
      </c>
      <c r="E8" s="18" t="s">
        <v>18</v>
      </c>
      <c r="F8" s="19">
        <v>145200</v>
      </c>
      <c r="G8" s="18" t="s">
        <v>19</v>
      </c>
      <c r="H8" s="20">
        <v>0.1</v>
      </c>
      <c r="I8" s="21">
        <f ca="1">DATE(YEAR(TODAY())+1,2,1)</f>
        <v>45689</v>
      </c>
      <c r="J8" s="22">
        <f>'Level 2'!$F8*'Level 2'!$H8</f>
        <v>14520</v>
      </c>
    </row>
    <row r="9" spans="1:11" ht="15.75" x14ac:dyDescent="0.5">
      <c r="B9" s="18" t="s">
        <v>20</v>
      </c>
      <c r="C9" s="18" t="s">
        <v>21</v>
      </c>
      <c r="D9" s="18" t="s">
        <v>22</v>
      </c>
      <c r="E9" s="18" t="s">
        <v>23</v>
      </c>
      <c r="F9" s="19">
        <v>162500</v>
      </c>
      <c r="G9" s="18" t="s">
        <v>24</v>
      </c>
      <c r="H9" s="20">
        <v>0.2</v>
      </c>
      <c r="I9" s="21">
        <f ca="1">DATE(YEAR(TODAY())+1,3,1)</f>
        <v>45717</v>
      </c>
      <c r="J9" s="22">
        <f>'Level 2'!$F9*'Level 2'!$H9</f>
        <v>32500</v>
      </c>
    </row>
    <row r="10" spans="1:11" ht="15.75" x14ac:dyDescent="0.5">
      <c r="B10" s="18" t="s">
        <v>25</v>
      </c>
      <c r="C10" s="18" t="s">
        <v>26</v>
      </c>
      <c r="D10" s="18" t="s">
        <v>27</v>
      </c>
      <c r="E10" s="18" t="s">
        <v>28</v>
      </c>
      <c r="F10" s="19">
        <v>147500</v>
      </c>
      <c r="G10" s="18" t="s">
        <v>29</v>
      </c>
      <c r="H10" s="20">
        <v>0.3</v>
      </c>
      <c r="I10" s="21">
        <f ca="1">DATE(YEAR(TODAY())+1,4,1)</f>
        <v>45748</v>
      </c>
      <c r="J10" s="22">
        <f>'Level 2'!$F10*'Level 2'!$H10</f>
        <v>44250</v>
      </c>
    </row>
    <row r="11" spans="1:11" ht="15.75" x14ac:dyDescent="0.5">
      <c r="B11" s="18" t="s">
        <v>30</v>
      </c>
      <c r="C11" s="18" t="s">
        <v>31</v>
      </c>
      <c r="D11" s="18" t="s">
        <v>32</v>
      </c>
      <c r="E11" s="18" t="s">
        <v>33</v>
      </c>
      <c r="F11" s="19">
        <v>148000</v>
      </c>
      <c r="G11" s="18" t="s">
        <v>34</v>
      </c>
      <c r="H11" s="20">
        <v>0.4</v>
      </c>
      <c r="I11" s="21">
        <f ca="1">DATE(YEAR(TODAY())+1,5,1)</f>
        <v>45778</v>
      </c>
      <c r="J11" s="22">
        <f>'Level 2'!$F11*'Level 2'!$H11</f>
        <v>59200</v>
      </c>
    </row>
    <row r="12" spans="1:11" ht="15.75" x14ac:dyDescent="0.5">
      <c r="B12" s="18" t="s">
        <v>35</v>
      </c>
      <c r="C12" s="18" t="s">
        <v>11</v>
      </c>
      <c r="D12" s="18" t="s">
        <v>36</v>
      </c>
      <c r="E12" s="18" t="s">
        <v>37</v>
      </c>
      <c r="F12" s="19">
        <v>175000</v>
      </c>
      <c r="G12" s="18" t="s">
        <v>38</v>
      </c>
      <c r="H12" s="20">
        <v>0.5</v>
      </c>
      <c r="I12" s="21">
        <f ca="1">DATE(YEAR(TODAY())+1,6,1)</f>
        <v>45809</v>
      </c>
      <c r="J12" s="22">
        <f>'Level 2'!$F12*'Level 2'!$H12</f>
        <v>87500</v>
      </c>
    </row>
    <row r="13" spans="1:11" ht="15.75" x14ac:dyDescent="0.5">
      <c r="B13" s="18" t="s">
        <v>39</v>
      </c>
      <c r="C13" s="18" t="s">
        <v>21</v>
      </c>
      <c r="D13" s="18" t="s">
        <v>40</v>
      </c>
      <c r="E13" s="18" t="s">
        <v>28</v>
      </c>
      <c r="F13" s="19">
        <v>149000</v>
      </c>
      <c r="G13" s="18" t="s">
        <v>41</v>
      </c>
      <c r="H13" s="20">
        <v>0.6</v>
      </c>
      <c r="I13" s="21">
        <f ca="1">DATE(YEAR(TODAY())+1,7,1)</f>
        <v>45839</v>
      </c>
      <c r="J13" s="22">
        <f>'Level 2'!$F13*'Level 2'!$H13</f>
        <v>89400</v>
      </c>
    </row>
    <row r="14" spans="1:11" ht="15.75" x14ac:dyDescent="0.5">
      <c r="B14" s="18" t="s">
        <v>42</v>
      </c>
      <c r="C14" s="18" t="s">
        <v>31</v>
      </c>
      <c r="D14" s="18" t="s">
        <v>43</v>
      </c>
      <c r="E14" s="18" t="s">
        <v>23</v>
      </c>
      <c r="F14" s="19">
        <v>142000</v>
      </c>
      <c r="G14" s="18" t="s">
        <v>44</v>
      </c>
      <c r="H14" s="20">
        <v>0.7</v>
      </c>
      <c r="I14" s="21">
        <f ca="1">DATE(YEAR(TODAY())+1,8,1)</f>
        <v>45870</v>
      </c>
      <c r="J14" s="22">
        <f>'Level 2'!$F14*'Level 2'!$H14</f>
        <v>99400</v>
      </c>
    </row>
    <row r="15" spans="1:11" ht="15.75" x14ac:dyDescent="0.5">
      <c r="B15" s="18" t="s">
        <v>45</v>
      </c>
      <c r="C15" s="18" t="s">
        <v>21</v>
      </c>
      <c r="D15" s="18" t="s">
        <v>46</v>
      </c>
      <c r="E15" s="18" t="s">
        <v>28</v>
      </c>
      <c r="F15" s="19">
        <v>172500</v>
      </c>
      <c r="G15" s="18" t="s">
        <v>47</v>
      </c>
      <c r="H15" s="20">
        <v>0.9</v>
      </c>
      <c r="I15" s="21">
        <f ca="1">DATE(YEAR(TODAY())+1,10,1)</f>
        <v>45931</v>
      </c>
      <c r="J15" s="22">
        <f>'Level 2'!$F15*'Level 2'!$H15</f>
        <v>155250</v>
      </c>
    </row>
    <row r="16" spans="1:11" ht="15.75" x14ac:dyDescent="0.5">
      <c r="B16" s="18" t="s">
        <v>48</v>
      </c>
      <c r="C16" s="18" t="s">
        <v>26</v>
      </c>
      <c r="D16" s="18" t="s">
        <v>49</v>
      </c>
      <c r="E16" s="18" t="s">
        <v>18</v>
      </c>
      <c r="F16" s="19">
        <v>163500</v>
      </c>
      <c r="G16" s="18" t="s">
        <v>29</v>
      </c>
      <c r="H16" s="20">
        <v>0.2</v>
      </c>
      <c r="I16" s="21">
        <f ca="1">DATE(YEAR(TODAY())+1,11,1)</f>
        <v>45962</v>
      </c>
      <c r="J16" s="22">
        <f>'Level 2'!$F16*'Level 2'!$H16</f>
        <v>32700</v>
      </c>
    </row>
    <row r="17" spans="2:10" ht="15.75" x14ac:dyDescent="0.5">
      <c r="B17" s="18" t="s">
        <v>50</v>
      </c>
      <c r="C17" s="18" t="s">
        <v>31</v>
      </c>
      <c r="D17" s="18" t="s">
        <v>51</v>
      </c>
      <c r="E17" s="18" t="s">
        <v>18</v>
      </c>
      <c r="F17" s="19">
        <v>155500</v>
      </c>
      <c r="G17" s="18" t="s">
        <v>14</v>
      </c>
      <c r="H17" s="20">
        <v>1</v>
      </c>
      <c r="I17" s="21">
        <f ca="1">DATE(YEAR(TODAY())+1,12,1)</f>
        <v>45992</v>
      </c>
      <c r="J17" s="22">
        <f>'Level 2'!$F17*'Level 2'!$H17</f>
        <v>155500</v>
      </c>
    </row>
    <row r="18" spans="2:10" ht="15.75" x14ac:dyDescent="0.5">
      <c r="B18" s="18" t="s">
        <v>52</v>
      </c>
      <c r="C18" s="18" t="s">
        <v>26</v>
      </c>
      <c r="D18" s="18" t="s">
        <v>53</v>
      </c>
      <c r="E18" s="18" t="s">
        <v>13</v>
      </c>
      <c r="F18" s="19">
        <v>166000</v>
      </c>
      <c r="G18" s="18" t="s">
        <v>19</v>
      </c>
      <c r="H18" s="20">
        <v>0.1</v>
      </c>
      <c r="I18" s="21">
        <f ca="1">DATE(YEAR(TODAY())+1,1,1)</f>
        <v>45658</v>
      </c>
      <c r="J18" s="22">
        <f>'Level 2'!$F18*'Level 2'!$H18</f>
        <v>16600</v>
      </c>
    </row>
    <row r="19" spans="2:10" ht="15.75" x14ac:dyDescent="0.5">
      <c r="B19" s="18" t="s">
        <v>54</v>
      </c>
      <c r="C19" s="18" t="s">
        <v>21</v>
      </c>
      <c r="D19" s="18" t="s">
        <v>55</v>
      </c>
      <c r="E19" s="18" t="s">
        <v>23</v>
      </c>
      <c r="F19" s="19">
        <v>180000</v>
      </c>
      <c r="G19" s="18" t="s">
        <v>34</v>
      </c>
      <c r="H19" s="20">
        <v>0.3</v>
      </c>
      <c r="I19" s="21">
        <f ca="1">DATE(YEAR(TODAY())+1,3,1)</f>
        <v>45717</v>
      </c>
      <c r="J19" s="22">
        <f>'Level 2'!$F19*'Level 2'!$H19</f>
        <v>54000</v>
      </c>
    </row>
    <row r="20" spans="2:10" ht="15.75" x14ac:dyDescent="0.5">
      <c r="B20" s="18" t="s">
        <v>56</v>
      </c>
      <c r="C20" s="18" t="s">
        <v>16</v>
      </c>
      <c r="D20" s="18" t="s">
        <v>57</v>
      </c>
      <c r="E20" s="18" t="s">
        <v>58</v>
      </c>
      <c r="F20" s="19">
        <v>140000</v>
      </c>
      <c r="G20" s="18" t="s">
        <v>41</v>
      </c>
      <c r="H20" s="20">
        <v>0.6</v>
      </c>
      <c r="I20" s="21">
        <f ca="1">DATE(YEAR(TODAY())+1,5,1)</f>
        <v>45778</v>
      </c>
      <c r="J20" s="22">
        <f>'Level 2'!$F20*'Level 2'!$H20</f>
        <v>84000</v>
      </c>
    </row>
    <row r="21" spans="2:10" ht="15.75" x14ac:dyDescent="0.5">
      <c r="B21" s="18" t="s">
        <v>59</v>
      </c>
      <c r="C21" s="18" t="s">
        <v>11</v>
      </c>
      <c r="D21" s="18" t="s">
        <v>60</v>
      </c>
      <c r="E21" s="18" t="s">
        <v>37</v>
      </c>
      <c r="F21" s="19">
        <v>155000</v>
      </c>
      <c r="G21" s="18" t="s">
        <v>29</v>
      </c>
      <c r="H21" s="20">
        <v>0.3</v>
      </c>
      <c r="I21" s="21">
        <f ca="1">DATE(YEAR(TODAY())+1,6,1)</f>
        <v>45809</v>
      </c>
      <c r="J21" s="22">
        <f>'Level 2'!$F21*'Level 2'!$H21</f>
        <v>46500</v>
      </c>
    </row>
    <row r="22" spans="2:10" ht="15.75" x14ac:dyDescent="0.5">
      <c r="B22" s="18" t="s">
        <v>61</v>
      </c>
      <c r="C22" s="18" t="s">
        <v>16</v>
      </c>
      <c r="D22" s="18" t="s">
        <v>62</v>
      </c>
      <c r="E22" s="18" t="s">
        <v>33</v>
      </c>
      <c r="F22" s="19">
        <v>173200</v>
      </c>
      <c r="G22" s="18" t="s">
        <v>38</v>
      </c>
      <c r="H22" s="20">
        <v>0.5</v>
      </c>
      <c r="I22" s="21">
        <f ca="1">DATE(YEAR(TODAY())+1,10,1)</f>
        <v>45931</v>
      </c>
      <c r="J22" s="22">
        <f>'Level 2'!$F22*'Level 2'!$H22</f>
        <v>86600</v>
      </c>
    </row>
    <row r="23" spans="2:10" ht="15.75" x14ac:dyDescent="0.5">
      <c r="B23" s="18" t="s">
        <v>63</v>
      </c>
      <c r="C23" s="18" t="s">
        <v>31</v>
      </c>
      <c r="D23" s="18" t="s">
        <v>64</v>
      </c>
      <c r="E23" s="18" t="s">
        <v>58</v>
      </c>
      <c r="F23" s="19">
        <v>146500</v>
      </c>
      <c r="G23" s="18" t="s">
        <v>41</v>
      </c>
      <c r="H23" s="20">
        <v>0.6</v>
      </c>
      <c r="I23" s="21">
        <f ca="1">DATE(YEAR(TODAY())+1,12,1)</f>
        <v>45992</v>
      </c>
      <c r="J23" s="22">
        <f>'Level 2'!$F23*'Level 2'!$H23</f>
        <v>87900</v>
      </c>
    </row>
    <row r="24" spans="2:10" ht="15.75" x14ac:dyDescent="0.5">
      <c r="B24" s="18" t="s">
        <v>65</v>
      </c>
      <c r="C24" s="18" t="s">
        <v>26</v>
      </c>
      <c r="D24" s="18" t="s">
        <v>12</v>
      </c>
      <c r="E24" s="18" t="s">
        <v>37</v>
      </c>
      <c r="F24" s="19">
        <v>156750</v>
      </c>
      <c r="G24" s="18" t="s">
        <v>44</v>
      </c>
      <c r="H24" s="20">
        <v>0.7</v>
      </c>
      <c r="I24" s="21">
        <f ca="1">DATE(YEAR(TODAY())+1,11,1)</f>
        <v>45962</v>
      </c>
      <c r="J24" s="22">
        <f>'Level 2'!$F24*'Level 2'!$H24</f>
        <v>109725</v>
      </c>
    </row>
    <row r="25" spans="2:10" ht="15.75" x14ac:dyDescent="0.5">
      <c r="B25" s="18" t="s">
        <v>66</v>
      </c>
      <c r="C25" s="18" t="s">
        <v>21</v>
      </c>
      <c r="D25" s="18" t="s">
        <v>27</v>
      </c>
      <c r="E25" s="18" t="s">
        <v>67</v>
      </c>
      <c r="F25" s="19">
        <v>162000</v>
      </c>
      <c r="G25" s="18" t="s">
        <v>47</v>
      </c>
      <c r="H25" s="20">
        <v>0.9</v>
      </c>
      <c r="I25" s="21">
        <f ca="1">DATE(YEAR(TODAY())+1,2,1)</f>
        <v>45689</v>
      </c>
      <c r="J25" s="22">
        <f>'Level 2'!$F25*'Level 2'!$H25</f>
        <v>145800</v>
      </c>
    </row>
    <row r="26" spans="2:10" ht="15.75" x14ac:dyDescent="0.5">
      <c r="B26" s="18" t="s">
        <v>68</v>
      </c>
      <c r="C26" s="18" t="s">
        <v>26</v>
      </c>
      <c r="D26" s="18" t="s">
        <v>40</v>
      </c>
      <c r="E26" s="18" t="s">
        <v>28</v>
      </c>
      <c r="F26" s="19">
        <v>157000</v>
      </c>
      <c r="G26" s="18" t="s">
        <v>14</v>
      </c>
      <c r="H26" s="20">
        <v>1</v>
      </c>
      <c r="I26" s="21">
        <f ca="1">DATE(YEAR(TODAY())+1,3,1)</f>
        <v>45717</v>
      </c>
      <c r="J26" s="22">
        <f>'Level 2'!$F26*'Level 2'!$H26</f>
        <v>157000</v>
      </c>
    </row>
    <row r="27" spans="2:10" ht="15.75" x14ac:dyDescent="0.5">
      <c r="B27" s="18" t="s">
        <v>69</v>
      </c>
      <c r="C27" s="18" t="s">
        <v>16</v>
      </c>
      <c r="D27" s="18" t="s">
        <v>46</v>
      </c>
      <c r="E27" s="18" t="s">
        <v>58</v>
      </c>
      <c r="F27" s="19">
        <v>173000</v>
      </c>
      <c r="G27" s="18" t="s">
        <v>34</v>
      </c>
      <c r="H27" s="20">
        <v>0.4</v>
      </c>
      <c r="I27" s="21">
        <f ca="1">DATE(YEAR(TODAY())+1,4,1)</f>
        <v>45748</v>
      </c>
      <c r="J27" s="22">
        <f>'Level 2'!$F27*'Level 2'!$H27</f>
        <v>69200</v>
      </c>
    </row>
    <row r="28" spans="2:10" ht="15.75" x14ac:dyDescent="0.5">
      <c r="B28" s="18" t="s">
        <v>70</v>
      </c>
      <c r="C28" s="18" t="s">
        <v>31</v>
      </c>
      <c r="D28" s="18" t="s">
        <v>71</v>
      </c>
      <c r="E28" s="18" t="s">
        <v>28</v>
      </c>
      <c r="F28" s="19">
        <v>171000</v>
      </c>
      <c r="G28" s="18" t="s">
        <v>38</v>
      </c>
      <c r="H28" s="20">
        <v>0.5</v>
      </c>
      <c r="I28" s="21">
        <f ca="1">DATE(YEAR(TODAY())+1,8,1)</f>
        <v>45870</v>
      </c>
      <c r="J28" s="22">
        <f>'Level 2'!$F28*'Level 2'!$H28</f>
        <v>85500</v>
      </c>
    </row>
    <row r="29" spans="2:10" ht="15.75" x14ac:dyDescent="0.5">
      <c r="B29" s="23" t="s">
        <v>72</v>
      </c>
      <c r="C29" s="23" t="s">
        <v>11</v>
      </c>
      <c r="D29" s="23" t="s">
        <v>62</v>
      </c>
      <c r="E29" s="23" t="s">
        <v>18</v>
      </c>
      <c r="F29" s="24">
        <v>168000</v>
      </c>
      <c r="G29" s="23" t="s">
        <v>41</v>
      </c>
      <c r="H29" s="25">
        <v>0.6</v>
      </c>
      <c r="I29" s="26">
        <f ca="1">DATE(YEAR(TODAY())+1,9,1)</f>
        <v>45901</v>
      </c>
      <c r="J29" s="27">
        <f>'Level 2'!$F29*'Level 2'!$H29</f>
        <v>100800</v>
      </c>
    </row>
  </sheetData>
  <conditionalFormatting sqref="B7:J29">
    <cfRule type="expression" dxfId="20" priority="1">
      <formula>ROW()=CELL("row")</formula>
    </cfRule>
  </conditionalFormatting>
  <pageMargins left="0.7" right="0.7" top="0.75" bottom="0.75" header="0.3" footer="0.3"/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BF3FF-E72A-444B-AF99-60A61483EFF3}">
  <sheetPr codeName="Sheet4"/>
  <dimension ref="A1:K29"/>
  <sheetViews>
    <sheetView zoomScale="120" zoomScaleNormal="120" workbookViewId="0">
      <selection activeCell="B4" sqref="B4"/>
    </sheetView>
  </sheetViews>
  <sheetFormatPr defaultColWidth="9.19921875" defaultRowHeight="21" customHeight="1" x14ac:dyDescent="0.5"/>
  <cols>
    <col min="1" max="1" width="3.9296875" style="12" customWidth="1"/>
    <col min="2" max="2" width="35.9296875" style="28" customWidth="1"/>
    <col min="3" max="3" width="22" style="28" customWidth="1"/>
    <col min="4" max="4" width="26" style="28" customWidth="1"/>
    <col min="5" max="5" width="19.9296875" style="28" customWidth="1"/>
    <col min="6" max="6" width="18" style="29" customWidth="1"/>
    <col min="7" max="7" width="25.19921875" style="28" customWidth="1"/>
    <col min="8" max="8" width="18" style="30" customWidth="1"/>
    <col min="9" max="9" width="22" style="31" customWidth="1"/>
    <col min="10" max="10" width="18" style="29" customWidth="1"/>
    <col min="11" max="11" width="3.9296875" style="12" customWidth="1"/>
    <col min="12" max="16384" width="9.19921875" style="1"/>
  </cols>
  <sheetData>
    <row r="1" spans="1:11" ht="15.75" x14ac:dyDescent="0.5">
      <c r="B1" s="12"/>
      <c r="C1" s="33"/>
      <c r="D1" s="33"/>
      <c r="E1" s="33"/>
      <c r="F1" s="12"/>
      <c r="G1" s="12"/>
      <c r="H1" s="12"/>
      <c r="I1" s="12"/>
      <c r="J1" s="34"/>
      <c r="K1" s="12" t="s">
        <v>0</v>
      </c>
    </row>
    <row r="2" spans="1:11" s="2" customFormat="1" ht="23.25" x14ac:dyDescent="0.7">
      <c r="A2" s="35"/>
      <c r="B2" s="36" t="s">
        <v>73</v>
      </c>
      <c r="C2" s="37"/>
      <c r="D2" s="37"/>
      <c r="E2" s="37"/>
      <c r="F2" s="35"/>
      <c r="G2" s="38"/>
      <c r="H2" s="38"/>
      <c r="I2" s="38"/>
      <c r="J2" s="39"/>
      <c r="K2" s="35"/>
    </row>
    <row r="3" spans="1:11" s="3" customFormat="1" ht="72.400000000000006" x14ac:dyDescent="2.15">
      <c r="A3" s="40"/>
      <c r="B3" s="44" t="s">
        <v>76</v>
      </c>
      <c r="C3" s="41"/>
      <c r="D3" s="41"/>
      <c r="E3" s="41"/>
      <c r="F3" s="40"/>
      <c r="G3" s="42"/>
      <c r="H3" s="42"/>
      <c r="I3" s="42"/>
      <c r="J3" s="43"/>
      <c r="K3" s="40"/>
    </row>
    <row r="4" spans="1:11" s="2" customFormat="1" ht="15.75" x14ac:dyDescent="0.5">
      <c r="A4" s="35"/>
      <c r="B4" s="52" t="s">
        <v>81</v>
      </c>
      <c r="C4" s="37"/>
      <c r="D4" s="37"/>
      <c r="E4" s="37"/>
      <c r="F4" s="35"/>
      <c r="G4" s="38"/>
      <c r="H4" s="38"/>
      <c r="I4" s="38"/>
      <c r="J4" s="39"/>
      <c r="K4" s="35"/>
    </row>
    <row r="5" spans="1:11" ht="15.75" x14ac:dyDescent="0.5">
      <c r="B5" s="51"/>
      <c r="C5" s="4"/>
      <c r="D5" s="4"/>
      <c r="E5" s="4"/>
      <c r="F5" s="5"/>
      <c r="G5" s="5"/>
      <c r="H5" s="5"/>
      <c r="I5" s="5"/>
      <c r="J5" s="6"/>
    </row>
    <row r="6" spans="1:11" s="7" customFormat="1" ht="40.5" x14ac:dyDescent="0.55000000000000004">
      <c r="A6" s="32"/>
      <c r="B6" s="8" t="s">
        <v>1</v>
      </c>
      <c r="C6" s="9" t="s">
        <v>2</v>
      </c>
      <c r="D6" s="9" t="s">
        <v>3</v>
      </c>
      <c r="E6" s="9" t="s">
        <v>4</v>
      </c>
      <c r="F6" s="9" t="s">
        <v>5</v>
      </c>
      <c r="G6" s="9" t="s">
        <v>6</v>
      </c>
      <c r="H6" s="10" t="s">
        <v>7</v>
      </c>
      <c r="I6" s="9" t="s">
        <v>8</v>
      </c>
      <c r="J6" s="11" t="s">
        <v>9</v>
      </c>
      <c r="K6" s="32"/>
    </row>
    <row r="7" spans="1:11" ht="15.75" x14ac:dyDescent="0.5">
      <c r="B7" s="13" t="s">
        <v>10</v>
      </c>
      <c r="C7" s="13" t="s">
        <v>11</v>
      </c>
      <c r="D7" s="13" t="s">
        <v>12</v>
      </c>
      <c r="E7" s="13" t="s">
        <v>13</v>
      </c>
      <c r="F7" s="14">
        <v>150000</v>
      </c>
      <c r="G7" s="13" t="s">
        <v>14</v>
      </c>
      <c r="H7" s="15">
        <v>0.9</v>
      </c>
      <c r="I7" s="16">
        <f ca="1">DATE(YEAR(TODAY())+1,1,1)</f>
        <v>45658</v>
      </c>
      <c r="J7" s="17">
        <f>'Level 3'!$F7*'Level 3'!$H7</f>
        <v>135000</v>
      </c>
    </row>
    <row r="8" spans="1:11" ht="15.75" x14ac:dyDescent="0.5">
      <c r="B8" s="18" t="s">
        <v>15</v>
      </c>
      <c r="C8" s="18" t="s">
        <v>16</v>
      </c>
      <c r="D8" s="18" t="s">
        <v>17</v>
      </c>
      <c r="E8" s="18" t="s">
        <v>18</v>
      </c>
      <c r="F8" s="19">
        <v>145200</v>
      </c>
      <c r="G8" s="18" t="s">
        <v>19</v>
      </c>
      <c r="H8" s="20">
        <v>0.1</v>
      </c>
      <c r="I8" s="21">
        <f ca="1">DATE(YEAR(TODAY())+1,2,1)</f>
        <v>45689</v>
      </c>
      <c r="J8" s="22">
        <f>'Level 3'!$F8*'Level 3'!$H8</f>
        <v>14520</v>
      </c>
    </row>
    <row r="9" spans="1:11" ht="15.75" x14ac:dyDescent="0.5">
      <c r="B9" s="18" t="s">
        <v>20</v>
      </c>
      <c r="C9" s="18" t="s">
        <v>21</v>
      </c>
      <c r="D9" s="18" t="s">
        <v>22</v>
      </c>
      <c r="E9" s="18" t="s">
        <v>23</v>
      </c>
      <c r="F9" s="19">
        <v>162500</v>
      </c>
      <c r="G9" s="18" t="s">
        <v>24</v>
      </c>
      <c r="H9" s="20">
        <v>0.2</v>
      </c>
      <c r="I9" s="21">
        <f ca="1">DATE(YEAR(TODAY())+1,3,1)</f>
        <v>45717</v>
      </c>
      <c r="J9" s="22">
        <f>'Level 3'!$F9*'Level 3'!$H9</f>
        <v>32500</v>
      </c>
    </row>
    <row r="10" spans="1:11" ht="15.75" x14ac:dyDescent="0.5">
      <c r="B10" s="18" t="s">
        <v>25</v>
      </c>
      <c r="C10" s="18" t="s">
        <v>26</v>
      </c>
      <c r="D10" s="18" t="s">
        <v>27</v>
      </c>
      <c r="E10" s="18" t="s">
        <v>28</v>
      </c>
      <c r="F10" s="19">
        <v>147500</v>
      </c>
      <c r="G10" s="18" t="s">
        <v>29</v>
      </c>
      <c r="H10" s="20">
        <v>0.3</v>
      </c>
      <c r="I10" s="21">
        <f ca="1">DATE(YEAR(TODAY())+1,4,1)</f>
        <v>45748</v>
      </c>
      <c r="J10" s="22">
        <f>'Level 3'!$F10*'Level 3'!$H10</f>
        <v>44250</v>
      </c>
    </row>
    <row r="11" spans="1:11" ht="15.75" x14ac:dyDescent="0.5">
      <c r="B11" s="18" t="s">
        <v>30</v>
      </c>
      <c r="C11" s="18" t="s">
        <v>31</v>
      </c>
      <c r="D11" s="18" t="s">
        <v>32</v>
      </c>
      <c r="E11" s="18" t="s">
        <v>33</v>
      </c>
      <c r="F11" s="19">
        <v>148000</v>
      </c>
      <c r="G11" s="18" t="s">
        <v>34</v>
      </c>
      <c r="H11" s="20">
        <v>0.4</v>
      </c>
      <c r="I11" s="21">
        <f ca="1">DATE(YEAR(TODAY())+1,5,1)</f>
        <v>45778</v>
      </c>
      <c r="J11" s="22">
        <f>'Level 3'!$F11*'Level 3'!$H11</f>
        <v>59200</v>
      </c>
    </row>
    <row r="12" spans="1:11" ht="15.75" x14ac:dyDescent="0.5">
      <c r="B12" s="18" t="s">
        <v>35</v>
      </c>
      <c r="C12" s="18" t="s">
        <v>11</v>
      </c>
      <c r="D12" s="18" t="s">
        <v>36</v>
      </c>
      <c r="E12" s="18" t="s">
        <v>37</v>
      </c>
      <c r="F12" s="19">
        <v>175000</v>
      </c>
      <c r="G12" s="18" t="s">
        <v>38</v>
      </c>
      <c r="H12" s="20">
        <v>0.5</v>
      </c>
      <c r="I12" s="21">
        <f ca="1">DATE(YEAR(TODAY())+1,6,1)</f>
        <v>45809</v>
      </c>
      <c r="J12" s="22">
        <f>'Level 3'!$F12*'Level 3'!$H12</f>
        <v>87500</v>
      </c>
    </row>
    <row r="13" spans="1:11" ht="15.75" x14ac:dyDescent="0.5">
      <c r="B13" s="18" t="s">
        <v>39</v>
      </c>
      <c r="C13" s="18" t="s">
        <v>21</v>
      </c>
      <c r="D13" s="18" t="s">
        <v>40</v>
      </c>
      <c r="E13" s="18" t="s">
        <v>28</v>
      </c>
      <c r="F13" s="19">
        <v>149000</v>
      </c>
      <c r="G13" s="18" t="s">
        <v>41</v>
      </c>
      <c r="H13" s="20">
        <v>0.6</v>
      </c>
      <c r="I13" s="21">
        <f ca="1">DATE(YEAR(TODAY())+1,7,1)</f>
        <v>45839</v>
      </c>
      <c r="J13" s="22">
        <f>'Level 3'!$F13*'Level 3'!$H13</f>
        <v>89400</v>
      </c>
    </row>
    <row r="14" spans="1:11" ht="15.75" x14ac:dyDescent="0.5">
      <c r="B14" s="18" t="s">
        <v>42</v>
      </c>
      <c r="C14" s="18" t="s">
        <v>31</v>
      </c>
      <c r="D14" s="18" t="s">
        <v>43</v>
      </c>
      <c r="E14" s="18" t="s">
        <v>23</v>
      </c>
      <c r="F14" s="19">
        <v>142000</v>
      </c>
      <c r="G14" s="18" t="s">
        <v>44</v>
      </c>
      <c r="H14" s="20">
        <v>0.7</v>
      </c>
      <c r="I14" s="21">
        <f ca="1">DATE(YEAR(TODAY())+1,8,1)</f>
        <v>45870</v>
      </c>
      <c r="J14" s="22">
        <f>'Level 3'!$F14*'Level 3'!$H14</f>
        <v>99400</v>
      </c>
    </row>
    <row r="15" spans="1:11" ht="15.75" x14ac:dyDescent="0.5">
      <c r="B15" s="18" t="s">
        <v>45</v>
      </c>
      <c r="C15" s="18" t="s">
        <v>21</v>
      </c>
      <c r="D15" s="18" t="s">
        <v>46</v>
      </c>
      <c r="E15" s="18" t="s">
        <v>28</v>
      </c>
      <c r="F15" s="19">
        <v>172500</v>
      </c>
      <c r="G15" s="18" t="s">
        <v>47</v>
      </c>
      <c r="H15" s="20">
        <v>0.9</v>
      </c>
      <c r="I15" s="21">
        <f ca="1">DATE(YEAR(TODAY())+1,10,1)</f>
        <v>45931</v>
      </c>
      <c r="J15" s="22">
        <f>'Level 3'!$F15*'Level 3'!$H15</f>
        <v>155250</v>
      </c>
    </row>
    <row r="16" spans="1:11" ht="15.75" x14ac:dyDescent="0.5">
      <c r="B16" s="18" t="s">
        <v>48</v>
      </c>
      <c r="C16" s="18" t="s">
        <v>26</v>
      </c>
      <c r="D16" s="18" t="s">
        <v>49</v>
      </c>
      <c r="E16" s="18" t="s">
        <v>18</v>
      </c>
      <c r="F16" s="19">
        <v>163500</v>
      </c>
      <c r="G16" s="18" t="s">
        <v>29</v>
      </c>
      <c r="H16" s="20">
        <v>0.2</v>
      </c>
      <c r="I16" s="21">
        <f ca="1">DATE(YEAR(TODAY())+1,11,1)</f>
        <v>45962</v>
      </c>
      <c r="J16" s="22">
        <f>'Level 3'!$F16*'Level 3'!$H16</f>
        <v>32700</v>
      </c>
    </row>
    <row r="17" spans="2:10" ht="15.75" x14ac:dyDescent="0.5">
      <c r="B17" s="18" t="s">
        <v>50</v>
      </c>
      <c r="C17" s="18" t="s">
        <v>31</v>
      </c>
      <c r="D17" s="18" t="s">
        <v>51</v>
      </c>
      <c r="E17" s="18" t="s">
        <v>18</v>
      </c>
      <c r="F17" s="19">
        <v>155500</v>
      </c>
      <c r="G17" s="18" t="s">
        <v>14</v>
      </c>
      <c r="H17" s="20">
        <v>1</v>
      </c>
      <c r="I17" s="21">
        <f ca="1">DATE(YEAR(TODAY())+1,12,1)</f>
        <v>45992</v>
      </c>
      <c r="J17" s="22">
        <f>'Level 3'!$F17*'Level 3'!$H17</f>
        <v>155500</v>
      </c>
    </row>
    <row r="18" spans="2:10" ht="15.75" x14ac:dyDescent="0.5">
      <c r="B18" s="18" t="s">
        <v>52</v>
      </c>
      <c r="C18" s="18" t="s">
        <v>26</v>
      </c>
      <c r="D18" s="18" t="s">
        <v>53</v>
      </c>
      <c r="E18" s="18" t="s">
        <v>13</v>
      </c>
      <c r="F18" s="19">
        <v>166000</v>
      </c>
      <c r="G18" s="18" t="s">
        <v>19</v>
      </c>
      <c r="H18" s="20">
        <v>0.1</v>
      </c>
      <c r="I18" s="21">
        <f ca="1">DATE(YEAR(TODAY())+1,1,1)</f>
        <v>45658</v>
      </c>
      <c r="J18" s="22">
        <f>'Level 3'!$F18*'Level 3'!$H18</f>
        <v>16600</v>
      </c>
    </row>
    <row r="19" spans="2:10" ht="15.75" x14ac:dyDescent="0.5">
      <c r="B19" s="18" t="s">
        <v>54</v>
      </c>
      <c r="C19" s="18" t="s">
        <v>21</v>
      </c>
      <c r="D19" s="18" t="s">
        <v>55</v>
      </c>
      <c r="E19" s="18" t="s">
        <v>23</v>
      </c>
      <c r="F19" s="19">
        <v>180000</v>
      </c>
      <c r="G19" s="18" t="s">
        <v>34</v>
      </c>
      <c r="H19" s="20">
        <v>0.3</v>
      </c>
      <c r="I19" s="21">
        <f ca="1">DATE(YEAR(TODAY())+1,3,1)</f>
        <v>45717</v>
      </c>
      <c r="J19" s="22">
        <f>'Level 3'!$F19*'Level 3'!$H19</f>
        <v>54000</v>
      </c>
    </row>
    <row r="20" spans="2:10" ht="15.75" x14ac:dyDescent="0.5">
      <c r="B20" s="18" t="s">
        <v>56</v>
      </c>
      <c r="C20" s="18" t="s">
        <v>16</v>
      </c>
      <c r="D20" s="18" t="s">
        <v>57</v>
      </c>
      <c r="E20" s="18" t="s">
        <v>58</v>
      </c>
      <c r="F20" s="19">
        <v>140000</v>
      </c>
      <c r="G20" s="18" t="s">
        <v>41</v>
      </c>
      <c r="H20" s="20">
        <v>0.6</v>
      </c>
      <c r="I20" s="21">
        <f ca="1">DATE(YEAR(TODAY())+1,5,1)</f>
        <v>45778</v>
      </c>
      <c r="J20" s="22">
        <f>'Level 3'!$F20*'Level 3'!$H20</f>
        <v>84000</v>
      </c>
    </row>
    <row r="21" spans="2:10" ht="15.75" x14ac:dyDescent="0.5">
      <c r="B21" s="18" t="s">
        <v>59</v>
      </c>
      <c r="C21" s="18" t="s">
        <v>11</v>
      </c>
      <c r="D21" s="18" t="s">
        <v>60</v>
      </c>
      <c r="E21" s="18" t="s">
        <v>37</v>
      </c>
      <c r="F21" s="19">
        <v>155000</v>
      </c>
      <c r="G21" s="18" t="s">
        <v>29</v>
      </c>
      <c r="H21" s="20">
        <v>0.3</v>
      </c>
      <c r="I21" s="21">
        <f ca="1">DATE(YEAR(TODAY())+1,6,1)</f>
        <v>45809</v>
      </c>
      <c r="J21" s="22">
        <f>'Level 3'!$F21*'Level 3'!$H21</f>
        <v>46500</v>
      </c>
    </row>
    <row r="22" spans="2:10" ht="15.75" x14ac:dyDescent="0.5">
      <c r="B22" s="18" t="s">
        <v>61</v>
      </c>
      <c r="C22" s="18" t="s">
        <v>16</v>
      </c>
      <c r="D22" s="18" t="s">
        <v>62</v>
      </c>
      <c r="E22" s="18" t="s">
        <v>33</v>
      </c>
      <c r="F22" s="19">
        <v>173200</v>
      </c>
      <c r="G22" s="18" t="s">
        <v>38</v>
      </c>
      <c r="H22" s="20">
        <v>0.5</v>
      </c>
      <c r="I22" s="21">
        <f ca="1">DATE(YEAR(TODAY())+1,10,1)</f>
        <v>45931</v>
      </c>
      <c r="J22" s="22">
        <f>'Level 3'!$F22*'Level 3'!$H22</f>
        <v>86600</v>
      </c>
    </row>
    <row r="23" spans="2:10" ht="15.75" x14ac:dyDescent="0.5">
      <c r="B23" s="18" t="s">
        <v>63</v>
      </c>
      <c r="C23" s="18" t="s">
        <v>31</v>
      </c>
      <c r="D23" s="18" t="s">
        <v>64</v>
      </c>
      <c r="E23" s="18" t="s">
        <v>58</v>
      </c>
      <c r="F23" s="19">
        <v>146500</v>
      </c>
      <c r="G23" s="18" t="s">
        <v>41</v>
      </c>
      <c r="H23" s="20">
        <v>0.6</v>
      </c>
      <c r="I23" s="21">
        <f ca="1">DATE(YEAR(TODAY())+1,12,1)</f>
        <v>45992</v>
      </c>
      <c r="J23" s="22">
        <f>'Level 3'!$F23*'Level 3'!$H23</f>
        <v>87900</v>
      </c>
    </row>
    <row r="24" spans="2:10" ht="15.75" x14ac:dyDescent="0.5">
      <c r="B24" s="18" t="s">
        <v>65</v>
      </c>
      <c r="C24" s="18" t="s">
        <v>26</v>
      </c>
      <c r="D24" s="18" t="s">
        <v>12</v>
      </c>
      <c r="E24" s="18" t="s">
        <v>37</v>
      </c>
      <c r="F24" s="19">
        <v>156750</v>
      </c>
      <c r="G24" s="18" t="s">
        <v>44</v>
      </c>
      <c r="H24" s="20">
        <v>0.7</v>
      </c>
      <c r="I24" s="21">
        <f ca="1">DATE(YEAR(TODAY())+1,11,1)</f>
        <v>45962</v>
      </c>
      <c r="J24" s="22">
        <f>'Level 3'!$F24*'Level 3'!$H24</f>
        <v>109725</v>
      </c>
    </row>
    <row r="25" spans="2:10" ht="15.75" x14ac:dyDescent="0.5">
      <c r="B25" s="18" t="s">
        <v>66</v>
      </c>
      <c r="C25" s="18" t="s">
        <v>21</v>
      </c>
      <c r="D25" s="18" t="s">
        <v>27</v>
      </c>
      <c r="E25" s="18" t="s">
        <v>67</v>
      </c>
      <c r="F25" s="19">
        <v>162000</v>
      </c>
      <c r="G25" s="18" t="s">
        <v>47</v>
      </c>
      <c r="H25" s="20">
        <v>0.9</v>
      </c>
      <c r="I25" s="21">
        <f ca="1">DATE(YEAR(TODAY())+1,2,1)</f>
        <v>45689</v>
      </c>
      <c r="J25" s="22">
        <f>'Level 3'!$F25*'Level 3'!$H25</f>
        <v>145800</v>
      </c>
    </row>
    <row r="26" spans="2:10" ht="15.75" x14ac:dyDescent="0.5">
      <c r="B26" s="18" t="s">
        <v>68</v>
      </c>
      <c r="C26" s="18" t="s">
        <v>26</v>
      </c>
      <c r="D26" s="18" t="s">
        <v>40</v>
      </c>
      <c r="E26" s="18" t="s">
        <v>28</v>
      </c>
      <c r="F26" s="19">
        <v>157000</v>
      </c>
      <c r="G26" s="18" t="s">
        <v>14</v>
      </c>
      <c r="H26" s="20">
        <v>1</v>
      </c>
      <c r="I26" s="21">
        <f ca="1">DATE(YEAR(TODAY())+1,3,1)</f>
        <v>45717</v>
      </c>
      <c r="J26" s="22">
        <f>'Level 3'!$F26*'Level 3'!$H26</f>
        <v>157000</v>
      </c>
    </row>
    <row r="27" spans="2:10" ht="15.75" x14ac:dyDescent="0.5">
      <c r="B27" s="18" t="s">
        <v>69</v>
      </c>
      <c r="C27" s="18" t="s">
        <v>16</v>
      </c>
      <c r="D27" s="18" t="s">
        <v>46</v>
      </c>
      <c r="E27" s="18" t="s">
        <v>58</v>
      </c>
      <c r="F27" s="19">
        <v>173000</v>
      </c>
      <c r="G27" s="18" t="s">
        <v>34</v>
      </c>
      <c r="H27" s="20">
        <v>0.4</v>
      </c>
      <c r="I27" s="21">
        <f ca="1">DATE(YEAR(TODAY())+1,4,1)</f>
        <v>45748</v>
      </c>
      <c r="J27" s="22">
        <f>'Level 3'!$F27*'Level 3'!$H27</f>
        <v>69200</v>
      </c>
    </row>
    <row r="28" spans="2:10" ht="15.75" x14ac:dyDescent="0.5">
      <c r="B28" s="18" t="s">
        <v>70</v>
      </c>
      <c r="C28" s="18" t="s">
        <v>31</v>
      </c>
      <c r="D28" s="18" t="s">
        <v>71</v>
      </c>
      <c r="E28" s="18" t="s">
        <v>28</v>
      </c>
      <c r="F28" s="19">
        <v>171000</v>
      </c>
      <c r="G28" s="18" t="s">
        <v>38</v>
      </c>
      <c r="H28" s="20">
        <v>0.5</v>
      </c>
      <c r="I28" s="21">
        <f ca="1">DATE(YEAR(TODAY())+1,8,1)</f>
        <v>45870</v>
      </c>
      <c r="J28" s="22">
        <f>'Level 3'!$F28*'Level 3'!$H28</f>
        <v>85500</v>
      </c>
    </row>
    <row r="29" spans="2:10" ht="15.75" x14ac:dyDescent="0.5">
      <c r="B29" s="23" t="s">
        <v>72</v>
      </c>
      <c r="C29" s="23" t="s">
        <v>11</v>
      </c>
      <c r="D29" s="23" t="s">
        <v>62</v>
      </c>
      <c r="E29" s="23" t="s">
        <v>18</v>
      </c>
      <c r="F29" s="24">
        <v>168000</v>
      </c>
      <c r="G29" s="23" t="s">
        <v>41</v>
      </c>
      <c r="H29" s="25">
        <v>0.6</v>
      </c>
      <c r="I29" s="26">
        <f ca="1">DATE(YEAR(TODAY())+1,9,1)</f>
        <v>45901</v>
      </c>
      <c r="J29" s="27">
        <f>'Level 3'!$F29*'Level 3'!$H29</f>
        <v>100800</v>
      </c>
    </row>
  </sheetData>
  <conditionalFormatting sqref="B7:J29">
    <cfRule type="expression" dxfId="19" priority="1">
      <formula>COLUMN()=CELL("col")</formula>
    </cfRule>
  </conditionalFormatting>
  <pageMargins left="0.7" right="0.7" top="0.75" bottom="0.75" header="0.3" footer="0.3"/>
  <drawing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8AF0C2-BAB9-4DC5-9523-5FA363FA8A4D}">
  <sheetPr codeName="Sheet5"/>
  <dimension ref="A1:K29"/>
  <sheetViews>
    <sheetView zoomScale="120" zoomScaleNormal="120" workbookViewId="0">
      <selection activeCell="B4" sqref="B4"/>
    </sheetView>
  </sheetViews>
  <sheetFormatPr defaultColWidth="9.19921875" defaultRowHeight="21" customHeight="1" x14ac:dyDescent="0.5"/>
  <cols>
    <col min="1" max="1" width="3.9296875" style="12" customWidth="1"/>
    <col min="2" max="2" width="35.9296875" style="28" customWidth="1"/>
    <col min="3" max="3" width="22" style="28" customWidth="1"/>
    <col min="4" max="4" width="26" style="28" customWidth="1"/>
    <col min="5" max="5" width="19.9296875" style="28" customWidth="1"/>
    <col min="6" max="6" width="18" style="29" customWidth="1"/>
    <col min="7" max="7" width="25.19921875" style="28" customWidth="1"/>
    <col min="8" max="8" width="18" style="30" customWidth="1"/>
    <col min="9" max="9" width="22" style="31" customWidth="1"/>
    <col min="10" max="10" width="18" style="29" customWidth="1"/>
    <col min="11" max="11" width="3.9296875" style="12" customWidth="1"/>
    <col min="12" max="16384" width="9.19921875" style="1"/>
  </cols>
  <sheetData>
    <row r="1" spans="1:11" ht="15.75" x14ac:dyDescent="0.5">
      <c r="B1" s="12"/>
      <c r="C1" s="33"/>
      <c r="D1" s="33"/>
      <c r="E1" s="33"/>
      <c r="F1" s="12"/>
      <c r="G1" s="12"/>
      <c r="H1" s="12"/>
      <c r="I1" s="12"/>
      <c r="J1" s="34"/>
      <c r="K1" s="12" t="s">
        <v>0</v>
      </c>
    </row>
    <row r="2" spans="1:11" s="2" customFormat="1" ht="23.25" x14ac:dyDescent="0.7">
      <c r="A2" s="35"/>
      <c r="B2" s="36" t="s">
        <v>73</v>
      </c>
      <c r="C2" s="37"/>
      <c r="D2" s="37"/>
      <c r="E2" s="37"/>
      <c r="F2" s="35"/>
      <c r="G2" s="38"/>
      <c r="H2" s="38"/>
      <c r="I2" s="38"/>
      <c r="J2" s="39"/>
      <c r="K2" s="35"/>
    </row>
    <row r="3" spans="1:11" s="3" customFormat="1" ht="72.400000000000006" x14ac:dyDescent="2.15">
      <c r="A3" s="40"/>
      <c r="B3" s="44" t="s">
        <v>77</v>
      </c>
      <c r="C3" s="41"/>
      <c r="D3" s="41"/>
      <c r="E3" s="41"/>
      <c r="F3" s="40"/>
      <c r="G3" s="42"/>
      <c r="H3" s="42"/>
      <c r="I3" s="42"/>
      <c r="J3" s="43"/>
      <c r="K3" s="40"/>
    </row>
    <row r="4" spans="1:11" s="2" customFormat="1" ht="15.75" x14ac:dyDescent="0.5">
      <c r="A4" s="35"/>
      <c r="B4" s="52" t="s">
        <v>81</v>
      </c>
      <c r="C4" s="37"/>
      <c r="D4" s="37"/>
      <c r="E4" s="37"/>
      <c r="F4" s="35"/>
      <c r="G4" s="38"/>
      <c r="H4" s="38"/>
      <c r="I4" s="38"/>
      <c r="J4" s="39"/>
      <c r="K4" s="35"/>
    </row>
    <row r="5" spans="1:11" ht="15.75" x14ac:dyDescent="0.5">
      <c r="B5" s="51"/>
      <c r="C5" s="4"/>
      <c r="D5" s="4"/>
      <c r="E5" s="4"/>
      <c r="F5" s="5"/>
      <c r="G5" s="5"/>
      <c r="H5" s="5"/>
      <c r="I5" s="5"/>
      <c r="J5" s="6"/>
    </row>
    <row r="6" spans="1:11" s="7" customFormat="1" ht="40.5" x14ac:dyDescent="0.55000000000000004">
      <c r="A6" s="32"/>
      <c r="B6" s="8" t="s">
        <v>1</v>
      </c>
      <c r="C6" s="9" t="s">
        <v>2</v>
      </c>
      <c r="D6" s="9" t="s">
        <v>3</v>
      </c>
      <c r="E6" s="9" t="s">
        <v>4</v>
      </c>
      <c r="F6" s="9" t="s">
        <v>5</v>
      </c>
      <c r="G6" s="9" t="s">
        <v>6</v>
      </c>
      <c r="H6" s="10" t="s">
        <v>7</v>
      </c>
      <c r="I6" s="9" t="s">
        <v>8</v>
      </c>
      <c r="J6" s="11" t="s">
        <v>9</v>
      </c>
      <c r="K6" s="32"/>
    </row>
    <row r="7" spans="1:11" ht="15.75" x14ac:dyDescent="0.5">
      <c r="B7" s="13" t="s">
        <v>10</v>
      </c>
      <c r="C7" s="13" t="s">
        <v>11</v>
      </c>
      <c r="D7" s="13" t="s">
        <v>12</v>
      </c>
      <c r="E7" s="13" t="s">
        <v>13</v>
      </c>
      <c r="F7" s="14">
        <v>150000</v>
      </c>
      <c r="G7" s="13" t="s">
        <v>14</v>
      </c>
      <c r="H7" s="15">
        <v>0.9</v>
      </c>
      <c r="I7" s="16">
        <f ca="1">DATE(YEAR(TODAY())+1,1,1)</f>
        <v>45658</v>
      </c>
      <c r="J7" s="17">
        <f>'Level 4'!$F7*'Level 4'!$H7</f>
        <v>135000</v>
      </c>
    </row>
    <row r="8" spans="1:11" ht="15.75" x14ac:dyDescent="0.5">
      <c r="B8" s="18" t="s">
        <v>15</v>
      </c>
      <c r="C8" s="18" t="s">
        <v>16</v>
      </c>
      <c r="D8" s="18" t="s">
        <v>17</v>
      </c>
      <c r="E8" s="18" t="s">
        <v>18</v>
      </c>
      <c r="F8" s="19">
        <v>145200</v>
      </c>
      <c r="G8" s="18" t="s">
        <v>19</v>
      </c>
      <c r="H8" s="20">
        <v>0.1</v>
      </c>
      <c r="I8" s="21">
        <f ca="1">DATE(YEAR(TODAY())+1,2,1)</f>
        <v>45689</v>
      </c>
      <c r="J8" s="22">
        <f>'Level 4'!$F8*'Level 4'!$H8</f>
        <v>14520</v>
      </c>
    </row>
    <row r="9" spans="1:11" ht="15.75" x14ac:dyDescent="0.5">
      <c r="B9" s="18" t="s">
        <v>20</v>
      </c>
      <c r="C9" s="18" t="s">
        <v>21</v>
      </c>
      <c r="D9" s="18" t="s">
        <v>22</v>
      </c>
      <c r="E9" s="18" t="s">
        <v>23</v>
      </c>
      <c r="F9" s="19">
        <v>162500</v>
      </c>
      <c r="G9" s="18" t="s">
        <v>24</v>
      </c>
      <c r="H9" s="20">
        <v>0.2</v>
      </c>
      <c r="I9" s="21">
        <f ca="1">DATE(YEAR(TODAY())+1,3,1)</f>
        <v>45717</v>
      </c>
      <c r="J9" s="22">
        <f>'Level 4'!$F9*'Level 4'!$H9</f>
        <v>32500</v>
      </c>
    </row>
    <row r="10" spans="1:11" ht="15.75" x14ac:dyDescent="0.5">
      <c r="B10" s="18" t="s">
        <v>25</v>
      </c>
      <c r="C10" s="18" t="s">
        <v>26</v>
      </c>
      <c r="D10" s="18" t="s">
        <v>27</v>
      </c>
      <c r="E10" s="18" t="s">
        <v>28</v>
      </c>
      <c r="F10" s="19">
        <v>147500</v>
      </c>
      <c r="G10" s="18" t="s">
        <v>29</v>
      </c>
      <c r="H10" s="20">
        <v>0.3</v>
      </c>
      <c r="I10" s="21">
        <f ca="1">DATE(YEAR(TODAY())+1,4,1)</f>
        <v>45748</v>
      </c>
      <c r="J10" s="22">
        <f>'Level 4'!$F10*'Level 4'!$H10</f>
        <v>44250</v>
      </c>
    </row>
    <row r="11" spans="1:11" ht="15.75" x14ac:dyDescent="0.5">
      <c r="B11" s="18" t="s">
        <v>30</v>
      </c>
      <c r="C11" s="18" t="s">
        <v>31</v>
      </c>
      <c r="D11" s="18" t="s">
        <v>32</v>
      </c>
      <c r="E11" s="18" t="s">
        <v>33</v>
      </c>
      <c r="F11" s="19">
        <v>148000</v>
      </c>
      <c r="G11" s="18" t="s">
        <v>34</v>
      </c>
      <c r="H11" s="20">
        <v>0.4</v>
      </c>
      <c r="I11" s="21">
        <f ca="1">DATE(YEAR(TODAY())+1,5,1)</f>
        <v>45778</v>
      </c>
      <c r="J11" s="22">
        <f>'Level 4'!$F11*'Level 4'!$H11</f>
        <v>59200</v>
      </c>
    </row>
    <row r="12" spans="1:11" ht="15.75" x14ac:dyDescent="0.5">
      <c r="B12" s="18" t="s">
        <v>35</v>
      </c>
      <c r="C12" s="18" t="s">
        <v>11</v>
      </c>
      <c r="D12" s="18" t="s">
        <v>36</v>
      </c>
      <c r="E12" s="18" t="s">
        <v>37</v>
      </c>
      <c r="F12" s="19">
        <v>175000</v>
      </c>
      <c r="G12" s="18" t="s">
        <v>38</v>
      </c>
      <c r="H12" s="20">
        <v>0.5</v>
      </c>
      <c r="I12" s="21">
        <f ca="1">DATE(YEAR(TODAY())+1,6,1)</f>
        <v>45809</v>
      </c>
      <c r="J12" s="22">
        <f>'Level 4'!$F12*'Level 4'!$H12</f>
        <v>87500</v>
      </c>
    </row>
    <row r="13" spans="1:11" ht="15.75" x14ac:dyDescent="0.5">
      <c r="B13" s="18" t="s">
        <v>39</v>
      </c>
      <c r="C13" s="18" t="s">
        <v>21</v>
      </c>
      <c r="D13" s="18" t="s">
        <v>40</v>
      </c>
      <c r="E13" s="18" t="s">
        <v>28</v>
      </c>
      <c r="F13" s="19">
        <v>149000</v>
      </c>
      <c r="G13" s="18" t="s">
        <v>41</v>
      </c>
      <c r="H13" s="20">
        <v>0.6</v>
      </c>
      <c r="I13" s="21">
        <f ca="1">DATE(YEAR(TODAY())+1,7,1)</f>
        <v>45839</v>
      </c>
      <c r="J13" s="22">
        <f>'Level 4'!$F13*'Level 4'!$H13</f>
        <v>89400</v>
      </c>
    </row>
    <row r="14" spans="1:11" ht="15.75" x14ac:dyDescent="0.5">
      <c r="B14" s="18" t="s">
        <v>42</v>
      </c>
      <c r="C14" s="18" t="s">
        <v>31</v>
      </c>
      <c r="D14" s="18" t="s">
        <v>43</v>
      </c>
      <c r="E14" s="18" t="s">
        <v>23</v>
      </c>
      <c r="F14" s="19">
        <v>142000</v>
      </c>
      <c r="G14" s="18" t="s">
        <v>44</v>
      </c>
      <c r="H14" s="20">
        <v>0.7</v>
      </c>
      <c r="I14" s="21">
        <f ca="1">DATE(YEAR(TODAY())+1,8,1)</f>
        <v>45870</v>
      </c>
      <c r="J14" s="22">
        <f>'Level 4'!$F14*'Level 4'!$H14</f>
        <v>99400</v>
      </c>
    </row>
    <row r="15" spans="1:11" ht="15.75" x14ac:dyDescent="0.5">
      <c r="B15" s="18" t="s">
        <v>45</v>
      </c>
      <c r="C15" s="18" t="s">
        <v>21</v>
      </c>
      <c r="D15" s="18" t="s">
        <v>46</v>
      </c>
      <c r="E15" s="18" t="s">
        <v>28</v>
      </c>
      <c r="F15" s="19">
        <v>172500</v>
      </c>
      <c r="G15" s="18" t="s">
        <v>47</v>
      </c>
      <c r="H15" s="20">
        <v>0.9</v>
      </c>
      <c r="I15" s="21">
        <f ca="1">DATE(YEAR(TODAY())+1,10,1)</f>
        <v>45931</v>
      </c>
      <c r="J15" s="22">
        <f>'Level 4'!$F15*'Level 4'!$H15</f>
        <v>155250</v>
      </c>
    </row>
    <row r="16" spans="1:11" ht="15.75" x14ac:dyDescent="0.5">
      <c r="B16" s="18" t="s">
        <v>48</v>
      </c>
      <c r="C16" s="18" t="s">
        <v>26</v>
      </c>
      <c r="D16" s="18" t="s">
        <v>49</v>
      </c>
      <c r="E16" s="18" t="s">
        <v>18</v>
      </c>
      <c r="F16" s="19">
        <v>163500</v>
      </c>
      <c r="G16" s="18" t="s">
        <v>29</v>
      </c>
      <c r="H16" s="20">
        <v>0.2</v>
      </c>
      <c r="I16" s="21">
        <f ca="1">DATE(YEAR(TODAY())+1,11,1)</f>
        <v>45962</v>
      </c>
      <c r="J16" s="22">
        <f>'Level 4'!$F16*'Level 4'!$H16</f>
        <v>32700</v>
      </c>
    </row>
    <row r="17" spans="2:10" ht="15.75" x14ac:dyDescent="0.5">
      <c r="B17" s="18" t="s">
        <v>50</v>
      </c>
      <c r="C17" s="18" t="s">
        <v>31</v>
      </c>
      <c r="D17" s="18" t="s">
        <v>51</v>
      </c>
      <c r="E17" s="18" t="s">
        <v>18</v>
      </c>
      <c r="F17" s="19">
        <v>155500</v>
      </c>
      <c r="G17" s="18" t="s">
        <v>14</v>
      </c>
      <c r="H17" s="20">
        <v>1</v>
      </c>
      <c r="I17" s="21">
        <f ca="1">DATE(YEAR(TODAY())+1,12,1)</f>
        <v>45992</v>
      </c>
      <c r="J17" s="22">
        <f>'Level 4'!$F17*'Level 4'!$H17</f>
        <v>155500</v>
      </c>
    </row>
    <row r="18" spans="2:10" ht="15.75" x14ac:dyDescent="0.5">
      <c r="B18" s="18" t="s">
        <v>52</v>
      </c>
      <c r="C18" s="18" t="s">
        <v>26</v>
      </c>
      <c r="D18" s="18" t="s">
        <v>53</v>
      </c>
      <c r="E18" s="18" t="s">
        <v>13</v>
      </c>
      <c r="F18" s="19">
        <v>166000</v>
      </c>
      <c r="G18" s="18" t="s">
        <v>19</v>
      </c>
      <c r="H18" s="20">
        <v>0.1</v>
      </c>
      <c r="I18" s="21">
        <f ca="1">DATE(YEAR(TODAY())+1,1,1)</f>
        <v>45658</v>
      </c>
      <c r="J18" s="22">
        <f>'Level 4'!$F18*'Level 4'!$H18</f>
        <v>16600</v>
      </c>
    </row>
    <row r="19" spans="2:10" ht="15.75" x14ac:dyDescent="0.5">
      <c r="B19" s="18" t="s">
        <v>54</v>
      </c>
      <c r="C19" s="18" t="s">
        <v>21</v>
      </c>
      <c r="D19" s="18" t="s">
        <v>55</v>
      </c>
      <c r="E19" s="18" t="s">
        <v>23</v>
      </c>
      <c r="F19" s="19">
        <v>180000</v>
      </c>
      <c r="G19" s="18" t="s">
        <v>34</v>
      </c>
      <c r="H19" s="20">
        <v>0.3</v>
      </c>
      <c r="I19" s="21">
        <f ca="1">DATE(YEAR(TODAY())+1,3,1)</f>
        <v>45717</v>
      </c>
      <c r="J19" s="22">
        <f>'Level 4'!$F19*'Level 4'!$H19</f>
        <v>54000</v>
      </c>
    </row>
    <row r="20" spans="2:10" ht="15.75" x14ac:dyDescent="0.5">
      <c r="B20" s="18" t="s">
        <v>56</v>
      </c>
      <c r="C20" s="18" t="s">
        <v>16</v>
      </c>
      <c r="D20" s="18" t="s">
        <v>57</v>
      </c>
      <c r="E20" s="18" t="s">
        <v>58</v>
      </c>
      <c r="F20" s="19">
        <v>140000</v>
      </c>
      <c r="G20" s="18" t="s">
        <v>41</v>
      </c>
      <c r="H20" s="20">
        <v>0.6</v>
      </c>
      <c r="I20" s="21">
        <f ca="1">DATE(YEAR(TODAY())+1,5,1)</f>
        <v>45778</v>
      </c>
      <c r="J20" s="22">
        <f>'Level 4'!$F20*'Level 4'!$H20</f>
        <v>84000</v>
      </c>
    </row>
    <row r="21" spans="2:10" ht="15.75" x14ac:dyDescent="0.5">
      <c r="B21" s="18" t="s">
        <v>59</v>
      </c>
      <c r="C21" s="18" t="s">
        <v>11</v>
      </c>
      <c r="D21" s="18" t="s">
        <v>60</v>
      </c>
      <c r="E21" s="18" t="s">
        <v>37</v>
      </c>
      <c r="F21" s="19">
        <v>155000</v>
      </c>
      <c r="G21" s="18" t="s">
        <v>29</v>
      </c>
      <c r="H21" s="20">
        <v>0.3</v>
      </c>
      <c r="I21" s="21">
        <f ca="1">DATE(YEAR(TODAY())+1,6,1)</f>
        <v>45809</v>
      </c>
      <c r="J21" s="22">
        <f>'Level 4'!$F21*'Level 4'!$H21</f>
        <v>46500</v>
      </c>
    </row>
    <row r="22" spans="2:10" ht="15.75" x14ac:dyDescent="0.5">
      <c r="B22" s="18" t="s">
        <v>61</v>
      </c>
      <c r="C22" s="18" t="s">
        <v>16</v>
      </c>
      <c r="D22" s="18" t="s">
        <v>62</v>
      </c>
      <c r="E22" s="18" t="s">
        <v>33</v>
      </c>
      <c r="F22" s="19">
        <v>173200</v>
      </c>
      <c r="G22" s="18" t="s">
        <v>38</v>
      </c>
      <c r="H22" s="20">
        <v>0.5</v>
      </c>
      <c r="I22" s="21">
        <f ca="1">DATE(YEAR(TODAY())+1,10,1)</f>
        <v>45931</v>
      </c>
      <c r="J22" s="22">
        <f>'Level 4'!$F22*'Level 4'!$H22</f>
        <v>86600</v>
      </c>
    </row>
    <row r="23" spans="2:10" ht="15.75" x14ac:dyDescent="0.5">
      <c r="B23" s="18" t="s">
        <v>63</v>
      </c>
      <c r="C23" s="18" t="s">
        <v>31</v>
      </c>
      <c r="D23" s="18" t="s">
        <v>64</v>
      </c>
      <c r="E23" s="18" t="s">
        <v>58</v>
      </c>
      <c r="F23" s="19">
        <v>146500</v>
      </c>
      <c r="G23" s="18" t="s">
        <v>41</v>
      </c>
      <c r="H23" s="20">
        <v>0.6</v>
      </c>
      <c r="I23" s="21">
        <f ca="1">DATE(YEAR(TODAY())+1,12,1)</f>
        <v>45992</v>
      </c>
      <c r="J23" s="22">
        <f>'Level 4'!$F23*'Level 4'!$H23</f>
        <v>87900</v>
      </c>
    </row>
    <row r="24" spans="2:10" ht="15.75" x14ac:dyDescent="0.5">
      <c r="B24" s="18" t="s">
        <v>65</v>
      </c>
      <c r="C24" s="18" t="s">
        <v>26</v>
      </c>
      <c r="D24" s="18" t="s">
        <v>12</v>
      </c>
      <c r="E24" s="18" t="s">
        <v>37</v>
      </c>
      <c r="F24" s="19">
        <v>156750</v>
      </c>
      <c r="G24" s="18" t="s">
        <v>44</v>
      </c>
      <c r="H24" s="20">
        <v>0.7</v>
      </c>
      <c r="I24" s="21">
        <f ca="1">DATE(YEAR(TODAY())+1,11,1)</f>
        <v>45962</v>
      </c>
      <c r="J24" s="22">
        <f>'Level 4'!$F24*'Level 4'!$H24</f>
        <v>109725</v>
      </c>
    </row>
    <row r="25" spans="2:10" ht="15.75" x14ac:dyDescent="0.5">
      <c r="B25" s="18" t="s">
        <v>66</v>
      </c>
      <c r="C25" s="18" t="s">
        <v>21</v>
      </c>
      <c r="D25" s="18" t="s">
        <v>27</v>
      </c>
      <c r="E25" s="18" t="s">
        <v>67</v>
      </c>
      <c r="F25" s="19">
        <v>162000</v>
      </c>
      <c r="G25" s="18" t="s">
        <v>47</v>
      </c>
      <c r="H25" s="20">
        <v>0.9</v>
      </c>
      <c r="I25" s="21">
        <f ca="1">DATE(YEAR(TODAY())+1,2,1)</f>
        <v>45689</v>
      </c>
      <c r="J25" s="22">
        <f>'Level 4'!$F25*'Level 4'!$H25</f>
        <v>145800</v>
      </c>
    </row>
    <row r="26" spans="2:10" ht="15.75" x14ac:dyDescent="0.5">
      <c r="B26" s="18" t="s">
        <v>68</v>
      </c>
      <c r="C26" s="18" t="s">
        <v>26</v>
      </c>
      <c r="D26" s="18" t="s">
        <v>40</v>
      </c>
      <c r="E26" s="18" t="s">
        <v>28</v>
      </c>
      <c r="F26" s="19">
        <v>157000</v>
      </c>
      <c r="G26" s="18" t="s">
        <v>14</v>
      </c>
      <c r="H26" s="20">
        <v>1</v>
      </c>
      <c r="I26" s="21">
        <f ca="1">DATE(YEAR(TODAY())+1,3,1)</f>
        <v>45717</v>
      </c>
      <c r="J26" s="22">
        <f>'Level 4'!$F26*'Level 4'!$H26</f>
        <v>157000</v>
      </c>
    </row>
    <row r="27" spans="2:10" ht="15.75" x14ac:dyDescent="0.5">
      <c r="B27" s="18" t="s">
        <v>69</v>
      </c>
      <c r="C27" s="18" t="s">
        <v>16</v>
      </c>
      <c r="D27" s="18" t="s">
        <v>46</v>
      </c>
      <c r="E27" s="18" t="s">
        <v>58</v>
      </c>
      <c r="F27" s="19">
        <v>173000</v>
      </c>
      <c r="G27" s="18" t="s">
        <v>34</v>
      </c>
      <c r="H27" s="20">
        <v>0.4</v>
      </c>
      <c r="I27" s="21">
        <f ca="1">DATE(YEAR(TODAY())+1,4,1)</f>
        <v>45748</v>
      </c>
      <c r="J27" s="22">
        <f>'Level 4'!$F27*'Level 4'!$H27</f>
        <v>69200</v>
      </c>
    </row>
    <row r="28" spans="2:10" ht="15.75" x14ac:dyDescent="0.5">
      <c r="B28" s="18" t="s">
        <v>70</v>
      </c>
      <c r="C28" s="18" t="s">
        <v>31</v>
      </c>
      <c r="D28" s="18" t="s">
        <v>71</v>
      </c>
      <c r="E28" s="18" t="s">
        <v>28</v>
      </c>
      <c r="F28" s="19">
        <v>171000</v>
      </c>
      <c r="G28" s="18" t="s">
        <v>38</v>
      </c>
      <c r="H28" s="20">
        <v>0.5</v>
      </c>
      <c r="I28" s="21">
        <f ca="1">DATE(YEAR(TODAY())+1,8,1)</f>
        <v>45870</v>
      </c>
      <c r="J28" s="22">
        <f>'Level 4'!$F28*'Level 4'!$H28</f>
        <v>85500</v>
      </c>
    </row>
    <row r="29" spans="2:10" ht="15.75" x14ac:dyDescent="0.5">
      <c r="B29" s="23" t="s">
        <v>72</v>
      </c>
      <c r="C29" s="23" t="s">
        <v>11</v>
      </c>
      <c r="D29" s="23" t="s">
        <v>62</v>
      </c>
      <c r="E29" s="23" t="s">
        <v>18</v>
      </c>
      <c r="F29" s="24">
        <v>168000</v>
      </c>
      <c r="G29" s="23" t="s">
        <v>41</v>
      </c>
      <c r="H29" s="25">
        <v>0.6</v>
      </c>
      <c r="I29" s="26">
        <f ca="1">DATE(YEAR(TODAY())+1,9,1)</f>
        <v>45901</v>
      </c>
      <c r="J29" s="27">
        <f>'Level 4'!$F29*'Level 4'!$H29</f>
        <v>100800</v>
      </c>
    </row>
  </sheetData>
  <conditionalFormatting sqref="B7:J29">
    <cfRule type="expression" dxfId="18" priority="1">
      <formula>OR(ROW()=CELL("row"),COLUMN()=CELL("col"))</formula>
    </cfRule>
  </conditionalFormatting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F91742-7C95-42D2-A28F-4F07528D6131}">
  <sheetPr codeName="Sheet6"/>
  <dimension ref="A1:K29"/>
  <sheetViews>
    <sheetView zoomScale="120" zoomScaleNormal="120" workbookViewId="0">
      <selection activeCell="B4" sqref="B4"/>
    </sheetView>
  </sheetViews>
  <sheetFormatPr defaultColWidth="9.19921875" defaultRowHeight="21" customHeight="1" x14ac:dyDescent="0.5"/>
  <cols>
    <col min="1" max="1" width="3.9296875" style="12" customWidth="1"/>
    <col min="2" max="2" width="35.9296875" style="28" customWidth="1"/>
    <col min="3" max="3" width="22" style="28" customWidth="1"/>
    <col min="4" max="4" width="26" style="28" customWidth="1"/>
    <col min="5" max="5" width="19.9296875" style="28" customWidth="1"/>
    <col min="6" max="6" width="18" style="29" customWidth="1"/>
    <col min="7" max="7" width="25.19921875" style="28" customWidth="1"/>
    <col min="8" max="8" width="18" style="30" customWidth="1"/>
    <col min="9" max="9" width="22" style="31" customWidth="1"/>
    <col min="10" max="10" width="18" style="29" customWidth="1"/>
    <col min="11" max="11" width="3.9296875" style="12" customWidth="1"/>
    <col min="12" max="16384" width="9.19921875" style="1"/>
  </cols>
  <sheetData>
    <row r="1" spans="1:11" ht="15.75" x14ac:dyDescent="0.5">
      <c r="B1" s="12"/>
      <c r="C1" s="33"/>
      <c r="D1" s="33"/>
      <c r="E1" s="33"/>
      <c r="F1" s="12"/>
      <c r="G1" s="12"/>
      <c r="H1" s="12"/>
      <c r="I1" s="12"/>
      <c r="J1" s="34"/>
      <c r="K1" s="12" t="s">
        <v>0</v>
      </c>
    </row>
    <row r="2" spans="1:11" s="2" customFormat="1" ht="23.25" x14ac:dyDescent="0.7">
      <c r="A2" s="35"/>
      <c r="B2" s="36" t="s">
        <v>73</v>
      </c>
      <c r="C2" s="37"/>
      <c r="D2" s="37"/>
      <c r="E2" s="37"/>
      <c r="F2" s="35"/>
      <c r="G2" s="38"/>
      <c r="H2" s="38"/>
      <c r="I2" s="38"/>
      <c r="J2" s="39"/>
      <c r="K2" s="35"/>
    </row>
    <row r="3" spans="1:11" s="3" customFormat="1" ht="72.400000000000006" x14ac:dyDescent="2.15">
      <c r="A3" s="40"/>
      <c r="B3" s="44" t="s">
        <v>79</v>
      </c>
      <c r="C3" s="41"/>
      <c r="D3" s="41"/>
      <c r="E3" s="41"/>
      <c r="F3" s="40"/>
      <c r="G3" s="42"/>
      <c r="H3" s="42"/>
      <c r="I3" s="42"/>
      <c r="J3" s="43"/>
      <c r="K3" s="40"/>
    </row>
    <row r="4" spans="1:11" s="2" customFormat="1" ht="15.75" x14ac:dyDescent="0.5">
      <c r="A4" s="35"/>
      <c r="B4" s="52" t="s">
        <v>81</v>
      </c>
      <c r="C4" s="37"/>
      <c r="D4" s="37"/>
      <c r="E4" s="37"/>
      <c r="F4" s="35"/>
      <c r="G4" s="38"/>
      <c r="H4" s="38"/>
      <c r="I4" s="38"/>
      <c r="J4" s="39"/>
      <c r="K4" s="35"/>
    </row>
    <row r="5" spans="1:11" ht="15.75" x14ac:dyDescent="0.5">
      <c r="B5" s="51"/>
      <c r="C5" s="4"/>
      <c r="D5" s="4"/>
      <c r="E5" s="4"/>
      <c r="F5" s="5"/>
      <c r="G5" s="5"/>
      <c r="H5" s="5"/>
      <c r="I5" s="5"/>
      <c r="J5" s="6"/>
    </row>
    <row r="6" spans="1:11" s="7" customFormat="1" ht="40.5" x14ac:dyDescent="0.55000000000000004">
      <c r="A6" s="32"/>
      <c r="B6" s="8" t="s">
        <v>1</v>
      </c>
      <c r="C6" s="9" t="s">
        <v>2</v>
      </c>
      <c r="D6" s="9" t="s">
        <v>3</v>
      </c>
      <c r="E6" s="9" t="s">
        <v>4</v>
      </c>
      <c r="F6" s="9" t="s">
        <v>5</v>
      </c>
      <c r="G6" s="9" t="s">
        <v>6</v>
      </c>
      <c r="H6" s="10" t="s">
        <v>7</v>
      </c>
      <c r="I6" s="9" t="s">
        <v>8</v>
      </c>
      <c r="J6" s="11" t="s">
        <v>9</v>
      </c>
      <c r="K6" s="32"/>
    </row>
    <row r="7" spans="1:11" ht="15.75" x14ac:dyDescent="0.5">
      <c r="B7" s="13" t="s">
        <v>10</v>
      </c>
      <c r="C7" s="13" t="s">
        <v>11</v>
      </c>
      <c r="D7" s="13" t="s">
        <v>12</v>
      </c>
      <c r="E7" s="13" t="s">
        <v>13</v>
      </c>
      <c r="F7" s="14">
        <v>150000</v>
      </c>
      <c r="G7" s="13" t="s">
        <v>14</v>
      </c>
      <c r="H7" s="15">
        <v>0.9</v>
      </c>
      <c r="I7" s="16">
        <f ca="1">DATE(YEAR(TODAY())+1,1,1)</f>
        <v>45658</v>
      </c>
      <c r="J7" s="17">
        <f>'Level 5'!$F7*'Level 5'!$H7</f>
        <v>135000</v>
      </c>
    </row>
    <row r="8" spans="1:11" ht="15.75" x14ac:dyDescent="0.5">
      <c r="B8" s="18" t="s">
        <v>15</v>
      </c>
      <c r="C8" s="18" t="s">
        <v>16</v>
      </c>
      <c r="D8" s="18" t="s">
        <v>17</v>
      </c>
      <c r="E8" s="18" t="s">
        <v>18</v>
      </c>
      <c r="F8" s="19">
        <v>145200</v>
      </c>
      <c r="G8" s="18" t="s">
        <v>19</v>
      </c>
      <c r="H8" s="20">
        <v>0.1</v>
      </c>
      <c r="I8" s="21">
        <f ca="1">DATE(YEAR(TODAY())+1,2,1)</f>
        <v>45689</v>
      </c>
      <c r="J8" s="22">
        <f>'Level 5'!$F8*'Level 5'!$H8</f>
        <v>14520</v>
      </c>
    </row>
    <row r="9" spans="1:11" ht="15.75" x14ac:dyDescent="0.5">
      <c r="B9" s="18" t="s">
        <v>20</v>
      </c>
      <c r="C9" s="18" t="s">
        <v>21</v>
      </c>
      <c r="D9" s="18" t="s">
        <v>22</v>
      </c>
      <c r="E9" s="18" t="s">
        <v>23</v>
      </c>
      <c r="F9" s="19">
        <v>162500</v>
      </c>
      <c r="G9" s="18" t="s">
        <v>24</v>
      </c>
      <c r="H9" s="20">
        <v>0.2</v>
      </c>
      <c r="I9" s="21">
        <f ca="1">DATE(YEAR(TODAY())+1,3,1)</f>
        <v>45717</v>
      </c>
      <c r="J9" s="22">
        <f>'Level 5'!$F9*'Level 5'!$H9</f>
        <v>32500</v>
      </c>
    </row>
    <row r="10" spans="1:11" ht="15.75" x14ac:dyDescent="0.5">
      <c r="B10" s="18" t="s">
        <v>25</v>
      </c>
      <c r="C10" s="18" t="s">
        <v>26</v>
      </c>
      <c r="D10" s="18" t="s">
        <v>27</v>
      </c>
      <c r="E10" s="18" t="s">
        <v>28</v>
      </c>
      <c r="F10" s="19">
        <v>147500</v>
      </c>
      <c r="G10" s="18" t="s">
        <v>29</v>
      </c>
      <c r="H10" s="20">
        <v>0.3</v>
      </c>
      <c r="I10" s="21">
        <f ca="1">DATE(YEAR(TODAY())+1,4,1)</f>
        <v>45748</v>
      </c>
      <c r="J10" s="22">
        <f>'Level 5'!$F10*'Level 5'!$H10</f>
        <v>44250</v>
      </c>
    </row>
    <row r="11" spans="1:11" ht="15.75" x14ac:dyDescent="0.5">
      <c r="B11" s="18" t="s">
        <v>30</v>
      </c>
      <c r="C11" s="18" t="s">
        <v>31</v>
      </c>
      <c r="D11" s="18" t="s">
        <v>32</v>
      </c>
      <c r="E11" s="18" t="s">
        <v>33</v>
      </c>
      <c r="F11" s="19">
        <v>148000</v>
      </c>
      <c r="G11" s="18" t="s">
        <v>34</v>
      </c>
      <c r="H11" s="20">
        <v>0.4</v>
      </c>
      <c r="I11" s="21">
        <f ca="1">DATE(YEAR(TODAY())+1,5,1)</f>
        <v>45778</v>
      </c>
      <c r="J11" s="22">
        <f>'Level 5'!$F11*'Level 5'!$H11</f>
        <v>59200</v>
      </c>
    </row>
    <row r="12" spans="1:11" ht="15.75" x14ac:dyDescent="0.5">
      <c r="B12" s="18" t="s">
        <v>35</v>
      </c>
      <c r="C12" s="18" t="s">
        <v>11</v>
      </c>
      <c r="D12" s="18" t="s">
        <v>36</v>
      </c>
      <c r="E12" s="18" t="s">
        <v>37</v>
      </c>
      <c r="F12" s="19">
        <v>175000</v>
      </c>
      <c r="G12" s="18" t="s">
        <v>38</v>
      </c>
      <c r="H12" s="20">
        <v>0.5</v>
      </c>
      <c r="I12" s="21">
        <f ca="1">DATE(YEAR(TODAY())+1,6,1)</f>
        <v>45809</v>
      </c>
      <c r="J12" s="22">
        <f>'Level 5'!$F12*'Level 5'!$H12</f>
        <v>87500</v>
      </c>
    </row>
    <row r="13" spans="1:11" ht="15.75" x14ac:dyDescent="0.5">
      <c r="B13" s="18" t="s">
        <v>39</v>
      </c>
      <c r="C13" s="18" t="s">
        <v>21</v>
      </c>
      <c r="D13" s="18" t="s">
        <v>40</v>
      </c>
      <c r="E13" s="18" t="s">
        <v>28</v>
      </c>
      <c r="F13" s="19">
        <v>149000</v>
      </c>
      <c r="G13" s="18" t="s">
        <v>41</v>
      </c>
      <c r="H13" s="20">
        <v>0.6</v>
      </c>
      <c r="I13" s="21">
        <f ca="1">DATE(YEAR(TODAY())+1,7,1)</f>
        <v>45839</v>
      </c>
      <c r="J13" s="22">
        <f>'Level 5'!$F13*'Level 5'!$H13</f>
        <v>89400</v>
      </c>
    </row>
    <row r="14" spans="1:11" ht="15.75" x14ac:dyDescent="0.5">
      <c r="B14" s="18" t="s">
        <v>42</v>
      </c>
      <c r="C14" s="18" t="s">
        <v>31</v>
      </c>
      <c r="D14" s="18" t="s">
        <v>43</v>
      </c>
      <c r="E14" s="18" t="s">
        <v>23</v>
      </c>
      <c r="F14" s="19">
        <v>142000</v>
      </c>
      <c r="G14" s="18" t="s">
        <v>44</v>
      </c>
      <c r="H14" s="20">
        <v>0.7</v>
      </c>
      <c r="I14" s="21">
        <f ca="1">DATE(YEAR(TODAY())+1,8,1)</f>
        <v>45870</v>
      </c>
      <c r="J14" s="22">
        <f>'Level 5'!$F14*'Level 5'!$H14</f>
        <v>99400</v>
      </c>
    </row>
    <row r="15" spans="1:11" ht="15.75" x14ac:dyDescent="0.5">
      <c r="B15" s="18" t="s">
        <v>45</v>
      </c>
      <c r="C15" s="18" t="s">
        <v>21</v>
      </c>
      <c r="D15" s="18" t="s">
        <v>46</v>
      </c>
      <c r="E15" s="18" t="s">
        <v>28</v>
      </c>
      <c r="F15" s="19">
        <v>172500</v>
      </c>
      <c r="G15" s="18" t="s">
        <v>47</v>
      </c>
      <c r="H15" s="20">
        <v>0.9</v>
      </c>
      <c r="I15" s="21">
        <f ca="1">DATE(YEAR(TODAY())+1,10,1)</f>
        <v>45931</v>
      </c>
      <c r="J15" s="22">
        <f>'Level 5'!$F15*'Level 5'!$H15</f>
        <v>155250</v>
      </c>
    </row>
    <row r="16" spans="1:11" ht="15.75" x14ac:dyDescent="0.5">
      <c r="B16" s="18" t="s">
        <v>48</v>
      </c>
      <c r="C16" s="18" t="s">
        <v>26</v>
      </c>
      <c r="D16" s="18" t="s">
        <v>49</v>
      </c>
      <c r="E16" s="18" t="s">
        <v>18</v>
      </c>
      <c r="F16" s="19">
        <v>163500</v>
      </c>
      <c r="G16" s="18" t="s">
        <v>29</v>
      </c>
      <c r="H16" s="20">
        <v>0.2</v>
      </c>
      <c r="I16" s="21">
        <f ca="1">DATE(YEAR(TODAY())+1,11,1)</f>
        <v>45962</v>
      </c>
      <c r="J16" s="22">
        <f>'Level 5'!$F16*'Level 5'!$H16</f>
        <v>32700</v>
      </c>
    </row>
    <row r="17" spans="2:10" ht="15.75" x14ac:dyDescent="0.5">
      <c r="B17" s="18" t="s">
        <v>50</v>
      </c>
      <c r="C17" s="18" t="s">
        <v>31</v>
      </c>
      <c r="D17" s="18" t="s">
        <v>51</v>
      </c>
      <c r="E17" s="18" t="s">
        <v>18</v>
      </c>
      <c r="F17" s="19">
        <v>155500</v>
      </c>
      <c r="G17" s="18" t="s">
        <v>14</v>
      </c>
      <c r="H17" s="20">
        <v>1</v>
      </c>
      <c r="I17" s="21">
        <f ca="1">DATE(YEAR(TODAY())+1,12,1)</f>
        <v>45992</v>
      </c>
      <c r="J17" s="22">
        <f>'Level 5'!$F17*'Level 5'!$H17</f>
        <v>155500</v>
      </c>
    </row>
    <row r="18" spans="2:10" ht="15.75" x14ac:dyDescent="0.5">
      <c r="B18" s="18" t="s">
        <v>52</v>
      </c>
      <c r="C18" s="18" t="s">
        <v>26</v>
      </c>
      <c r="D18" s="18" t="s">
        <v>53</v>
      </c>
      <c r="E18" s="18" t="s">
        <v>13</v>
      </c>
      <c r="F18" s="19">
        <v>166000</v>
      </c>
      <c r="G18" s="18" t="s">
        <v>19</v>
      </c>
      <c r="H18" s="20">
        <v>0.1</v>
      </c>
      <c r="I18" s="21">
        <f ca="1">DATE(YEAR(TODAY())+1,1,1)</f>
        <v>45658</v>
      </c>
      <c r="J18" s="22">
        <f>'Level 5'!$F18*'Level 5'!$H18</f>
        <v>16600</v>
      </c>
    </row>
    <row r="19" spans="2:10" ht="15.75" x14ac:dyDescent="0.5">
      <c r="B19" s="18" t="s">
        <v>54</v>
      </c>
      <c r="C19" s="18" t="s">
        <v>21</v>
      </c>
      <c r="D19" s="18" t="s">
        <v>55</v>
      </c>
      <c r="E19" s="18" t="s">
        <v>23</v>
      </c>
      <c r="F19" s="19">
        <v>180000</v>
      </c>
      <c r="G19" s="18" t="s">
        <v>34</v>
      </c>
      <c r="H19" s="20">
        <v>0.3</v>
      </c>
      <c r="I19" s="21">
        <f ca="1">DATE(YEAR(TODAY())+1,3,1)</f>
        <v>45717</v>
      </c>
      <c r="J19" s="22">
        <f>'Level 5'!$F19*'Level 5'!$H19</f>
        <v>54000</v>
      </c>
    </row>
    <row r="20" spans="2:10" ht="15.75" x14ac:dyDescent="0.5">
      <c r="B20" s="18" t="s">
        <v>56</v>
      </c>
      <c r="C20" s="18" t="s">
        <v>16</v>
      </c>
      <c r="D20" s="18" t="s">
        <v>57</v>
      </c>
      <c r="E20" s="18" t="s">
        <v>58</v>
      </c>
      <c r="F20" s="19">
        <v>140000</v>
      </c>
      <c r="G20" s="18" t="s">
        <v>41</v>
      </c>
      <c r="H20" s="20">
        <v>0.6</v>
      </c>
      <c r="I20" s="21">
        <f ca="1">DATE(YEAR(TODAY())+1,5,1)</f>
        <v>45778</v>
      </c>
      <c r="J20" s="22">
        <f>'Level 5'!$F20*'Level 5'!$H20</f>
        <v>84000</v>
      </c>
    </row>
    <row r="21" spans="2:10" ht="15.75" x14ac:dyDescent="0.5">
      <c r="B21" s="18" t="s">
        <v>59</v>
      </c>
      <c r="C21" s="18" t="s">
        <v>11</v>
      </c>
      <c r="D21" s="18" t="s">
        <v>60</v>
      </c>
      <c r="E21" s="18" t="s">
        <v>37</v>
      </c>
      <c r="F21" s="19">
        <v>155000</v>
      </c>
      <c r="G21" s="18" t="s">
        <v>29</v>
      </c>
      <c r="H21" s="20">
        <v>0.3</v>
      </c>
      <c r="I21" s="21">
        <f ca="1">DATE(YEAR(TODAY())+1,6,1)</f>
        <v>45809</v>
      </c>
      <c r="J21" s="22">
        <f>'Level 5'!$F21*'Level 5'!$H21</f>
        <v>46500</v>
      </c>
    </row>
    <row r="22" spans="2:10" ht="15.75" x14ac:dyDescent="0.5">
      <c r="B22" s="18" t="s">
        <v>61</v>
      </c>
      <c r="C22" s="18" t="s">
        <v>16</v>
      </c>
      <c r="D22" s="18" t="s">
        <v>62</v>
      </c>
      <c r="E22" s="18" t="s">
        <v>33</v>
      </c>
      <c r="F22" s="19">
        <v>173200</v>
      </c>
      <c r="G22" s="18" t="s">
        <v>38</v>
      </c>
      <c r="H22" s="20">
        <v>0.5</v>
      </c>
      <c r="I22" s="21">
        <f ca="1">DATE(YEAR(TODAY())+1,10,1)</f>
        <v>45931</v>
      </c>
      <c r="J22" s="22">
        <f>'Level 5'!$F22*'Level 5'!$H22</f>
        <v>86600</v>
      </c>
    </row>
    <row r="23" spans="2:10" ht="15.75" x14ac:dyDescent="0.5">
      <c r="B23" s="18" t="s">
        <v>63</v>
      </c>
      <c r="C23" s="18" t="s">
        <v>31</v>
      </c>
      <c r="D23" s="18" t="s">
        <v>64</v>
      </c>
      <c r="E23" s="18" t="s">
        <v>58</v>
      </c>
      <c r="F23" s="19">
        <v>146500</v>
      </c>
      <c r="G23" s="18" t="s">
        <v>41</v>
      </c>
      <c r="H23" s="20">
        <v>0.6</v>
      </c>
      <c r="I23" s="21">
        <f ca="1">DATE(YEAR(TODAY())+1,12,1)</f>
        <v>45992</v>
      </c>
      <c r="J23" s="22">
        <f>'Level 5'!$F23*'Level 5'!$H23</f>
        <v>87900</v>
      </c>
    </row>
    <row r="24" spans="2:10" ht="15.75" x14ac:dyDescent="0.5">
      <c r="B24" s="18" t="s">
        <v>65</v>
      </c>
      <c r="C24" s="18" t="s">
        <v>26</v>
      </c>
      <c r="D24" s="18" t="s">
        <v>12</v>
      </c>
      <c r="E24" s="18" t="s">
        <v>37</v>
      </c>
      <c r="F24" s="19">
        <v>156750</v>
      </c>
      <c r="G24" s="18" t="s">
        <v>44</v>
      </c>
      <c r="H24" s="20">
        <v>0.7</v>
      </c>
      <c r="I24" s="21">
        <f ca="1">DATE(YEAR(TODAY())+1,11,1)</f>
        <v>45962</v>
      </c>
      <c r="J24" s="22">
        <f>'Level 5'!$F24*'Level 5'!$H24</f>
        <v>109725</v>
      </c>
    </row>
    <row r="25" spans="2:10" ht="15.75" x14ac:dyDescent="0.5">
      <c r="B25" s="18" t="s">
        <v>66</v>
      </c>
      <c r="C25" s="18" t="s">
        <v>21</v>
      </c>
      <c r="D25" s="18" t="s">
        <v>27</v>
      </c>
      <c r="E25" s="18" t="s">
        <v>67</v>
      </c>
      <c r="F25" s="19">
        <v>162000</v>
      </c>
      <c r="G25" s="18" t="s">
        <v>47</v>
      </c>
      <c r="H25" s="20">
        <v>0.9</v>
      </c>
      <c r="I25" s="21">
        <f ca="1">DATE(YEAR(TODAY())+1,2,1)</f>
        <v>45689</v>
      </c>
      <c r="J25" s="22">
        <f>'Level 5'!$F25*'Level 5'!$H25</f>
        <v>145800</v>
      </c>
    </row>
    <row r="26" spans="2:10" ht="15.75" x14ac:dyDescent="0.5">
      <c r="B26" s="18" t="s">
        <v>68</v>
      </c>
      <c r="C26" s="18" t="s">
        <v>26</v>
      </c>
      <c r="D26" s="18" t="s">
        <v>40</v>
      </c>
      <c r="E26" s="18" t="s">
        <v>28</v>
      </c>
      <c r="F26" s="19">
        <v>157000</v>
      </c>
      <c r="G26" s="18" t="s">
        <v>14</v>
      </c>
      <c r="H26" s="20">
        <v>1</v>
      </c>
      <c r="I26" s="21">
        <f ca="1">DATE(YEAR(TODAY())+1,3,1)</f>
        <v>45717</v>
      </c>
      <c r="J26" s="22">
        <f>'Level 5'!$F26*'Level 5'!$H26</f>
        <v>157000</v>
      </c>
    </row>
    <row r="27" spans="2:10" ht="15.75" x14ac:dyDescent="0.5">
      <c r="B27" s="18" t="s">
        <v>69</v>
      </c>
      <c r="C27" s="18" t="s">
        <v>16</v>
      </c>
      <c r="D27" s="18" t="s">
        <v>46</v>
      </c>
      <c r="E27" s="18" t="s">
        <v>58</v>
      </c>
      <c r="F27" s="19">
        <v>173000</v>
      </c>
      <c r="G27" s="18" t="s">
        <v>34</v>
      </c>
      <c r="H27" s="20">
        <v>0.4</v>
      </c>
      <c r="I27" s="21">
        <f ca="1">DATE(YEAR(TODAY())+1,4,1)</f>
        <v>45748</v>
      </c>
      <c r="J27" s="22">
        <f>'Level 5'!$F27*'Level 5'!$H27</f>
        <v>69200</v>
      </c>
    </row>
    <row r="28" spans="2:10" ht="15.75" x14ac:dyDescent="0.5">
      <c r="B28" s="18" t="s">
        <v>70</v>
      </c>
      <c r="C28" s="18" t="s">
        <v>31</v>
      </c>
      <c r="D28" s="18" t="s">
        <v>71</v>
      </c>
      <c r="E28" s="18" t="s">
        <v>28</v>
      </c>
      <c r="F28" s="19">
        <v>171000</v>
      </c>
      <c r="G28" s="18" t="s">
        <v>38</v>
      </c>
      <c r="H28" s="20">
        <v>0.5</v>
      </c>
      <c r="I28" s="21">
        <f ca="1">DATE(YEAR(TODAY())+1,8,1)</f>
        <v>45870</v>
      </c>
      <c r="J28" s="22">
        <f>'Level 5'!$F28*'Level 5'!$H28</f>
        <v>85500</v>
      </c>
    </row>
    <row r="29" spans="2:10" ht="15.75" x14ac:dyDescent="0.5">
      <c r="B29" s="23" t="s">
        <v>72</v>
      </c>
      <c r="C29" s="23" t="s">
        <v>11</v>
      </c>
      <c r="D29" s="23" t="s">
        <v>62</v>
      </c>
      <c r="E29" s="23" t="s">
        <v>18</v>
      </c>
      <c r="F29" s="24">
        <v>168000</v>
      </c>
      <c r="G29" s="23" t="s">
        <v>41</v>
      </c>
      <c r="H29" s="25">
        <v>0.6</v>
      </c>
      <c r="I29" s="26">
        <f ca="1">DATE(YEAR(TODAY())+1,9,1)</f>
        <v>45901</v>
      </c>
      <c r="J29" s="27">
        <f>'Level 5'!$F29*'Level 5'!$H29</f>
        <v>100800</v>
      </c>
    </row>
  </sheetData>
  <conditionalFormatting sqref="B7:J29">
    <cfRule type="expression" dxfId="17" priority="1">
      <formula>AND(ROW()=CELL("row"),COLUMN()=CELL("col"))</formula>
    </cfRule>
    <cfRule type="expression" dxfId="16" priority="2">
      <formula>OR(ROW()=CELL("row"),COLUMN()=CELL("col"))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CCB501-AAA4-4A23-89F3-09CAFAE28951}">
  <sheetPr codeName="Sheet7"/>
  <dimension ref="A1:K29"/>
  <sheetViews>
    <sheetView zoomScale="120" zoomScaleNormal="120" workbookViewId="0">
      <selection activeCell="B4" sqref="B4"/>
    </sheetView>
  </sheetViews>
  <sheetFormatPr defaultColWidth="9.19921875" defaultRowHeight="21" customHeight="1" x14ac:dyDescent="0.5"/>
  <cols>
    <col min="1" max="1" width="3.9296875" style="12" customWidth="1"/>
    <col min="2" max="2" width="35.9296875" style="28" customWidth="1"/>
    <col min="3" max="3" width="22" style="28" customWidth="1"/>
    <col min="4" max="4" width="26" style="28" customWidth="1"/>
    <col min="5" max="5" width="19.9296875" style="28" customWidth="1"/>
    <col min="6" max="6" width="18" style="29" customWidth="1"/>
    <col min="7" max="7" width="25.19921875" style="28" customWidth="1"/>
    <col min="8" max="8" width="18" style="30" customWidth="1"/>
    <col min="9" max="9" width="22" style="31" customWidth="1"/>
    <col min="10" max="10" width="18" style="29" customWidth="1"/>
    <col min="11" max="11" width="3.9296875" style="12" customWidth="1"/>
    <col min="12" max="16384" width="9.19921875" style="1"/>
  </cols>
  <sheetData>
    <row r="1" spans="1:11" ht="15.75" x14ac:dyDescent="0.5">
      <c r="B1" s="12"/>
      <c r="C1" s="33"/>
      <c r="D1" s="33"/>
      <c r="E1" s="33"/>
      <c r="F1" s="12"/>
      <c r="G1" s="12"/>
      <c r="H1" s="12"/>
      <c r="I1" s="12"/>
      <c r="J1" s="34"/>
      <c r="K1" s="12" t="s">
        <v>0</v>
      </c>
    </row>
    <row r="2" spans="1:11" s="2" customFormat="1" ht="23.25" x14ac:dyDescent="0.7">
      <c r="A2" s="35"/>
      <c r="B2" s="36" t="s">
        <v>73</v>
      </c>
      <c r="C2" s="37"/>
      <c r="D2" s="37"/>
      <c r="E2" s="37" t="s">
        <v>85</v>
      </c>
      <c r="F2" s="35" t="s">
        <v>84</v>
      </c>
      <c r="G2" s="38"/>
      <c r="H2" s="38"/>
      <c r="I2" s="38"/>
      <c r="J2" s="39"/>
      <c r="K2" s="35"/>
    </row>
    <row r="3" spans="1:11" s="3" customFormat="1" ht="72.400000000000006" x14ac:dyDescent="2.15">
      <c r="A3" s="40"/>
      <c r="B3" s="44" t="s">
        <v>82</v>
      </c>
      <c r="C3" s="41"/>
      <c r="D3" s="41"/>
      <c r="E3" s="41"/>
      <c r="F3" s="40"/>
      <c r="G3" s="42"/>
      <c r="H3" s="42"/>
      <c r="I3" s="42"/>
      <c r="J3" s="43"/>
      <c r="K3" s="40"/>
    </row>
    <row r="4" spans="1:11" s="2" customFormat="1" ht="15.75" x14ac:dyDescent="0.5">
      <c r="A4" s="35"/>
      <c r="B4" s="52" t="s">
        <v>81</v>
      </c>
      <c r="C4" s="37"/>
      <c r="D4" s="37"/>
      <c r="E4" s="37"/>
      <c r="F4" s="35"/>
      <c r="G4" s="38"/>
      <c r="H4" s="38"/>
      <c r="I4" s="38"/>
      <c r="J4" s="39"/>
      <c r="K4" s="35"/>
    </row>
    <row r="5" spans="1:11" ht="15.75" x14ac:dyDescent="0.5">
      <c r="B5" s="51"/>
      <c r="C5" s="4"/>
      <c r="D5" s="4"/>
      <c r="E5" s="4"/>
      <c r="F5" s="5"/>
      <c r="G5" s="5"/>
      <c r="H5" s="5"/>
      <c r="I5" s="5"/>
      <c r="J5" s="6"/>
    </row>
    <row r="6" spans="1:11" s="7" customFormat="1" ht="40.5" x14ac:dyDescent="0.55000000000000004">
      <c r="A6" s="32"/>
      <c r="B6" s="8" t="s">
        <v>1</v>
      </c>
      <c r="C6" s="9" t="s">
        <v>2</v>
      </c>
      <c r="D6" s="9" t="s">
        <v>3</v>
      </c>
      <c r="E6" s="9" t="s">
        <v>4</v>
      </c>
      <c r="F6" s="9" t="s">
        <v>5</v>
      </c>
      <c r="G6" s="9" t="s">
        <v>6</v>
      </c>
      <c r="H6" s="10" t="s">
        <v>7</v>
      </c>
      <c r="I6" s="9" t="s">
        <v>8</v>
      </c>
      <c r="J6" s="11" t="s">
        <v>9</v>
      </c>
      <c r="K6" s="32"/>
    </row>
    <row r="7" spans="1:11" ht="15.75" x14ac:dyDescent="0.5">
      <c r="B7" s="13" t="s">
        <v>10</v>
      </c>
      <c r="C7" s="13" t="s">
        <v>11</v>
      </c>
      <c r="D7" s="13" t="s">
        <v>12</v>
      </c>
      <c r="E7" s="13" t="s">
        <v>13</v>
      </c>
      <c r="F7" s="14">
        <v>150000</v>
      </c>
      <c r="G7" s="13" t="s">
        <v>14</v>
      </c>
      <c r="H7" s="15">
        <v>0.9</v>
      </c>
      <c r="I7" s="16">
        <f ca="1">DATE(YEAR(TODAY())+1,1,1)</f>
        <v>45658</v>
      </c>
      <c r="J7" s="17">
        <f>'Level 6'!$F7*'Level 6'!$H7</f>
        <v>135000</v>
      </c>
    </row>
    <row r="8" spans="1:11" ht="15.75" x14ac:dyDescent="0.5">
      <c r="B8" s="18" t="s">
        <v>15</v>
      </c>
      <c r="C8" s="18" t="s">
        <v>16</v>
      </c>
      <c r="D8" s="18" t="s">
        <v>17</v>
      </c>
      <c r="E8" s="18" t="s">
        <v>18</v>
      </c>
      <c r="F8" s="19">
        <v>145200</v>
      </c>
      <c r="G8" s="18" t="s">
        <v>19</v>
      </c>
      <c r="H8" s="20">
        <v>0.1</v>
      </c>
      <c r="I8" s="21">
        <f ca="1">DATE(YEAR(TODAY())+1,2,1)</f>
        <v>45689</v>
      </c>
      <c r="J8" s="22">
        <f>'Level 6'!$F8*'Level 6'!$H8</f>
        <v>14520</v>
      </c>
    </row>
    <row r="9" spans="1:11" ht="15.75" x14ac:dyDescent="0.5">
      <c r="B9" s="18" t="s">
        <v>20</v>
      </c>
      <c r="C9" s="18" t="s">
        <v>21</v>
      </c>
      <c r="D9" s="18" t="s">
        <v>22</v>
      </c>
      <c r="E9" s="18" t="s">
        <v>23</v>
      </c>
      <c r="F9" s="19">
        <v>162500</v>
      </c>
      <c r="G9" s="18" t="s">
        <v>24</v>
      </c>
      <c r="H9" s="20">
        <v>0.2</v>
      </c>
      <c r="I9" s="21">
        <f ca="1">DATE(YEAR(TODAY())+1,3,1)</f>
        <v>45717</v>
      </c>
      <c r="J9" s="22">
        <f>'Level 6'!$F9*'Level 6'!$H9</f>
        <v>32500</v>
      </c>
    </row>
    <row r="10" spans="1:11" ht="15.75" x14ac:dyDescent="0.5">
      <c r="B10" s="18" t="s">
        <v>25</v>
      </c>
      <c r="C10" s="18" t="s">
        <v>26</v>
      </c>
      <c r="D10" s="18" t="s">
        <v>27</v>
      </c>
      <c r="E10" s="18" t="s">
        <v>28</v>
      </c>
      <c r="F10" s="19">
        <v>147500</v>
      </c>
      <c r="G10" s="18" t="s">
        <v>29</v>
      </c>
      <c r="H10" s="20">
        <v>0.3</v>
      </c>
      <c r="I10" s="21">
        <f ca="1">DATE(YEAR(TODAY())+1,4,1)</f>
        <v>45748</v>
      </c>
      <c r="J10" s="22">
        <f>'Level 6'!$F10*'Level 6'!$H10</f>
        <v>44250</v>
      </c>
    </row>
    <row r="11" spans="1:11" ht="15.75" x14ac:dyDescent="0.5">
      <c r="B11" s="18" t="s">
        <v>30</v>
      </c>
      <c r="C11" s="18" t="s">
        <v>31</v>
      </c>
      <c r="D11" s="18" t="s">
        <v>32</v>
      </c>
      <c r="E11" s="18" t="s">
        <v>33</v>
      </c>
      <c r="F11" s="19">
        <v>148000</v>
      </c>
      <c r="G11" s="18" t="s">
        <v>34</v>
      </c>
      <c r="H11" s="20">
        <v>0.4</v>
      </c>
      <c r="I11" s="21">
        <f ca="1">DATE(YEAR(TODAY())+1,5,1)</f>
        <v>45778</v>
      </c>
      <c r="J11" s="22">
        <f>'Level 6'!$F11*'Level 6'!$H11</f>
        <v>59200</v>
      </c>
    </row>
    <row r="12" spans="1:11" ht="15.75" x14ac:dyDescent="0.5">
      <c r="B12" s="18" t="s">
        <v>35</v>
      </c>
      <c r="C12" s="18" t="s">
        <v>11</v>
      </c>
      <c r="D12" s="18" t="s">
        <v>36</v>
      </c>
      <c r="E12" s="18" t="s">
        <v>37</v>
      </c>
      <c r="F12" s="19">
        <v>175000</v>
      </c>
      <c r="G12" s="18" t="s">
        <v>38</v>
      </c>
      <c r="H12" s="20">
        <v>0.5</v>
      </c>
      <c r="I12" s="21">
        <f ca="1">DATE(YEAR(TODAY())+1,6,1)</f>
        <v>45809</v>
      </c>
      <c r="J12" s="22">
        <f>'Level 6'!$F12*'Level 6'!$H12</f>
        <v>87500</v>
      </c>
    </row>
    <row r="13" spans="1:11" ht="15.75" x14ac:dyDescent="0.5">
      <c r="B13" s="18" t="s">
        <v>39</v>
      </c>
      <c r="C13" s="18" t="s">
        <v>21</v>
      </c>
      <c r="D13" s="18" t="s">
        <v>40</v>
      </c>
      <c r="E13" s="18" t="s">
        <v>28</v>
      </c>
      <c r="F13" s="19">
        <v>149000</v>
      </c>
      <c r="G13" s="18" t="s">
        <v>41</v>
      </c>
      <c r="H13" s="20">
        <v>0.6</v>
      </c>
      <c r="I13" s="21">
        <f ca="1">DATE(YEAR(TODAY())+1,7,1)</f>
        <v>45839</v>
      </c>
      <c r="J13" s="22">
        <f>'Level 6'!$F13*'Level 6'!$H13</f>
        <v>89400</v>
      </c>
    </row>
    <row r="14" spans="1:11" ht="15.75" x14ac:dyDescent="0.5">
      <c r="B14" s="18" t="s">
        <v>42</v>
      </c>
      <c r="C14" s="18" t="s">
        <v>31</v>
      </c>
      <c r="D14" s="18" t="s">
        <v>43</v>
      </c>
      <c r="E14" s="18" t="s">
        <v>23</v>
      </c>
      <c r="F14" s="19">
        <v>142000</v>
      </c>
      <c r="G14" s="18" t="s">
        <v>44</v>
      </c>
      <c r="H14" s="20">
        <v>0.7</v>
      </c>
      <c r="I14" s="21">
        <f ca="1">DATE(YEAR(TODAY())+1,8,1)</f>
        <v>45870</v>
      </c>
      <c r="J14" s="22">
        <f>'Level 6'!$F14*'Level 6'!$H14</f>
        <v>99400</v>
      </c>
    </row>
    <row r="15" spans="1:11" ht="15.75" x14ac:dyDescent="0.5">
      <c r="B15" s="18" t="s">
        <v>45</v>
      </c>
      <c r="C15" s="18" t="s">
        <v>21</v>
      </c>
      <c r="D15" s="18" t="s">
        <v>46</v>
      </c>
      <c r="E15" s="18" t="s">
        <v>28</v>
      </c>
      <c r="F15" s="19">
        <v>172500</v>
      </c>
      <c r="G15" s="18" t="s">
        <v>47</v>
      </c>
      <c r="H15" s="20">
        <v>0.9</v>
      </c>
      <c r="I15" s="21">
        <f ca="1">DATE(YEAR(TODAY())+1,10,1)</f>
        <v>45931</v>
      </c>
      <c r="J15" s="22">
        <f>'Level 6'!$F15*'Level 6'!$H15</f>
        <v>155250</v>
      </c>
    </row>
    <row r="16" spans="1:11" ht="15.75" x14ac:dyDescent="0.5">
      <c r="B16" s="18" t="s">
        <v>48</v>
      </c>
      <c r="C16" s="18" t="s">
        <v>26</v>
      </c>
      <c r="D16" s="18" t="s">
        <v>49</v>
      </c>
      <c r="E16" s="18" t="s">
        <v>18</v>
      </c>
      <c r="F16" s="19">
        <v>163500</v>
      </c>
      <c r="G16" s="18" t="s">
        <v>29</v>
      </c>
      <c r="H16" s="20">
        <v>0.2</v>
      </c>
      <c r="I16" s="21">
        <f ca="1">DATE(YEAR(TODAY())+1,11,1)</f>
        <v>45962</v>
      </c>
      <c r="J16" s="22">
        <f>'Level 6'!$F16*'Level 6'!$H16</f>
        <v>32700</v>
      </c>
    </row>
    <row r="17" spans="2:10" ht="15.75" x14ac:dyDescent="0.5">
      <c r="B17" s="18" t="s">
        <v>50</v>
      </c>
      <c r="C17" s="18" t="s">
        <v>31</v>
      </c>
      <c r="D17" s="18" t="s">
        <v>51</v>
      </c>
      <c r="E17" s="18" t="s">
        <v>18</v>
      </c>
      <c r="F17" s="19">
        <v>155500</v>
      </c>
      <c r="G17" s="18" t="s">
        <v>14</v>
      </c>
      <c r="H17" s="20">
        <v>1</v>
      </c>
      <c r="I17" s="21">
        <f ca="1">DATE(YEAR(TODAY())+1,12,1)</f>
        <v>45992</v>
      </c>
      <c r="J17" s="22">
        <f>'Level 6'!$F17*'Level 6'!$H17</f>
        <v>155500</v>
      </c>
    </row>
    <row r="18" spans="2:10" ht="15.75" x14ac:dyDescent="0.5">
      <c r="B18" s="18" t="s">
        <v>52</v>
      </c>
      <c r="C18" s="18" t="s">
        <v>26</v>
      </c>
      <c r="D18" s="18" t="s">
        <v>53</v>
      </c>
      <c r="E18" s="18" t="s">
        <v>13</v>
      </c>
      <c r="F18" s="19">
        <v>166000</v>
      </c>
      <c r="G18" s="18" t="s">
        <v>19</v>
      </c>
      <c r="H18" s="20">
        <v>0.1</v>
      </c>
      <c r="I18" s="21">
        <f ca="1">DATE(YEAR(TODAY())+1,1,1)</f>
        <v>45658</v>
      </c>
      <c r="J18" s="22">
        <f>'Level 6'!$F18*'Level 6'!$H18</f>
        <v>16600</v>
      </c>
    </row>
    <row r="19" spans="2:10" ht="15.75" x14ac:dyDescent="0.5">
      <c r="B19" s="18" t="s">
        <v>54</v>
      </c>
      <c r="C19" s="18" t="s">
        <v>21</v>
      </c>
      <c r="D19" s="18" t="s">
        <v>55</v>
      </c>
      <c r="E19" s="18" t="s">
        <v>23</v>
      </c>
      <c r="F19" s="19">
        <v>180000</v>
      </c>
      <c r="G19" s="18" t="s">
        <v>34</v>
      </c>
      <c r="H19" s="20">
        <v>0.3</v>
      </c>
      <c r="I19" s="21">
        <f ca="1">DATE(YEAR(TODAY())+1,3,1)</f>
        <v>45717</v>
      </c>
      <c r="J19" s="22">
        <f>'Level 6'!$F19*'Level 6'!$H19</f>
        <v>54000</v>
      </c>
    </row>
    <row r="20" spans="2:10" ht="15.75" x14ac:dyDescent="0.5">
      <c r="B20" s="18" t="s">
        <v>56</v>
      </c>
      <c r="C20" s="18" t="s">
        <v>16</v>
      </c>
      <c r="D20" s="18" t="s">
        <v>57</v>
      </c>
      <c r="E20" s="18" t="s">
        <v>58</v>
      </c>
      <c r="F20" s="19">
        <v>140000</v>
      </c>
      <c r="G20" s="18" t="s">
        <v>41</v>
      </c>
      <c r="H20" s="20">
        <v>0.6</v>
      </c>
      <c r="I20" s="21">
        <f ca="1">DATE(YEAR(TODAY())+1,5,1)</f>
        <v>45778</v>
      </c>
      <c r="J20" s="22">
        <f>'Level 6'!$F20*'Level 6'!$H20</f>
        <v>84000</v>
      </c>
    </row>
    <row r="21" spans="2:10" ht="15.75" x14ac:dyDescent="0.5">
      <c r="B21" s="18" t="s">
        <v>59</v>
      </c>
      <c r="C21" s="18" t="s">
        <v>11</v>
      </c>
      <c r="D21" s="18" t="s">
        <v>60</v>
      </c>
      <c r="E21" s="18" t="s">
        <v>37</v>
      </c>
      <c r="F21" s="19">
        <v>155000</v>
      </c>
      <c r="G21" s="18" t="s">
        <v>29</v>
      </c>
      <c r="H21" s="20">
        <v>0.3</v>
      </c>
      <c r="I21" s="21">
        <f ca="1">DATE(YEAR(TODAY())+1,6,1)</f>
        <v>45809</v>
      </c>
      <c r="J21" s="22">
        <f>'Level 6'!$F21*'Level 6'!$H21</f>
        <v>46500</v>
      </c>
    </row>
    <row r="22" spans="2:10" ht="15.75" x14ac:dyDescent="0.5">
      <c r="B22" s="18" t="s">
        <v>61</v>
      </c>
      <c r="C22" s="18" t="s">
        <v>16</v>
      </c>
      <c r="D22" s="18" t="s">
        <v>62</v>
      </c>
      <c r="E22" s="18" t="s">
        <v>33</v>
      </c>
      <c r="F22" s="19">
        <v>173200</v>
      </c>
      <c r="G22" s="18" t="s">
        <v>38</v>
      </c>
      <c r="H22" s="20">
        <v>0.5</v>
      </c>
      <c r="I22" s="21">
        <f ca="1">DATE(YEAR(TODAY())+1,10,1)</f>
        <v>45931</v>
      </c>
      <c r="J22" s="22">
        <f>'Level 6'!$F22*'Level 6'!$H22</f>
        <v>86600</v>
      </c>
    </row>
    <row r="23" spans="2:10" ht="15.75" x14ac:dyDescent="0.5">
      <c r="B23" s="18" t="s">
        <v>63</v>
      </c>
      <c r="C23" s="18" t="s">
        <v>31</v>
      </c>
      <c r="D23" s="18" t="s">
        <v>64</v>
      </c>
      <c r="E23" s="18" t="s">
        <v>58</v>
      </c>
      <c r="F23" s="19">
        <v>146500</v>
      </c>
      <c r="G23" s="18" t="s">
        <v>41</v>
      </c>
      <c r="H23" s="20">
        <v>0.6</v>
      </c>
      <c r="I23" s="21">
        <f ca="1">DATE(YEAR(TODAY())+1,12,1)</f>
        <v>45992</v>
      </c>
      <c r="J23" s="22">
        <f>'Level 6'!$F23*'Level 6'!$H23</f>
        <v>87900</v>
      </c>
    </row>
    <row r="24" spans="2:10" ht="15.75" x14ac:dyDescent="0.5">
      <c r="B24" s="18" t="s">
        <v>65</v>
      </c>
      <c r="C24" s="18" t="s">
        <v>26</v>
      </c>
      <c r="D24" s="18" t="s">
        <v>12</v>
      </c>
      <c r="E24" s="18" t="s">
        <v>37</v>
      </c>
      <c r="F24" s="19">
        <v>156750</v>
      </c>
      <c r="G24" s="18" t="s">
        <v>44</v>
      </c>
      <c r="H24" s="20">
        <v>0.7</v>
      </c>
      <c r="I24" s="21">
        <f ca="1">DATE(YEAR(TODAY())+1,11,1)</f>
        <v>45962</v>
      </c>
      <c r="J24" s="22">
        <f>'Level 6'!$F24*'Level 6'!$H24</f>
        <v>109725</v>
      </c>
    </row>
    <row r="25" spans="2:10" ht="15.75" x14ac:dyDescent="0.5">
      <c r="B25" s="18" t="s">
        <v>66</v>
      </c>
      <c r="C25" s="18" t="s">
        <v>21</v>
      </c>
      <c r="D25" s="18" t="s">
        <v>27</v>
      </c>
      <c r="E25" s="18" t="s">
        <v>67</v>
      </c>
      <c r="F25" s="19">
        <v>162000</v>
      </c>
      <c r="G25" s="18" t="s">
        <v>47</v>
      </c>
      <c r="H25" s="20">
        <v>0.9</v>
      </c>
      <c r="I25" s="21">
        <f ca="1">DATE(YEAR(TODAY())+1,2,1)</f>
        <v>45689</v>
      </c>
      <c r="J25" s="22">
        <f>'Level 6'!$F25*'Level 6'!$H25</f>
        <v>145800</v>
      </c>
    </row>
    <row r="26" spans="2:10" ht="15.75" x14ac:dyDescent="0.5">
      <c r="B26" s="18" t="s">
        <v>68</v>
      </c>
      <c r="C26" s="18" t="s">
        <v>26</v>
      </c>
      <c r="D26" s="18" t="s">
        <v>40</v>
      </c>
      <c r="E26" s="18" t="s">
        <v>28</v>
      </c>
      <c r="F26" s="19">
        <v>157000</v>
      </c>
      <c r="G26" s="18" t="s">
        <v>14</v>
      </c>
      <c r="H26" s="20">
        <v>1</v>
      </c>
      <c r="I26" s="21">
        <f ca="1">DATE(YEAR(TODAY())+1,3,1)</f>
        <v>45717</v>
      </c>
      <c r="J26" s="22">
        <f>'Level 6'!$F26*'Level 6'!$H26</f>
        <v>157000</v>
      </c>
    </row>
    <row r="27" spans="2:10" ht="15.75" x14ac:dyDescent="0.5">
      <c r="B27" s="18" t="s">
        <v>69</v>
      </c>
      <c r="C27" s="18" t="s">
        <v>16</v>
      </c>
      <c r="D27" s="18" t="s">
        <v>46</v>
      </c>
      <c r="E27" s="18" t="s">
        <v>58</v>
      </c>
      <c r="F27" s="19">
        <v>173000</v>
      </c>
      <c r="G27" s="18" t="s">
        <v>34</v>
      </c>
      <c r="H27" s="20">
        <v>0.4</v>
      </c>
      <c r="I27" s="21">
        <f ca="1">DATE(YEAR(TODAY())+1,4,1)</f>
        <v>45748</v>
      </c>
      <c r="J27" s="22">
        <f>'Level 6'!$F27*'Level 6'!$H27</f>
        <v>69200</v>
      </c>
    </row>
    <row r="28" spans="2:10" ht="15.75" x14ac:dyDescent="0.5">
      <c r="B28" s="18" t="s">
        <v>70</v>
      </c>
      <c r="C28" s="18" t="s">
        <v>31</v>
      </c>
      <c r="D28" s="18" t="s">
        <v>71</v>
      </c>
      <c r="E28" s="18" t="s">
        <v>28</v>
      </c>
      <c r="F28" s="19">
        <v>171000</v>
      </c>
      <c r="G28" s="18" t="s">
        <v>38</v>
      </c>
      <c r="H28" s="20">
        <v>0.5</v>
      </c>
      <c r="I28" s="21">
        <f ca="1">DATE(YEAR(TODAY())+1,8,1)</f>
        <v>45870</v>
      </c>
      <c r="J28" s="22">
        <f>'Level 6'!$F28*'Level 6'!$H28</f>
        <v>85500</v>
      </c>
    </row>
    <row r="29" spans="2:10" ht="15.75" x14ac:dyDescent="0.5">
      <c r="B29" s="23" t="s">
        <v>72</v>
      </c>
      <c r="C29" s="23" t="s">
        <v>11</v>
      </c>
      <c r="D29" s="23" t="s">
        <v>62</v>
      </c>
      <c r="E29" s="23" t="s">
        <v>18</v>
      </c>
      <c r="F29" s="24">
        <v>168000</v>
      </c>
      <c r="G29" s="23" t="s">
        <v>41</v>
      </c>
      <c r="H29" s="25">
        <v>0.6</v>
      </c>
      <c r="I29" s="26">
        <f ca="1">DATE(YEAR(TODAY())+1,9,1)</f>
        <v>45901</v>
      </c>
      <c r="J29" s="27">
        <f>'Level 6'!$F29*'Level 6'!$H29</f>
        <v>100800</v>
      </c>
    </row>
  </sheetData>
  <conditionalFormatting sqref="B7:J29">
    <cfRule type="expression" priority="1" stopIfTrue="1">
      <formula>IF(Highlight_switch="Off",TRUE,FALSE)</formula>
    </cfRule>
    <cfRule type="expression" dxfId="15" priority="5">
      <formula>AND(ROW()=CELL("row"),COLUMN()=CELL("col"))</formula>
    </cfRule>
    <cfRule type="expression" dxfId="14" priority="6">
      <formula>OR(ROW()=CELL("row"),COLUMN()=CELL("col"))</formula>
    </cfRule>
  </conditionalFormatting>
  <dataValidations count="1">
    <dataValidation type="list" allowBlank="1" showInputMessage="1" showErrorMessage="1" sqref="F2" xr:uid="{80856A16-2977-41C4-8285-3D5687D6BA11}">
      <formula1>"On, Off"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BCEDA6-F803-4BD4-A584-02E8E13B7A78}">
  <sheetPr codeName="Sheet8"/>
  <dimension ref="A1:K29"/>
  <sheetViews>
    <sheetView zoomScale="120" zoomScaleNormal="120" workbookViewId="0">
      <selection activeCell="B4" sqref="B4"/>
    </sheetView>
  </sheetViews>
  <sheetFormatPr defaultColWidth="9.19921875" defaultRowHeight="21" customHeight="1" x14ac:dyDescent="0.5"/>
  <cols>
    <col min="1" max="1" width="3.9296875" style="12" customWidth="1"/>
    <col min="2" max="2" width="35.9296875" style="28" customWidth="1"/>
    <col min="3" max="3" width="22" style="28" customWidth="1"/>
    <col min="4" max="4" width="26" style="28" customWidth="1"/>
    <col min="5" max="5" width="19.9296875" style="28" customWidth="1"/>
    <col min="6" max="6" width="18" style="29" customWidth="1"/>
    <col min="7" max="7" width="25.19921875" style="28" customWidth="1"/>
    <col min="8" max="8" width="18" style="30" customWidth="1"/>
    <col min="9" max="9" width="22" style="31" customWidth="1"/>
    <col min="10" max="10" width="18" style="29" customWidth="1"/>
    <col min="11" max="11" width="3.9296875" style="12" customWidth="1"/>
    <col min="12" max="16384" width="9.19921875" style="1"/>
  </cols>
  <sheetData>
    <row r="1" spans="1:11" ht="15.75" x14ac:dyDescent="0.5">
      <c r="B1" s="12"/>
      <c r="C1" s="33"/>
      <c r="D1" s="33"/>
      <c r="E1" s="33"/>
      <c r="F1" s="12"/>
      <c r="G1" s="12"/>
      <c r="H1" s="12"/>
      <c r="I1" s="12"/>
      <c r="J1" s="34"/>
      <c r="K1" s="12" t="s">
        <v>0</v>
      </c>
    </row>
    <row r="2" spans="1:11" s="2" customFormat="1" ht="23.25" x14ac:dyDescent="0.7">
      <c r="A2" s="35"/>
      <c r="B2" s="36" t="s">
        <v>73</v>
      </c>
      <c r="C2" s="37"/>
      <c r="D2" s="37"/>
      <c r="E2" s="37" t="s">
        <v>85</v>
      </c>
      <c r="F2" s="45" t="s">
        <v>84</v>
      </c>
      <c r="G2" s="38"/>
      <c r="H2" s="38"/>
      <c r="I2" s="38"/>
      <c r="J2" s="39"/>
      <c r="K2" s="35"/>
    </row>
    <row r="3" spans="1:11" s="3" customFormat="1" ht="72.400000000000006" x14ac:dyDescent="2.15">
      <c r="A3" s="40"/>
      <c r="B3" s="44" t="s">
        <v>83</v>
      </c>
      <c r="C3" s="41"/>
      <c r="D3" s="41"/>
      <c r="E3" s="41"/>
      <c r="F3" s="40"/>
      <c r="G3" s="42"/>
      <c r="H3" s="42"/>
      <c r="I3" s="42"/>
      <c r="J3" s="43"/>
      <c r="K3" s="40"/>
    </row>
    <row r="4" spans="1:11" s="2" customFormat="1" ht="15.75" x14ac:dyDescent="0.5">
      <c r="A4" s="35"/>
      <c r="B4" s="52" t="s">
        <v>81</v>
      </c>
      <c r="C4" s="37"/>
      <c r="D4" s="37"/>
      <c r="E4" s="37"/>
      <c r="F4" s="35"/>
      <c r="G4" s="38"/>
      <c r="H4" s="38"/>
      <c r="I4" s="38"/>
      <c r="J4" s="39"/>
      <c r="K4" s="35"/>
    </row>
    <row r="5" spans="1:11" ht="15.75" x14ac:dyDescent="0.5">
      <c r="B5" s="51"/>
      <c r="C5" s="4"/>
      <c r="D5" s="4"/>
      <c r="E5" s="4"/>
      <c r="F5" s="5"/>
      <c r="G5" s="5"/>
      <c r="H5" s="5"/>
      <c r="I5" s="5"/>
      <c r="J5" s="6"/>
    </row>
    <row r="6" spans="1:11" s="7" customFormat="1" ht="40.5" x14ac:dyDescent="0.55000000000000004">
      <c r="A6" s="32"/>
      <c r="B6" s="8" t="s">
        <v>1</v>
      </c>
      <c r="C6" s="9" t="s">
        <v>2</v>
      </c>
      <c r="D6" s="9" t="s">
        <v>3</v>
      </c>
      <c r="E6" s="9" t="s">
        <v>4</v>
      </c>
      <c r="F6" s="9" t="s">
        <v>5</v>
      </c>
      <c r="G6" s="9" t="s">
        <v>6</v>
      </c>
      <c r="H6" s="10" t="s">
        <v>7</v>
      </c>
      <c r="I6" s="9" t="s">
        <v>8</v>
      </c>
      <c r="J6" s="11" t="s">
        <v>9</v>
      </c>
      <c r="K6" s="32"/>
    </row>
    <row r="7" spans="1:11" ht="15.75" x14ac:dyDescent="0.5">
      <c r="B7" s="13" t="s">
        <v>10</v>
      </c>
      <c r="C7" s="13" t="s">
        <v>11</v>
      </c>
      <c r="D7" s="13" t="s">
        <v>12</v>
      </c>
      <c r="E7" s="13" t="s">
        <v>13</v>
      </c>
      <c r="F7" s="14">
        <v>150000</v>
      </c>
      <c r="G7" s="13" t="s">
        <v>14</v>
      </c>
      <c r="H7" s="15">
        <v>0.9</v>
      </c>
      <c r="I7" s="16">
        <f ca="1">DATE(YEAR(TODAY())+1,1,1)</f>
        <v>45658</v>
      </c>
      <c r="J7" s="17">
        <f>'Level 7'!$F7*'Level 7'!$H7</f>
        <v>135000</v>
      </c>
    </row>
    <row r="8" spans="1:11" ht="15.75" x14ac:dyDescent="0.5">
      <c r="B8" s="18" t="s">
        <v>15</v>
      </c>
      <c r="C8" s="18" t="s">
        <v>16</v>
      </c>
      <c r="D8" s="18" t="s">
        <v>17</v>
      </c>
      <c r="E8" s="18" t="s">
        <v>18</v>
      </c>
      <c r="F8" s="19">
        <v>145200</v>
      </c>
      <c r="G8" s="18" t="s">
        <v>19</v>
      </c>
      <c r="H8" s="20">
        <v>0.1</v>
      </c>
      <c r="I8" s="21">
        <f ca="1">DATE(YEAR(TODAY())+1,2,1)</f>
        <v>45689</v>
      </c>
      <c r="J8" s="22">
        <f>'Level 7'!$F8*'Level 7'!$H8</f>
        <v>14520</v>
      </c>
    </row>
    <row r="9" spans="1:11" ht="15.75" x14ac:dyDescent="0.5">
      <c r="B9" s="18" t="s">
        <v>20</v>
      </c>
      <c r="C9" s="18" t="s">
        <v>21</v>
      </c>
      <c r="D9" s="18" t="s">
        <v>22</v>
      </c>
      <c r="E9" s="18" t="s">
        <v>23</v>
      </c>
      <c r="F9" s="19">
        <v>162500</v>
      </c>
      <c r="G9" s="18" t="s">
        <v>24</v>
      </c>
      <c r="H9" s="20">
        <v>0.2</v>
      </c>
      <c r="I9" s="21">
        <f ca="1">DATE(YEAR(TODAY())+1,3,1)</f>
        <v>45717</v>
      </c>
      <c r="J9" s="22">
        <f>'Level 7'!$F9*'Level 7'!$H9</f>
        <v>32500</v>
      </c>
    </row>
    <row r="10" spans="1:11" ht="15.75" x14ac:dyDescent="0.5">
      <c r="B10" s="18" t="s">
        <v>25</v>
      </c>
      <c r="C10" s="18" t="s">
        <v>26</v>
      </c>
      <c r="D10" s="18" t="s">
        <v>27</v>
      </c>
      <c r="E10" s="18" t="s">
        <v>28</v>
      </c>
      <c r="F10" s="19">
        <v>147500</v>
      </c>
      <c r="G10" s="18" t="s">
        <v>29</v>
      </c>
      <c r="H10" s="20">
        <v>0.3</v>
      </c>
      <c r="I10" s="21">
        <f ca="1">DATE(YEAR(TODAY())+1,4,1)</f>
        <v>45748</v>
      </c>
      <c r="J10" s="22">
        <f>'Level 7'!$F10*'Level 7'!$H10</f>
        <v>44250</v>
      </c>
    </row>
    <row r="11" spans="1:11" ht="15.75" x14ac:dyDescent="0.5">
      <c r="B11" s="18" t="s">
        <v>30</v>
      </c>
      <c r="C11" s="18" t="s">
        <v>31</v>
      </c>
      <c r="D11" s="18" t="s">
        <v>32</v>
      </c>
      <c r="E11" s="18" t="s">
        <v>33</v>
      </c>
      <c r="F11" s="19">
        <v>148000</v>
      </c>
      <c r="G11" s="18" t="s">
        <v>34</v>
      </c>
      <c r="H11" s="20">
        <v>0.4</v>
      </c>
      <c r="I11" s="21">
        <f ca="1">DATE(YEAR(TODAY())+1,5,1)</f>
        <v>45778</v>
      </c>
      <c r="J11" s="22">
        <f>'Level 7'!$F11*'Level 7'!$H11</f>
        <v>59200</v>
      </c>
    </row>
    <row r="12" spans="1:11" ht="15.75" x14ac:dyDescent="0.5">
      <c r="B12" s="18" t="s">
        <v>35</v>
      </c>
      <c r="C12" s="18" t="s">
        <v>11</v>
      </c>
      <c r="D12" s="18" t="s">
        <v>36</v>
      </c>
      <c r="E12" s="18" t="s">
        <v>37</v>
      </c>
      <c r="F12" s="19">
        <v>175000</v>
      </c>
      <c r="G12" s="18" t="s">
        <v>38</v>
      </c>
      <c r="H12" s="20">
        <v>0.5</v>
      </c>
      <c r="I12" s="21">
        <f ca="1">DATE(YEAR(TODAY())+1,6,1)</f>
        <v>45809</v>
      </c>
      <c r="J12" s="22">
        <f>'Level 7'!$F12*'Level 7'!$H12</f>
        <v>87500</v>
      </c>
    </row>
    <row r="13" spans="1:11" ht="15.75" x14ac:dyDescent="0.5">
      <c r="B13" s="18" t="s">
        <v>39</v>
      </c>
      <c r="C13" s="18" t="s">
        <v>21</v>
      </c>
      <c r="D13" s="18" t="s">
        <v>40</v>
      </c>
      <c r="E13" s="18" t="s">
        <v>28</v>
      </c>
      <c r="F13" s="19">
        <v>149000</v>
      </c>
      <c r="G13" s="18" t="s">
        <v>41</v>
      </c>
      <c r="H13" s="20">
        <v>0.6</v>
      </c>
      <c r="I13" s="21">
        <f ca="1">DATE(YEAR(TODAY())+1,7,1)</f>
        <v>45839</v>
      </c>
      <c r="J13" s="22">
        <f>'Level 7'!$F13*'Level 7'!$H13</f>
        <v>89400</v>
      </c>
    </row>
    <row r="14" spans="1:11" ht="15.75" x14ac:dyDescent="0.5">
      <c r="B14" s="18" t="s">
        <v>42</v>
      </c>
      <c r="C14" s="18" t="s">
        <v>31</v>
      </c>
      <c r="D14" s="18" t="s">
        <v>43</v>
      </c>
      <c r="E14" s="18" t="s">
        <v>23</v>
      </c>
      <c r="F14" s="19">
        <v>142000</v>
      </c>
      <c r="G14" s="18" t="s">
        <v>44</v>
      </c>
      <c r="H14" s="20">
        <v>0.7</v>
      </c>
      <c r="I14" s="21">
        <f ca="1">DATE(YEAR(TODAY())+1,8,1)</f>
        <v>45870</v>
      </c>
      <c r="J14" s="22">
        <f>'Level 7'!$F14*'Level 7'!$H14</f>
        <v>99400</v>
      </c>
    </row>
    <row r="15" spans="1:11" ht="15.75" x14ac:dyDescent="0.5">
      <c r="B15" s="18" t="s">
        <v>45</v>
      </c>
      <c r="C15" s="18" t="s">
        <v>21</v>
      </c>
      <c r="D15" s="18" t="s">
        <v>46</v>
      </c>
      <c r="E15" s="18" t="s">
        <v>28</v>
      </c>
      <c r="F15" s="19">
        <v>172500</v>
      </c>
      <c r="G15" s="18" t="s">
        <v>47</v>
      </c>
      <c r="H15" s="20">
        <v>0.9</v>
      </c>
      <c r="I15" s="21">
        <f ca="1">DATE(YEAR(TODAY())+1,10,1)</f>
        <v>45931</v>
      </c>
      <c r="J15" s="22">
        <f>'Level 7'!$F15*'Level 7'!$H15</f>
        <v>155250</v>
      </c>
    </row>
    <row r="16" spans="1:11" ht="15.75" x14ac:dyDescent="0.5">
      <c r="B16" s="18" t="s">
        <v>48</v>
      </c>
      <c r="C16" s="18" t="s">
        <v>26</v>
      </c>
      <c r="D16" s="18" t="s">
        <v>49</v>
      </c>
      <c r="E16" s="18" t="s">
        <v>18</v>
      </c>
      <c r="F16" s="19">
        <v>163500</v>
      </c>
      <c r="G16" s="18" t="s">
        <v>29</v>
      </c>
      <c r="H16" s="20">
        <v>0.2</v>
      </c>
      <c r="I16" s="21">
        <f ca="1">DATE(YEAR(TODAY())+1,11,1)</f>
        <v>45962</v>
      </c>
      <c r="J16" s="22">
        <f>'Level 7'!$F16*'Level 7'!$H16</f>
        <v>32700</v>
      </c>
    </row>
    <row r="17" spans="2:10" ht="15.75" x14ac:dyDescent="0.5">
      <c r="B17" s="18" t="s">
        <v>50</v>
      </c>
      <c r="C17" s="18" t="s">
        <v>31</v>
      </c>
      <c r="D17" s="18" t="s">
        <v>51</v>
      </c>
      <c r="E17" s="18" t="s">
        <v>18</v>
      </c>
      <c r="F17" s="19">
        <v>155500</v>
      </c>
      <c r="G17" s="18" t="s">
        <v>14</v>
      </c>
      <c r="H17" s="20">
        <v>1</v>
      </c>
      <c r="I17" s="21">
        <f ca="1">DATE(YEAR(TODAY())+1,12,1)</f>
        <v>45992</v>
      </c>
      <c r="J17" s="22">
        <f>'Level 7'!$F17*'Level 7'!$H17</f>
        <v>155500</v>
      </c>
    </row>
    <row r="18" spans="2:10" ht="15.75" x14ac:dyDescent="0.5">
      <c r="B18" s="18" t="s">
        <v>52</v>
      </c>
      <c r="C18" s="18" t="s">
        <v>26</v>
      </c>
      <c r="D18" s="18" t="s">
        <v>53</v>
      </c>
      <c r="E18" s="18" t="s">
        <v>13</v>
      </c>
      <c r="F18" s="19">
        <v>166000</v>
      </c>
      <c r="G18" s="18" t="s">
        <v>19</v>
      </c>
      <c r="H18" s="20">
        <v>0.1</v>
      </c>
      <c r="I18" s="21">
        <f ca="1">DATE(YEAR(TODAY())+1,1,1)</f>
        <v>45658</v>
      </c>
      <c r="J18" s="22">
        <f>'Level 7'!$F18*'Level 7'!$H18</f>
        <v>16600</v>
      </c>
    </row>
    <row r="19" spans="2:10" ht="15.75" x14ac:dyDescent="0.5">
      <c r="B19" s="18" t="s">
        <v>54</v>
      </c>
      <c r="C19" s="18" t="s">
        <v>21</v>
      </c>
      <c r="D19" s="18" t="s">
        <v>55</v>
      </c>
      <c r="E19" s="18" t="s">
        <v>23</v>
      </c>
      <c r="F19" s="19">
        <v>180000</v>
      </c>
      <c r="G19" s="18" t="s">
        <v>34</v>
      </c>
      <c r="H19" s="20">
        <v>0.3</v>
      </c>
      <c r="I19" s="21">
        <f ca="1">DATE(YEAR(TODAY())+1,3,1)</f>
        <v>45717</v>
      </c>
      <c r="J19" s="22">
        <f>'Level 7'!$F19*'Level 7'!$H19</f>
        <v>54000</v>
      </c>
    </row>
    <row r="20" spans="2:10" ht="15.75" x14ac:dyDescent="0.5">
      <c r="B20" s="18" t="s">
        <v>56</v>
      </c>
      <c r="C20" s="18" t="s">
        <v>16</v>
      </c>
      <c r="D20" s="18" t="s">
        <v>57</v>
      </c>
      <c r="E20" s="18" t="s">
        <v>58</v>
      </c>
      <c r="F20" s="19">
        <v>140000</v>
      </c>
      <c r="G20" s="18" t="s">
        <v>41</v>
      </c>
      <c r="H20" s="20">
        <v>0.6</v>
      </c>
      <c r="I20" s="21">
        <f ca="1">DATE(YEAR(TODAY())+1,5,1)</f>
        <v>45778</v>
      </c>
      <c r="J20" s="22">
        <f>'Level 7'!$F20*'Level 7'!$H20</f>
        <v>84000</v>
      </c>
    </row>
    <row r="21" spans="2:10" ht="15.75" x14ac:dyDescent="0.5">
      <c r="B21" s="18" t="s">
        <v>59</v>
      </c>
      <c r="C21" s="18" t="s">
        <v>11</v>
      </c>
      <c r="D21" s="18" t="s">
        <v>60</v>
      </c>
      <c r="E21" s="18" t="s">
        <v>37</v>
      </c>
      <c r="F21" s="19">
        <v>155000</v>
      </c>
      <c r="G21" s="18" t="s">
        <v>29</v>
      </c>
      <c r="H21" s="20">
        <v>0.3</v>
      </c>
      <c r="I21" s="21">
        <f ca="1">DATE(YEAR(TODAY())+1,6,1)</f>
        <v>45809</v>
      </c>
      <c r="J21" s="22">
        <f>'Level 7'!$F21*'Level 7'!$H21</f>
        <v>46500</v>
      </c>
    </row>
    <row r="22" spans="2:10" ht="15.75" x14ac:dyDescent="0.5">
      <c r="B22" s="18" t="s">
        <v>61</v>
      </c>
      <c r="C22" s="18" t="s">
        <v>16</v>
      </c>
      <c r="D22" s="18" t="s">
        <v>62</v>
      </c>
      <c r="E22" s="18" t="s">
        <v>33</v>
      </c>
      <c r="F22" s="19">
        <v>173200</v>
      </c>
      <c r="G22" s="18" t="s">
        <v>38</v>
      </c>
      <c r="H22" s="20">
        <v>0.5</v>
      </c>
      <c r="I22" s="21">
        <f ca="1">DATE(YEAR(TODAY())+1,10,1)</f>
        <v>45931</v>
      </c>
      <c r="J22" s="22">
        <f>'Level 7'!$F22*'Level 7'!$H22</f>
        <v>86600</v>
      </c>
    </row>
    <row r="23" spans="2:10" ht="15.75" x14ac:dyDescent="0.5">
      <c r="B23" s="18" t="s">
        <v>63</v>
      </c>
      <c r="C23" s="18" t="s">
        <v>31</v>
      </c>
      <c r="D23" s="18" t="s">
        <v>64</v>
      </c>
      <c r="E23" s="18" t="s">
        <v>58</v>
      </c>
      <c r="F23" s="19">
        <v>146500</v>
      </c>
      <c r="G23" s="18" t="s">
        <v>41</v>
      </c>
      <c r="H23" s="20">
        <v>0.6</v>
      </c>
      <c r="I23" s="21">
        <f ca="1">DATE(YEAR(TODAY())+1,12,1)</f>
        <v>45992</v>
      </c>
      <c r="J23" s="22">
        <f>'Level 7'!$F23*'Level 7'!$H23</f>
        <v>87900</v>
      </c>
    </row>
    <row r="24" spans="2:10" ht="15.75" x14ac:dyDescent="0.5">
      <c r="B24" s="18" t="s">
        <v>65</v>
      </c>
      <c r="C24" s="18" t="s">
        <v>26</v>
      </c>
      <c r="D24" s="18" t="s">
        <v>12</v>
      </c>
      <c r="E24" s="18" t="s">
        <v>37</v>
      </c>
      <c r="F24" s="19">
        <v>156750</v>
      </c>
      <c r="G24" s="18" t="s">
        <v>44</v>
      </c>
      <c r="H24" s="20">
        <v>0.7</v>
      </c>
      <c r="I24" s="21">
        <f ca="1">DATE(YEAR(TODAY())+1,11,1)</f>
        <v>45962</v>
      </c>
      <c r="J24" s="22">
        <f>'Level 7'!$F24*'Level 7'!$H24</f>
        <v>109725</v>
      </c>
    </row>
    <row r="25" spans="2:10" ht="15.75" x14ac:dyDescent="0.5">
      <c r="B25" s="18" t="s">
        <v>66</v>
      </c>
      <c r="C25" s="18" t="s">
        <v>21</v>
      </c>
      <c r="D25" s="18" t="s">
        <v>27</v>
      </c>
      <c r="E25" s="18" t="s">
        <v>67</v>
      </c>
      <c r="F25" s="19">
        <v>162000</v>
      </c>
      <c r="G25" s="18" t="s">
        <v>47</v>
      </c>
      <c r="H25" s="20">
        <v>0.9</v>
      </c>
      <c r="I25" s="21">
        <f ca="1">DATE(YEAR(TODAY())+1,2,1)</f>
        <v>45689</v>
      </c>
      <c r="J25" s="22">
        <f>'Level 7'!$F25*'Level 7'!$H25</f>
        <v>145800</v>
      </c>
    </row>
    <row r="26" spans="2:10" ht="15.75" x14ac:dyDescent="0.5">
      <c r="B26" s="18" t="s">
        <v>68</v>
      </c>
      <c r="C26" s="18" t="s">
        <v>26</v>
      </c>
      <c r="D26" s="18" t="s">
        <v>40</v>
      </c>
      <c r="E26" s="18" t="s">
        <v>28</v>
      </c>
      <c r="F26" s="19">
        <v>157000</v>
      </c>
      <c r="G26" s="18" t="s">
        <v>14</v>
      </c>
      <c r="H26" s="20">
        <v>1</v>
      </c>
      <c r="I26" s="21">
        <f ca="1">DATE(YEAR(TODAY())+1,3,1)</f>
        <v>45717</v>
      </c>
      <c r="J26" s="22">
        <f>'Level 7'!$F26*'Level 7'!$H26</f>
        <v>157000</v>
      </c>
    </row>
    <row r="27" spans="2:10" ht="15.75" x14ac:dyDescent="0.5">
      <c r="B27" s="18" t="s">
        <v>69</v>
      </c>
      <c r="C27" s="18" t="s">
        <v>16</v>
      </c>
      <c r="D27" s="18" t="s">
        <v>46</v>
      </c>
      <c r="E27" s="18" t="s">
        <v>58</v>
      </c>
      <c r="F27" s="19">
        <v>173000</v>
      </c>
      <c r="G27" s="18" t="s">
        <v>34</v>
      </c>
      <c r="H27" s="20">
        <v>0.4</v>
      </c>
      <c r="I27" s="21">
        <f ca="1">DATE(YEAR(TODAY())+1,4,1)</f>
        <v>45748</v>
      </c>
      <c r="J27" s="22">
        <f>'Level 7'!$F27*'Level 7'!$H27</f>
        <v>69200</v>
      </c>
    </row>
    <row r="28" spans="2:10" ht="15.75" x14ac:dyDescent="0.5">
      <c r="B28" s="18" t="s">
        <v>70</v>
      </c>
      <c r="C28" s="18" t="s">
        <v>31</v>
      </c>
      <c r="D28" s="18" t="s">
        <v>71</v>
      </c>
      <c r="E28" s="18" t="s">
        <v>28</v>
      </c>
      <c r="F28" s="19">
        <v>171000</v>
      </c>
      <c r="G28" s="18" t="s">
        <v>38</v>
      </c>
      <c r="H28" s="20">
        <v>0.5</v>
      </c>
      <c r="I28" s="21">
        <f ca="1">DATE(YEAR(TODAY())+1,8,1)</f>
        <v>45870</v>
      </c>
      <c r="J28" s="22">
        <f>'Level 7'!$F28*'Level 7'!$H28</f>
        <v>85500</v>
      </c>
    </row>
    <row r="29" spans="2:10" ht="15.75" x14ac:dyDescent="0.5">
      <c r="B29" s="23" t="s">
        <v>72</v>
      </c>
      <c r="C29" s="23" t="s">
        <v>11</v>
      </c>
      <c r="D29" s="23" t="s">
        <v>62</v>
      </c>
      <c r="E29" s="23" t="s">
        <v>18</v>
      </c>
      <c r="F29" s="24">
        <v>168000</v>
      </c>
      <c r="G29" s="23" t="s">
        <v>41</v>
      </c>
      <c r="H29" s="25">
        <v>0.6</v>
      </c>
      <c r="I29" s="26">
        <f ca="1">DATE(YEAR(TODAY())+1,9,1)</f>
        <v>45901</v>
      </c>
      <c r="J29" s="27">
        <f>'Level 7'!$F29*'Level 7'!$H29</f>
        <v>100800</v>
      </c>
    </row>
  </sheetData>
  <conditionalFormatting sqref="B7:J29">
    <cfRule type="expression" priority="1" stopIfTrue="1">
      <formula>IF(Highlight_switch_2="Off",TRUE,FALSE)</formula>
    </cfRule>
    <cfRule type="expression" dxfId="13" priority="2">
      <formula>AND(ROW()=CELL("row"),COLUMN()=CELL("col"))</formula>
    </cfRule>
    <cfRule type="expression" dxfId="12" priority="3">
      <formula>OR(ROW()=CELL("row"),COLUMN()=CELL("col"))</formula>
    </cfRule>
  </conditionalFormatting>
  <dataValidations count="1">
    <dataValidation type="list" allowBlank="1" showInputMessage="1" showErrorMessage="1" sqref="F2" xr:uid="{54237B78-C33C-43D3-B569-CAF0D05397A1}">
      <formula1>"On, Off"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0A5E7B-594C-43A0-916B-CE80075691D4}">
  <sheetPr codeName="Sheet9"/>
  <dimension ref="A1:K190"/>
  <sheetViews>
    <sheetView zoomScale="120" zoomScaleNormal="120" workbookViewId="0">
      <selection activeCell="B4" sqref="B4"/>
    </sheetView>
  </sheetViews>
  <sheetFormatPr defaultColWidth="9.19921875" defaultRowHeight="21" customHeight="1" x14ac:dyDescent="0.5"/>
  <cols>
    <col min="1" max="1" width="3.9296875" style="12" customWidth="1"/>
    <col min="2" max="2" width="35.9296875" style="28" customWidth="1"/>
    <col min="3" max="3" width="22" style="28" customWidth="1"/>
    <col min="4" max="4" width="26" style="28" customWidth="1"/>
    <col min="5" max="5" width="19.9296875" style="28" customWidth="1"/>
    <col min="6" max="6" width="22.86328125" style="29" customWidth="1"/>
    <col min="7" max="7" width="25.19921875" style="28" customWidth="1"/>
    <col min="8" max="8" width="24.53125" style="30" customWidth="1"/>
    <col min="9" max="9" width="22" style="31" customWidth="1"/>
    <col min="10" max="10" width="24.86328125" style="29" customWidth="1"/>
    <col min="11" max="11" width="3.9296875" style="12" customWidth="1"/>
    <col min="12" max="16384" width="9.19921875" style="1"/>
  </cols>
  <sheetData>
    <row r="1" spans="1:11" ht="15.75" x14ac:dyDescent="0.5">
      <c r="B1" s="12"/>
      <c r="C1" s="33"/>
      <c r="D1" s="33"/>
      <c r="E1" s="33"/>
      <c r="F1" s="12"/>
      <c r="G1" s="12"/>
      <c r="H1" s="12"/>
      <c r="I1" s="12"/>
      <c r="J1" s="34"/>
      <c r="K1" s="12" t="s">
        <v>0</v>
      </c>
    </row>
    <row r="2" spans="1:11" s="2" customFormat="1" ht="23.25" x14ac:dyDescent="0.7">
      <c r="A2" s="35"/>
      <c r="B2" s="36" t="s">
        <v>73</v>
      </c>
      <c r="C2" s="37"/>
      <c r="D2" s="37"/>
      <c r="E2" s="37"/>
      <c r="F2" s="35"/>
      <c r="G2" s="38"/>
      <c r="H2" s="38"/>
      <c r="I2" s="38"/>
      <c r="J2" s="39"/>
      <c r="K2" s="35"/>
    </row>
    <row r="3" spans="1:11" s="3" customFormat="1" ht="72.400000000000006" x14ac:dyDescent="2.15">
      <c r="A3" s="40"/>
      <c r="B3" s="44" t="s">
        <v>80</v>
      </c>
      <c r="C3" s="41"/>
      <c r="D3" s="41"/>
      <c r="E3" s="41"/>
      <c r="F3" s="40"/>
      <c r="G3" s="42"/>
      <c r="H3" s="42"/>
      <c r="I3" s="42"/>
      <c r="J3" s="43"/>
      <c r="K3" s="40"/>
    </row>
    <row r="4" spans="1:11" s="2" customFormat="1" ht="15.75" x14ac:dyDescent="0.5">
      <c r="A4" s="35"/>
      <c r="B4" s="52" t="s">
        <v>81</v>
      </c>
      <c r="C4" s="37"/>
      <c r="D4" s="37"/>
      <c r="E4" s="37"/>
      <c r="F4" s="35"/>
      <c r="G4" s="38"/>
      <c r="H4" s="38"/>
      <c r="I4" s="38"/>
      <c r="J4" s="39"/>
      <c r="K4" s="35"/>
    </row>
    <row r="5" spans="1:11" ht="15.75" x14ac:dyDescent="0.5">
      <c r="B5" s="51"/>
      <c r="C5" s="4"/>
      <c r="D5" s="4"/>
      <c r="E5" s="4"/>
      <c r="F5" s="5"/>
      <c r="G5" s="5"/>
      <c r="H5" s="5"/>
      <c r="I5" s="5"/>
      <c r="J5" s="6"/>
    </row>
    <row r="6" spans="1:11" s="7" customFormat="1" ht="40.5" x14ac:dyDescent="0.55000000000000004">
      <c r="A6" s="32"/>
      <c r="B6" s="46" t="s">
        <v>1</v>
      </c>
      <c r="C6" s="47" t="s">
        <v>2</v>
      </c>
      <c r="D6" s="47" t="s">
        <v>3</v>
      </c>
      <c r="E6" s="47" t="s">
        <v>4</v>
      </c>
      <c r="F6" s="47" t="s">
        <v>5</v>
      </c>
      <c r="G6" s="47" t="s">
        <v>6</v>
      </c>
      <c r="H6" s="48" t="s">
        <v>7</v>
      </c>
      <c r="I6" s="47" t="s">
        <v>8</v>
      </c>
      <c r="J6" s="49" t="s">
        <v>9</v>
      </c>
      <c r="K6" s="32"/>
    </row>
    <row r="7" spans="1:11" ht="15.85" customHeight="1" x14ac:dyDescent="0.5">
      <c r="B7" s="13" t="s">
        <v>10</v>
      </c>
      <c r="C7" s="13" t="s">
        <v>11</v>
      </c>
      <c r="D7" s="13" t="s">
        <v>12</v>
      </c>
      <c r="E7" s="13" t="s">
        <v>13</v>
      </c>
      <c r="F7" s="14">
        <v>150000</v>
      </c>
      <c r="G7" s="13" t="s">
        <v>14</v>
      </c>
      <c r="H7" s="15">
        <v>0.9</v>
      </c>
      <c r="I7" s="16">
        <f ca="1">DATE(YEAR(TODAY())+1,1,1)</f>
        <v>45658</v>
      </c>
      <c r="J7" s="17">
        <f>Bonus!$F7*Bonus!$H7</f>
        <v>135000</v>
      </c>
    </row>
    <row r="8" spans="1:11" ht="15.85" customHeight="1" x14ac:dyDescent="0.5">
      <c r="B8" s="18" t="s">
        <v>15</v>
      </c>
      <c r="C8" s="18" t="s">
        <v>16</v>
      </c>
      <c r="D8" s="18" t="s">
        <v>17</v>
      </c>
      <c r="E8" s="18" t="s">
        <v>18</v>
      </c>
      <c r="F8" s="19">
        <v>145200</v>
      </c>
      <c r="G8" s="18" t="s">
        <v>19</v>
      </c>
      <c r="H8" s="20">
        <v>0.1</v>
      </c>
      <c r="I8" s="21">
        <f ca="1">DATE(YEAR(TODAY())+1,2,1)</f>
        <v>45689</v>
      </c>
      <c r="J8" s="22">
        <f>Bonus!$F8*Bonus!$H8</f>
        <v>14520</v>
      </c>
    </row>
    <row r="9" spans="1:11" ht="15.85" customHeight="1" x14ac:dyDescent="0.5">
      <c r="B9" s="18" t="s">
        <v>20</v>
      </c>
      <c r="C9" s="18" t="s">
        <v>21</v>
      </c>
      <c r="D9" s="18" t="s">
        <v>22</v>
      </c>
      <c r="E9" s="18" t="s">
        <v>23</v>
      </c>
      <c r="F9" s="19">
        <v>162500</v>
      </c>
      <c r="G9" s="18" t="s">
        <v>24</v>
      </c>
      <c r="H9" s="20">
        <v>0.2</v>
      </c>
      <c r="I9" s="21">
        <f ca="1">DATE(YEAR(TODAY())+1,3,1)</f>
        <v>45717</v>
      </c>
      <c r="J9" s="22">
        <f>Bonus!$F9*Bonus!$H9</f>
        <v>32500</v>
      </c>
    </row>
    <row r="10" spans="1:11" ht="15.85" customHeight="1" x14ac:dyDescent="0.5">
      <c r="B10" s="18" t="s">
        <v>25</v>
      </c>
      <c r="C10" s="18" t="s">
        <v>26</v>
      </c>
      <c r="D10" s="18" t="s">
        <v>27</v>
      </c>
      <c r="E10" s="18" t="s">
        <v>28</v>
      </c>
      <c r="F10" s="19">
        <v>147500</v>
      </c>
      <c r="G10" s="18" t="s">
        <v>29</v>
      </c>
      <c r="H10" s="20">
        <v>0.3</v>
      </c>
      <c r="I10" s="21">
        <f ca="1">DATE(YEAR(TODAY())+1,4,1)</f>
        <v>45748</v>
      </c>
      <c r="J10" s="22">
        <f>Bonus!$F10*Bonus!$H10</f>
        <v>44250</v>
      </c>
    </row>
    <row r="11" spans="1:11" ht="15.85" customHeight="1" x14ac:dyDescent="0.5">
      <c r="B11" s="18" t="s">
        <v>30</v>
      </c>
      <c r="C11" s="18" t="s">
        <v>31</v>
      </c>
      <c r="D11" s="18" t="s">
        <v>32</v>
      </c>
      <c r="E11" s="18" t="s">
        <v>33</v>
      </c>
      <c r="F11" s="19">
        <v>148000</v>
      </c>
      <c r="G11" s="18" t="s">
        <v>34</v>
      </c>
      <c r="H11" s="20">
        <v>0.4</v>
      </c>
      <c r="I11" s="21">
        <f ca="1">DATE(YEAR(TODAY())+1,5,1)</f>
        <v>45778</v>
      </c>
      <c r="J11" s="22">
        <f>Bonus!$F11*Bonus!$H11</f>
        <v>59200</v>
      </c>
    </row>
    <row r="12" spans="1:11" ht="15.85" customHeight="1" x14ac:dyDescent="0.5">
      <c r="B12" s="18" t="s">
        <v>35</v>
      </c>
      <c r="C12" s="18" t="s">
        <v>11</v>
      </c>
      <c r="D12" s="18" t="s">
        <v>36</v>
      </c>
      <c r="E12" s="18" t="s">
        <v>37</v>
      </c>
      <c r="F12" s="19">
        <v>175000</v>
      </c>
      <c r="G12" s="18" t="s">
        <v>38</v>
      </c>
      <c r="H12" s="20">
        <v>0.5</v>
      </c>
      <c r="I12" s="21">
        <f ca="1">DATE(YEAR(TODAY())+1,6,1)</f>
        <v>45809</v>
      </c>
      <c r="J12" s="22">
        <f>Bonus!$F12*Bonus!$H12</f>
        <v>87500</v>
      </c>
    </row>
    <row r="13" spans="1:11" ht="15.85" customHeight="1" x14ac:dyDescent="0.5">
      <c r="B13" s="18" t="s">
        <v>39</v>
      </c>
      <c r="C13" s="18" t="s">
        <v>21</v>
      </c>
      <c r="D13" s="18" t="s">
        <v>40</v>
      </c>
      <c r="E13" s="18" t="s">
        <v>28</v>
      </c>
      <c r="F13" s="19">
        <v>149000</v>
      </c>
      <c r="G13" s="18" t="s">
        <v>41</v>
      </c>
      <c r="H13" s="20">
        <v>0.6</v>
      </c>
      <c r="I13" s="21">
        <f ca="1">DATE(YEAR(TODAY())+1,7,1)</f>
        <v>45839</v>
      </c>
      <c r="J13" s="22">
        <f>Bonus!$F13*Bonus!$H13</f>
        <v>89400</v>
      </c>
    </row>
    <row r="14" spans="1:11" ht="15.85" customHeight="1" x14ac:dyDescent="0.5">
      <c r="B14" s="18" t="s">
        <v>42</v>
      </c>
      <c r="C14" s="18" t="s">
        <v>31</v>
      </c>
      <c r="D14" s="18" t="s">
        <v>43</v>
      </c>
      <c r="E14" s="18" t="s">
        <v>23</v>
      </c>
      <c r="F14" s="19">
        <v>142000</v>
      </c>
      <c r="G14" s="18" t="s">
        <v>44</v>
      </c>
      <c r="H14" s="20">
        <v>0.7</v>
      </c>
      <c r="I14" s="21">
        <f ca="1">DATE(YEAR(TODAY())+1,8,1)</f>
        <v>45870</v>
      </c>
      <c r="J14" s="22">
        <f>Bonus!$F14*Bonus!$H14</f>
        <v>99400</v>
      </c>
    </row>
    <row r="15" spans="1:11" ht="15.85" customHeight="1" x14ac:dyDescent="0.5">
      <c r="B15" s="18" t="s">
        <v>45</v>
      </c>
      <c r="C15" s="18" t="s">
        <v>21</v>
      </c>
      <c r="D15" s="18" t="s">
        <v>46</v>
      </c>
      <c r="E15" s="18" t="s">
        <v>28</v>
      </c>
      <c r="F15" s="19">
        <v>172500</v>
      </c>
      <c r="G15" s="18" t="s">
        <v>47</v>
      </c>
      <c r="H15" s="20">
        <v>0.9</v>
      </c>
      <c r="I15" s="21">
        <f ca="1">DATE(YEAR(TODAY())+1,10,1)</f>
        <v>45931</v>
      </c>
      <c r="J15" s="22">
        <f>Bonus!$F15*Bonus!$H15</f>
        <v>155250</v>
      </c>
    </row>
    <row r="16" spans="1:11" ht="15.85" customHeight="1" x14ac:dyDescent="0.5">
      <c r="B16" s="18" t="s">
        <v>48</v>
      </c>
      <c r="C16" s="18" t="s">
        <v>26</v>
      </c>
      <c r="D16" s="18" t="s">
        <v>49</v>
      </c>
      <c r="E16" s="18" t="s">
        <v>18</v>
      </c>
      <c r="F16" s="19">
        <v>163500</v>
      </c>
      <c r="G16" s="18" t="s">
        <v>29</v>
      </c>
      <c r="H16" s="20">
        <v>0.2</v>
      </c>
      <c r="I16" s="21">
        <f ca="1">DATE(YEAR(TODAY())+1,11,1)</f>
        <v>45962</v>
      </c>
      <c r="J16" s="22">
        <f>Bonus!$F16*Bonus!$H16</f>
        <v>32700</v>
      </c>
    </row>
    <row r="17" spans="2:10" ht="15.85" customHeight="1" x14ac:dyDescent="0.5">
      <c r="B17" s="18" t="s">
        <v>50</v>
      </c>
      <c r="C17" s="18" t="s">
        <v>31</v>
      </c>
      <c r="D17" s="18" t="s">
        <v>51</v>
      </c>
      <c r="E17" s="18" t="s">
        <v>18</v>
      </c>
      <c r="F17" s="19">
        <v>155500</v>
      </c>
      <c r="G17" s="18" t="s">
        <v>14</v>
      </c>
      <c r="H17" s="20">
        <v>1</v>
      </c>
      <c r="I17" s="21">
        <f ca="1">DATE(YEAR(TODAY())+1,12,1)</f>
        <v>45992</v>
      </c>
      <c r="J17" s="22">
        <f>Bonus!$F17*Bonus!$H17</f>
        <v>155500</v>
      </c>
    </row>
    <row r="18" spans="2:10" ht="15.85" customHeight="1" x14ac:dyDescent="0.5">
      <c r="B18" s="18" t="s">
        <v>52</v>
      </c>
      <c r="C18" s="18" t="s">
        <v>26</v>
      </c>
      <c r="D18" s="18" t="s">
        <v>53</v>
      </c>
      <c r="E18" s="18" t="s">
        <v>13</v>
      </c>
      <c r="F18" s="19">
        <v>166000</v>
      </c>
      <c r="G18" s="18" t="s">
        <v>19</v>
      </c>
      <c r="H18" s="20">
        <v>0.1</v>
      </c>
      <c r="I18" s="21">
        <f ca="1">DATE(YEAR(TODAY())+1,1,1)</f>
        <v>45658</v>
      </c>
      <c r="J18" s="22">
        <f>Bonus!$F18*Bonus!$H18</f>
        <v>16600</v>
      </c>
    </row>
    <row r="19" spans="2:10" ht="15.85" customHeight="1" x14ac:dyDescent="0.5">
      <c r="B19" s="18" t="s">
        <v>54</v>
      </c>
      <c r="C19" s="18" t="s">
        <v>21</v>
      </c>
      <c r="D19" s="18" t="s">
        <v>55</v>
      </c>
      <c r="E19" s="18" t="s">
        <v>23</v>
      </c>
      <c r="F19" s="19">
        <v>180000</v>
      </c>
      <c r="G19" s="18" t="s">
        <v>34</v>
      </c>
      <c r="H19" s="20">
        <v>0.3</v>
      </c>
      <c r="I19" s="21">
        <f ca="1">DATE(YEAR(TODAY())+1,3,1)</f>
        <v>45717</v>
      </c>
      <c r="J19" s="22">
        <f>Bonus!$F19*Bonus!$H19</f>
        <v>54000</v>
      </c>
    </row>
    <row r="20" spans="2:10" ht="15.85" customHeight="1" x14ac:dyDescent="0.5">
      <c r="B20" s="18" t="s">
        <v>56</v>
      </c>
      <c r="C20" s="18" t="s">
        <v>16</v>
      </c>
      <c r="D20" s="18" t="s">
        <v>57</v>
      </c>
      <c r="E20" s="18" t="s">
        <v>58</v>
      </c>
      <c r="F20" s="19">
        <v>140000</v>
      </c>
      <c r="G20" s="18" t="s">
        <v>41</v>
      </c>
      <c r="H20" s="20">
        <v>0.6</v>
      </c>
      <c r="I20" s="21">
        <f ca="1">DATE(YEAR(TODAY())+1,5,1)</f>
        <v>45778</v>
      </c>
      <c r="J20" s="22">
        <f>Bonus!$F20*Bonus!$H20</f>
        <v>84000</v>
      </c>
    </row>
    <row r="21" spans="2:10" ht="15.85" customHeight="1" x14ac:dyDescent="0.5">
      <c r="B21" s="18" t="s">
        <v>59</v>
      </c>
      <c r="C21" s="18" t="s">
        <v>11</v>
      </c>
      <c r="D21" s="18" t="s">
        <v>60</v>
      </c>
      <c r="E21" s="18" t="s">
        <v>37</v>
      </c>
      <c r="F21" s="19">
        <v>155000</v>
      </c>
      <c r="G21" s="18" t="s">
        <v>29</v>
      </c>
      <c r="H21" s="20">
        <v>0.3</v>
      </c>
      <c r="I21" s="21">
        <f ca="1">DATE(YEAR(TODAY())+1,6,1)</f>
        <v>45809</v>
      </c>
      <c r="J21" s="22">
        <f>Bonus!$F21*Bonus!$H21</f>
        <v>46500</v>
      </c>
    </row>
    <row r="22" spans="2:10" ht="15.85" customHeight="1" x14ac:dyDescent="0.5">
      <c r="B22" s="18" t="s">
        <v>61</v>
      </c>
      <c r="C22" s="18" t="s">
        <v>16</v>
      </c>
      <c r="D22" s="18" t="s">
        <v>62</v>
      </c>
      <c r="E22" s="18" t="s">
        <v>33</v>
      </c>
      <c r="F22" s="19">
        <v>173200</v>
      </c>
      <c r="G22" s="18" t="s">
        <v>38</v>
      </c>
      <c r="H22" s="20">
        <v>0.5</v>
      </c>
      <c r="I22" s="21">
        <f ca="1">DATE(YEAR(TODAY())+1,10,1)</f>
        <v>45931</v>
      </c>
      <c r="J22" s="22">
        <f>Bonus!$F22*Bonus!$H22</f>
        <v>86600</v>
      </c>
    </row>
    <row r="23" spans="2:10" ht="15.85" customHeight="1" x14ac:dyDescent="0.5">
      <c r="B23" s="18" t="s">
        <v>63</v>
      </c>
      <c r="C23" s="18" t="s">
        <v>31</v>
      </c>
      <c r="D23" s="18" t="s">
        <v>64</v>
      </c>
      <c r="E23" s="18" t="s">
        <v>58</v>
      </c>
      <c r="F23" s="19">
        <v>146500</v>
      </c>
      <c r="G23" s="18" t="s">
        <v>41</v>
      </c>
      <c r="H23" s="20">
        <v>0.6</v>
      </c>
      <c r="I23" s="21">
        <f ca="1">DATE(YEAR(TODAY())+1,12,1)</f>
        <v>45992</v>
      </c>
      <c r="J23" s="22">
        <f>Bonus!$F23*Bonus!$H23</f>
        <v>87900</v>
      </c>
    </row>
    <row r="24" spans="2:10" ht="15.85" customHeight="1" x14ac:dyDescent="0.5">
      <c r="B24" s="18" t="s">
        <v>65</v>
      </c>
      <c r="C24" s="18" t="s">
        <v>26</v>
      </c>
      <c r="D24" s="18" t="s">
        <v>12</v>
      </c>
      <c r="E24" s="18" t="s">
        <v>37</v>
      </c>
      <c r="F24" s="19">
        <v>156750</v>
      </c>
      <c r="G24" s="18" t="s">
        <v>44</v>
      </c>
      <c r="H24" s="20">
        <v>0.7</v>
      </c>
      <c r="I24" s="21">
        <f ca="1">DATE(YEAR(TODAY())+1,11,1)</f>
        <v>45962</v>
      </c>
      <c r="J24" s="22">
        <f>Bonus!$F24*Bonus!$H24</f>
        <v>109725</v>
      </c>
    </row>
    <row r="25" spans="2:10" ht="15.85" customHeight="1" x14ac:dyDescent="0.5">
      <c r="B25" s="18" t="s">
        <v>66</v>
      </c>
      <c r="C25" s="18" t="s">
        <v>21</v>
      </c>
      <c r="D25" s="18" t="s">
        <v>27</v>
      </c>
      <c r="E25" s="18" t="s">
        <v>67</v>
      </c>
      <c r="F25" s="19">
        <v>162000</v>
      </c>
      <c r="G25" s="18" t="s">
        <v>47</v>
      </c>
      <c r="H25" s="20">
        <v>0.9</v>
      </c>
      <c r="I25" s="21">
        <f ca="1">DATE(YEAR(TODAY())+1,2,1)</f>
        <v>45689</v>
      </c>
      <c r="J25" s="22">
        <f>Bonus!$F25*Bonus!$H25</f>
        <v>145800</v>
      </c>
    </row>
    <row r="26" spans="2:10" ht="15.85" customHeight="1" x14ac:dyDescent="0.5">
      <c r="B26" s="18" t="s">
        <v>68</v>
      </c>
      <c r="C26" s="18" t="s">
        <v>26</v>
      </c>
      <c r="D26" s="18" t="s">
        <v>40</v>
      </c>
      <c r="E26" s="18" t="s">
        <v>28</v>
      </c>
      <c r="F26" s="19">
        <v>157000</v>
      </c>
      <c r="G26" s="18" t="s">
        <v>14</v>
      </c>
      <c r="H26" s="20">
        <v>1</v>
      </c>
      <c r="I26" s="21">
        <f ca="1">DATE(YEAR(TODAY())+1,3,1)</f>
        <v>45717</v>
      </c>
      <c r="J26" s="22">
        <f>Bonus!$F26*Bonus!$H26</f>
        <v>157000</v>
      </c>
    </row>
    <row r="27" spans="2:10" ht="15.85" customHeight="1" x14ac:dyDescent="0.5">
      <c r="B27" s="18" t="s">
        <v>69</v>
      </c>
      <c r="C27" s="18" t="s">
        <v>16</v>
      </c>
      <c r="D27" s="18" t="s">
        <v>46</v>
      </c>
      <c r="E27" s="18" t="s">
        <v>58</v>
      </c>
      <c r="F27" s="19">
        <v>173000</v>
      </c>
      <c r="G27" s="18" t="s">
        <v>34</v>
      </c>
      <c r="H27" s="20">
        <v>0.4</v>
      </c>
      <c r="I27" s="21">
        <f ca="1">DATE(YEAR(TODAY())+1,4,1)</f>
        <v>45748</v>
      </c>
      <c r="J27" s="22">
        <f>Bonus!$F27*Bonus!$H27</f>
        <v>69200</v>
      </c>
    </row>
    <row r="28" spans="2:10" ht="15.85" customHeight="1" x14ac:dyDescent="0.5">
      <c r="B28" s="18" t="s">
        <v>70</v>
      </c>
      <c r="C28" s="18" t="s">
        <v>31</v>
      </c>
      <c r="D28" s="18" t="s">
        <v>71</v>
      </c>
      <c r="E28" s="18" t="s">
        <v>28</v>
      </c>
      <c r="F28" s="19">
        <v>171000</v>
      </c>
      <c r="G28" s="18" t="s">
        <v>38</v>
      </c>
      <c r="H28" s="20">
        <v>0.5</v>
      </c>
      <c r="I28" s="21">
        <f ca="1">DATE(YEAR(TODAY())+1,8,1)</f>
        <v>45870</v>
      </c>
      <c r="J28" s="22">
        <f>Bonus!$F28*Bonus!$H28</f>
        <v>85500</v>
      </c>
    </row>
    <row r="29" spans="2:10" ht="15.85" customHeight="1" x14ac:dyDescent="0.5">
      <c r="B29" s="23" t="s">
        <v>72</v>
      </c>
      <c r="C29" s="23" t="s">
        <v>11</v>
      </c>
      <c r="D29" s="23" t="s">
        <v>62</v>
      </c>
      <c r="E29" s="23" t="s">
        <v>18</v>
      </c>
      <c r="F29" s="24">
        <v>168000</v>
      </c>
      <c r="G29" s="23" t="s">
        <v>41</v>
      </c>
      <c r="H29" s="25">
        <v>0.6</v>
      </c>
      <c r="I29" s="26">
        <f ca="1">DATE(YEAR(TODAY())+1,9,1)</f>
        <v>45901</v>
      </c>
      <c r="J29" s="27">
        <f>Bonus!$F29*Bonus!$H29</f>
        <v>100800</v>
      </c>
    </row>
    <row r="30" spans="2:10" ht="15.85" customHeight="1" x14ac:dyDescent="0.5">
      <c r="B30" s="13" t="s">
        <v>10</v>
      </c>
      <c r="C30" s="13" t="s">
        <v>11</v>
      </c>
      <c r="D30" s="13" t="s">
        <v>12</v>
      </c>
      <c r="E30" s="13" t="s">
        <v>13</v>
      </c>
      <c r="F30" s="14">
        <v>150000</v>
      </c>
      <c r="G30" s="13" t="s">
        <v>14</v>
      </c>
      <c r="H30" s="15">
        <v>0.9</v>
      </c>
      <c r="I30" s="16">
        <f ca="1">DATE(YEAR(TODAY())+1,1,1)</f>
        <v>45658</v>
      </c>
      <c r="J30" s="17">
        <f>Bonus!$F30*Bonus!$H30</f>
        <v>135000</v>
      </c>
    </row>
    <row r="31" spans="2:10" ht="15.85" customHeight="1" x14ac:dyDescent="0.5">
      <c r="B31" s="18" t="s">
        <v>15</v>
      </c>
      <c r="C31" s="18" t="s">
        <v>16</v>
      </c>
      <c r="D31" s="18" t="s">
        <v>17</v>
      </c>
      <c r="E31" s="18" t="s">
        <v>18</v>
      </c>
      <c r="F31" s="19">
        <v>145200</v>
      </c>
      <c r="G31" s="18" t="s">
        <v>19</v>
      </c>
      <c r="H31" s="20">
        <v>0.1</v>
      </c>
      <c r="I31" s="21">
        <f ca="1">DATE(YEAR(TODAY())+1,2,1)</f>
        <v>45689</v>
      </c>
      <c r="J31" s="22">
        <f>Bonus!$F31*Bonus!$H31</f>
        <v>14520</v>
      </c>
    </row>
    <row r="32" spans="2:10" ht="15.85" customHeight="1" x14ac:dyDescent="0.5">
      <c r="B32" s="18" t="s">
        <v>20</v>
      </c>
      <c r="C32" s="18" t="s">
        <v>21</v>
      </c>
      <c r="D32" s="18" t="s">
        <v>22</v>
      </c>
      <c r="E32" s="18" t="s">
        <v>23</v>
      </c>
      <c r="F32" s="19">
        <v>162500</v>
      </c>
      <c r="G32" s="18" t="s">
        <v>24</v>
      </c>
      <c r="H32" s="20">
        <v>0.2</v>
      </c>
      <c r="I32" s="21">
        <f ca="1">DATE(YEAR(TODAY())+1,3,1)</f>
        <v>45717</v>
      </c>
      <c r="J32" s="22">
        <f>Bonus!$F32*Bonus!$H32</f>
        <v>32500</v>
      </c>
    </row>
    <row r="33" spans="2:10" ht="15.85" customHeight="1" x14ac:dyDescent="0.5">
      <c r="B33" s="18" t="s">
        <v>25</v>
      </c>
      <c r="C33" s="18" t="s">
        <v>26</v>
      </c>
      <c r="D33" s="18" t="s">
        <v>27</v>
      </c>
      <c r="E33" s="18" t="s">
        <v>28</v>
      </c>
      <c r="F33" s="19">
        <v>147500</v>
      </c>
      <c r="G33" s="18" t="s">
        <v>29</v>
      </c>
      <c r="H33" s="20">
        <v>0.3</v>
      </c>
      <c r="I33" s="21">
        <f ca="1">DATE(YEAR(TODAY())+1,4,1)</f>
        <v>45748</v>
      </c>
      <c r="J33" s="22">
        <f>Bonus!$F33*Bonus!$H33</f>
        <v>44250</v>
      </c>
    </row>
    <row r="34" spans="2:10" ht="15.85" customHeight="1" x14ac:dyDescent="0.5">
      <c r="B34" s="18" t="s">
        <v>30</v>
      </c>
      <c r="C34" s="18" t="s">
        <v>31</v>
      </c>
      <c r="D34" s="18" t="s">
        <v>32</v>
      </c>
      <c r="E34" s="18" t="s">
        <v>33</v>
      </c>
      <c r="F34" s="19">
        <v>148000</v>
      </c>
      <c r="G34" s="18" t="s">
        <v>34</v>
      </c>
      <c r="H34" s="20">
        <v>0.4</v>
      </c>
      <c r="I34" s="21">
        <f ca="1">DATE(YEAR(TODAY())+1,5,1)</f>
        <v>45778</v>
      </c>
      <c r="J34" s="22">
        <f>Bonus!$F34*Bonus!$H34</f>
        <v>59200</v>
      </c>
    </row>
    <row r="35" spans="2:10" ht="15.85" customHeight="1" x14ac:dyDescent="0.5">
      <c r="B35" s="18" t="s">
        <v>35</v>
      </c>
      <c r="C35" s="18" t="s">
        <v>11</v>
      </c>
      <c r="D35" s="18" t="s">
        <v>36</v>
      </c>
      <c r="E35" s="18" t="s">
        <v>37</v>
      </c>
      <c r="F35" s="19">
        <v>175000</v>
      </c>
      <c r="G35" s="18" t="s">
        <v>38</v>
      </c>
      <c r="H35" s="20">
        <v>0.5</v>
      </c>
      <c r="I35" s="21">
        <f ca="1">DATE(YEAR(TODAY())+1,6,1)</f>
        <v>45809</v>
      </c>
      <c r="J35" s="22">
        <f>Bonus!$F35*Bonus!$H35</f>
        <v>87500</v>
      </c>
    </row>
    <row r="36" spans="2:10" ht="15.85" customHeight="1" x14ac:dyDescent="0.5">
      <c r="B36" s="18" t="s">
        <v>39</v>
      </c>
      <c r="C36" s="18" t="s">
        <v>21</v>
      </c>
      <c r="D36" s="18" t="s">
        <v>40</v>
      </c>
      <c r="E36" s="18" t="s">
        <v>28</v>
      </c>
      <c r="F36" s="19">
        <v>149000</v>
      </c>
      <c r="G36" s="18" t="s">
        <v>41</v>
      </c>
      <c r="H36" s="20">
        <v>0.6</v>
      </c>
      <c r="I36" s="21">
        <f ca="1">DATE(YEAR(TODAY())+1,7,1)</f>
        <v>45839</v>
      </c>
      <c r="J36" s="22">
        <f>Bonus!$F36*Bonus!$H36</f>
        <v>89400</v>
      </c>
    </row>
    <row r="37" spans="2:10" ht="15.85" customHeight="1" x14ac:dyDescent="0.5">
      <c r="B37" s="18" t="s">
        <v>42</v>
      </c>
      <c r="C37" s="18" t="s">
        <v>31</v>
      </c>
      <c r="D37" s="18" t="s">
        <v>43</v>
      </c>
      <c r="E37" s="18" t="s">
        <v>23</v>
      </c>
      <c r="F37" s="19">
        <v>142000</v>
      </c>
      <c r="G37" s="18" t="s">
        <v>44</v>
      </c>
      <c r="H37" s="20">
        <v>0.7</v>
      </c>
      <c r="I37" s="21">
        <f ca="1">DATE(YEAR(TODAY())+1,8,1)</f>
        <v>45870</v>
      </c>
      <c r="J37" s="22">
        <f>Bonus!$F37*Bonus!$H37</f>
        <v>99400</v>
      </c>
    </row>
    <row r="38" spans="2:10" ht="15.85" customHeight="1" x14ac:dyDescent="0.5">
      <c r="B38" s="18" t="s">
        <v>45</v>
      </c>
      <c r="C38" s="18" t="s">
        <v>21</v>
      </c>
      <c r="D38" s="18" t="s">
        <v>46</v>
      </c>
      <c r="E38" s="18" t="s">
        <v>28</v>
      </c>
      <c r="F38" s="19">
        <v>172500</v>
      </c>
      <c r="G38" s="18" t="s">
        <v>47</v>
      </c>
      <c r="H38" s="20">
        <v>0.9</v>
      </c>
      <c r="I38" s="21">
        <f ca="1">DATE(YEAR(TODAY())+1,10,1)</f>
        <v>45931</v>
      </c>
      <c r="J38" s="22">
        <f>Bonus!$F38*Bonus!$H38</f>
        <v>155250</v>
      </c>
    </row>
    <row r="39" spans="2:10" ht="15.85" customHeight="1" x14ac:dyDescent="0.5">
      <c r="B39" s="18" t="s">
        <v>48</v>
      </c>
      <c r="C39" s="18" t="s">
        <v>26</v>
      </c>
      <c r="D39" s="18" t="s">
        <v>49</v>
      </c>
      <c r="E39" s="18" t="s">
        <v>18</v>
      </c>
      <c r="F39" s="19">
        <v>163500</v>
      </c>
      <c r="G39" s="18" t="s">
        <v>29</v>
      </c>
      <c r="H39" s="20">
        <v>0.2</v>
      </c>
      <c r="I39" s="21">
        <f ca="1">DATE(YEAR(TODAY())+1,11,1)</f>
        <v>45962</v>
      </c>
      <c r="J39" s="22">
        <f>Bonus!$F39*Bonus!$H39</f>
        <v>32700</v>
      </c>
    </row>
    <row r="40" spans="2:10" ht="15.85" customHeight="1" x14ac:dyDescent="0.5">
      <c r="B40" s="18" t="s">
        <v>50</v>
      </c>
      <c r="C40" s="18" t="s">
        <v>31</v>
      </c>
      <c r="D40" s="18" t="s">
        <v>51</v>
      </c>
      <c r="E40" s="18" t="s">
        <v>18</v>
      </c>
      <c r="F40" s="19">
        <v>155500</v>
      </c>
      <c r="G40" s="18" t="s">
        <v>14</v>
      </c>
      <c r="H40" s="20">
        <v>1</v>
      </c>
      <c r="I40" s="21">
        <f ca="1">DATE(YEAR(TODAY())+1,12,1)</f>
        <v>45992</v>
      </c>
      <c r="J40" s="22">
        <f>Bonus!$F40*Bonus!$H40</f>
        <v>155500</v>
      </c>
    </row>
    <row r="41" spans="2:10" ht="15.85" customHeight="1" x14ac:dyDescent="0.5">
      <c r="B41" s="18" t="s">
        <v>52</v>
      </c>
      <c r="C41" s="18" t="s">
        <v>26</v>
      </c>
      <c r="D41" s="18" t="s">
        <v>53</v>
      </c>
      <c r="E41" s="18" t="s">
        <v>13</v>
      </c>
      <c r="F41" s="19">
        <v>166000</v>
      </c>
      <c r="G41" s="18" t="s">
        <v>19</v>
      </c>
      <c r="H41" s="20">
        <v>0.1</v>
      </c>
      <c r="I41" s="21">
        <f ca="1">DATE(YEAR(TODAY())+1,1,1)</f>
        <v>45658</v>
      </c>
      <c r="J41" s="22">
        <f>Bonus!$F41*Bonus!$H41</f>
        <v>16600</v>
      </c>
    </row>
    <row r="42" spans="2:10" ht="15.85" customHeight="1" x14ac:dyDescent="0.5">
      <c r="B42" s="18" t="s">
        <v>54</v>
      </c>
      <c r="C42" s="18" t="s">
        <v>21</v>
      </c>
      <c r="D42" s="18" t="s">
        <v>55</v>
      </c>
      <c r="E42" s="18" t="s">
        <v>23</v>
      </c>
      <c r="F42" s="19">
        <v>180000</v>
      </c>
      <c r="G42" s="18" t="s">
        <v>34</v>
      </c>
      <c r="H42" s="20">
        <v>0.3</v>
      </c>
      <c r="I42" s="21">
        <f ca="1">DATE(YEAR(TODAY())+1,3,1)</f>
        <v>45717</v>
      </c>
      <c r="J42" s="22">
        <f>Bonus!$F42*Bonus!$H42</f>
        <v>54000</v>
      </c>
    </row>
    <row r="43" spans="2:10" ht="15.85" customHeight="1" x14ac:dyDescent="0.5">
      <c r="B43" s="18" t="s">
        <v>56</v>
      </c>
      <c r="C43" s="18" t="s">
        <v>16</v>
      </c>
      <c r="D43" s="18" t="s">
        <v>57</v>
      </c>
      <c r="E43" s="18" t="s">
        <v>58</v>
      </c>
      <c r="F43" s="19">
        <v>140000</v>
      </c>
      <c r="G43" s="18" t="s">
        <v>41</v>
      </c>
      <c r="H43" s="20">
        <v>0.6</v>
      </c>
      <c r="I43" s="21">
        <f ca="1">DATE(YEAR(TODAY())+1,5,1)</f>
        <v>45778</v>
      </c>
      <c r="J43" s="22">
        <f>Bonus!$F43*Bonus!$H43</f>
        <v>84000</v>
      </c>
    </row>
    <row r="44" spans="2:10" ht="15.85" customHeight="1" x14ac:dyDescent="0.5">
      <c r="B44" s="18" t="s">
        <v>59</v>
      </c>
      <c r="C44" s="18" t="s">
        <v>11</v>
      </c>
      <c r="D44" s="18" t="s">
        <v>60</v>
      </c>
      <c r="E44" s="18" t="s">
        <v>37</v>
      </c>
      <c r="F44" s="19">
        <v>155000</v>
      </c>
      <c r="G44" s="18" t="s">
        <v>29</v>
      </c>
      <c r="H44" s="20">
        <v>0.3</v>
      </c>
      <c r="I44" s="21">
        <f ca="1">DATE(YEAR(TODAY())+1,6,1)</f>
        <v>45809</v>
      </c>
      <c r="J44" s="22">
        <f>Bonus!$F44*Bonus!$H44</f>
        <v>46500</v>
      </c>
    </row>
    <row r="45" spans="2:10" ht="15.85" customHeight="1" x14ac:dyDescent="0.5">
      <c r="B45" s="18" t="s">
        <v>61</v>
      </c>
      <c r="C45" s="18" t="s">
        <v>16</v>
      </c>
      <c r="D45" s="18" t="s">
        <v>62</v>
      </c>
      <c r="E45" s="18" t="s">
        <v>33</v>
      </c>
      <c r="F45" s="19">
        <v>173200</v>
      </c>
      <c r="G45" s="18" t="s">
        <v>38</v>
      </c>
      <c r="H45" s="20">
        <v>0.5</v>
      </c>
      <c r="I45" s="21">
        <f ca="1">DATE(YEAR(TODAY())+1,10,1)</f>
        <v>45931</v>
      </c>
      <c r="J45" s="22">
        <f>Bonus!$F45*Bonus!$H45</f>
        <v>86600</v>
      </c>
    </row>
    <row r="46" spans="2:10" ht="15.85" customHeight="1" x14ac:dyDescent="0.5">
      <c r="B46" s="18" t="s">
        <v>63</v>
      </c>
      <c r="C46" s="18" t="s">
        <v>31</v>
      </c>
      <c r="D46" s="18" t="s">
        <v>64</v>
      </c>
      <c r="E46" s="18" t="s">
        <v>58</v>
      </c>
      <c r="F46" s="19">
        <v>146500</v>
      </c>
      <c r="G46" s="18" t="s">
        <v>41</v>
      </c>
      <c r="H46" s="20">
        <v>0.6</v>
      </c>
      <c r="I46" s="21">
        <f ca="1">DATE(YEAR(TODAY())+1,12,1)</f>
        <v>45992</v>
      </c>
      <c r="J46" s="22">
        <f>Bonus!$F46*Bonus!$H46</f>
        <v>87900</v>
      </c>
    </row>
    <row r="47" spans="2:10" ht="15.85" customHeight="1" x14ac:dyDescent="0.5">
      <c r="B47" s="18" t="s">
        <v>65</v>
      </c>
      <c r="C47" s="18" t="s">
        <v>26</v>
      </c>
      <c r="D47" s="18" t="s">
        <v>12</v>
      </c>
      <c r="E47" s="18" t="s">
        <v>37</v>
      </c>
      <c r="F47" s="19">
        <v>156750</v>
      </c>
      <c r="G47" s="18" t="s">
        <v>44</v>
      </c>
      <c r="H47" s="20">
        <v>0.7</v>
      </c>
      <c r="I47" s="21">
        <f ca="1">DATE(YEAR(TODAY())+1,11,1)</f>
        <v>45962</v>
      </c>
      <c r="J47" s="22">
        <f>Bonus!$F47*Bonus!$H47</f>
        <v>109725</v>
      </c>
    </row>
    <row r="48" spans="2:10" ht="15.85" customHeight="1" x14ac:dyDescent="0.5">
      <c r="B48" s="18" t="s">
        <v>66</v>
      </c>
      <c r="C48" s="18" t="s">
        <v>21</v>
      </c>
      <c r="D48" s="18" t="s">
        <v>27</v>
      </c>
      <c r="E48" s="18" t="s">
        <v>67</v>
      </c>
      <c r="F48" s="19">
        <v>162000</v>
      </c>
      <c r="G48" s="18" t="s">
        <v>47</v>
      </c>
      <c r="H48" s="20">
        <v>0.9</v>
      </c>
      <c r="I48" s="21">
        <f ca="1">DATE(YEAR(TODAY())+1,2,1)</f>
        <v>45689</v>
      </c>
      <c r="J48" s="22">
        <f>Bonus!$F48*Bonus!$H48</f>
        <v>145800</v>
      </c>
    </row>
    <row r="49" spans="2:10" ht="15.85" customHeight="1" x14ac:dyDescent="0.5">
      <c r="B49" s="18" t="s">
        <v>68</v>
      </c>
      <c r="C49" s="18" t="s">
        <v>26</v>
      </c>
      <c r="D49" s="18" t="s">
        <v>40</v>
      </c>
      <c r="E49" s="18" t="s">
        <v>28</v>
      </c>
      <c r="F49" s="19">
        <v>157000</v>
      </c>
      <c r="G49" s="18" t="s">
        <v>14</v>
      </c>
      <c r="H49" s="20">
        <v>1</v>
      </c>
      <c r="I49" s="21">
        <f ca="1">DATE(YEAR(TODAY())+1,3,1)</f>
        <v>45717</v>
      </c>
      <c r="J49" s="22">
        <f>Bonus!$F49*Bonus!$H49</f>
        <v>157000</v>
      </c>
    </row>
    <row r="50" spans="2:10" ht="15.85" customHeight="1" x14ac:dyDescent="0.5">
      <c r="B50" s="18" t="s">
        <v>69</v>
      </c>
      <c r="C50" s="18" t="s">
        <v>16</v>
      </c>
      <c r="D50" s="18" t="s">
        <v>46</v>
      </c>
      <c r="E50" s="18" t="s">
        <v>58</v>
      </c>
      <c r="F50" s="19">
        <v>173000</v>
      </c>
      <c r="G50" s="18" t="s">
        <v>34</v>
      </c>
      <c r="H50" s="20">
        <v>0.4</v>
      </c>
      <c r="I50" s="21">
        <f ca="1">DATE(YEAR(TODAY())+1,4,1)</f>
        <v>45748</v>
      </c>
      <c r="J50" s="22">
        <f>Bonus!$F50*Bonus!$H50</f>
        <v>69200</v>
      </c>
    </row>
    <row r="51" spans="2:10" ht="15.85" customHeight="1" x14ac:dyDescent="0.5">
      <c r="B51" s="18" t="s">
        <v>70</v>
      </c>
      <c r="C51" s="18" t="s">
        <v>31</v>
      </c>
      <c r="D51" s="18" t="s">
        <v>71</v>
      </c>
      <c r="E51" s="18" t="s">
        <v>28</v>
      </c>
      <c r="F51" s="19">
        <v>171000</v>
      </c>
      <c r="G51" s="18" t="s">
        <v>38</v>
      </c>
      <c r="H51" s="20">
        <v>0.5</v>
      </c>
      <c r="I51" s="21">
        <f ca="1">DATE(YEAR(TODAY())+1,8,1)</f>
        <v>45870</v>
      </c>
      <c r="J51" s="22">
        <f>Bonus!$F51*Bonus!$H51</f>
        <v>85500</v>
      </c>
    </row>
    <row r="52" spans="2:10" ht="15.85" customHeight="1" x14ac:dyDescent="0.5">
      <c r="B52" s="23" t="s">
        <v>72</v>
      </c>
      <c r="C52" s="23" t="s">
        <v>11</v>
      </c>
      <c r="D52" s="23" t="s">
        <v>62</v>
      </c>
      <c r="E52" s="23" t="s">
        <v>18</v>
      </c>
      <c r="F52" s="24">
        <v>168000</v>
      </c>
      <c r="G52" s="23" t="s">
        <v>41</v>
      </c>
      <c r="H52" s="25">
        <v>0.6</v>
      </c>
      <c r="I52" s="26">
        <f ca="1">DATE(YEAR(TODAY())+1,9,1)</f>
        <v>45901</v>
      </c>
      <c r="J52" s="27">
        <f>Bonus!$F52*Bonus!$H52</f>
        <v>100800</v>
      </c>
    </row>
    <row r="53" spans="2:10" ht="15.85" customHeight="1" x14ac:dyDescent="0.5">
      <c r="B53" s="13" t="s">
        <v>10</v>
      </c>
      <c r="C53" s="13" t="s">
        <v>11</v>
      </c>
      <c r="D53" s="13" t="s">
        <v>12</v>
      </c>
      <c r="E53" s="13" t="s">
        <v>13</v>
      </c>
      <c r="F53" s="14">
        <v>150000</v>
      </c>
      <c r="G53" s="13" t="s">
        <v>14</v>
      </c>
      <c r="H53" s="15">
        <v>0.9</v>
      </c>
      <c r="I53" s="16">
        <f ca="1">DATE(YEAR(TODAY())+1,1,1)</f>
        <v>45658</v>
      </c>
      <c r="J53" s="17">
        <f>Bonus!$F53*Bonus!$H53</f>
        <v>135000</v>
      </c>
    </row>
    <row r="54" spans="2:10" ht="15.85" customHeight="1" x14ac:dyDescent="0.5">
      <c r="B54" s="18" t="s">
        <v>15</v>
      </c>
      <c r="C54" s="18" t="s">
        <v>16</v>
      </c>
      <c r="D54" s="18" t="s">
        <v>17</v>
      </c>
      <c r="E54" s="18" t="s">
        <v>18</v>
      </c>
      <c r="F54" s="19">
        <v>145200</v>
      </c>
      <c r="G54" s="18" t="s">
        <v>19</v>
      </c>
      <c r="H54" s="20">
        <v>0.1</v>
      </c>
      <c r="I54" s="21">
        <f ca="1">DATE(YEAR(TODAY())+1,2,1)</f>
        <v>45689</v>
      </c>
      <c r="J54" s="22">
        <f>Bonus!$F54*Bonus!$H54</f>
        <v>14520</v>
      </c>
    </row>
    <row r="55" spans="2:10" ht="15.85" customHeight="1" x14ac:dyDescent="0.5">
      <c r="B55" s="18" t="s">
        <v>20</v>
      </c>
      <c r="C55" s="18" t="s">
        <v>21</v>
      </c>
      <c r="D55" s="18" t="s">
        <v>22</v>
      </c>
      <c r="E55" s="18" t="s">
        <v>23</v>
      </c>
      <c r="F55" s="19">
        <v>162500</v>
      </c>
      <c r="G55" s="18" t="s">
        <v>24</v>
      </c>
      <c r="H55" s="20">
        <v>0.2</v>
      </c>
      <c r="I55" s="21">
        <f ca="1">DATE(YEAR(TODAY())+1,3,1)</f>
        <v>45717</v>
      </c>
      <c r="J55" s="22">
        <f>Bonus!$F55*Bonus!$H55</f>
        <v>32500</v>
      </c>
    </row>
    <row r="56" spans="2:10" ht="15.85" customHeight="1" x14ac:dyDescent="0.5">
      <c r="B56" s="18" t="s">
        <v>25</v>
      </c>
      <c r="C56" s="18" t="s">
        <v>26</v>
      </c>
      <c r="D56" s="18" t="s">
        <v>27</v>
      </c>
      <c r="E56" s="18" t="s">
        <v>28</v>
      </c>
      <c r="F56" s="19">
        <v>147500</v>
      </c>
      <c r="G56" s="18" t="s">
        <v>29</v>
      </c>
      <c r="H56" s="20">
        <v>0.3</v>
      </c>
      <c r="I56" s="21">
        <f ca="1">DATE(YEAR(TODAY())+1,4,1)</f>
        <v>45748</v>
      </c>
      <c r="J56" s="22">
        <f>Bonus!$F56*Bonus!$H56</f>
        <v>44250</v>
      </c>
    </row>
    <row r="57" spans="2:10" ht="15.85" customHeight="1" x14ac:dyDescent="0.5">
      <c r="B57" s="18" t="s">
        <v>30</v>
      </c>
      <c r="C57" s="18" t="s">
        <v>31</v>
      </c>
      <c r="D57" s="18" t="s">
        <v>32</v>
      </c>
      <c r="E57" s="18" t="s">
        <v>33</v>
      </c>
      <c r="F57" s="19">
        <v>148000</v>
      </c>
      <c r="G57" s="18" t="s">
        <v>34</v>
      </c>
      <c r="H57" s="20">
        <v>0.4</v>
      </c>
      <c r="I57" s="21">
        <f ca="1">DATE(YEAR(TODAY())+1,5,1)</f>
        <v>45778</v>
      </c>
      <c r="J57" s="22">
        <f>Bonus!$F57*Bonus!$H57</f>
        <v>59200</v>
      </c>
    </row>
    <row r="58" spans="2:10" ht="15.85" customHeight="1" x14ac:dyDescent="0.5">
      <c r="B58" s="18" t="s">
        <v>35</v>
      </c>
      <c r="C58" s="18" t="s">
        <v>11</v>
      </c>
      <c r="D58" s="18" t="s">
        <v>36</v>
      </c>
      <c r="E58" s="18" t="s">
        <v>37</v>
      </c>
      <c r="F58" s="19">
        <v>175000</v>
      </c>
      <c r="G58" s="18" t="s">
        <v>38</v>
      </c>
      <c r="H58" s="20">
        <v>0.5</v>
      </c>
      <c r="I58" s="21">
        <f ca="1">DATE(YEAR(TODAY())+1,6,1)</f>
        <v>45809</v>
      </c>
      <c r="J58" s="22">
        <f>Bonus!$F58*Bonus!$H58</f>
        <v>87500</v>
      </c>
    </row>
    <row r="59" spans="2:10" ht="15.85" customHeight="1" x14ac:dyDescent="0.5">
      <c r="B59" s="18" t="s">
        <v>39</v>
      </c>
      <c r="C59" s="18" t="s">
        <v>21</v>
      </c>
      <c r="D59" s="18" t="s">
        <v>40</v>
      </c>
      <c r="E59" s="18" t="s">
        <v>28</v>
      </c>
      <c r="F59" s="19">
        <v>149000</v>
      </c>
      <c r="G59" s="18" t="s">
        <v>41</v>
      </c>
      <c r="H59" s="20">
        <v>0.6</v>
      </c>
      <c r="I59" s="21">
        <f ca="1">DATE(YEAR(TODAY())+1,7,1)</f>
        <v>45839</v>
      </c>
      <c r="J59" s="22">
        <f>Bonus!$F59*Bonus!$H59</f>
        <v>89400</v>
      </c>
    </row>
    <row r="60" spans="2:10" ht="15.85" customHeight="1" x14ac:dyDescent="0.5">
      <c r="B60" s="18" t="s">
        <v>42</v>
      </c>
      <c r="C60" s="18" t="s">
        <v>31</v>
      </c>
      <c r="D60" s="18" t="s">
        <v>43</v>
      </c>
      <c r="E60" s="18" t="s">
        <v>23</v>
      </c>
      <c r="F60" s="19">
        <v>142000</v>
      </c>
      <c r="G60" s="18" t="s">
        <v>44</v>
      </c>
      <c r="H60" s="20">
        <v>0.7</v>
      </c>
      <c r="I60" s="21">
        <f ca="1">DATE(YEAR(TODAY())+1,8,1)</f>
        <v>45870</v>
      </c>
      <c r="J60" s="22">
        <f>Bonus!$F60*Bonus!$H60</f>
        <v>99400</v>
      </c>
    </row>
    <row r="61" spans="2:10" ht="15.85" customHeight="1" x14ac:dyDescent="0.5">
      <c r="B61" s="18" t="s">
        <v>45</v>
      </c>
      <c r="C61" s="18" t="s">
        <v>21</v>
      </c>
      <c r="D61" s="18" t="s">
        <v>46</v>
      </c>
      <c r="E61" s="18" t="s">
        <v>28</v>
      </c>
      <c r="F61" s="19">
        <v>172500</v>
      </c>
      <c r="G61" s="18" t="s">
        <v>47</v>
      </c>
      <c r="H61" s="20">
        <v>0.9</v>
      </c>
      <c r="I61" s="21">
        <f ca="1">DATE(YEAR(TODAY())+1,10,1)</f>
        <v>45931</v>
      </c>
      <c r="J61" s="22">
        <f>Bonus!$F61*Bonus!$H61</f>
        <v>155250</v>
      </c>
    </row>
    <row r="62" spans="2:10" ht="15.85" customHeight="1" x14ac:dyDescent="0.5">
      <c r="B62" s="18" t="s">
        <v>48</v>
      </c>
      <c r="C62" s="18" t="s">
        <v>26</v>
      </c>
      <c r="D62" s="18" t="s">
        <v>49</v>
      </c>
      <c r="E62" s="18" t="s">
        <v>18</v>
      </c>
      <c r="F62" s="19">
        <v>163500</v>
      </c>
      <c r="G62" s="18" t="s">
        <v>29</v>
      </c>
      <c r="H62" s="20">
        <v>0.2</v>
      </c>
      <c r="I62" s="21">
        <f ca="1">DATE(YEAR(TODAY())+1,11,1)</f>
        <v>45962</v>
      </c>
      <c r="J62" s="22">
        <f>Bonus!$F62*Bonus!$H62</f>
        <v>32700</v>
      </c>
    </row>
    <row r="63" spans="2:10" ht="15.85" customHeight="1" x14ac:dyDescent="0.5">
      <c r="B63" s="18" t="s">
        <v>50</v>
      </c>
      <c r="C63" s="18" t="s">
        <v>31</v>
      </c>
      <c r="D63" s="18" t="s">
        <v>51</v>
      </c>
      <c r="E63" s="18" t="s">
        <v>18</v>
      </c>
      <c r="F63" s="19">
        <v>155500</v>
      </c>
      <c r="G63" s="18" t="s">
        <v>14</v>
      </c>
      <c r="H63" s="20">
        <v>1</v>
      </c>
      <c r="I63" s="21">
        <f ca="1">DATE(YEAR(TODAY())+1,12,1)</f>
        <v>45992</v>
      </c>
      <c r="J63" s="22">
        <f>Bonus!$F63*Bonus!$H63</f>
        <v>155500</v>
      </c>
    </row>
    <row r="64" spans="2:10" ht="15.85" customHeight="1" x14ac:dyDescent="0.5">
      <c r="B64" s="18" t="s">
        <v>52</v>
      </c>
      <c r="C64" s="18" t="s">
        <v>26</v>
      </c>
      <c r="D64" s="18" t="s">
        <v>53</v>
      </c>
      <c r="E64" s="18" t="s">
        <v>13</v>
      </c>
      <c r="F64" s="19">
        <v>166000</v>
      </c>
      <c r="G64" s="18" t="s">
        <v>19</v>
      </c>
      <c r="H64" s="20">
        <v>0.1</v>
      </c>
      <c r="I64" s="21">
        <f ca="1">DATE(YEAR(TODAY())+1,1,1)</f>
        <v>45658</v>
      </c>
      <c r="J64" s="22">
        <f>Bonus!$F64*Bonus!$H64</f>
        <v>16600</v>
      </c>
    </row>
    <row r="65" spans="2:10" ht="15.85" customHeight="1" x14ac:dyDescent="0.5">
      <c r="B65" s="18" t="s">
        <v>54</v>
      </c>
      <c r="C65" s="18" t="s">
        <v>21</v>
      </c>
      <c r="D65" s="18" t="s">
        <v>55</v>
      </c>
      <c r="E65" s="18" t="s">
        <v>23</v>
      </c>
      <c r="F65" s="19">
        <v>180000</v>
      </c>
      <c r="G65" s="18" t="s">
        <v>34</v>
      </c>
      <c r="H65" s="20">
        <v>0.3</v>
      </c>
      <c r="I65" s="21">
        <f ca="1">DATE(YEAR(TODAY())+1,3,1)</f>
        <v>45717</v>
      </c>
      <c r="J65" s="22">
        <f>Bonus!$F65*Bonus!$H65</f>
        <v>54000</v>
      </c>
    </row>
    <row r="66" spans="2:10" ht="15.85" customHeight="1" x14ac:dyDescent="0.5">
      <c r="B66" s="18" t="s">
        <v>56</v>
      </c>
      <c r="C66" s="18" t="s">
        <v>16</v>
      </c>
      <c r="D66" s="18" t="s">
        <v>57</v>
      </c>
      <c r="E66" s="18" t="s">
        <v>58</v>
      </c>
      <c r="F66" s="19">
        <v>140000</v>
      </c>
      <c r="G66" s="18" t="s">
        <v>41</v>
      </c>
      <c r="H66" s="20">
        <v>0.6</v>
      </c>
      <c r="I66" s="21">
        <f ca="1">DATE(YEAR(TODAY())+1,5,1)</f>
        <v>45778</v>
      </c>
      <c r="J66" s="22">
        <f>Bonus!$F66*Bonus!$H66</f>
        <v>84000</v>
      </c>
    </row>
    <row r="67" spans="2:10" ht="15.85" customHeight="1" x14ac:dyDescent="0.5">
      <c r="B67" s="18" t="s">
        <v>59</v>
      </c>
      <c r="C67" s="18" t="s">
        <v>11</v>
      </c>
      <c r="D67" s="18" t="s">
        <v>60</v>
      </c>
      <c r="E67" s="18" t="s">
        <v>37</v>
      </c>
      <c r="F67" s="19">
        <v>155000</v>
      </c>
      <c r="G67" s="18" t="s">
        <v>29</v>
      </c>
      <c r="H67" s="20">
        <v>0.3</v>
      </c>
      <c r="I67" s="21">
        <f ca="1">DATE(YEAR(TODAY())+1,6,1)</f>
        <v>45809</v>
      </c>
      <c r="J67" s="22">
        <f>Bonus!$F67*Bonus!$H67</f>
        <v>46500</v>
      </c>
    </row>
    <row r="68" spans="2:10" ht="15.85" customHeight="1" x14ac:dyDescent="0.5">
      <c r="B68" s="18" t="s">
        <v>61</v>
      </c>
      <c r="C68" s="18" t="s">
        <v>16</v>
      </c>
      <c r="D68" s="18" t="s">
        <v>62</v>
      </c>
      <c r="E68" s="18" t="s">
        <v>33</v>
      </c>
      <c r="F68" s="19">
        <v>173200</v>
      </c>
      <c r="G68" s="18" t="s">
        <v>38</v>
      </c>
      <c r="H68" s="20">
        <v>0.5</v>
      </c>
      <c r="I68" s="21">
        <f ca="1">DATE(YEAR(TODAY())+1,10,1)</f>
        <v>45931</v>
      </c>
      <c r="J68" s="22">
        <f>Bonus!$F68*Bonus!$H68</f>
        <v>86600</v>
      </c>
    </row>
    <row r="69" spans="2:10" ht="15.85" customHeight="1" x14ac:dyDescent="0.5">
      <c r="B69" s="18" t="s">
        <v>63</v>
      </c>
      <c r="C69" s="18" t="s">
        <v>31</v>
      </c>
      <c r="D69" s="18" t="s">
        <v>64</v>
      </c>
      <c r="E69" s="18" t="s">
        <v>58</v>
      </c>
      <c r="F69" s="19">
        <v>146500</v>
      </c>
      <c r="G69" s="18" t="s">
        <v>41</v>
      </c>
      <c r="H69" s="20">
        <v>0.6</v>
      </c>
      <c r="I69" s="21">
        <f ca="1">DATE(YEAR(TODAY())+1,12,1)</f>
        <v>45992</v>
      </c>
      <c r="J69" s="22">
        <f>Bonus!$F69*Bonus!$H69</f>
        <v>87900</v>
      </c>
    </row>
    <row r="70" spans="2:10" ht="15.85" customHeight="1" x14ac:dyDescent="0.5">
      <c r="B70" s="18" t="s">
        <v>65</v>
      </c>
      <c r="C70" s="18" t="s">
        <v>26</v>
      </c>
      <c r="D70" s="18" t="s">
        <v>12</v>
      </c>
      <c r="E70" s="18" t="s">
        <v>37</v>
      </c>
      <c r="F70" s="19">
        <v>156750</v>
      </c>
      <c r="G70" s="18" t="s">
        <v>44</v>
      </c>
      <c r="H70" s="20">
        <v>0.7</v>
      </c>
      <c r="I70" s="21">
        <f ca="1">DATE(YEAR(TODAY())+1,11,1)</f>
        <v>45962</v>
      </c>
      <c r="J70" s="22">
        <f>Bonus!$F70*Bonus!$H70</f>
        <v>109725</v>
      </c>
    </row>
    <row r="71" spans="2:10" ht="15.85" customHeight="1" x14ac:dyDescent="0.5">
      <c r="B71" s="18" t="s">
        <v>66</v>
      </c>
      <c r="C71" s="18" t="s">
        <v>21</v>
      </c>
      <c r="D71" s="18" t="s">
        <v>27</v>
      </c>
      <c r="E71" s="18" t="s">
        <v>67</v>
      </c>
      <c r="F71" s="19">
        <v>162000</v>
      </c>
      <c r="G71" s="18" t="s">
        <v>47</v>
      </c>
      <c r="H71" s="20">
        <v>0.9</v>
      </c>
      <c r="I71" s="21">
        <f ca="1">DATE(YEAR(TODAY())+1,2,1)</f>
        <v>45689</v>
      </c>
      <c r="J71" s="22">
        <f>Bonus!$F71*Bonus!$H71</f>
        <v>145800</v>
      </c>
    </row>
    <row r="72" spans="2:10" ht="15.85" customHeight="1" x14ac:dyDescent="0.5">
      <c r="B72" s="18" t="s">
        <v>68</v>
      </c>
      <c r="C72" s="18" t="s">
        <v>26</v>
      </c>
      <c r="D72" s="18" t="s">
        <v>40</v>
      </c>
      <c r="E72" s="18" t="s">
        <v>28</v>
      </c>
      <c r="F72" s="19">
        <v>157000</v>
      </c>
      <c r="G72" s="18" t="s">
        <v>14</v>
      </c>
      <c r="H72" s="20">
        <v>1</v>
      </c>
      <c r="I72" s="21">
        <f ca="1">DATE(YEAR(TODAY())+1,3,1)</f>
        <v>45717</v>
      </c>
      <c r="J72" s="22">
        <f>Bonus!$F72*Bonus!$H72</f>
        <v>157000</v>
      </c>
    </row>
    <row r="73" spans="2:10" ht="15.85" customHeight="1" x14ac:dyDescent="0.5">
      <c r="B73" s="18" t="s">
        <v>69</v>
      </c>
      <c r="C73" s="18" t="s">
        <v>16</v>
      </c>
      <c r="D73" s="18" t="s">
        <v>46</v>
      </c>
      <c r="E73" s="18" t="s">
        <v>58</v>
      </c>
      <c r="F73" s="19">
        <v>173000</v>
      </c>
      <c r="G73" s="18" t="s">
        <v>34</v>
      </c>
      <c r="H73" s="20">
        <v>0.4</v>
      </c>
      <c r="I73" s="21">
        <f ca="1">DATE(YEAR(TODAY())+1,4,1)</f>
        <v>45748</v>
      </c>
      <c r="J73" s="22">
        <f>Bonus!$F73*Bonus!$H73</f>
        <v>69200</v>
      </c>
    </row>
    <row r="74" spans="2:10" ht="15.85" customHeight="1" x14ac:dyDescent="0.5">
      <c r="B74" s="18" t="s">
        <v>70</v>
      </c>
      <c r="C74" s="18" t="s">
        <v>31</v>
      </c>
      <c r="D74" s="18" t="s">
        <v>71</v>
      </c>
      <c r="E74" s="18" t="s">
        <v>28</v>
      </c>
      <c r="F74" s="19">
        <v>171000</v>
      </c>
      <c r="G74" s="18" t="s">
        <v>38</v>
      </c>
      <c r="H74" s="20">
        <v>0.5</v>
      </c>
      <c r="I74" s="21">
        <f ca="1">DATE(YEAR(TODAY())+1,8,1)</f>
        <v>45870</v>
      </c>
      <c r="J74" s="22">
        <f>Bonus!$F74*Bonus!$H74</f>
        <v>85500</v>
      </c>
    </row>
    <row r="75" spans="2:10" ht="15.85" customHeight="1" x14ac:dyDescent="0.5">
      <c r="B75" s="23" t="s">
        <v>72</v>
      </c>
      <c r="C75" s="23" t="s">
        <v>11</v>
      </c>
      <c r="D75" s="23" t="s">
        <v>62</v>
      </c>
      <c r="E75" s="23" t="s">
        <v>18</v>
      </c>
      <c r="F75" s="24">
        <v>168000</v>
      </c>
      <c r="G75" s="23" t="s">
        <v>41</v>
      </c>
      <c r="H75" s="25">
        <v>0.6</v>
      </c>
      <c r="I75" s="26">
        <f ca="1">DATE(YEAR(TODAY())+1,9,1)</f>
        <v>45901</v>
      </c>
      <c r="J75" s="27">
        <f>Bonus!$F75*Bonus!$H75</f>
        <v>100800</v>
      </c>
    </row>
    <row r="76" spans="2:10" ht="15.85" customHeight="1" x14ac:dyDescent="0.5">
      <c r="B76" s="13" t="s">
        <v>10</v>
      </c>
      <c r="C76" s="13" t="s">
        <v>11</v>
      </c>
      <c r="D76" s="13" t="s">
        <v>12</v>
      </c>
      <c r="E76" s="13" t="s">
        <v>13</v>
      </c>
      <c r="F76" s="14">
        <v>150000</v>
      </c>
      <c r="G76" s="13" t="s">
        <v>14</v>
      </c>
      <c r="H76" s="15">
        <v>0.9</v>
      </c>
      <c r="I76" s="16">
        <f ca="1">DATE(YEAR(TODAY())+1,1,1)</f>
        <v>45658</v>
      </c>
      <c r="J76" s="17">
        <f>Bonus!$F76*Bonus!$H76</f>
        <v>135000</v>
      </c>
    </row>
    <row r="77" spans="2:10" ht="15.85" customHeight="1" x14ac:dyDescent="0.5">
      <c r="B77" s="18" t="s">
        <v>15</v>
      </c>
      <c r="C77" s="18" t="s">
        <v>16</v>
      </c>
      <c r="D77" s="18" t="s">
        <v>17</v>
      </c>
      <c r="E77" s="18" t="s">
        <v>18</v>
      </c>
      <c r="F77" s="19">
        <v>145200</v>
      </c>
      <c r="G77" s="18" t="s">
        <v>19</v>
      </c>
      <c r="H77" s="20">
        <v>0.1</v>
      </c>
      <c r="I77" s="21">
        <f ca="1">DATE(YEAR(TODAY())+1,2,1)</f>
        <v>45689</v>
      </c>
      <c r="J77" s="22">
        <f>Bonus!$F77*Bonus!$H77</f>
        <v>14520</v>
      </c>
    </row>
    <row r="78" spans="2:10" ht="15.85" customHeight="1" x14ac:dyDescent="0.5">
      <c r="B78" s="18" t="s">
        <v>20</v>
      </c>
      <c r="C78" s="18" t="s">
        <v>21</v>
      </c>
      <c r="D78" s="18" t="s">
        <v>22</v>
      </c>
      <c r="E78" s="18" t="s">
        <v>23</v>
      </c>
      <c r="F78" s="19">
        <v>162500</v>
      </c>
      <c r="G78" s="18" t="s">
        <v>24</v>
      </c>
      <c r="H78" s="20">
        <v>0.2</v>
      </c>
      <c r="I78" s="21">
        <f ca="1">DATE(YEAR(TODAY())+1,3,1)</f>
        <v>45717</v>
      </c>
      <c r="J78" s="22">
        <f>Bonus!$F78*Bonus!$H78</f>
        <v>32500</v>
      </c>
    </row>
    <row r="79" spans="2:10" ht="15.85" customHeight="1" x14ac:dyDescent="0.5">
      <c r="B79" s="18" t="s">
        <v>25</v>
      </c>
      <c r="C79" s="18" t="s">
        <v>26</v>
      </c>
      <c r="D79" s="18" t="s">
        <v>27</v>
      </c>
      <c r="E79" s="18" t="s">
        <v>28</v>
      </c>
      <c r="F79" s="19">
        <v>147500</v>
      </c>
      <c r="G79" s="18" t="s">
        <v>29</v>
      </c>
      <c r="H79" s="20">
        <v>0.3</v>
      </c>
      <c r="I79" s="21">
        <f ca="1">DATE(YEAR(TODAY())+1,4,1)</f>
        <v>45748</v>
      </c>
      <c r="J79" s="22">
        <f>Bonus!$F79*Bonus!$H79</f>
        <v>44250</v>
      </c>
    </row>
    <row r="80" spans="2:10" ht="15.85" customHeight="1" x14ac:dyDescent="0.5">
      <c r="B80" s="18" t="s">
        <v>30</v>
      </c>
      <c r="C80" s="18" t="s">
        <v>31</v>
      </c>
      <c r="D80" s="18" t="s">
        <v>32</v>
      </c>
      <c r="E80" s="18" t="s">
        <v>33</v>
      </c>
      <c r="F80" s="19">
        <v>148000</v>
      </c>
      <c r="G80" s="18" t="s">
        <v>34</v>
      </c>
      <c r="H80" s="20">
        <v>0.4</v>
      </c>
      <c r="I80" s="21">
        <f ca="1">DATE(YEAR(TODAY())+1,5,1)</f>
        <v>45778</v>
      </c>
      <c r="J80" s="22">
        <f>Bonus!$F80*Bonus!$H80</f>
        <v>59200</v>
      </c>
    </row>
    <row r="81" spans="2:10" ht="15.85" customHeight="1" x14ac:dyDescent="0.5">
      <c r="B81" s="18" t="s">
        <v>35</v>
      </c>
      <c r="C81" s="18" t="s">
        <v>11</v>
      </c>
      <c r="D81" s="18" t="s">
        <v>36</v>
      </c>
      <c r="E81" s="18" t="s">
        <v>37</v>
      </c>
      <c r="F81" s="19">
        <v>175000</v>
      </c>
      <c r="G81" s="18" t="s">
        <v>38</v>
      </c>
      <c r="H81" s="20">
        <v>0.5</v>
      </c>
      <c r="I81" s="21">
        <f ca="1">DATE(YEAR(TODAY())+1,6,1)</f>
        <v>45809</v>
      </c>
      <c r="J81" s="22">
        <f>Bonus!$F81*Bonus!$H81</f>
        <v>87500</v>
      </c>
    </row>
    <row r="82" spans="2:10" ht="15.85" customHeight="1" x14ac:dyDescent="0.5">
      <c r="B82" s="18" t="s">
        <v>39</v>
      </c>
      <c r="C82" s="18" t="s">
        <v>21</v>
      </c>
      <c r="D82" s="18" t="s">
        <v>40</v>
      </c>
      <c r="E82" s="18" t="s">
        <v>28</v>
      </c>
      <c r="F82" s="19">
        <v>149000</v>
      </c>
      <c r="G82" s="18" t="s">
        <v>41</v>
      </c>
      <c r="H82" s="20">
        <v>0.6</v>
      </c>
      <c r="I82" s="21">
        <f ca="1">DATE(YEAR(TODAY())+1,7,1)</f>
        <v>45839</v>
      </c>
      <c r="J82" s="22">
        <f>Bonus!$F82*Bonus!$H82</f>
        <v>89400</v>
      </c>
    </row>
    <row r="83" spans="2:10" ht="15.85" customHeight="1" x14ac:dyDescent="0.5">
      <c r="B83" s="18" t="s">
        <v>42</v>
      </c>
      <c r="C83" s="18" t="s">
        <v>31</v>
      </c>
      <c r="D83" s="18" t="s">
        <v>43</v>
      </c>
      <c r="E83" s="18" t="s">
        <v>23</v>
      </c>
      <c r="F83" s="19">
        <v>142000</v>
      </c>
      <c r="G83" s="18" t="s">
        <v>44</v>
      </c>
      <c r="H83" s="20">
        <v>0.7</v>
      </c>
      <c r="I83" s="21">
        <f ca="1">DATE(YEAR(TODAY())+1,8,1)</f>
        <v>45870</v>
      </c>
      <c r="J83" s="22">
        <f>Bonus!$F83*Bonus!$H83</f>
        <v>99400</v>
      </c>
    </row>
    <row r="84" spans="2:10" ht="15.85" customHeight="1" x14ac:dyDescent="0.5">
      <c r="B84" s="18" t="s">
        <v>45</v>
      </c>
      <c r="C84" s="18" t="s">
        <v>21</v>
      </c>
      <c r="D84" s="18" t="s">
        <v>46</v>
      </c>
      <c r="E84" s="18" t="s">
        <v>28</v>
      </c>
      <c r="F84" s="19">
        <v>172500</v>
      </c>
      <c r="G84" s="18" t="s">
        <v>47</v>
      </c>
      <c r="H84" s="20">
        <v>0.9</v>
      </c>
      <c r="I84" s="21">
        <f ca="1">DATE(YEAR(TODAY())+1,10,1)</f>
        <v>45931</v>
      </c>
      <c r="J84" s="22">
        <f>Bonus!$F84*Bonus!$H84</f>
        <v>155250</v>
      </c>
    </row>
    <row r="85" spans="2:10" ht="15.85" customHeight="1" x14ac:dyDescent="0.5">
      <c r="B85" s="18" t="s">
        <v>48</v>
      </c>
      <c r="C85" s="18" t="s">
        <v>26</v>
      </c>
      <c r="D85" s="18" t="s">
        <v>49</v>
      </c>
      <c r="E85" s="18" t="s">
        <v>18</v>
      </c>
      <c r="F85" s="19">
        <v>163500</v>
      </c>
      <c r="G85" s="18" t="s">
        <v>29</v>
      </c>
      <c r="H85" s="20">
        <v>0.2</v>
      </c>
      <c r="I85" s="21">
        <f ca="1">DATE(YEAR(TODAY())+1,11,1)</f>
        <v>45962</v>
      </c>
      <c r="J85" s="22">
        <f>Bonus!$F85*Bonus!$H85</f>
        <v>32700</v>
      </c>
    </row>
    <row r="86" spans="2:10" ht="15.85" customHeight="1" x14ac:dyDescent="0.5">
      <c r="B86" s="18" t="s">
        <v>50</v>
      </c>
      <c r="C86" s="18" t="s">
        <v>31</v>
      </c>
      <c r="D86" s="18" t="s">
        <v>51</v>
      </c>
      <c r="E86" s="18" t="s">
        <v>18</v>
      </c>
      <c r="F86" s="19">
        <v>155500</v>
      </c>
      <c r="G86" s="18" t="s">
        <v>14</v>
      </c>
      <c r="H86" s="20">
        <v>1</v>
      </c>
      <c r="I86" s="21">
        <f ca="1">DATE(YEAR(TODAY())+1,12,1)</f>
        <v>45992</v>
      </c>
      <c r="J86" s="22">
        <f>Bonus!$F86*Bonus!$H86</f>
        <v>155500</v>
      </c>
    </row>
    <row r="87" spans="2:10" ht="15.85" customHeight="1" x14ac:dyDescent="0.5">
      <c r="B87" s="18" t="s">
        <v>52</v>
      </c>
      <c r="C87" s="18" t="s">
        <v>26</v>
      </c>
      <c r="D87" s="18" t="s">
        <v>53</v>
      </c>
      <c r="E87" s="18" t="s">
        <v>13</v>
      </c>
      <c r="F87" s="19">
        <v>166000</v>
      </c>
      <c r="G87" s="18" t="s">
        <v>19</v>
      </c>
      <c r="H87" s="20">
        <v>0.1</v>
      </c>
      <c r="I87" s="21">
        <f ca="1">DATE(YEAR(TODAY())+1,1,1)</f>
        <v>45658</v>
      </c>
      <c r="J87" s="22">
        <f>Bonus!$F87*Bonus!$H87</f>
        <v>16600</v>
      </c>
    </row>
    <row r="88" spans="2:10" ht="15.85" customHeight="1" x14ac:dyDescent="0.5">
      <c r="B88" s="18" t="s">
        <v>54</v>
      </c>
      <c r="C88" s="18" t="s">
        <v>21</v>
      </c>
      <c r="D88" s="18" t="s">
        <v>55</v>
      </c>
      <c r="E88" s="18" t="s">
        <v>23</v>
      </c>
      <c r="F88" s="19">
        <v>180000</v>
      </c>
      <c r="G88" s="18" t="s">
        <v>34</v>
      </c>
      <c r="H88" s="20">
        <v>0.3</v>
      </c>
      <c r="I88" s="21">
        <f ca="1">DATE(YEAR(TODAY())+1,3,1)</f>
        <v>45717</v>
      </c>
      <c r="J88" s="22">
        <f>Bonus!$F88*Bonus!$H88</f>
        <v>54000</v>
      </c>
    </row>
    <row r="89" spans="2:10" ht="15.85" customHeight="1" x14ac:dyDescent="0.5">
      <c r="B89" s="18" t="s">
        <v>56</v>
      </c>
      <c r="C89" s="18" t="s">
        <v>16</v>
      </c>
      <c r="D89" s="18" t="s">
        <v>57</v>
      </c>
      <c r="E89" s="18" t="s">
        <v>58</v>
      </c>
      <c r="F89" s="19">
        <v>140000</v>
      </c>
      <c r="G89" s="18" t="s">
        <v>41</v>
      </c>
      <c r="H89" s="20">
        <v>0.6</v>
      </c>
      <c r="I89" s="21">
        <f ca="1">DATE(YEAR(TODAY())+1,5,1)</f>
        <v>45778</v>
      </c>
      <c r="J89" s="22">
        <f>Bonus!$F89*Bonus!$H89</f>
        <v>84000</v>
      </c>
    </row>
    <row r="90" spans="2:10" ht="15.85" customHeight="1" x14ac:dyDescent="0.5">
      <c r="B90" s="18" t="s">
        <v>59</v>
      </c>
      <c r="C90" s="18" t="s">
        <v>11</v>
      </c>
      <c r="D90" s="18" t="s">
        <v>60</v>
      </c>
      <c r="E90" s="18" t="s">
        <v>37</v>
      </c>
      <c r="F90" s="19">
        <v>155000</v>
      </c>
      <c r="G90" s="18" t="s">
        <v>29</v>
      </c>
      <c r="H90" s="20">
        <v>0.3</v>
      </c>
      <c r="I90" s="21">
        <f ca="1">DATE(YEAR(TODAY())+1,6,1)</f>
        <v>45809</v>
      </c>
      <c r="J90" s="22">
        <f>Bonus!$F90*Bonus!$H90</f>
        <v>46500</v>
      </c>
    </row>
    <row r="91" spans="2:10" ht="15.85" customHeight="1" x14ac:dyDescent="0.5">
      <c r="B91" s="18" t="s">
        <v>61</v>
      </c>
      <c r="C91" s="18" t="s">
        <v>16</v>
      </c>
      <c r="D91" s="18" t="s">
        <v>62</v>
      </c>
      <c r="E91" s="18" t="s">
        <v>33</v>
      </c>
      <c r="F91" s="19">
        <v>173200</v>
      </c>
      <c r="G91" s="18" t="s">
        <v>38</v>
      </c>
      <c r="H91" s="20">
        <v>0.5</v>
      </c>
      <c r="I91" s="21">
        <f ca="1">DATE(YEAR(TODAY())+1,10,1)</f>
        <v>45931</v>
      </c>
      <c r="J91" s="22">
        <f>Bonus!$F91*Bonus!$H91</f>
        <v>86600</v>
      </c>
    </row>
    <row r="92" spans="2:10" ht="15.85" customHeight="1" x14ac:dyDescent="0.5">
      <c r="B92" s="18" t="s">
        <v>63</v>
      </c>
      <c r="C92" s="18" t="s">
        <v>31</v>
      </c>
      <c r="D92" s="18" t="s">
        <v>64</v>
      </c>
      <c r="E92" s="18" t="s">
        <v>58</v>
      </c>
      <c r="F92" s="19">
        <v>146500</v>
      </c>
      <c r="G92" s="18" t="s">
        <v>41</v>
      </c>
      <c r="H92" s="20">
        <v>0.6</v>
      </c>
      <c r="I92" s="21">
        <f ca="1">DATE(YEAR(TODAY())+1,12,1)</f>
        <v>45992</v>
      </c>
      <c r="J92" s="22">
        <f>Bonus!$F92*Bonus!$H92</f>
        <v>87900</v>
      </c>
    </row>
    <row r="93" spans="2:10" ht="15.85" customHeight="1" x14ac:dyDescent="0.5">
      <c r="B93" s="18" t="s">
        <v>65</v>
      </c>
      <c r="C93" s="18" t="s">
        <v>26</v>
      </c>
      <c r="D93" s="18" t="s">
        <v>12</v>
      </c>
      <c r="E93" s="18" t="s">
        <v>37</v>
      </c>
      <c r="F93" s="19">
        <v>156750</v>
      </c>
      <c r="G93" s="18" t="s">
        <v>44</v>
      </c>
      <c r="H93" s="20">
        <v>0.7</v>
      </c>
      <c r="I93" s="21">
        <f ca="1">DATE(YEAR(TODAY())+1,11,1)</f>
        <v>45962</v>
      </c>
      <c r="J93" s="22">
        <f>Bonus!$F93*Bonus!$H93</f>
        <v>109725</v>
      </c>
    </row>
    <row r="94" spans="2:10" ht="15.85" customHeight="1" x14ac:dyDescent="0.5">
      <c r="B94" s="18" t="s">
        <v>66</v>
      </c>
      <c r="C94" s="18" t="s">
        <v>21</v>
      </c>
      <c r="D94" s="18" t="s">
        <v>27</v>
      </c>
      <c r="E94" s="18" t="s">
        <v>67</v>
      </c>
      <c r="F94" s="19">
        <v>162000</v>
      </c>
      <c r="G94" s="18" t="s">
        <v>47</v>
      </c>
      <c r="H94" s="20">
        <v>0.9</v>
      </c>
      <c r="I94" s="21">
        <f ca="1">DATE(YEAR(TODAY())+1,2,1)</f>
        <v>45689</v>
      </c>
      <c r="J94" s="22">
        <f>Bonus!$F94*Bonus!$H94</f>
        <v>145800</v>
      </c>
    </row>
    <row r="95" spans="2:10" ht="15.85" customHeight="1" x14ac:dyDescent="0.5">
      <c r="B95" s="18" t="s">
        <v>68</v>
      </c>
      <c r="C95" s="18" t="s">
        <v>26</v>
      </c>
      <c r="D95" s="18" t="s">
        <v>40</v>
      </c>
      <c r="E95" s="18" t="s">
        <v>28</v>
      </c>
      <c r="F95" s="19">
        <v>157000</v>
      </c>
      <c r="G95" s="18" t="s">
        <v>14</v>
      </c>
      <c r="H95" s="20">
        <v>1</v>
      </c>
      <c r="I95" s="21">
        <f ca="1">DATE(YEAR(TODAY())+1,3,1)</f>
        <v>45717</v>
      </c>
      <c r="J95" s="22">
        <f>Bonus!$F95*Bonus!$H95</f>
        <v>157000</v>
      </c>
    </row>
    <row r="96" spans="2:10" ht="15.85" customHeight="1" x14ac:dyDescent="0.5">
      <c r="B96" s="18" t="s">
        <v>69</v>
      </c>
      <c r="C96" s="18" t="s">
        <v>16</v>
      </c>
      <c r="D96" s="18" t="s">
        <v>46</v>
      </c>
      <c r="E96" s="18" t="s">
        <v>58</v>
      </c>
      <c r="F96" s="19">
        <v>173000</v>
      </c>
      <c r="G96" s="18" t="s">
        <v>34</v>
      </c>
      <c r="H96" s="20">
        <v>0.4</v>
      </c>
      <c r="I96" s="21">
        <f ca="1">DATE(YEAR(TODAY())+1,4,1)</f>
        <v>45748</v>
      </c>
      <c r="J96" s="22">
        <f>Bonus!$F96*Bonus!$H96</f>
        <v>69200</v>
      </c>
    </row>
    <row r="97" spans="2:10" ht="15.85" customHeight="1" x14ac:dyDescent="0.5">
      <c r="B97" s="18" t="s">
        <v>70</v>
      </c>
      <c r="C97" s="18" t="s">
        <v>31</v>
      </c>
      <c r="D97" s="18" t="s">
        <v>71</v>
      </c>
      <c r="E97" s="18" t="s">
        <v>28</v>
      </c>
      <c r="F97" s="19">
        <v>171000</v>
      </c>
      <c r="G97" s="18" t="s">
        <v>38</v>
      </c>
      <c r="H97" s="20">
        <v>0.5</v>
      </c>
      <c r="I97" s="21">
        <f ca="1">DATE(YEAR(TODAY())+1,8,1)</f>
        <v>45870</v>
      </c>
      <c r="J97" s="22">
        <f>Bonus!$F97*Bonus!$H97</f>
        <v>85500</v>
      </c>
    </row>
    <row r="98" spans="2:10" ht="15.85" customHeight="1" x14ac:dyDescent="0.5">
      <c r="B98" s="23" t="s">
        <v>72</v>
      </c>
      <c r="C98" s="23" t="s">
        <v>11</v>
      </c>
      <c r="D98" s="23" t="s">
        <v>62</v>
      </c>
      <c r="E98" s="23" t="s">
        <v>18</v>
      </c>
      <c r="F98" s="24">
        <v>168000</v>
      </c>
      <c r="G98" s="23" t="s">
        <v>41</v>
      </c>
      <c r="H98" s="25">
        <v>0.6</v>
      </c>
      <c r="I98" s="26">
        <f ca="1">DATE(YEAR(TODAY())+1,9,1)</f>
        <v>45901</v>
      </c>
      <c r="J98" s="27">
        <f>Bonus!$F98*Bonus!$H98</f>
        <v>100800</v>
      </c>
    </row>
    <row r="99" spans="2:10" ht="15.85" customHeight="1" x14ac:dyDescent="0.5">
      <c r="B99" s="13" t="s">
        <v>10</v>
      </c>
      <c r="C99" s="13" t="s">
        <v>11</v>
      </c>
      <c r="D99" s="13" t="s">
        <v>12</v>
      </c>
      <c r="E99" s="13" t="s">
        <v>13</v>
      </c>
      <c r="F99" s="14">
        <v>150000</v>
      </c>
      <c r="G99" s="13" t="s">
        <v>14</v>
      </c>
      <c r="H99" s="15">
        <v>0.9</v>
      </c>
      <c r="I99" s="16">
        <f ca="1">DATE(YEAR(TODAY())+1,1,1)</f>
        <v>45658</v>
      </c>
      <c r="J99" s="17">
        <f>Bonus!$F99*Bonus!$H99</f>
        <v>135000</v>
      </c>
    </row>
    <row r="100" spans="2:10" ht="15.85" customHeight="1" x14ac:dyDescent="0.5">
      <c r="B100" s="18" t="s">
        <v>15</v>
      </c>
      <c r="C100" s="18" t="s">
        <v>16</v>
      </c>
      <c r="D100" s="18" t="s">
        <v>17</v>
      </c>
      <c r="E100" s="18" t="s">
        <v>18</v>
      </c>
      <c r="F100" s="19">
        <v>145200</v>
      </c>
      <c r="G100" s="18" t="s">
        <v>19</v>
      </c>
      <c r="H100" s="20">
        <v>0.1</v>
      </c>
      <c r="I100" s="21">
        <f ca="1">DATE(YEAR(TODAY())+1,2,1)</f>
        <v>45689</v>
      </c>
      <c r="J100" s="22">
        <f>Bonus!$F100*Bonus!$H100</f>
        <v>14520</v>
      </c>
    </row>
    <row r="101" spans="2:10" ht="15.85" customHeight="1" x14ac:dyDescent="0.5">
      <c r="B101" s="18" t="s">
        <v>20</v>
      </c>
      <c r="C101" s="18" t="s">
        <v>21</v>
      </c>
      <c r="D101" s="18" t="s">
        <v>22</v>
      </c>
      <c r="E101" s="18" t="s">
        <v>23</v>
      </c>
      <c r="F101" s="19">
        <v>162500</v>
      </c>
      <c r="G101" s="18" t="s">
        <v>24</v>
      </c>
      <c r="H101" s="20">
        <v>0.2</v>
      </c>
      <c r="I101" s="21">
        <f ca="1">DATE(YEAR(TODAY())+1,3,1)</f>
        <v>45717</v>
      </c>
      <c r="J101" s="22">
        <f>Bonus!$F101*Bonus!$H101</f>
        <v>32500</v>
      </c>
    </row>
    <row r="102" spans="2:10" ht="15.85" customHeight="1" x14ac:dyDescent="0.5">
      <c r="B102" s="18" t="s">
        <v>25</v>
      </c>
      <c r="C102" s="18" t="s">
        <v>26</v>
      </c>
      <c r="D102" s="18" t="s">
        <v>27</v>
      </c>
      <c r="E102" s="18" t="s">
        <v>28</v>
      </c>
      <c r="F102" s="19">
        <v>147500</v>
      </c>
      <c r="G102" s="18" t="s">
        <v>29</v>
      </c>
      <c r="H102" s="20">
        <v>0.3</v>
      </c>
      <c r="I102" s="21">
        <f ca="1">DATE(YEAR(TODAY())+1,4,1)</f>
        <v>45748</v>
      </c>
      <c r="J102" s="22">
        <f>Bonus!$F102*Bonus!$H102</f>
        <v>44250</v>
      </c>
    </row>
    <row r="103" spans="2:10" ht="15.85" customHeight="1" x14ac:dyDescent="0.5">
      <c r="B103" s="18" t="s">
        <v>30</v>
      </c>
      <c r="C103" s="18" t="s">
        <v>31</v>
      </c>
      <c r="D103" s="18" t="s">
        <v>32</v>
      </c>
      <c r="E103" s="18" t="s">
        <v>33</v>
      </c>
      <c r="F103" s="19">
        <v>148000</v>
      </c>
      <c r="G103" s="18" t="s">
        <v>34</v>
      </c>
      <c r="H103" s="20">
        <v>0.4</v>
      </c>
      <c r="I103" s="21">
        <f ca="1">DATE(YEAR(TODAY())+1,5,1)</f>
        <v>45778</v>
      </c>
      <c r="J103" s="22">
        <f>Bonus!$F103*Bonus!$H103</f>
        <v>59200</v>
      </c>
    </row>
    <row r="104" spans="2:10" ht="15.85" customHeight="1" x14ac:dyDescent="0.5">
      <c r="B104" s="18" t="s">
        <v>35</v>
      </c>
      <c r="C104" s="18" t="s">
        <v>11</v>
      </c>
      <c r="D104" s="18" t="s">
        <v>36</v>
      </c>
      <c r="E104" s="18" t="s">
        <v>37</v>
      </c>
      <c r="F104" s="19">
        <v>175000</v>
      </c>
      <c r="G104" s="18" t="s">
        <v>38</v>
      </c>
      <c r="H104" s="20">
        <v>0.5</v>
      </c>
      <c r="I104" s="21">
        <f ca="1">DATE(YEAR(TODAY())+1,6,1)</f>
        <v>45809</v>
      </c>
      <c r="J104" s="22">
        <f>Bonus!$F104*Bonus!$H104</f>
        <v>87500</v>
      </c>
    </row>
    <row r="105" spans="2:10" ht="15.85" customHeight="1" x14ac:dyDescent="0.5">
      <c r="B105" s="18" t="s">
        <v>39</v>
      </c>
      <c r="C105" s="18" t="s">
        <v>21</v>
      </c>
      <c r="D105" s="18" t="s">
        <v>40</v>
      </c>
      <c r="E105" s="18" t="s">
        <v>28</v>
      </c>
      <c r="F105" s="19">
        <v>149000</v>
      </c>
      <c r="G105" s="18" t="s">
        <v>41</v>
      </c>
      <c r="H105" s="20">
        <v>0.6</v>
      </c>
      <c r="I105" s="21">
        <f ca="1">DATE(YEAR(TODAY())+1,7,1)</f>
        <v>45839</v>
      </c>
      <c r="J105" s="22">
        <f>Bonus!$F105*Bonus!$H105</f>
        <v>89400</v>
      </c>
    </row>
    <row r="106" spans="2:10" ht="15.85" customHeight="1" x14ac:dyDescent="0.5">
      <c r="B106" s="18" t="s">
        <v>42</v>
      </c>
      <c r="C106" s="18" t="s">
        <v>31</v>
      </c>
      <c r="D106" s="18" t="s">
        <v>43</v>
      </c>
      <c r="E106" s="18" t="s">
        <v>23</v>
      </c>
      <c r="F106" s="19">
        <v>142000</v>
      </c>
      <c r="G106" s="18" t="s">
        <v>44</v>
      </c>
      <c r="H106" s="20">
        <v>0.7</v>
      </c>
      <c r="I106" s="21">
        <f ca="1">DATE(YEAR(TODAY())+1,8,1)</f>
        <v>45870</v>
      </c>
      <c r="J106" s="22">
        <f>Bonus!$F106*Bonus!$H106</f>
        <v>99400</v>
      </c>
    </row>
    <row r="107" spans="2:10" ht="15.85" customHeight="1" x14ac:dyDescent="0.5">
      <c r="B107" s="18" t="s">
        <v>45</v>
      </c>
      <c r="C107" s="18" t="s">
        <v>21</v>
      </c>
      <c r="D107" s="18" t="s">
        <v>46</v>
      </c>
      <c r="E107" s="18" t="s">
        <v>28</v>
      </c>
      <c r="F107" s="19">
        <v>172500</v>
      </c>
      <c r="G107" s="18" t="s">
        <v>47</v>
      </c>
      <c r="H107" s="20">
        <v>0.9</v>
      </c>
      <c r="I107" s="21">
        <f ca="1">DATE(YEAR(TODAY())+1,10,1)</f>
        <v>45931</v>
      </c>
      <c r="J107" s="22">
        <f>Bonus!$F107*Bonus!$H107</f>
        <v>155250</v>
      </c>
    </row>
    <row r="108" spans="2:10" ht="15.85" customHeight="1" x14ac:dyDescent="0.5">
      <c r="B108" s="18" t="s">
        <v>48</v>
      </c>
      <c r="C108" s="18" t="s">
        <v>26</v>
      </c>
      <c r="D108" s="18" t="s">
        <v>49</v>
      </c>
      <c r="E108" s="18" t="s">
        <v>18</v>
      </c>
      <c r="F108" s="19">
        <v>163500</v>
      </c>
      <c r="G108" s="18" t="s">
        <v>29</v>
      </c>
      <c r="H108" s="20">
        <v>0.2</v>
      </c>
      <c r="I108" s="21">
        <f ca="1">DATE(YEAR(TODAY())+1,11,1)</f>
        <v>45962</v>
      </c>
      <c r="J108" s="22">
        <f>Bonus!$F108*Bonus!$H108</f>
        <v>32700</v>
      </c>
    </row>
    <row r="109" spans="2:10" ht="15.85" customHeight="1" x14ac:dyDescent="0.5">
      <c r="B109" s="18" t="s">
        <v>50</v>
      </c>
      <c r="C109" s="18" t="s">
        <v>31</v>
      </c>
      <c r="D109" s="18" t="s">
        <v>51</v>
      </c>
      <c r="E109" s="18" t="s">
        <v>18</v>
      </c>
      <c r="F109" s="19">
        <v>155500</v>
      </c>
      <c r="G109" s="18" t="s">
        <v>14</v>
      </c>
      <c r="H109" s="20">
        <v>1</v>
      </c>
      <c r="I109" s="21">
        <f ca="1">DATE(YEAR(TODAY())+1,12,1)</f>
        <v>45992</v>
      </c>
      <c r="J109" s="22">
        <f>Bonus!$F109*Bonus!$H109</f>
        <v>155500</v>
      </c>
    </row>
    <row r="110" spans="2:10" ht="15.85" customHeight="1" x14ac:dyDescent="0.5">
      <c r="B110" s="18" t="s">
        <v>52</v>
      </c>
      <c r="C110" s="18" t="s">
        <v>26</v>
      </c>
      <c r="D110" s="18" t="s">
        <v>53</v>
      </c>
      <c r="E110" s="18" t="s">
        <v>13</v>
      </c>
      <c r="F110" s="19">
        <v>166000</v>
      </c>
      <c r="G110" s="18" t="s">
        <v>19</v>
      </c>
      <c r="H110" s="20">
        <v>0.1</v>
      </c>
      <c r="I110" s="21">
        <f ca="1">DATE(YEAR(TODAY())+1,1,1)</f>
        <v>45658</v>
      </c>
      <c r="J110" s="22">
        <f>Bonus!$F110*Bonus!$H110</f>
        <v>16600</v>
      </c>
    </row>
    <row r="111" spans="2:10" ht="15.85" customHeight="1" x14ac:dyDescent="0.5">
      <c r="B111" s="18" t="s">
        <v>54</v>
      </c>
      <c r="C111" s="18" t="s">
        <v>21</v>
      </c>
      <c r="D111" s="18" t="s">
        <v>55</v>
      </c>
      <c r="E111" s="18" t="s">
        <v>23</v>
      </c>
      <c r="F111" s="19">
        <v>180000</v>
      </c>
      <c r="G111" s="18" t="s">
        <v>34</v>
      </c>
      <c r="H111" s="20">
        <v>0.3</v>
      </c>
      <c r="I111" s="21">
        <f ca="1">DATE(YEAR(TODAY())+1,3,1)</f>
        <v>45717</v>
      </c>
      <c r="J111" s="22">
        <f>Bonus!$F111*Bonus!$H111</f>
        <v>54000</v>
      </c>
    </row>
    <row r="112" spans="2:10" ht="15.85" customHeight="1" x14ac:dyDescent="0.5">
      <c r="B112" s="18" t="s">
        <v>56</v>
      </c>
      <c r="C112" s="18" t="s">
        <v>16</v>
      </c>
      <c r="D112" s="18" t="s">
        <v>57</v>
      </c>
      <c r="E112" s="18" t="s">
        <v>58</v>
      </c>
      <c r="F112" s="19">
        <v>140000</v>
      </c>
      <c r="G112" s="18" t="s">
        <v>41</v>
      </c>
      <c r="H112" s="20">
        <v>0.6</v>
      </c>
      <c r="I112" s="21">
        <f ca="1">DATE(YEAR(TODAY())+1,5,1)</f>
        <v>45778</v>
      </c>
      <c r="J112" s="22">
        <f>Bonus!$F112*Bonus!$H112</f>
        <v>84000</v>
      </c>
    </row>
    <row r="113" spans="2:10" ht="15.85" customHeight="1" x14ac:dyDescent="0.5">
      <c r="B113" s="18" t="s">
        <v>59</v>
      </c>
      <c r="C113" s="18" t="s">
        <v>11</v>
      </c>
      <c r="D113" s="18" t="s">
        <v>60</v>
      </c>
      <c r="E113" s="18" t="s">
        <v>37</v>
      </c>
      <c r="F113" s="19">
        <v>155000</v>
      </c>
      <c r="G113" s="18" t="s">
        <v>29</v>
      </c>
      <c r="H113" s="20">
        <v>0.3</v>
      </c>
      <c r="I113" s="21">
        <f ca="1">DATE(YEAR(TODAY())+1,6,1)</f>
        <v>45809</v>
      </c>
      <c r="J113" s="22">
        <f>Bonus!$F113*Bonus!$H113</f>
        <v>46500</v>
      </c>
    </row>
    <row r="114" spans="2:10" ht="15.85" customHeight="1" x14ac:dyDescent="0.5">
      <c r="B114" s="18" t="s">
        <v>61</v>
      </c>
      <c r="C114" s="18" t="s">
        <v>16</v>
      </c>
      <c r="D114" s="18" t="s">
        <v>62</v>
      </c>
      <c r="E114" s="18" t="s">
        <v>33</v>
      </c>
      <c r="F114" s="19">
        <v>173200</v>
      </c>
      <c r="G114" s="18" t="s">
        <v>38</v>
      </c>
      <c r="H114" s="20">
        <v>0.5</v>
      </c>
      <c r="I114" s="21">
        <f ca="1">DATE(YEAR(TODAY())+1,10,1)</f>
        <v>45931</v>
      </c>
      <c r="J114" s="22">
        <f>Bonus!$F114*Bonus!$H114</f>
        <v>86600</v>
      </c>
    </row>
    <row r="115" spans="2:10" ht="15.85" customHeight="1" x14ac:dyDescent="0.5">
      <c r="B115" s="18" t="s">
        <v>63</v>
      </c>
      <c r="C115" s="18" t="s">
        <v>31</v>
      </c>
      <c r="D115" s="18" t="s">
        <v>64</v>
      </c>
      <c r="E115" s="18" t="s">
        <v>58</v>
      </c>
      <c r="F115" s="19">
        <v>146500</v>
      </c>
      <c r="G115" s="18" t="s">
        <v>41</v>
      </c>
      <c r="H115" s="20">
        <v>0.6</v>
      </c>
      <c r="I115" s="21">
        <f ca="1">DATE(YEAR(TODAY())+1,12,1)</f>
        <v>45992</v>
      </c>
      <c r="J115" s="22">
        <f>Bonus!$F115*Bonus!$H115</f>
        <v>87900</v>
      </c>
    </row>
    <row r="116" spans="2:10" ht="15.85" customHeight="1" x14ac:dyDescent="0.5">
      <c r="B116" s="18" t="s">
        <v>65</v>
      </c>
      <c r="C116" s="18" t="s">
        <v>26</v>
      </c>
      <c r="D116" s="18" t="s">
        <v>12</v>
      </c>
      <c r="E116" s="18" t="s">
        <v>37</v>
      </c>
      <c r="F116" s="19">
        <v>156750</v>
      </c>
      <c r="G116" s="18" t="s">
        <v>44</v>
      </c>
      <c r="H116" s="20">
        <v>0.7</v>
      </c>
      <c r="I116" s="21">
        <f ca="1">DATE(YEAR(TODAY())+1,11,1)</f>
        <v>45962</v>
      </c>
      <c r="J116" s="22">
        <f>Bonus!$F116*Bonus!$H116</f>
        <v>109725</v>
      </c>
    </row>
    <row r="117" spans="2:10" ht="15.85" customHeight="1" x14ac:dyDescent="0.5">
      <c r="B117" s="18" t="s">
        <v>66</v>
      </c>
      <c r="C117" s="18" t="s">
        <v>21</v>
      </c>
      <c r="D117" s="18" t="s">
        <v>27</v>
      </c>
      <c r="E117" s="18" t="s">
        <v>67</v>
      </c>
      <c r="F117" s="19">
        <v>162000</v>
      </c>
      <c r="G117" s="18" t="s">
        <v>47</v>
      </c>
      <c r="H117" s="20">
        <v>0.9</v>
      </c>
      <c r="I117" s="21">
        <f ca="1">DATE(YEAR(TODAY())+1,2,1)</f>
        <v>45689</v>
      </c>
      <c r="J117" s="22">
        <f>Bonus!$F117*Bonus!$H117</f>
        <v>145800</v>
      </c>
    </row>
    <row r="118" spans="2:10" ht="15.85" customHeight="1" x14ac:dyDescent="0.5">
      <c r="B118" s="18" t="s">
        <v>68</v>
      </c>
      <c r="C118" s="18" t="s">
        <v>26</v>
      </c>
      <c r="D118" s="18" t="s">
        <v>40</v>
      </c>
      <c r="E118" s="18" t="s">
        <v>28</v>
      </c>
      <c r="F118" s="19">
        <v>157000</v>
      </c>
      <c r="G118" s="18" t="s">
        <v>14</v>
      </c>
      <c r="H118" s="20">
        <v>1</v>
      </c>
      <c r="I118" s="21">
        <f ca="1">DATE(YEAR(TODAY())+1,3,1)</f>
        <v>45717</v>
      </c>
      <c r="J118" s="22">
        <f>Bonus!$F118*Bonus!$H118</f>
        <v>157000</v>
      </c>
    </row>
    <row r="119" spans="2:10" ht="15.85" customHeight="1" x14ac:dyDescent="0.5">
      <c r="B119" s="18" t="s">
        <v>69</v>
      </c>
      <c r="C119" s="18" t="s">
        <v>16</v>
      </c>
      <c r="D119" s="18" t="s">
        <v>46</v>
      </c>
      <c r="E119" s="18" t="s">
        <v>58</v>
      </c>
      <c r="F119" s="19">
        <v>173000</v>
      </c>
      <c r="G119" s="18" t="s">
        <v>34</v>
      </c>
      <c r="H119" s="20">
        <v>0.4</v>
      </c>
      <c r="I119" s="21">
        <f ca="1">DATE(YEAR(TODAY())+1,4,1)</f>
        <v>45748</v>
      </c>
      <c r="J119" s="22">
        <f>Bonus!$F119*Bonus!$H119</f>
        <v>69200</v>
      </c>
    </row>
    <row r="120" spans="2:10" ht="15.85" customHeight="1" x14ac:dyDescent="0.5">
      <c r="B120" s="18" t="s">
        <v>70</v>
      </c>
      <c r="C120" s="18" t="s">
        <v>31</v>
      </c>
      <c r="D120" s="18" t="s">
        <v>71</v>
      </c>
      <c r="E120" s="18" t="s">
        <v>28</v>
      </c>
      <c r="F120" s="19">
        <v>171000</v>
      </c>
      <c r="G120" s="18" t="s">
        <v>38</v>
      </c>
      <c r="H120" s="20">
        <v>0.5</v>
      </c>
      <c r="I120" s="21">
        <f ca="1">DATE(YEAR(TODAY())+1,8,1)</f>
        <v>45870</v>
      </c>
      <c r="J120" s="22">
        <f>Bonus!$F120*Bonus!$H120</f>
        <v>85500</v>
      </c>
    </row>
    <row r="121" spans="2:10" ht="15.85" customHeight="1" x14ac:dyDescent="0.5">
      <c r="B121" s="23" t="s">
        <v>72</v>
      </c>
      <c r="C121" s="23" t="s">
        <v>11</v>
      </c>
      <c r="D121" s="23" t="s">
        <v>62</v>
      </c>
      <c r="E121" s="23" t="s">
        <v>18</v>
      </c>
      <c r="F121" s="24">
        <v>168000</v>
      </c>
      <c r="G121" s="23" t="s">
        <v>41</v>
      </c>
      <c r="H121" s="25">
        <v>0.6</v>
      </c>
      <c r="I121" s="26">
        <f ca="1">DATE(YEAR(TODAY())+1,9,1)</f>
        <v>45901</v>
      </c>
      <c r="J121" s="27">
        <f>Bonus!$F121*Bonus!$H121</f>
        <v>100800</v>
      </c>
    </row>
    <row r="122" spans="2:10" ht="15.85" customHeight="1" x14ac:dyDescent="0.5">
      <c r="B122" s="13" t="s">
        <v>10</v>
      </c>
      <c r="C122" s="13" t="s">
        <v>11</v>
      </c>
      <c r="D122" s="13" t="s">
        <v>12</v>
      </c>
      <c r="E122" s="13" t="s">
        <v>13</v>
      </c>
      <c r="F122" s="14">
        <v>150000</v>
      </c>
      <c r="G122" s="13" t="s">
        <v>14</v>
      </c>
      <c r="H122" s="15">
        <v>0.9</v>
      </c>
      <c r="I122" s="16">
        <f ca="1">DATE(YEAR(TODAY())+1,1,1)</f>
        <v>45658</v>
      </c>
      <c r="J122" s="17">
        <f>Bonus!$F122*Bonus!$H122</f>
        <v>135000</v>
      </c>
    </row>
    <row r="123" spans="2:10" ht="15.85" customHeight="1" x14ac:dyDescent="0.5">
      <c r="B123" s="18" t="s">
        <v>15</v>
      </c>
      <c r="C123" s="18" t="s">
        <v>16</v>
      </c>
      <c r="D123" s="18" t="s">
        <v>17</v>
      </c>
      <c r="E123" s="18" t="s">
        <v>18</v>
      </c>
      <c r="F123" s="19">
        <v>145200</v>
      </c>
      <c r="G123" s="18" t="s">
        <v>19</v>
      </c>
      <c r="H123" s="20">
        <v>0.1</v>
      </c>
      <c r="I123" s="21">
        <f ca="1">DATE(YEAR(TODAY())+1,2,1)</f>
        <v>45689</v>
      </c>
      <c r="J123" s="22">
        <f>Bonus!$F123*Bonus!$H123</f>
        <v>14520</v>
      </c>
    </row>
    <row r="124" spans="2:10" ht="15.85" customHeight="1" x14ac:dyDescent="0.5">
      <c r="B124" s="18" t="s">
        <v>20</v>
      </c>
      <c r="C124" s="18" t="s">
        <v>21</v>
      </c>
      <c r="D124" s="18" t="s">
        <v>22</v>
      </c>
      <c r="E124" s="18" t="s">
        <v>23</v>
      </c>
      <c r="F124" s="19">
        <v>162500</v>
      </c>
      <c r="G124" s="18" t="s">
        <v>24</v>
      </c>
      <c r="H124" s="20">
        <v>0.2</v>
      </c>
      <c r="I124" s="21">
        <f ca="1">DATE(YEAR(TODAY())+1,3,1)</f>
        <v>45717</v>
      </c>
      <c r="J124" s="22">
        <f>Bonus!$F124*Bonus!$H124</f>
        <v>32500</v>
      </c>
    </row>
    <row r="125" spans="2:10" ht="15.85" customHeight="1" x14ac:dyDescent="0.5">
      <c r="B125" s="18" t="s">
        <v>25</v>
      </c>
      <c r="C125" s="18" t="s">
        <v>26</v>
      </c>
      <c r="D125" s="18" t="s">
        <v>27</v>
      </c>
      <c r="E125" s="18" t="s">
        <v>28</v>
      </c>
      <c r="F125" s="19">
        <v>147500</v>
      </c>
      <c r="G125" s="18" t="s">
        <v>29</v>
      </c>
      <c r="H125" s="20">
        <v>0.3</v>
      </c>
      <c r="I125" s="21">
        <f ca="1">DATE(YEAR(TODAY())+1,4,1)</f>
        <v>45748</v>
      </c>
      <c r="J125" s="22">
        <f>Bonus!$F125*Bonus!$H125</f>
        <v>44250</v>
      </c>
    </row>
    <row r="126" spans="2:10" ht="15.85" customHeight="1" x14ac:dyDescent="0.5">
      <c r="B126" s="18" t="s">
        <v>30</v>
      </c>
      <c r="C126" s="18" t="s">
        <v>31</v>
      </c>
      <c r="D126" s="18" t="s">
        <v>32</v>
      </c>
      <c r="E126" s="18" t="s">
        <v>33</v>
      </c>
      <c r="F126" s="19">
        <v>148000</v>
      </c>
      <c r="G126" s="18" t="s">
        <v>34</v>
      </c>
      <c r="H126" s="20">
        <v>0.4</v>
      </c>
      <c r="I126" s="21">
        <f ca="1">DATE(YEAR(TODAY())+1,5,1)</f>
        <v>45778</v>
      </c>
      <c r="J126" s="22">
        <f>Bonus!$F126*Bonus!$H126</f>
        <v>59200</v>
      </c>
    </row>
    <row r="127" spans="2:10" ht="15.85" customHeight="1" x14ac:dyDescent="0.5">
      <c r="B127" s="18" t="s">
        <v>35</v>
      </c>
      <c r="C127" s="18" t="s">
        <v>11</v>
      </c>
      <c r="D127" s="18" t="s">
        <v>36</v>
      </c>
      <c r="E127" s="18" t="s">
        <v>37</v>
      </c>
      <c r="F127" s="19">
        <v>175000</v>
      </c>
      <c r="G127" s="18" t="s">
        <v>38</v>
      </c>
      <c r="H127" s="20">
        <v>0.5</v>
      </c>
      <c r="I127" s="21">
        <f ca="1">DATE(YEAR(TODAY())+1,6,1)</f>
        <v>45809</v>
      </c>
      <c r="J127" s="22">
        <f>Bonus!$F127*Bonus!$H127</f>
        <v>87500</v>
      </c>
    </row>
    <row r="128" spans="2:10" ht="15.85" customHeight="1" x14ac:dyDescent="0.5">
      <c r="B128" s="18" t="s">
        <v>39</v>
      </c>
      <c r="C128" s="18" t="s">
        <v>21</v>
      </c>
      <c r="D128" s="18" t="s">
        <v>40</v>
      </c>
      <c r="E128" s="18" t="s">
        <v>28</v>
      </c>
      <c r="F128" s="19">
        <v>149000</v>
      </c>
      <c r="G128" s="18" t="s">
        <v>41</v>
      </c>
      <c r="H128" s="20">
        <v>0.6</v>
      </c>
      <c r="I128" s="21">
        <f ca="1">DATE(YEAR(TODAY())+1,7,1)</f>
        <v>45839</v>
      </c>
      <c r="J128" s="22">
        <f>Bonus!$F128*Bonus!$H128</f>
        <v>89400</v>
      </c>
    </row>
    <row r="129" spans="2:10" ht="15.85" customHeight="1" x14ac:dyDescent="0.5">
      <c r="B129" s="18" t="s">
        <v>42</v>
      </c>
      <c r="C129" s="18" t="s">
        <v>31</v>
      </c>
      <c r="D129" s="18" t="s">
        <v>43</v>
      </c>
      <c r="E129" s="18" t="s">
        <v>23</v>
      </c>
      <c r="F129" s="19">
        <v>142000</v>
      </c>
      <c r="G129" s="18" t="s">
        <v>44</v>
      </c>
      <c r="H129" s="20">
        <v>0.7</v>
      </c>
      <c r="I129" s="21">
        <f ca="1">DATE(YEAR(TODAY())+1,8,1)</f>
        <v>45870</v>
      </c>
      <c r="J129" s="22">
        <f>Bonus!$F129*Bonus!$H129</f>
        <v>99400</v>
      </c>
    </row>
    <row r="130" spans="2:10" ht="15.85" customHeight="1" x14ac:dyDescent="0.5">
      <c r="B130" s="18" t="s">
        <v>45</v>
      </c>
      <c r="C130" s="18" t="s">
        <v>21</v>
      </c>
      <c r="D130" s="18" t="s">
        <v>46</v>
      </c>
      <c r="E130" s="18" t="s">
        <v>28</v>
      </c>
      <c r="F130" s="19">
        <v>172500</v>
      </c>
      <c r="G130" s="18" t="s">
        <v>47</v>
      </c>
      <c r="H130" s="20">
        <v>0.9</v>
      </c>
      <c r="I130" s="21">
        <f ca="1">DATE(YEAR(TODAY())+1,10,1)</f>
        <v>45931</v>
      </c>
      <c r="J130" s="22">
        <f>Bonus!$F130*Bonus!$H130</f>
        <v>155250</v>
      </c>
    </row>
    <row r="131" spans="2:10" ht="15.85" customHeight="1" x14ac:dyDescent="0.5">
      <c r="B131" s="18" t="s">
        <v>48</v>
      </c>
      <c r="C131" s="18" t="s">
        <v>26</v>
      </c>
      <c r="D131" s="18" t="s">
        <v>49</v>
      </c>
      <c r="E131" s="18" t="s">
        <v>18</v>
      </c>
      <c r="F131" s="19">
        <v>163500</v>
      </c>
      <c r="G131" s="18" t="s">
        <v>29</v>
      </c>
      <c r="H131" s="20">
        <v>0.2</v>
      </c>
      <c r="I131" s="21">
        <f ca="1">DATE(YEAR(TODAY())+1,11,1)</f>
        <v>45962</v>
      </c>
      <c r="J131" s="22">
        <f>Bonus!$F131*Bonus!$H131</f>
        <v>32700</v>
      </c>
    </row>
    <row r="132" spans="2:10" ht="15.85" customHeight="1" x14ac:dyDescent="0.5">
      <c r="B132" s="18" t="s">
        <v>50</v>
      </c>
      <c r="C132" s="18" t="s">
        <v>31</v>
      </c>
      <c r="D132" s="18" t="s">
        <v>51</v>
      </c>
      <c r="E132" s="18" t="s">
        <v>18</v>
      </c>
      <c r="F132" s="19">
        <v>155500</v>
      </c>
      <c r="G132" s="18" t="s">
        <v>14</v>
      </c>
      <c r="H132" s="20">
        <v>1</v>
      </c>
      <c r="I132" s="21">
        <f ca="1">DATE(YEAR(TODAY())+1,12,1)</f>
        <v>45992</v>
      </c>
      <c r="J132" s="22">
        <f>Bonus!$F132*Bonus!$H132</f>
        <v>155500</v>
      </c>
    </row>
    <row r="133" spans="2:10" ht="15.85" customHeight="1" x14ac:dyDescent="0.5">
      <c r="B133" s="18" t="s">
        <v>52</v>
      </c>
      <c r="C133" s="18" t="s">
        <v>26</v>
      </c>
      <c r="D133" s="18" t="s">
        <v>53</v>
      </c>
      <c r="E133" s="18" t="s">
        <v>13</v>
      </c>
      <c r="F133" s="19">
        <v>166000</v>
      </c>
      <c r="G133" s="18" t="s">
        <v>19</v>
      </c>
      <c r="H133" s="20">
        <v>0.1</v>
      </c>
      <c r="I133" s="21">
        <f ca="1">DATE(YEAR(TODAY())+1,1,1)</f>
        <v>45658</v>
      </c>
      <c r="J133" s="22">
        <f>Bonus!$F133*Bonus!$H133</f>
        <v>16600</v>
      </c>
    </row>
    <row r="134" spans="2:10" ht="15.85" customHeight="1" x14ac:dyDescent="0.5">
      <c r="B134" s="18" t="s">
        <v>54</v>
      </c>
      <c r="C134" s="18" t="s">
        <v>21</v>
      </c>
      <c r="D134" s="18" t="s">
        <v>55</v>
      </c>
      <c r="E134" s="18" t="s">
        <v>23</v>
      </c>
      <c r="F134" s="19">
        <v>180000</v>
      </c>
      <c r="G134" s="18" t="s">
        <v>34</v>
      </c>
      <c r="H134" s="20">
        <v>0.3</v>
      </c>
      <c r="I134" s="21">
        <f ca="1">DATE(YEAR(TODAY())+1,3,1)</f>
        <v>45717</v>
      </c>
      <c r="J134" s="22">
        <f>Bonus!$F134*Bonus!$H134</f>
        <v>54000</v>
      </c>
    </row>
    <row r="135" spans="2:10" ht="15.85" customHeight="1" x14ac:dyDescent="0.5">
      <c r="B135" s="18" t="s">
        <v>56</v>
      </c>
      <c r="C135" s="18" t="s">
        <v>16</v>
      </c>
      <c r="D135" s="18" t="s">
        <v>57</v>
      </c>
      <c r="E135" s="18" t="s">
        <v>58</v>
      </c>
      <c r="F135" s="19">
        <v>140000</v>
      </c>
      <c r="G135" s="18" t="s">
        <v>41</v>
      </c>
      <c r="H135" s="20">
        <v>0.6</v>
      </c>
      <c r="I135" s="21">
        <f ca="1">DATE(YEAR(TODAY())+1,5,1)</f>
        <v>45778</v>
      </c>
      <c r="J135" s="22">
        <f>Bonus!$F135*Bonus!$H135</f>
        <v>84000</v>
      </c>
    </row>
    <row r="136" spans="2:10" ht="15.85" customHeight="1" x14ac:dyDescent="0.5">
      <c r="B136" s="18" t="s">
        <v>59</v>
      </c>
      <c r="C136" s="18" t="s">
        <v>11</v>
      </c>
      <c r="D136" s="18" t="s">
        <v>60</v>
      </c>
      <c r="E136" s="18" t="s">
        <v>37</v>
      </c>
      <c r="F136" s="19">
        <v>155000</v>
      </c>
      <c r="G136" s="18" t="s">
        <v>29</v>
      </c>
      <c r="H136" s="20">
        <v>0.3</v>
      </c>
      <c r="I136" s="21">
        <f ca="1">DATE(YEAR(TODAY())+1,6,1)</f>
        <v>45809</v>
      </c>
      <c r="J136" s="22">
        <f>Bonus!$F136*Bonus!$H136</f>
        <v>46500</v>
      </c>
    </row>
    <row r="137" spans="2:10" ht="15.85" customHeight="1" x14ac:dyDescent="0.5">
      <c r="B137" s="18" t="s">
        <v>61</v>
      </c>
      <c r="C137" s="18" t="s">
        <v>16</v>
      </c>
      <c r="D137" s="18" t="s">
        <v>62</v>
      </c>
      <c r="E137" s="18" t="s">
        <v>33</v>
      </c>
      <c r="F137" s="19">
        <v>173200</v>
      </c>
      <c r="G137" s="18" t="s">
        <v>38</v>
      </c>
      <c r="H137" s="20">
        <v>0.5</v>
      </c>
      <c r="I137" s="21">
        <f ca="1">DATE(YEAR(TODAY())+1,10,1)</f>
        <v>45931</v>
      </c>
      <c r="J137" s="22">
        <f>Bonus!$F137*Bonus!$H137</f>
        <v>86600</v>
      </c>
    </row>
    <row r="138" spans="2:10" ht="15.85" customHeight="1" x14ac:dyDescent="0.5">
      <c r="B138" s="18" t="s">
        <v>63</v>
      </c>
      <c r="C138" s="18" t="s">
        <v>31</v>
      </c>
      <c r="D138" s="18" t="s">
        <v>64</v>
      </c>
      <c r="E138" s="18" t="s">
        <v>58</v>
      </c>
      <c r="F138" s="19">
        <v>146500</v>
      </c>
      <c r="G138" s="18" t="s">
        <v>41</v>
      </c>
      <c r="H138" s="20">
        <v>0.6</v>
      </c>
      <c r="I138" s="21">
        <f ca="1">DATE(YEAR(TODAY())+1,12,1)</f>
        <v>45992</v>
      </c>
      <c r="J138" s="22">
        <f>Bonus!$F138*Bonus!$H138</f>
        <v>87900</v>
      </c>
    </row>
    <row r="139" spans="2:10" ht="15.85" customHeight="1" x14ac:dyDescent="0.5">
      <c r="B139" s="18" t="s">
        <v>65</v>
      </c>
      <c r="C139" s="18" t="s">
        <v>26</v>
      </c>
      <c r="D139" s="18" t="s">
        <v>12</v>
      </c>
      <c r="E139" s="18" t="s">
        <v>37</v>
      </c>
      <c r="F139" s="19">
        <v>156750</v>
      </c>
      <c r="G139" s="18" t="s">
        <v>44</v>
      </c>
      <c r="H139" s="20">
        <v>0.7</v>
      </c>
      <c r="I139" s="21">
        <f ca="1">DATE(YEAR(TODAY())+1,11,1)</f>
        <v>45962</v>
      </c>
      <c r="J139" s="22">
        <f>Bonus!$F139*Bonus!$H139</f>
        <v>109725</v>
      </c>
    </row>
    <row r="140" spans="2:10" ht="15.85" customHeight="1" x14ac:dyDescent="0.5">
      <c r="B140" s="18" t="s">
        <v>66</v>
      </c>
      <c r="C140" s="18" t="s">
        <v>21</v>
      </c>
      <c r="D140" s="18" t="s">
        <v>27</v>
      </c>
      <c r="E140" s="18" t="s">
        <v>67</v>
      </c>
      <c r="F140" s="19">
        <v>162000</v>
      </c>
      <c r="G140" s="18" t="s">
        <v>47</v>
      </c>
      <c r="H140" s="20">
        <v>0.9</v>
      </c>
      <c r="I140" s="21">
        <f ca="1">DATE(YEAR(TODAY())+1,2,1)</f>
        <v>45689</v>
      </c>
      <c r="J140" s="22">
        <f>Bonus!$F140*Bonus!$H140</f>
        <v>145800</v>
      </c>
    </row>
    <row r="141" spans="2:10" ht="15.85" customHeight="1" x14ac:dyDescent="0.5">
      <c r="B141" s="18" t="s">
        <v>68</v>
      </c>
      <c r="C141" s="18" t="s">
        <v>26</v>
      </c>
      <c r="D141" s="18" t="s">
        <v>40</v>
      </c>
      <c r="E141" s="18" t="s">
        <v>28</v>
      </c>
      <c r="F141" s="19">
        <v>157000</v>
      </c>
      <c r="G141" s="18" t="s">
        <v>14</v>
      </c>
      <c r="H141" s="20">
        <v>1</v>
      </c>
      <c r="I141" s="21">
        <f ca="1">DATE(YEAR(TODAY())+1,3,1)</f>
        <v>45717</v>
      </c>
      <c r="J141" s="22">
        <f>Bonus!$F141*Bonus!$H141</f>
        <v>157000</v>
      </c>
    </row>
    <row r="142" spans="2:10" ht="15.85" customHeight="1" x14ac:dyDescent="0.5">
      <c r="B142" s="18" t="s">
        <v>69</v>
      </c>
      <c r="C142" s="18" t="s">
        <v>16</v>
      </c>
      <c r="D142" s="18" t="s">
        <v>46</v>
      </c>
      <c r="E142" s="18" t="s">
        <v>58</v>
      </c>
      <c r="F142" s="19">
        <v>173000</v>
      </c>
      <c r="G142" s="18" t="s">
        <v>34</v>
      </c>
      <c r="H142" s="20">
        <v>0.4</v>
      </c>
      <c r="I142" s="21">
        <f ca="1">DATE(YEAR(TODAY())+1,4,1)</f>
        <v>45748</v>
      </c>
      <c r="J142" s="22">
        <f>Bonus!$F142*Bonus!$H142</f>
        <v>69200</v>
      </c>
    </row>
    <row r="143" spans="2:10" ht="15.85" customHeight="1" x14ac:dyDescent="0.5">
      <c r="B143" s="18" t="s">
        <v>70</v>
      </c>
      <c r="C143" s="18" t="s">
        <v>31</v>
      </c>
      <c r="D143" s="18" t="s">
        <v>71</v>
      </c>
      <c r="E143" s="18" t="s">
        <v>28</v>
      </c>
      <c r="F143" s="19">
        <v>171000</v>
      </c>
      <c r="G143" s="18" t="s">
        <v>38</v>
      </c>
      <c r="H143" s="20">
        <v>0.5</v>
      </c>
      <c r="I143" s="21">
        <f ca="1">DATE(YEAR(TODAY())+1,8,1)</f>
        <v>45870</v>
      </c>
      <c r="J143" s="22">
        <f>Bonus!$F143*Bonus!$H143</f>
        <v>85500</v>
      </c>
    </row>
    <row r="144" spans="2:10" ht="15.85" customHeight="1" x14ac:dyDescent="0.5">
      <c r="B144" s="23" t="s">
        <v>72</v>
      </c>
      <c r="C144" s="23" t="s">
        <v>11</v>
      </c>
      <c r="D144" s="23" t="s">
        <v>62</v>
      </c>
      <c r="E144" s="23" t="s">
        <v>18</v>
      </c>
      <c r="F144" s="24">
        <v>168000</v>
      </c>
      <c r="G144" s="23" t="s">
        <v>41</v>
      </c>
      <c r="H144" s="25">
        <v>0.6</v>
      </c>
      <c r="I144" s="26">
        <f ca="1">DATE(YEAR(TODAY())+1,9,1)</f>
        <v>45901</v>
      </c>
      <c r="J144" s="27">
        <f>Bonus!$F144*Bonus!$H144</f>
        <v>100800</v>
      </c>
    </row>
    <row r="145" spans="2:10" ht="15.85" customHeight="1" x14ac:dyDescent="0.5">
      <c r="B145" s="13" t="s">
        <v>10</v>
      </c>
      <c r="C145" s="13" t="s">
        <v>11</v>
      </c>
      <c r="D145" s="13" t="s">
        <v>12</v>
      </c>
      <c r="E145" s="13" t="s">
        <v>13</v>
      </c>
      <c r="F145" s="14">
        <v>150000</v>
      </c>
      <c r="G145" s="13" t="s">
        <v>14</v>
      </c>
      <c r="H145" s="15">
        <v>0.9</v>
      </c>
      <c r="I145" s="16">
        <f ca="1">DATE(YEAR(TODAY())+1,1,1)</f>
        <v>45658</v>
      </c>
      <c r="J145" s="17">
        <f>Bonus!$F145*Bonus!$H145</f>
        <v>135000</v>
      </c>
    </row>
    <row r="146" spans="2:10" ht="15.85" customHeight="1" x14ac:dyDescent="0.5">
      <c r="B146" s="18" t="s">
        <v>15</v>
      </c>
      <c r="C146" s="18" t="s">
        <v>16</v>
      </c>
      <c r="D146" s="18" t="s">
        <v>17</v>
      </c>
      <c r="E146" s="18" t="s">
        <v>18</v>
      </c>
      <c r="F146" s="19">
        <v>145200</v>
      </c>
      <c r="G146" s="18" t="s">
        <v>19</v>
      </c>
      <c r="H146" s="20">
        <v>0.1</v>
      </c>
      <c r="I146" s="21">
        <f ca="1">DATE(YEAR(TODAY())+1,2,1)</f>
        <v>45689</v>
      </c>
      <c r="J146" s="22">
        <f>Bonus!$F146*Bonus!$H146</f>
        <v>14520</v>
      </c>
    </row>
    <row r="147" spans="2:10" ht="15.85" customHeight="1" x14ac:dyDescent="0.5">
      <c r="B147" s="18" t="s">
        <v>20</v>
      </c>
      <c r="C147" s="18" t="s">
        <v>21</v>
      </c>
      <c r="D147" s="18" t="s">
        <v>22</v>
      </c>
      <c r="E147" s="18" t="s">
        <v>23</v>
      </c>
      <c r="F147" s="19">
        <v>162500</v>
      </c>
      <c r="G147" s="18" t="s">
        <v>24</v>
      </c>
      <c r="H147" s="20">
        <v>0.2</v>
      </c>
      <c r="I147" s="21">
        <f ca="1">DATE(YEAR(TODAY())+1,3,1)</f>
        <v>45717</v>
      </c>
      <c r="J147" s="22">
        <f>Bonus!$F147*Bonus!$H147</f>
        <v>32500</v>
      </c>
    </row>
    <row r="148" spans="2:10" ht="15.85" customHeight="1" x14ac:dyDescent="0.5">
      <c r="B148" s="18" t="s">
        <v>25</v>
      </c>
      <c r="C148" s="18" t="s">
        <v>26</v>
      </c>
      <c r="D148" s="18" t="s">
        <v>27</v>
      </c>
      <c r="E148" s="18" t="s">
        <v>28</v>
      </c>
      <c r="F148" s="19">
        <v>147500</v>
      </c>
      <c r="G148" s="18" t="s">
        <v>29</v>
      </c>
      <c r="H148" s="20">
        <v>0.3</v>
      </c>
      <c r="I148" s="21">
        <f ca="1">DATE(YEAR(TODAY())+1,4,1)</f>
        <v>45748</v>
      </c>
      <c r="J148" s="22">
        <f>Bonus!$F148*Bonus!$H148</f>
        <v>44250</v>
      </c>
    </row>
    <row r="149" spans="2:10" ht="15.85" customHeight="1" x14ac:dyDescent="0.5">
      <c r="B149" s="18" t="s">
        <v>30</v>
      </c>
      <c r="C149" s="18" t="s">
        <v>31</v>
      </c>
      <c r="D149" s="18" t="s">
        <v>32</v>
      </c>
      <c r="E149" s="18" t="s">
        <v>33</v>
      </c>
      <c r="F149" s="19">
        <v>148000</v>
      </c>
      <c r="G149" s="18" t="s">
        <v>34</v>
      </c>
      <c r="H149" s="20">
        <v>0.4</v>
      </c>
      <c r="I149" s="21">
        <f ca="1">DATE(YEAR(TODAY())+1,5,1)</f>
        <v>45778</v>
      </c>
      <c r="J149" s="22">
        <f>Bonus!$F149*Bonus!$H149</f>
        <v>59200</v>
      </c>
    </row>
    <row r="150" spans="2:10" ht="15.85" customHeight="1" x14ac:dyDescent="0.5">
      <c r="B150" s="18" t="s">
        <v>35</v>
      </c>
      <c r="C150" s="18" t="s">
        <v>11</v>
      </c>
      <c r="D150" s="18" t="s">
        <v>36</v>
      </c>
      <c r="E150" s="18" t="s">
        <v>37</v>
      </c>
      <c r="F150" s="19">
        <v>175000</v>
      </c>
      <c r="G150" s="18" t="s">
        <v>38</v>
      </c>
      <c r="H150" s="20">
        <v>0.5</v>
      </c>
      <c r="I150" s="21">
        <f ca="1">DATE(YEAR(TODAY())+1,6,1)</f>
        <v>45809</v>
      </c>
      <c r="J150" s="22">
        <f>Bonus!$F150*Bonus!$H150</f>
        <v>87500</v>
      </c>
    </row>
    <row r="151" spans="2:10" ht="15.85" customHeight="1" x14ac:dyDescent="0.5">
      <c r="B151" s="18" t="s">
        <v>39</v>
      </c>
      <c r="C151" s="18" t="s">
        <v>21</v>
      </c>
      <c r="D151" s="18" t="s">
        <v>40</v>
      </c>
      <c r="E151" s="18" t="s">
        <v>28</v>
      </c>
      <c r="F151" s="19">
        <v>149000</v>
      </c>
      <c r="G151" s="18" t="s">
        <v>41</v>
      </c>
      <c r="H151" s="20">
        <v>0.6</v>
      </c>
      <c r="I151" s="21">
        <f ca="1">DATE(YEAR(TODAY())+1,7,1)</f>
        <v>45839</v>
      </c>
      <c r="J151" s="22">
        <f>Bonus!$F151*Bonus!$H151</f>
        <v>89400</v>
      </c>
    </row>
    <row r="152" spans="2:10" ht="15.85" customHeight="1" x14ac:dyDescent="0.5">
      <c r="B152" s="18" t="s">
        <v>42</v>
      </c>
      <c r="C152" s="18" t="s">
        <v>31</v>
      </c>
      <c r="D152" s="18" t="s">
        <v>43</v>
      </c>
      <c r="E152" s="18" t="s">
        <v>23</v>
      </c>
      <c r="F152" s="19">
        <v>142000</v>
      </c>
      <c r="G152" s="18" t="s">
        <v>44</v>
      </c>
      <c r="H152" s="20">
        <v>0.7</v>
      </c>
      <c r="I152" s="21">
        <f ca="1">DATE(YEAR(TODAY())+1,8,1)</f>
        <v>45870</v>
      </c>
      <c r="J152" s="22">
        <f>Bonus!$F152*Bonus!$H152</f>
        <v>99400</v>
      </c>
    </row>
    <row r="153" spans="2:10" ht="15.85" customHeight="1" x14ac:dyDescent="0.5">
      <c r="B153" s="18" t="s">
        <v>45</v>
      </c>
      <c r="C153" s="18" t="s">
        <v>21</v>
      </c>
      <c r="D153" s="18" t="s">
        <v>46</v>
      </c>
      <c r="E153" s="18" t="s">
        <v>28</v>
      </c>
      <c r="F153" s="19">
        <v>172500</v>
      </c>
      <c r="G153" s="18" t="s">
        <v>47</v>
      </c>
      <c r="H153" s="20">
        <v>0.9</v>
      </c>
      <c r="I153" s="21">
        <f ca="1">DATE(YEAR(TODAY())+1,10,1)</f>
        <v>45931</v>
      </c>
      <c r="J153" s="22">
        <f>Bonus!$F153*Bonus!$H153</f>
        <v>155250</v>
      </c>
    </row>
    <row r="154" spans="2:10" ht="15.85" customHeight="1" x14ac:dyDescent="0.5">
      <c r="B154" s="18" t="s">
        <v>48</v>
      </c>
      <c r="C154" s="18" t="s">
        <v>26</v>
      </c>
      <c r="D154" s="18" t="s">
        <v>49</v>
      </c>
      <c r="E154" s="18" t="s">
        <v>18</v>
      </c>
      <c r="F154" s="19">
        <v>163500</v>
      </c>
      <c r="G154" s="18" t="s">
        <v>29</v>
      </c>
      <c r="H154" s="20">
        <v>0.2</v>
      </c>
      <c r="I154" s="21">
        <f ca="1">DATE(YEAR(TODAY())+1,11,1)</f>
        <v>45962</v>
      </c>
      <c r="J154" s="22">
        <f>Bonus!$F154*Bonus!$H154</f>
        <v>32700</v>
      </c>
    </row>
    <row r="155" spans="2:10" ht="15.85" customHeight="1" x14ac:dyDescent="0.5">
      <c r="B155" s="18" t="s">
        <v>50</v>
      </c>
      <c r="C155" s="18" t="s">
        <v>31</v>
      </c>
      <c r="D155" s="18" t="s">
        <v>51</v>
      </c>
      <c r="E155" s="18" t="s">
        <v>18</v>
      </c>
      <c r="F155" s="19">
        <v>155500</v>
      </c>
      <c r="G155" s="18" t="s">
        <v>14</v>
      </c>
      <c r="H155" s="20">
        <v>1</v>
      </c>
      <c r="I155" s="21">
        <f ca="1">DATE(YEAR(TODAY())+1,12,1)</f>
        <v>45992</v>
      </c>
      <c r="J155" s="22">
        <f>Bonus!$F155*Bonus!$H155</f>
        <v>155500</v>
      </c>
    </row>
    <row r="156" spans="2:10" ht="15.85" customHeight="1" x14ac:dyDescent="0.5">
      <c r="B156" s="18" t="s">
        <v>52</v>
      </c>
      <c r="C156" s="18" t="s">
        <v>26</v>
      </c>
      <c r="D156" s="18" t="s">
        <v>53</v>
      </c>
      <c r="E156" s="18" t="s">
        <v>13</v>
      </c>
      <c r="F156" s="19">
        <v>166000</v>
      </c>
      <c r="G156" s="18" t="s">
        <v>19</v>
      </c>
      <c r="H156" s="20">
        <v>0.1</v>
      </c>
      <c r="I156" s="21">
        <f ca="1">DATE(YEAR(TODAY())+1,1,1)</f>
        <v>45658</v>
      </c>
      <c r="J156" s="22">
        <f>Bonus!$F156*Bonus!$H156</f>
        <v>16600</v>
      </c>
    </row>
    <row r="157" spans="2:10" ht="15.85" customHeight="1" x14ac:dyDescent="0.5">
      <c r="B157" s="18" t="s">
        <v>54</v>
      </c>
      <c r="C157" s="18" t="s">
        <v>21</v>
      </c>
      <c r="D157" s="18" t="s">
        <v>55</v>
      </c>
      <c r="E157" s="18" t="s">
        <v>23</v>
      </c>
      <c r="F157" s="19">
        <v>180000</v>
      </c>
      <c r="G157" s="18" t="s">
        <v>34</v>
      </c>
      <c r="H157" s="20">
        <v>0.3</v>
      </c>
      <c r="I157" s="21">
        <f ca="1">DATE(YEAR(TODAY())+1,3,1)</f>
        <v>45717</v>
      </c>
      <c r="J157" s="22">
        <f>Bonus!$F157*Bonus!$H157</f>
        <v>54000</v>
      </c>
    </row>
    <row r="158" spans="2:10" ht="15.85" customHeight="1" x14ac:dyDescent="0.5">
      <c r="B158" s="18" t="s">
        <v>56</v>
      </c>
      <c r="C158" s="18" t="s">
        <v>16</v>
      </c>
      <c r="D158" s="18" t="s">
        <v>57</v>
      </c>
      <c r="E158" s="18" t="s">
        <v>58</v>
      </c>
      <c r="F158" s="19">
        <v>140000</v>
      </c>
      <c r="G158" s="18" t="s">
        <v>41</v>
      </c>
      <c r="H158" s="20">
        <v>0.6</v>
      </c>
      <c r="I158" s="21">
        <f ca="1">DATE(YEAR(TODAY())+1,5,1)</f>
        <v>45778</v>
      </c>
      <c r="J158" s="22">
        <f>Bonus!$F158*Bonus!$H158</f>
        <v>84000</v>
      </c>
    </row>
    <row r="159" spans="2:10" ht="15.85" customHeight="1" x14ac:dyDescent="0.5">
      <c r="B159" s="18" t="s">
        <v>59</v>
      </c>
      <c r="C159" s="18" t="s">
        <v>11</v>
      </c>
      <c r="D159" s="18" t="s">
        <v>60</v>
      </c>
      <c r="E159" s="18" t="s">
        <v>37</v>
      </c>
      <c r="F159" s="19">
        <v>155000</v>
      </c>
      <c r="G159" s="18" t="s">
        <v>29</v>
      </c>
      <c r="H159" s="20">
        <v>0.3</v>
      </c>
      <c r="I159" s="21">
        <f ca="1">DATE(YEAR(TODAY())+1,6,1)</f>
        <v>45809</v>
      </c>
      <c r="J159" s="22">
        <f>Bonus!$F159*Bonus!$H159</f>
        <v>46500</v>
      </c>
    </row>
    <row r="160" spans="2:10" ht="15.85" customHeight="1" x14ac:dyDescent="0.5">
      <c r="B160" s="18" t="s">
        <v>61</v>
      </c>
      <c r="C160" s="18" t="s">
        <v>16</v>
      </c>
      <c r="D160" s="18" t="s">
        <v>62</v>
      </c>
      <c r="E160" s="18" t="s">
        <v>33</v>
      </c>
      <c r="F160" s="19">
        <v>173200</v>
      </c>
      <c r="G160" s="18" t="s">
        <v>38</v>
      </c>
      <c r="H160" s="20">
        <v>0.5</v>
      </c>
      <c r="I160" s="21">
        <f ca="1">DATE(YEAR(TODAY())+1,10,1)</f>
        <v>45931</v>
      </c>
      <c r="J160" s="22">
        <f>Bonus!$F160*Bonus!$H160</f>
        <v>86600</v>
      </c>
    </row>
    <row r="161" spans="2:10" ht="15.85" customHeight="1" x14ac:dyDescent="0.5">
      <c r="B161" s="18" t="s">
        <v>63</v>
      </c>
      <c r="C161" s="18" t="s">
        <v>31</v>
      </c>
      <c r="D161" s="18" t="s">
        <v>64</v>
      </c>
      <c r="E161" s="18" t="s">
        <v>58</v>
      </c>
      <c r="F161" s="19">
        <v>146500</v>
      </c>
      <c r="G161" s="18" t="s">
        <v>41</v>
      </c>
      <c r="H161" s="20">
        <v>0.6</v>
      </c>
      <c r="I161" s="21">
        <f ca="1">DATE(YEAR(TODAY())+1,12,1)</f>
        <v>45992</v>
      </c>
      <c r="J161" s="22">
        <f>Bonus!$F161*Bonus!$H161</f>
        <v>87900</v>
      </c>
    </row>
    <row r="162" spans="2:10" ht="15.85" customHeight="1" x14ac:dyDescent="0.5">
      <c r="B162" s="18" t="s">
        <v>65</v>
      </c>
      <c r="C162" s="18" t="s">
        <v>26</v>
      </c>
      <c r="D162" s="18" t="s">
        <v>12</v>
      </c>
      <c r="E162" s="18" t="s">
        <v>37</v>
      </c>
      <c r="F162" s="19">
        <v>156750</v>
      </c>
      <c r="G162" s="18" t="s">
        <v>44</v>
      </c>
      <c r="H162" s="20">
        <v>0.7</v>
      </c>
      <c r="I162" s="21">
        <f ca="1">DATE(YEAR(TODAY())+1,11,1)</f>
        <v>45962</v>
      </c>
      <c r="J162" s="22">
        <f>Bonus!$F162*Bonus!$H162</f>
        <v>109725</v>
      </c>
    </row>
    <row r="163" spans="2:10" ht="15.85" customHeight="1" x14ac:dyDescent="0.5">
      <c r="B163" s="18" t="s">
        <v>66</v>
      </c>
      <c r="C163" s="18" t="s">
        <v>21</v>
      </c>
      <c r="D163" s="18" t="s">
        <v>27</v>
      </c>
      <c r="E163" s="18" t="s">
        <v>67</v>
      </c>
      <c r="F163" s="19">
        <v>162000</v>
      </c>
      <c r="G163" s="18" t="s">
        <v>47</v>
      </c>
      <c r="H163" s="20">
        <v>0.9</v>
      </c>
      <c r="I163" s="21">
        <f ca="1">DATE(YEAR(TODAY())+1,2,1)</f>
        <v>45689</v>
      </c>
      <c r="J163" s="22">
        <f>Bonus!$F163*Bonus!$H163</f>
        <v>145800</v>
      </c>
    </row>
    <row r="164" spans="2:10" ht="15.85" customHeight="1" x14ac:dyDescent="0.5">
      <c r="B164" s="18" t="s">
        <v>68</v>
      </c>
      <c r="C164" s="18" t="s">
        <v>26</v>
      </c>
      <c r="D164" s="18" t="s">
        <v>40</v>
      </c>
      <c r="E164" s="18" t="s">
        <v>28</v>
      </c>
      <c r="F164" s="19">
        <v>157000</v>
      </c>
      <c r="G164" s="18" t="s">
        <v>14</v>
      </c>
      <c r="H164" s="20">
        <v>1</v>
      </c>
      <c r="I164" s="21">
        <f ca="1">DATE(YEAR(TODAY())+1,3,1)</f>
        <v>45717</v>
      </c>
      <c r="J164" s="22">
        <f>Bonus!$F164*Bonus!$H164</f>
        <v>157000</v>
      </c>
    </row>
    <row r="165" spans="2:10" ht="15.85" customHeight="1" x14ac:dyDescent="0.5">
      <c r="B165" s="18" t="s">
        <v>69</v>
      </c>
      <c r="C165" s="18" t="s">
        <v>16</v>
      </c>
      <c r="D165" s="18" t="s">
        <v>46</v>
      </c>
      <c r="E165" s="18" t="s">
        <v>58</v>
      </c>
      <c r="F165" s="19">
        <v>173000</v>
      </c>
      <c r="G165" s="18" t="s">
        <v>34</v>
      </c>
      <c r="H165" s="20">
        <v>0.4</v>
      </c>
      <c r="I165" s="21">
        <f ca="1">DATE(YEAR(TODAY())+1,4,1)</f>
        <v>45748</v>
      </c>
      <c r="J165" s="22">
        <f>Bonus!$F165*Bonus!$H165</f>
        <v>69200</v>
      </c>
    </row>
    <row r="166" spans="2:10" ht="15.85" customHeight="1" x14ac:dyDescent="0.5">
      <c r="B166" s="18" t="s">
        <v>70</v>
      </c>
      <c r="C166" s="18" t="s">
        <v>31</v>
      </c>
      <c r="D166" s="18" t="s">
        <v>71</v>
      </c>
      <c r="E166" s="18" t="s">
        <v>28</v>
      </c>
      <c r="F166" s="19">
        <v>171000</v>
      </c>
      <c r="G166" s="18" t="s">
        <v>38</v>
      </c>
      <c r="H166" s="20">
        <v>0.5</v>
      </c>
      <c r="I166" s="21">
        <f ca="1">DATE(YEAR(TODAY())+1,8,1)</f>
        <v>45870</v>
      </c>
      <c r="J166" s="22">
        <f>Bonus!$F166*Bonus!$H166</f>
        <v>85500</v>
      </c>
    </row>
    <row r="167" spans="2:10" ht="15.85" customHeight="1" x14ac:dyDescent="0.5">
      <c r="B167" s="23" t="s">
        <v>72</v>
      </c>
      <c r="C167" s="23" t="s">
        <v>11</v>
      </c>
      <c r="D167" s="23" t="s">
        <v>62</v>
      </c>
      <c r="E167" s="23" t="s">
        <v>18</v>
      </c>
      <c r="F167" s="24">
        <v>168000</v>
      </c>
      <c r="G167" s="23" t="s">
        <v>41</v>
      </c>
      <c r="H167" s="25">
        <v>0.6</v>
      </c>
      <c r="I167" s="26">
        <f ca="1">DATE(YEAR(TODAY())+1,9,1)</f>
        <v>45901</v>
      </c>
      <c r="J167" s="27">
        <f>Bonus!$F167*Bonus!$H167</f>
        <v>100800</v>
      </c>
    </row>
    <row r="168" spans="2:10" ht="15.85" customHeight="1" x14ac:dyDescent="0.5">
      <c r="B168" s="13" t="s">
        <v>10</v>
      </c>
      <c r="C168" s="13" t="s">
        <v>11</v>
      </c>
      <c r="D168" s="13" t="s">
        <v>12</v>
      </c>
      <c r="E168" s="13" t="s">
        <v>13</v>
      </c>
      <c r="F168" s="14">
        <v>150000</v>
      </c>
      <c r="G168" s="13" t="s">
        <v>14</v>
      </c>
      <c r="H168" s="15">
        <v>0.9</v>
      </c>
      <c r="I168" s="16">
        <f ca="1">DATE(YEAR(TODAY())+1,1,1)</f>
        <v>45658</v>
      </c>
      <c r="J168" s="17">
        <f>Bonus!$F168*Bonus!$H168</f>
        <v>135000</v>
      </c>
    </row>
    <row r="169" spans="2:10" ht="15.85" customHeight="1" x14ac:dyDescent="0.5">
      <c r="B169" s="18" t="s">
        <v>15</v>
      </c>
      <c r="C169" s="18" t="s">
        <v>16</v>
      </c>
      <c r="D169" s="18" t="s">
        <v>17</v>
      </c>
      <c r="E169" s="18" t="s">
        <v>18</v>
      </c>
      <c r="F169" s="19">
        <v>145200</v>
      </c>
      <c r="G169" s="18" t="s">
        <v>19</v>
      </c>
      <c r="H169" s="20">
        <v>0.1</v>
      </c>
      <c r="I169" s="21">
        <f ca="1">DATE(YEAR(TODAY())+1,2,1)</f>
        <v>45689</v>
      </c>
      <c r="J169" s="22">
        <f>Bonus!$F169*Bonus!$H169</f>
        <v>14520</v>
      </c>
    </row>
    <row r="170" spans="2:10" ht="15.85" customHeight="1" x14ac:dyDescent="0.5">
      <c r="B170" s="18" t="s">
        <v>20</v>
      </c>
      <c r="C170" s="18" t="s">
        <v>21</v>
      </c>
      <c r="D170" s="18" t="s">
        <v>22</v>
      </c>
      <c r="E170" s="18" t="s">
        <v>23</v>
      </c>
      <c r="F170" s="19">
        <v>162500</v>
      </c>
      <c r="G170" s="18" t="s">
        <v>24</v>
      </c>
      <c r="H170" s="20">
        <v>0.2</v>
      </c>
      <c r="I170" s="21">
        <f ca="1">DATE(YEAR(TODAY())+1,3,1)</f>
        <v>45717</v>
      </c>
      <c r="J170" s="22">
        <f>Bonus!$F170*Bonus!$H170</f>
        <v>32500</v>
      </c>
    </row>
    <row r="171" spans="2:10" ht="15.85" customHeight="1" x14ac:dyDescent="0.5">
      <c r="B171" s="18" t="s">
        <v>25</v>
      </c>
      <c r="C171" s="18" t="s">
        <v>26</v>
      </c>
      <c r="D171" s="18" t="s">
        <v>27</v>
      </c>
      <c r="E171" s="18" t="s">
        <v>28</v>
      </c>
      <c r="F171" s="19">
        <v>147500</v>
      </c>
      <c r="G171" s="18" t="s">
        <v>29</v>
      </c>
      <c r="H171" s="20">
        <v>0.3</v>
      </c>
      <c r="I171" s="21">
        <f ca="1">DATE(YEAR(TODAY())+1,4,1)</f>
        <v>45748</v>
      </c>
      <c r="J171" s="22">
        <f>Bonus!$F171*Bonus!$H171</f>
        <v>44250</v>
      </c>
    </row>
    <row r="172" spans="2:10" ht="15.85" customHeight="1" x14ac:dyDescent="0.5">
      <c r="B172" s="18" t="s">
        <v>30</v>
      </c>
      <c r="C172" s="18" t="s">
        <v>31</v>
      </c>
      <c r="D172" s="18" t="s">
        <v>32</v>
      </c>
      <c r="E172" s="18" t="s">
        <v>33</v>
      </c>
      <c r="F172" s="19">
        <v>148000</v>
      </c>
      <c r="G172" s="18" t="s">
        <v>34</v>
      </c>
      <c r="H172" s="20">
        <v>0.4</v>
      </c>
      <c r="I172" s="21">
        <f ca="1">DATE(YEAR(TODAY())+1,5,1)</f>
        <v>45778</v>
      </c>
      <c r="J172" s="22">
        <f>Bonus!$F172*Bonus!$H172</f>
        <v>59200</v>
      </c>
    </row>
    <row r="173" spans="2:10" ht="15.85" customHeight="1" x14ac:dyDescent="0.5">
      <c r="B173" s="18" t="s">
        <v>35</v>
      </c>
      <c r="C173" s="18" t="s">
        <v>11</v>
      </c>
      <c r="D173" s="18" t="s">
        <v>36</v>
      </c>
      <c r="E173" s="18" t="s">
        <v>37</v>
      </c>
      <c r="F173" s="19">
        <v>175000</v>
      </c>
      <c r="G173" s="18" t="s">
        <v>38</v>
      </c>
      <c r="H173" s="20">
        <v>0.5</v>
      </c>
      <c r="I173" s="21">
        <f ca="1">DATE(YEAR(TODAY())+1,6,1)</f>
        <v>45809</v>
      </c>
      <c r="J173" s="22">
        <f>Bonus!$F173*Bonus!$H173</f>
        <v>87500</v>
      </c>
    </row>
    <row r="174" spans="2:10" ht="15.85" customHeight="1" x14ac:dyDescent="0.5">
      <c r="B174" s="18" t="s">
        <v>39</v>
      </c>
      <c r="C174" s="18" t="s">
        <v>21</v>
      </c>
      <c r="D174" s="18" t="s">
        <v>40</v>
      </c>
      <c r="E174" s="18" t="s">
        <v>28</v>
      </c>
      <c r="F174" s="19">
        <v>149000</v>
      </c>
      <c r="G174" s="18" t="s">
        <v>41</v>
      </c>
      <c r="H174" s="20">
        <v>0.6</v>
      </c>
      <c r="I174" s="21">
        <f ca="1">DATE(YEAR(TODAY())+1,7,1)</f>
        <v>45839</v>
      </c>
      <c r="J174" s="22">
        <f>Bonus!$F174*Bonus!$H174</f>
        <v>89400</v>
      </c>
    </row>
    <row r="175" spans="2:10" ht="15.85" customHeight="1" x14ac:dyDescent="0.5">
      <c r="B175" s="18" t="s">
        <v>42</v>
      </c>
      <c r="C175" s="18" t="s">
        <v>31</v>
      </c>
      <c r="D175" s="18" t="s">
        <v>43</v>
      </c>
      <c r="E175" s="18" t="s">
        <v>23</v>
      </c>
      <c r="F175" s="19">
        <v>142000</v>
      </c>
      <c r="G175" s="18" t="s">
        <v>44</v>
      </c>
      <c r="H175" s="20">
        <v>0.7</v>
      </c>
      <c r="I175" s="21">
        <f ca="1">DATE(YEAR(TODAY())+1,8,1)</f>
        <v>45870</v>
      </c>
      <c r="J175" s="22">
        <f>Bonus!$F175*Bonus!$H175</f>
        <v>99400</v>
      </c>
    </row>
    <row r="176" spans="2:10" ht="15.85" customHeight="1" x14ac:dyDescent="0.5">
      <c r="B176" s="18" t="s">
        <v>45</v>
      </c>
      <c r="C176" s="18" t="s">
        <v>21</v>
      </c>
      <c r="D176" s="18" t="s">
        <v>46</v>
      </c>
      <c r="E176" s="18" t="s">
        <v>28</v>
      </c>
      <c r="F176" s="19">
        <v>172500</v>
      </c>
      <c r="G176" s="18" t="s">
        <v>47</v>
      </c>
      <c r="H176" s="20">
        <v>0.9</v>
      </c>
      <c r="I176" s="21">
        <f ca="1">DATE(YEAR(TODAY())+1,10,1)</f>
        <v>45931</v>
      </c>
      <c r="J176" s="22">
        <f>Bonus!$F176*Bonus!$H176</f>
        <v>155250</v>
      </c>
    </row>
    <row r="177" spans="2:10" ht="15.85" customHeight="1" x14ac:dyDescent="0.5">
      <c r="B177" s="18" t="s">
        <v>48</v>
      </c>
      <c r="C177" s="18" t="s">
        <v>26</v>
      </c>
      <c r="D177" s="18" t="s">
        <v>49</v>
      </c>
      <c r="E177" s="18" t="s">
        <v>18</v>
      </c>
      <c r="F177" s="19">
        <v>163500</v>
      </c>
      <c r="G177" s="18" t="s">
        <v>29</v>
      </c>
      <c r="H177" s="20">
        <v>0.2</v>
      </c>
      <c r="I177" s="21">
        <f ca="1">DATE(YEAR(TODAY())+1,11,1)</f>
        <v>45962</v>
      </c>
      <c r="J177" s="22">
        <f>Bonus!$F177*Bonus!$H177</f>
        <v>32700</v>
      </c>
    </row>
    <row r="178" spans="2:10" ht="15.85" customHeight="1" x14ac:dyDescent="0.5">
      <c r="B178" s="18" t="s">
        <v>50</v>
      </c>
      <c r="C178" s="18" t="s">
        <v>31</v>
      </c>
      <c r="D178" s="18" t="s">
        <v>51</v>
      </c>
      <c r="E178" s="18" t="s">
        <v>18</v>
      </c>
      <c r="F178" s="19">
        <v>155500</v>
      </c>
      <c r="G178" s="18" t="s">
        <v>14</v>
      </c>
      <c r="H178" s="20">
        <v>1</v>
      </c>
      <c r="I178" s="21">
        <f ca="1">DATE(YEAR(TODAY())+1,12,1)</f>
        <v>45992</v>
      </c>
      <c r="J178" s="22">
        <f>Bonus!$F178*Bonus!$H178</f>
        <v>155500</v>
      </c>
    </row>
    <row r="179" spans="2:10" ht="15.85" customHeight="1" x14ac:dyDescent="0.5">
      <c r="B179" s="18" t="s">
        <v>52</v>
      </c>
      <c r="C179" s="18" t="s">
        <v>26</v>
      </c>
      <c r="D179" s="18" t="s">
        <v>53</v>
      </c>
      <c r="E179" s="18" t="s">
        <v>13</v>
      </c>
      <c r="F179" s="19">
        <v>166000</v>
      </c>
      <c r="G179" s="18" t="s">
        <v>19</v>
      </c>
      <c r="H179" s="20">
        <v>0.1</v>
      </c>
      <c r="I179" s="21">
        <f ca="1">DATE(YEAR(TODAY())+1,1,1)</f>
        <v>45658</v>
      </c>
      <c r="J179" s="22">
        <f>Bonus!$F179*Bonus!$H179</f>
        <v>16600</v>
      </c>
    </row>
    <row r="180" spans="2:10" ht="15.85" customHeight="1" x14ac:dyDescent="0.5">
      <c r="B180" s="18" t="s">
        <v>54</v>
      </c>
      <c r="C180" s="18" t="s">
        <v>21</v>
      </c>
      <c r="D180" s="18" t="s">
        <v>55</v>
      </c>
      <c r="E180" s="18" t="s">
        <v>23</v>
      </c>
      <c r="F180" s="19">
        <v>180000</v>
      </c>
      <c r="G180" s="18" t="s">
        <v>34</v>
      </c>
      <c r="H180" s="20">
        <v>0.3</v>
      </c>
      <c r="I180" s="21">
        <f ca="1">DATE(YEAR(TODAY())+1,3,1)</f>
        <v>45717</v>
      </c>
      <c r="J180" s="22">
        <f>Bonus!$F180*Bonus!$H180</f>
        <v>54000</v>
      </c>
    </row>
    <row r="181" spans="2:10" ht="15.85" customHeight="1" x14ac:dyDescent="0.5">
      <c r="B181" s="18" t="s">
        <v>56</v>
      </c>
      <c r="C181" s="18" t="s">
        <v>16</v>
      </c>
      <c r="D181" s="18" t="s">
        <v>57</v>
      </c>
      <c r="E181" s="18" t="s">
        <v>58</v>
      </c>
      <c r="F181" s="19">
        <v>140000</v>
      </c>
      <c r="G181" s="18" t="s">
        <v>41</v>
      </c>
      <c r="H181" s="20">
        <v>0.6</v>
      </c>
      <c r="I181" s="21">
        <f ca="1">DATE(YEAR(TODAY())+1,5,1)</f>
        <v>45778</v>
      </c>
      <c r="J181" s="22">
        <f>Bonus!$F181*Bonus!$H181</f>
        <v>84000</v>
      </c>
    </row>
    <row r="182" spans="2:10" ht="15.85" customHeight="1" x14ac:dyDescent="0.5">
      <c r="B182" s="18" t="s">
        <v>59</v>
      </c>
      <c r="C182" s="18" t="s">
        <v>11</v>
      </c>
      <c r="D182" s="18" t="s">
        <v>60</v>
      </c>
      <c r="E182" s="18" t="s">
        <v>37</v>
      </c>
      <c r="F182" s="19">
        <v>155000</v>
      </c>
      <c r="G182" s="18" t="s">
        <v>29</v>
      </c>
      <c r="H182" s="20">
        <v>0.3</v>
      </c>
      <c r="I182" s="21">
        <f ca="1">DATE(YEAR(TODAY())+1,6,1)</f>
        <v>45809</v>
      </c>
      <c r="J182" s="22">
        <f>Bonus!$F182*Bonus!$H182</f>
        <v>46500</v>
      </c>
    </row>
    <row r="183" spans="2:10" ht="15.85" customHeight="1" x14ac:dyDescent="0.5">
      <c r="B183" s="18" t="s">
        <v>61</v>
      </c>
      <c r="C183" s="18" t="s">
        <v>16</v>
      </c>
      <c r="D183" s="18" t="s">
        <v>62</v>
      </c>
      <c r="E183" s="18" t="s">
        <v>33</v>
      </c>
      <c r="F183" s="19">
        <v>173200</v>
      </c>
      <c r="G183" s="18" t="s">
        <v>38</v>
      </c>
      <c r="H183" s="20">
        <v>0.5</v>
      </c>
      <c r="I183" s="21">
        <f ca="1">DATE(YEAR(TODAY())+1,10,1)</f>
        <v>45931</v>
      </c>
      <c r="J183" s="22">
        <f>Bonus!$F183*Bonus!$H183</f>
        <v>86600</v>
      </c>
    </row>
    <row r="184" spans="2:10" ht="15.85" customHeight="1" x14ac:dyDescent="0.5">
      <c r="B184" s="18" t="s">
        <v>63</v>
      </c>
      <c r="C184" s="18" t="s">
        <v>31</v>
      </c>
      <c r="D184" s="18" t="s">
        <v>64</v>
      </c>
      <c r="E184" s="18" t="s">
        <v>58</v>
      </c>
      <c r="F184" s="19">
        <v>146500</v>
      </c>
      <c r="G184" s="18" t="s">
        <v>41</v>
      </c>
      <c r="H184" s="20">
        <v>0.6</v>
      </c>
      <c r="I184" s="21">
        <f ca="1">DATE(YEAR(TODAY())+1,12,1)</f>
        <v>45992</v>
      </c>
      <c r="J184" s="22">
        <f>Bonus!$F184*Bonus!$H184</f>
        <v>87900</v>
      </c>
    </row>
    <row r="185" spans="2:10" ht="15.85" customHeight="1" x14ac:dyDescent="0.5">
      <c r="B185" s="18" t="s">
        <v>65</v>
      </c>
      <c r="C185" s="18" t="s">
        <v>26</v>
      </c>
      <c r="D185" s="18" t="s">
        <v>12</v>
      </c>
      <c r="E185" s="18" t="s">
        <v>37</v>
      </c>
      <c r="F185" s="19">
        <v>156750</v>
      </c>
      <c r="G185" s="18" t="s">
        <v>44</v>
      </c>
      <c r="H185" s="20">
        <v>0.7</v>
      </c>
      <c r="I185" s="21">
        <f ca="1">DATE(YEAR(TODAY())+1,11,1)</f>
        <v>45962</v>
      </c>
      <c r="J185" s="22">
        <f>Bonus!$F185*Bonus!$H185</f>
        <v>109725</v>
      </c>
    </row>
    <row r="186" spans="2:10" ht="15.85" customHeight="1" x14ac:dyDescent="0.5">
      <c r="B186" s="18" t="s">
        <v>66</v>
      </c>
      <c r="C186" s="18" t="s">
        <v>21</v>
      </c>
      <c r="D186" s="18" t="s">
        <v>27</v>
      </c>
      <c r="E186" s="18" t="s">
        <v>67</v>
      </c>
      <c r="F186" s="19">
        <v>162000</v>
      </c>
      <c r="G186" s="18" t="s">
        <v>47</v>
      </c>
      <c r="H186" s="20">
        <v>0.9</v>
      </c>
      <c r="I186" s="21">
        <f ca="1">DATE(YEAR(TODAY())+1,2,1)</f>
        <v>45689</v>
      </c>
      <c r="J186" s="22">
        <f>Bonus!$F186*Bonus!$H186</f>
        <v>145800</v>
      </c>
    </row>
    <row r="187" spans="2:10" ht="15.85" customHeight="1" x14ac:dyDescent="0.5">
      <c r="B187" s="18" t="s">
        <v>68</v>
      </c>
      <c r="C187" s="18" t="s">
        <v>26</v>
      </c>
      <c r="D187" s="18" t="s">
        <v>40</v>
      </c>
      <c r="E187" s="18" t="s">
        <v>28</v>
      </c>
      <c r="F187" s="19">
        <v>157000</v>
      </c>
      <c r="G187" s="18" t="s">
        <v>14</v>
      </c>
      <c r="H187" s="20">
        <v>1</v>
      </c>
      <c r="I187" s="21">
        <f ca="1">DATE(YEAR(TODAY())+1,3,1)</f>
        <v>45717</v>
      </c>
      <c r="J187" s="22">
        <f>Bonus!$F187*Bonus!$H187</f>
        <v>157000</v>
      </c>
    </row>
    <row r="188" spans="2:10" ht="15.85" customHeight="1" x14ac:dyDescent="0.5">
      <c r="B188" s="18" t="s">
        <v>69</v>
      </c>
      <c r="C188" s="18" t="s">
        <v>16</v>
      </c>
      <c r="D188" s="18" t="s">
        <v>46</v>
      </c>
      <c r="E188" s="18" t="s">
        <v>58</v>
      </c>
      <c r="F188" s="19">
        <v>173000</v>
      </c>
      <c r="G188" s="18" t="s">
        <v>34</v>
      </c>
      <c r="H188" s="20">
        <v>0.4</v>
      </c>
      <c r="I188" s="21">
        <f ca="1">DATE(YEAR(TODAY())+1,4,1)</f>
        <v>45748</v>
      </c>
      <c r="J188" s="22">
        <f>Bonus!$F188*Bonus!$H188</f>
        <v>69200</v>
      </c>
    </row>
    <row r="189" spans="2:10" ht="15.85" customHeight="1" x14ac:dyDescent="0.5">
      <c r="B189" s="18" t="s">
        <v>70</v>
      </c>
      <c r="C189" s="18" t="s">
        <v>31</v>
      </c>
      <c r="D189" s="18" t="s">
        <v>71</v>
      </c>
      <c r="E189" s="18" t="s">
        <v>28</v>
      </c>
      <c r="F189" s="19">
        <v>171000</v>
      </c>
      <c r="G189" s="18" t="s">
        <v>38</v>
      </c>
      <c r="H189" s="20">
        <v>0.5</v>
      </c>
      <c r="I189" s="21">
        <f ca="1">DATE(YEAR(TODAY())+1,8,1)</f>
        <v>45870</v>
      </c>
      <c r="J189" s="22">
        <f>Bonus!$F189*Bonus!$H189</f>
        <v>85500</v>
      </c>
    </row>
    <row r="190" spans="2:10" ht="15.85" customHeight="1" x14ac:dyDescent="0.5">
      <c r="B190" s="18" t="s">
        <v>72</v>
      </c>
      <c r="C190" s="18" t="s">
        <v>11</v>
      </c>
      <c r="D190" s="18" t="s">
        <v>62</v>
      </c>
      <c r="E190" s="18" t="s">
        <v>18</v>
      </c>
      <c r="F190" s="19">
        <v>168000</v>
      </c>
      <c r="G190" s="18" t="s">
        <v>41</v>
      </c>
      <c r="H190" s="20">
        <v>0.6</v>
      </c>
      <c r="I190" s="21">
        <f ca="1">DATE(YEAR(TODAY())+1,9,1)</f>
        <v>45901</v>
      </c>
      <c r="J190" s="22">
        <f>Bonus!$F190*Bonus!$H190</f>
        <v>100800</v>
      </c>
    </row>
  </sheetData>
  <pageMargins left="0.7" right="0.7" top="0.75" bottom="0.75" header="0.3" footer="0.3"/>
  <pageSetup orientation="portrait" r:id="rId1"/>
  <drawing r:id="rId2"/>
  <legacyDrawing r:id="rId3"/>
  <tableParts count="1"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3</vt:i4>
      </vt:variant>
    </vt:vector>
  </HeadingPairs>
  <TitlesOfParts>
    <vt:vector size="13" baseType="lpstr">
      <vt:lpstr>End Result</vt:lpstr>
      <vt:lpstr>Level 0</vt:lpstr>
      <vt:lpstr>Level 1</vt:lpstr>
      <vt:lpstr>Level 2</vt:lpstr>
      <vt:lpstr>Level 3</vt:lpstr>
      <vt:lpstr>Level 4</vt:lpstr>
      <vt:lpstr>Level 5</vt:lpstr>
      <vt:lpstr>Level 6</vt:lpstr>
      <vt:lpstr>Level 7</vt:lpstr>
      <vt:lpstr>Bonus</vt:lpstr>
      <vt:lpstr>Highlight_switch</vt:lpstr>
      <vt:lpstr>Highlight_switch_2</vt:lpstr>
      <vt:lpstr>Highlight_switch_3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Victor Chan</dc:creator>
  <cp:lastModifiedBy>Victor Chan</cp:lastModifiedBy>
  <dcterms:created xsi:type="dcterms:W3CDTF">2024-02-08T19:43:10Z</dcterms:created>
  <dcterms:modified xsi:type="dcterms:W3CDTF">2024-02-19T11:24:57Z</dcterms:modified>
</cp:coreProperties>
</file>