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9DCA189-77F3-41F4-97F7-6F8BE433560A}" xr6:coauthVersionLast="47" xr6:coauthVersionMax="47" xr10:uidLastSave="{00000000-0000-0000-0000-000000000000}"/>
  <bookViews>
    <workbookView xWindow="-120" yWindow="-120" windowWidth="29040" windowHeight="15840" activeTab="2" xr2:uid="{8B896088-70BB-4C60-BB21-C1E442DA7D5A}"/>
  </bookViews>
  <sheets>
    <sheet name="EJ" sheetId="1" r:id="rId1"/>
    <sheet name="Transactions" sheetId="3" r:id="rId2"/>
    <sheet name="BV" sheetId="4" r:id="rId3"/>
    <sheet name="PlanComptable" sheetId="2" r:id="rId4"/>
  </sheets>
  <functionGroups builtInGroupCount="19"/>
  <definedNames>
    <definedName name="_xlnm._FilterDatabase" localSheetId="1" hidden="1">Transactions!$C$1:$L$183</definedName>
    <definedName name="AcctType">#REF!</definedName>
    <definedName name="CalMonths">#REF!</definedName>
    <definedName name="CalYear">#REF!</definedName>
    <definedName name="_xlnm.Print_Titles" localSheetId="1">Transactions!$1:$1</definedName>
    <definedName name="_xlnm.Print_Area" localSheetId="1">Transactions!$D$1:$K$159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3" i="3" l="1"/>
  <c r="L182" i="3"/>
  <c r="L181" i="3"/>
  <c r="L180" i="3"/>
  <c r="G65" i="4"/>
  <c r="F65" i="4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5" i="1" l="1"/>
  <c r="G25" i="1"/>
</calcChain>
</file>

<file path=xl/sharedStrings.xml><?xml version="1.0" encoding="utf-8"?>
<sst xmlns="http://schemas.openxmlformats.org/spreadsheetml/2006/main" count="771" uniqueCount="191">
  <si>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</si>
  <si>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</si>
  <si>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</si>
  <si>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</si>
  <si>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</si>
  <si>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</si>
  <si>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</si>
  <si>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</si>
  <si>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</si>
  <si>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</si>
  <si>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</si>
  <si>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</si>
  <si>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</si>
  <si>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</si>
  <si>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</si>
  <si>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</si>
  <si>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</si>
  <si>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</si>
  <si>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</si>
  <si>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</si>
  <si>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</si>
  <si>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</si>
  <si>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</si>
  <si>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</si>
  <si>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</si>
  <si>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</si>
  <si>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</si>
  <si>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</si>
  <si>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</si>
  <si>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</si>
  <si>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</si>
  <si>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</si>
  <si>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</si>
  <si>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</si>
  <si>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</si>
  <si>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</si>
  <si>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</si>
  <si>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</si>
  <si>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</si>
  <si>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</si>
  <si>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</si>
  <si>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</si>
  <si>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</si>
  <si>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</si>
  <si>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</si>
  <si>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</si>
  <si>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</si>
  <si>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</si>
  <si>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</si>
  <si>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</si>
  <si>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</si>
  <si>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</si>
  <si>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</si>
  <si>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</si>
  <si>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</si>
  <si>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</si>
  <si>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</si>
  <si>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</si>
  <si>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</si>
  <si>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</si>
  <si>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</si>
  <si>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</si>
  <si>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</si>
  <si>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</si>
  <si>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</si>
  <si>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</si>
  <si>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</si>
  <si>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</si>
  <si>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</si>
  <si>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</si>
  <si>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</si>
  <si>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</si>
  <si>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</si>
  <si>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</si>
  <si>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</si>
  <si>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</si>
  <si>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</si>
  <si>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</si>
  <si>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</si>
  <si>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</si>
  <si>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</si>
  <si>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</si>
  <si>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</si>
  <si>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</si>
  <si>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</si>
  <si>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</si>
  <si>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</si>
  <si>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</si>
  <si>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</si>
  <si>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</si>
  <si>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</si>
  <si>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</si>
  <si>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</si>
  <si>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</si>
  <si>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</si>
  <si>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</si>
  <si>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</si>
  <si>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</si>
  <si>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</si>
  <si>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</si>
  <si>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</si>
  <si>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</si>
  <si>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</si>
  <si>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</si>
  <si>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</si>
  <si>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</si>
  <si>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</si>
  <si>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</si>
  <si>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</si>
  <si>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</si>
  <si>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</si>
  <si>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</si>
  <si>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</si>
  <si>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</si>
  <si>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</si>
  <si>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</si>
  <si>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</si>
  <si>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</si>
  <si>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</si>
  <si>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</si>
  <si>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</si>
  <si>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</si>
  <si>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</si>
  <si>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</si>
  <si>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</si>
  <si>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</si>
  <si>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</si>
  <si>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</si>
  <si>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</si>
  <si>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</si>
  <si>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</si>
  <si>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</si>
  <si>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</si>
  <si>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</si>
  <si>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</si>
  <si>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</si>
  <si>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</si>
  <si>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</si>
  <si>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</si>
  <si>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</si>
  <si>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</si>
  <si>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</si>
  <si>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</si>
  <si>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</si>
  <si>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</si>
  <si>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</si>
  <si>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</si>
  <si>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</si>
  <si>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</si>
  <si>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</si>
  <si>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</si>
  <si>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</si>
  <si>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</si>
  <si>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</si>
  <si>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</si>
  <si>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</si>
  <si>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</si>
  <si>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</si>
  <si>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</si>
  <si>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</si>
  <si>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</si>
  <si>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</si>
  <si>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</si>
  <si>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</si>
  <si>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</si>
  <si>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</si>
  <si>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</si>
  <si>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</si>
  <si>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</si>
  <si>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</si>
  <si>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</si>
  <si>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</si>
  <si>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</si>
  <si>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</si>
  <si>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</si>
  <si>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</si>
  <si>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31/10/2023</t>
  </si>
  <si>
    <t>Frais de non utilisation de la marge</t>
  </si>
  <si>
    <t>Frais pour chèque NSF du client CANPLEX</t>
  </si>
  <si>
    <t>PAYÉS D'AVANCE</t>
  </si>
  <si>
    <t>30/09/2023</t>
  </si>
  <si>
    <t>Assurances Responsabilité (portion mensuelle)</t>
  </si>
  <si>
    <t>FACT-00029</t>
  </si>
  <si>
    <t>12/10/2023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</si>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</sst>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0" fillId="3" borderId="1" xfId="0" applyFill="1" applyBorder="1" applyProtection="1">
      <protection locked="0"/>
    </xf>
    <xf numFmtId="164" fontId="0" fillId="3" borderId="9" xfId="0" applyNumberFormat="1" applyFill="1" applyBorder="1" applyAlignment="1" applyProtection="1">
      <alignment horizontal="right"/>
      <protection locked="0"/>
    </xf>
    <xf numFmtId="164" fontId="0" fillId="3" borderId="12" xfId="0" applyNumberForma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0" fontId="0" fillId="3" borderId="2" xfId="0" applyFill="1" applyBorder="1" applyProtection="1">
      <protection locked="0"/>
    </xf>
    <xf numFmtId="0" fontId="0" fillId="3" borderId="26" xfId="0" applyFill="1" applyBorder="1" applyProtection="1">
      <protection locked="0"/>
    </xf>
    <xf numFmtId="0" fontId="0" fillId="3" borderId="28" xfId="0" applyFill="1" applyBorder="1" applyProtection="1">
      <protection locked="0"/>
    </xf>
    <xf numFmtId="0" fontId="0" fillId="3" borderId="16" xfId="0" applyFill="1" applyBorder="1"/>
    <xf numFmtId="0" fontId="0" fillId="3" borderId="27" xfId="0" applyFill="1" applyBorder="1"/>
    <xf numFmtId="0" fontId="0" fillId="3" borderId="19" xfId="0" applyFill="1" applyBorder="1"/>
    <xf numFmtId="0" fontId="0" fillId="3" borderId="29" xfId="0" applyFill="1" applyBorder="1"/>
    <xf numFmtId="49" fontId="0" fillId="3" borderId="15" xfId="0" applyNumberFormat="1" applyFill="1" applyBorder="1" applyProtection="1">
      <protection locked="0"/>
    </xf>
    <xf numFmtId="49" fontId="0" fillId="3" borderId="18" xfId="0" applyNumberFormat="1" applyFill="1" applyBorder="1" applyProtection="1">
      <protection locked="0"/>
    </xf>
    <xf numFmtId="49" fontId="0" fillId="3" borderId="17" xfId="0" applyNumberFormat="1" applyFill="1" applyBorder="1"/>
    <xf numFmtId="49" fontId="0" fillId="3" borderId="20" xfId="0" applyNumberFormat="1" applyFill="1" applyBorder="1"/>
    <xf numFmtId="0" fontId="0" fillId="0" borderId="0" xfId="0" applyAlignment="1">
      <alignment horizontal="right"/>
    </xf>
    <xf numFmtId="0" fontId="0" fillId="3" borderId="3" xfId="0" applyFill="1" applyBorder="1"/>
    <xf numFmtId="0" fontId="0" fillId="3" borderId="4" xfId="0" applyFill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0" fontId="0" fillId="2" borderId="38" xfId="0" applyFill="1" applyBorder="1" applyAlignment="1">
      <alignment horizontal="right"/>
    </xf>
    <xf numFmtId="0" fontId="0" fillId="2" borderId="39" xfId="0" applyFill="1" applyBorder="1"/>
    <xf numFmtId="0" fontId="0" fillId="2" borderId="40" xfId="0" applyFill="1" applyBorder="1"/>
    <xf numFmtId="0" fontId="0" fillId="2" borderId="41" xfId="0" applyFill="1" applyBorder="1" applyAlignment="1">
      <alignment horizontal="right"/>
    </xf>
    <xf numFmtId="0" fontId="0" fillId="2" borderId="42" xfId="0" applyFill="1" applyBorder="1"/>
    <xf numFmtId="0" fontId="0" fillId="2" borderId="43" xfId="0" applyFill="1" applyBorder="1"/>
    <xf numFmtId="0" fontId="9" fillId="2" borderId="0" xfId="0" applyFont="1" applyFill="1" applyAlignment="1">
      <alignment horizontal="right"/>
    </xf>
    <xf numFmtId="0" fontId="0" fillId="2" borderId="44" xfId="0" applyFill="1" applyBorder="1" applyAlignment="1">
      <alignment horizontal="right"/>
    </xf>
    <xf numFmtId="0" fontId="0" fillId="2" borderId="45" xfId="0" applyFill="1" applyBorder="1"/>
    <xf numFmtId="0" fontId="0" fillId="2" borderId="46" xfId="0" applyFill="1" applyBorder="1"/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10" borderId="26" xfId="0" applyFill="1" applyBorder="1" applyProtection="1">
      <protection locked="0"/>
    </xf>
    <xf numFmtId="0" fontId="0" fillId="10" borderId="16" xfId="0" applyFill="1" applyBorder="1"/>
    <xf numFmtId="0" fontId="0" fillId="10" borderId="27" xfId="0" applyFill="1" applyBorder="1"/>
    <xf numFmtId="164" fontId="0" fillId="10" borderId="9" xfId="0" applyNumberFormat="1" applyFill="1" applyBorder="1" applyAlignment="1" applyProtection="1">
      <alignment horizontal="right"/>
      <protection locked="0"/>
    </xf>
    <xf numFmtId="49" fontId="0" fillId="10" borderId="15" xfId="0" applyNumberFormat="1" applyFill="1" applyBorder="1" applyProtection="1">
      <protection locked="0"/>
    </xf>
    <xf numFmtId="49" fontId="0" fillId="10" borderId="17" xfId="0" applyNumberFormat="1" applyFill="1" applyBorder="1"/>
    <xf numFmtId="7" fontId="0" fillId="2" borderId="0" xfId="0" applyNumberFormat="1" applyFill="1"/>
    <xf numFmtId="4" fontId="0" fillId="0" borderId="0" xfId="0" applyNumberFormat="1" applyAlignment="1">
      <alignment horizontal="righ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0" fontId="0" fillId="2" borderId="48" xfId="0" applyFill="1" applyBorder="1" applyAlignment="1">
      <alignment horizontal="right"/>
    </xf>
    <xf numFmtId="0" fontId="0" fillId="0" borderId="30" xfId="0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164" fontId="0" fillId="0" borderId="9" xfId="0" applyNumberFormat="1" applyBorder="1" applyAlignment="1" applyProtection="1">
      <alignment horizontal="right"/>
      <protection locked="0"/>
    </xf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12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13" fillId="11" borderId="0" xfId="0" applyNumberFormat="1" applyFont="1" applyFill="1" applyAlignment="1">
      <alignment horizontal="right"/>
    </xf>
    <xf numFmtId="164" fontId="12" fillId="11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  <xf numFmtId="164" fontId="1" fillId="0" borderId="0" xfId="0" applyNumberFormat="1" applyFont="1"/>
    <xf numFmtId="0" fontId="0" fillId="0" borderId="56" xfId="0" applyBorder="1" applyAlignment="1">
      <alignment horizontal="left"/>
    </xf>
    <xf numFmtId="0" fontId="1" fillId="13" borderId="19" xfId="0" applyFont="1" applyFill="1" applyBorder="1"/>
    <xf numFmtId="0" fontId="1" fillId="13" borderId="20" xfId="0" applyFont="1" applyFill="1" applyBorder="1"/>
    <xf numFmtId="14" fontId="10" fillId="0" borderId="54" xfId="0" applyNumberFormat="1" applyFont="1" applyBorder="1" applyAlignment="1">
      <alignment horizontal="center"/>
    </xf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3" borderId="60" xfId="0" applyFont="1" applyFill="1" applyBorder="1"/>
    <xf numFmtId="0" fontId="1" fillId="13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3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3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13" fillId="11" borderId="0" xfId="0" applyFont="1" applyFill="1" applyAlignment="1">
      <alignment horizontal="center"/>
    </xf>
  </cellXfs>
  <cellStyles count="1">
    <cellStyle name="Normal" xfId="0" builtinId="0"/>
  </cellStyles>
  <dxfs count="27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2" totalsRowShown="0" headerRowDxfId="5" headerRowBorderDxfId="4" tableBorderDxfId="3">
  <autoFilter ref="D1:F62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J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60" bestFit="1" customWidth="1"/>
    <col min="2" max="2" width="11.42578125" style="12"/>
    <col min="3" max="3" width="5.7109375" style="2" customWidth="1"/>
    <col min="4" max="4" width="13" style="3" customWidth="1"/>
    <col min="5" max="5" width="16.7109375" style="2" customWidth="1"/>
    <col min="6" max="6" width="5.7109375" style="2" customWidth="1"/>
    <col min="7" max="8" width="14.7109375" style="2" customWidth="1"/>
    <col min="9" max="9" width="25.7109375" style="2" customWidth="1"/>
    <col min="10" max="10" width="14.140625" style="2" customWidth="1"/>
    <col min="11" max="11" width="5.7109375" style="2" customWidth="1"/>
    <col min="12" max="16384" width="11.42578125" style="2"/>
  </cols>
  <sheetData>
    <row r="1" spans="1:10" x14ac:dyDescent="0.25">
      <c r="A1" s="60" t="s">
        <v>144</v>
      </c>
      <c r="B1" s="25">
        <v>32</v>
      </c>
      <c r="D1" s="205" t="s">
        <v>8</v>
      </c>
      <c r="E1" s="205"/>
      <c r="F1" s="205"/>
      <c r="G1" s="205"/>
      <c r="H1" s="205"/>
      <c r="I1" s="205"/>
      <c r="J1" s="205"/>
    </row>
    <row r="2" spans="1:10" x14ac:dyDescent="0.25">
      <c r="B2" s="105"/>
      <c r="C2" s="104"/>
      <c r="D2" s="205"/>
      <c r="E2" s="205"/>
      <c r="F2" s="205"/>
      <c r="G2" s="205"/>
      <c r="H2" s="205"/>
      <c r="I2" s="205"/>
      <c r="J2" s="205"/>
    </row>
    <row r="3" spans="1:10" x14ac:dyDescent="0.25">
      <c r="B3" s="105"/>
    </row>
    <row r="4" spans="1:10" x14ac:dyDescent="0.25">
      <c r="D4" s="87" t="s">
        <v>4</v>
      </c>
      <c r="E4" s="22"/>
      <c r="I4" s="87" t="s">
        <v>7</v>
      </c>
      <c r="J4" s="97" t="s">
        <v>183</v>
      </c>
    </row>
    <row r="6" spans="1:10" x14ac:dyDescent="0.25">
      <c r="D6" s="87" t="s">
        <v>5</v>
      </c>
      <c r="E6" s="49"/>
      <c r="F6" s="61"/>
      <c r="G6" s="61"/>
      <c r="H6" s="61"/>
      <c r="I6" s="61"/>
      <c r="J6" s="62"/>
    </row>
    <row r="7" spans="1:10" ht="15.75" thickBot="1" x14ac:dyDescent="0.3"/>
    <row r="8" spans="1:10" x14ac:dyDescent="0.25">
      <c r="D8" s="206" t="s">
        <v>1</v>
      </c>
      <c r="E8" s="207"/>
      <c r="F8" s="207"/>
      <c r="G8" s="4" t="s">
        <v>2</v>
      </c>
      <c r="H8" s="4" t="s">
        <v>3</v>
      </c>
      <c r="I8" s="208" t="s">
        <v>6</v>
      </c>
      <c r="J8" s="209"/>
    </row>
    <row r="9" spans="1:10" x14ac:dyDescent="0.25">
      <c r="D9" s="50"/>
      <c r="E9" s="52"/>
      <c r="F9" s="53"/>
      <c r="G9" s="147"/>
      <c r="H9" s="147"/>
      <c r="I9" s="56"/>
      <c r="J9" s="58"/>
    </row>
    <row r="10" spans="1:10" x14ac:dyDescent="0.25">
      <c r="D10" s="98"/>
      <c r="E10" s="99"/>
      <c r="F10" s="100"/>
      <c r="G10" s="101"/>
      <c r="H10" s="101"/>
      <c r="I10" s="102"/>
      <c r="J10" s="103"/>
    </row>
    <row r="11" spans="1:10" x14ac:dyDescent="0.25">
      <c r="D11" s="50"/>
      <c r="E11" s="52"/>
      <c r="F11" s="53"/>
      <c r="G11" s="23"/>
      <c r="H11" s="23"/>
      <c r="I11" s="56"/>
      <c r="J11" s="58"/>
    </row>
    <row r="12" spans="1:10" x14ac:dyDescent="0.25">
      <c r="D12" s="98"/>
      <c r="E12" s="99"/>
      <c r="F12" s="100"/>
      <c r="G12" s="101"/>
      <c r="H12" s="101"/>
      <c r="I12" s="102"/>
      <c r="J12" s="103"/>
    </row>
    <row r="13" spans="1:10" x14ac:dyDescent="0.25">
      <c r="D13" s="50"/>
      <c r="E13" s="52"/>
      <c r="F13" s="53"/>
      <c r="G13" s="23"/>
      <c r="H13" s="23"/>
      <c r="I13" s="56"/>
      <c r="J13" s="58"/>
    </row>
    <row r="14" spans="1:10" x14ac:dyDescent="0.25">
      <c r="D14" s="98"/>
      <c r="E14" s="99"/>
      <c r="F14" s="100"/>
      <c r="G14" s="101"/>
      <c r="H14" s="101"/>
      <c r="I14" s="102"/>
      <c r="J14" s="103"/>
    </row>
    <row r="15" spans="1:10" x14ac:dyDescent="0.25">
      <c r="D15" s="50"/>
      <c r="E15" s="52"/>
      <c r="F15" s="53"/>
      <c r="G15" s="23"/>
      <c r="H15" s="23"/>
      <c r="I15" s="56"/>
      <c r="J15" s="58"/>
    </row>
    <row r="16" spans="1:10" x14ac:dyDescent="0.25">
      <c r="D16" s="98"/>
      <c r="E16" s="99"/>
      <c r="F16" s="100"/>
      <c r="G16" s="101"/>
      <c r="H16" s="101"/>
      <c r="I16" s="102"/>
      <c r="J16" s="103"/>
    </row>
    <row r="17" spans="4:10" x14ac:dyDescent="0.25">
      <c r="D17" s="50"/>
      <c r="E17" s="52"/>
      <c r="F17" s="53"/>
      <c r="G17" s="23"/>
      <c r="H17" s="23"/>
      <c r="I17" s="56"/>
      <c r="J17" s="58"/>
    </row>
    <row r="18" spans="4:10" x14ac:dyDescent="0.25">
      <c r="D18" s="98"/>
      <c r="E18" s="99"/>
      <c r="F18" s="100"/>
      <c r="G18" s="101"/>
      <c r="H18" s="101"/>
      <c r="I18" s="102"/>
      <c r="J18" s="103"/>
    </row>
    <row r="19" spans="4:10" x14ac:dyDescent="0.25">
      <c r="D19" s="50"/>
      <c r="E19" s="52"/>
      <c r="F19" s="53"/>
      <c r="G19" s="23"/>
      <c r="H19" s="23"/>
      <c r="I19" s="56"/>
      <c r="J19" s="58"/>
    </row>
    <row r="20" spans="4:10" x14ac:dyDescent="0.25">
      <c r="D20" s="98"/>
      <c r="E20" s="99"/>
      <c r="F20" s="100"/>
      <c r="G20" s="101"/>
      <c r="H20" s="101"/>
      <c r="I20" s="102"/>
      <c r="J20" s="103"/>
    </row>
    <row r="21" spans="4:10" x14ac:dyDescent="0.25">
      <c r="D21" s="50"/>
      <c r="E21" s="52"/>
      <c r="F21" s="53"/>
      <c r="G21" s="23"/>
      <c r="H21" s="23"/>
      <c r="I21" s="56"/>
      <c r="J21" s="58"/>
    </row>
    <row r="22" spans="4:10" x14ac:dyDescent="0.25">
      <c r="D22" s="98"/>
      <c r="E22" s="99"/>
      <c r="F22" s="100"/>
      <c r="G22" s="101"/>
      <c r="H22" s="101"/>
      <c r="I22" s="102"/>
      <c r="J22" s="103"/>
    </row>
    <row r="23" spans="4:10" ht="15.75" thickBot="1" x14ac:dyDescent="0.3">
      <c r="D23" s="51"/>
      <c r="E23" s="54"/>
      <c r="F23" s="55"/>
      <c r="G23" s="24"/>
      <c r="H23" s="24"/>
      <c r="I23" s="57"/>
      <c r="J23" s="59"/>
    </row>
    <row r="25" spans="4:10" x14ac:dyDescent="0.25">
      <c r="G25" s="183">
        <f>SUM(G9:G23)</f>
        <v>0</v>
      </c>
      <c r="H25" s="183">
        <f>SUM(H9:H23)</f>
        <v>0</v>
      </c>
    </row>
    <row r="117" spans="4:10" ht="15.75" thickBot="1" x14ac:dyDescent="0.3"/>
    <row r="118" spans="4:10" ht="16.5" thickTop="1" thickBot="1" x14ac:dyDescent="0.3">
      <c r="D118" s="88"/>
      <c r="E118" s="89"/>
      <c r="F118" s="89"/>
      <c r="G118" s="89"/>
      <c r="H118" s="89"/>
      <c r="I118" s="89"/>
      <c r="J118" s="90"/>
    </row>
    <row r="119" spans="4:10" ht="15.75" thickTop="1" x14ac:dyDescent="0.25">
      <c r="D119" s="81"/>
      <c r="E119" s="82"/>
      <c r="F119" s="82"/>
      <c r="G119" s="82"/>
      <c r="H119" s="82"/>
      <c r="I119" s="82"/>
      <c r="J119" s="83"/>
    </row>
    <row r="120" spans="4:10" ht="15.75" thickBot="1" x14ac:dyDescent="0.3">
      <c r="D120" s="84"/>
      <c r="E120" s="85"/>
      <c r="F120" s="85"/>
      <c r="G120" s="85"/>
      <c r="H120" s="85"/>
      <c r="I120" s="85"/>
      <c r="J120" s="86"/>
    </row>
    <row r="121" spans="4:10" ht="16.5" thickTop="1" thickBot="1" x14ac:dyDescent="0.3">
      <c r="D121" s="84"/>
      <c r="E121" s="85"/>
      <c r="F121" s="85"/>
      <c r="G121" s="85"/>
      <c r="H121" s="85"/>
      <c r="I121" s="85"/>
      <c r="J121" s="86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08"/>
    </row>
    <row r="145" ht="15.75" thickTop="1" x14ac:dyDescent="0.25"/>
  </sheetData>
  <sheetProtection algorithmName="SHA-512" hashValue="me77fmhv0Gnmvmy/JTutplil+iU4AB7bYZj4kdp9hmmbwJOTa0K2A7axIFfIpCBDLr/OscqBKUYQtGbvc2L0Yw==" saltValue="PZSfWceaDLZ5LRGaa1gSmA==" spinCount="100000" sheet="1" formatCells="0" selectLockedCells="1" sort="0" autoFilter="0" pivotTables="0"/>
  <mergeCells count="3">
    <mergeCell ref="D1:J2"/>
    <mergeCell ref="D8:F8"/>
    <mergeCell ref="I8:J8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Line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C1:L183"/>
  <sheetViews>
    <sheetView workbookViewId="0">
      <pane ySplit="1" topLeftCell="A172" activePane="bottomLeft" state="frozen"/>
      <selection pane="bottomLeft" activeCell="G181" sqref="G181"/>
    </sheetView>
  </sheetViews>
  <sheetFormatPr baseColWidth="10" defaultRowHeight="15" x14ac:dyDescent="0.25"/>
  <cols>
    <col min="3" max="3" width="5.7109375" style="11" customWidth="1"/>
    <col min="4" max="4" width="12.7109375" style="12" customWidth="1"/>
    <col min="5" max="5" width="8.7109375" style="12" customWidth="1"/>
    <col min="6" max="6" width="16.140625" style="66" bestFit="1" customWidth="1"/>
    <col min="7" max="7" width="8.7109375" style="151" customWidth="1"/>
    <col min="8" max="8" width="37.5703125" style="66" customWidth="1"/>
    <col min="9" max="10" width="13.7109375" style="35" customWidth="1"/>
    <col min="11" max="11" width="30.28515625" customWidth="1"/>
    <col min="12" max="12" width="5.7109375" style="11" customWidth="1"/>
  </cols>
  <sheetData>
    <row r="1" spans="3:12" s="168" customFormat="1" ht="26.25" thickBot="1" x14ac:dyDescent="0.3">
      <c r="C1" s="163" t="s">
        <v>143</v>
      </c>
      <c r="D1" s="164" t="s">
        <v>141</v>
      </c>
      <c r="E1" s="165" t="s">
        <v>140</v>
      </c>
      <c r="F1" s="164" t="s">
        <v>0</v>
      </c>
      <c r="G1" s="165" t="s">
        <v>184</v>
      </c>
      <c r="H1" s="192" t="s">
        <v>1</v>
      </c>
      <c r="I1" s="166" t="s">
        <v>2</v>
      </c>
      <c r="J1" s="166" t="s">
        <v>3</v>
      </c>
      <c r="K1" s="164" t="s">
        <v>142</v>
      </c>
      <c r="L1" s="167"/>
    </row>
    <row r="2" spans="3:12" x14ac:dyDescent="0.25">
      <c r="C2" s="11">
        <v>1</v>
      </c>
      <c r="D2" s="19">
        <v>45204</v>
      </c>
      <c r="E2" s="27">
        <v>1</v>
      </c>
      <c r="F2" s="28" t="s">
        <v>139</v>
      </c>
      <c r="G2" s="148">
        <v>1000</v>
      </c>
      <c r="H2" s="67">
        <f>EJ!D9</f>
        <v>0</v>
      </c>
      <c r="I2" s="29">
        <f>EJ!G9</f>
        <v>0</v>
      </c>
      <c r="J2" s="29"/>
      <c r="K2" s="10"/>
      <c r="L2" s="11">
        <f>ROW()</f>
        <v>2</v>
      </c>
    </row>
    <row r="3" spans="3:12" ht="15.75" x14ac:dyDescent="0.25">
      <c r="C3" s="11">
        <v>1</v>
      </c>
      <c r="D3" s="20">
        <v>45204</v>
      </c>
      <c r="E3" s="30">
        <v>1</v>
      </c>
      <c r="F3" s="31" t="s">
        <v>139</v>
      </c>
      <c r="G3" s="149">
        <v>1100</v>
      </c>
      <c r="H3" s="193">
        <f>EJ!D10</f>
        <v>0</v>
      </c>
      <c r="I3" s="32"/>
      <c r="J3" s="32">
        <f>EJ!H10</f>
        <v>0</v>
      </c>
      <c r="K3" s="1"/>
      <c r="L3" s="11">
        <f>ROW()</f>
        <v>3</v>
      </c>
    </row>
    <row r="4" spans="3:12" ht="16.5" thickBot="1" x14ac:dyDescent="0.3">
      <c r="C4" s="11">
        <v>1</v>
      </c>
      <c r="D4" s="21">
        <v>45204</v>
      </c>
      <c r="E4" s="33">
        <v>1</v>
      </c>
      <c r="F4" s="34"/>
      <c r="G4" s="150"/>
      <c r="H4" s="194" t="s">
        <v>145</v>
      </c>
      <c r="I4" s="185"/>
      <c r="J4" s="185"/>
      <c r="K4" s="186"/>
      <c r="L4" s="11">
        <f>ROW()</f>
        <v>4</v>
      </c>
    </row>
    <row r="5" spans="3:12" ht="15.75" thickBot="1" x14ac:dyDescent="0.3">
      <c r="C5" s="11">
        <v>1</v>
      </c>
      <c r="D5" s="13">
        <v>45204</v>
      </c>
      <c r="E5" s="118">
        <v>1</v>
      </c>
      <c r="F5"/>
      <c r="L5" s="11">
        <f>ROW()</f>
        <v>5</v>
      </c>
    </row>
    <row r="6" spans="3:12" x14ac:dyDescent="0.25">
      <c r="C6" s="11">
        <v>2</v>
      </c>
      <c r="D6" s="14">
        <v>45204</v>
      </c>
      <c r="E6" s="27">
        <v>2</v>
      </c>
      <c r="F6" s="28" t="s">
        <v>139</v>
      </c>
      <c r="G6" s="148" t="s">
        <v>106</v>
      </c>
      <c r="H6" s="67" t="s">
        <v>107</v>
      </c>
      <c r="I6" s="29">
        <v>250</v>
      </c>
      <c r="J6" s="29"/>
      <c r="K6" s="36"/>
      <c r="L6" s="11">
        <f>ROW()</f>
        <v>6</v>
      </c>
    </row>
    <row r="7" spans="3:12" x14ac:dyDescent="0.25">
      <c r="C7" s="11">
        <v>2</v>
      </c>
      <c r="D7" s="16">
        <v>45204</v>
      </c>
      <c r="E7" s="37">
        <v>2</v>
      </c>
      <c r="F7" s="31" t="s">
        <v>139</v>
      </c>
      <c r="G7" s="149" t="s">
        <v>12</v>
      </c>
      <c r="H7" s="193" t="s">
        <v>13</v>
      </c>
      <c r="I7" s="32"/>
      <c r="J7" s="32">
        <v>250</v>
      </c>
      <c r="K7" s="38"/>
      <c r="L7" s="11">
        <f>ROW()</f>
        <v>7</v>
      </c>
    </row>
    <row r="8" spans="3:12" ht="15.75" thickBot="1" x14ac:dyDescent="0.3">
      <c r="C8" s="11">
        <v>2</v>
      </c>
      <c r="D8" s="15"/>
      <c r="E8" s="39"/>
      <c r="F8" s="40"/>
      <c r="G8" s="152"/>
      <c r="H8" s="194" t="s">
        <v>145</v>
      </c>
      <c r="I8" s="185"/>
      <c r="J8" s="185"/>
      <c r="K8" s="186"/>
      <c r="L8" s="11">
        <f>ROW()</f>
        <v>8</v>
      </c>
    </row>
    <row r="9" spans="3:12" ht="15.75" thickBot="1" x14ac:dyDescent="0.3">
      <c r="C9" s="11">
        <v>2</v>
      </c>
      <c r="D9" s="17"/>
      <c r="E9" s="17"/>
      <c r="F9" s="41"/>
      <c r="G9" s="153"/>
      <c r="H9" s="195"/>
      <c r="I9" s="42"/>
      <c r="J9" s="42"/>
      <c r="K9" s="41"/>
      <c r="L9" s="11">
        <f>ROW()</f>
        <v>9</v>
      </c>
    </row>
    <row r="10" spans="3:12" x14ac:dyDescent="0.25">
      <c r="C10" s="11">
        <v>3</v>
      </c>
      <c r="D10" s="14">
        <v>45204</v>
      </c>
      <c r="E10" s="27">
        <v>3</v>
      </c>
      <c r="F10" s="28" t="s">
        <v>139</v>
      </c>
      <c r="G10" s="148" t="s">
        <v>106</v>
      </c>
      <c r="H10" s="67" t="s">
        <v>107</v>
      </c>
      <c r="I10" s="29">
        <v>49.95</v>
      </c>
      <c r="J10" s="29"/>
      <c r="K10" s="36"/>
      <c r="L10" s="11">
        <f>ROW()</f>
        <v>10</v>
      </c>
    </row>
    <row r="11" spans="3:12" x14ac:dyDescent="0.25">
      <c r="C11" s="11">
        <v>3</v>
      </c>
      <c r="D11" s="16">
        <v>45204</v>
      </c>
      <c r="E11" s="37">
        <v>2</v>
      </c>
      <c r="F11" s="31" t="s">
        <v>139</v>
      </c>
      <c r="G11" s="149" t="s">
        <v>12</v>
      </c>
      <c r="H11" s="193" t="s">
        <v>13</v>
      </c>
      <c r="I11" s="32"/>
      <c r="J11" s="32">
        <v>49.95</v>
      </c>
      <c r="K11" s="38"/>
      <c r="L11" s="11">
        <f>ROW()</f>
        <v>11</v>
      </c>
    </row>
    <row r="12" spans="3:12" ht="15.75" thickBot="1" x14ac:dyDescent="0.3">
      <c r="C12" s="11">
        <v>3</v>
      </c>
      <c r="D12" s="18">
        <v>45204</v>
      </c>
      <c r="E12" s="43">
        <v>2</v>
      </c>
      <c r="F12" s="44" t="s">
        <v>139</v>
      </c>
      <c r="G12" s="152"/>
      <c r="H12" s="194" t="s">
        <v>145</v>
      </c>
      <c r="I12" s="185"/>
      <c r="J12" s="185"/>
      <c r="K12" s="186"/>
      <c r="L12" s="11">
        <f>ROW()</f>
        <v>12</v>
      </c>
    </row>
    <row r="13" spans="3:12" ht="15.75" thickBot="1" x14ac:dyDescent="0.3">
      <c r="C13" s="11">
        <v>3</v>
      </c>
      <c r="D13" s="119"/>
      <c r="E13" s="118"/>
      <c r="F13" s="120"/>
      <c r="L13" s="11">
        <f>ROW()</f>
        <v>13</v>
      </c>
    </row>
    <row r="14" spans="3:12" x14ac:dyDescent="0.25">
      <c r="C14" s="11">
        <v>4</v>
      </c>
      <c r="D14" s="14">
        <v>45203</v>
      </c>
      <c r="E14" s="27">
        <v>4</v>
      </c>
      <c r="F14" s="28" t="s">
        <v>146</v>
      </c>
      <c r="G14" s="148" t="s">
        <v>22</v>
      </c>
      <c r="H14" s="67" t="s">
        <v>23</v>
      </c>
      <c r="I14" s="29">
        <v>2300</v>
      </c>
      <c r="J14" s="29"/>
      <c r="K14" s="36"/>
      <c r="L14" s="11">
        <f>ROW()</f>
        <v>14</v>
      </c>
    </row>
    <row r="15" spans="3:12" x14ac:dyDescent="0.25">
      <c r="C15" s="11">
        <v>4</v>
      </c>
      <c r="D15" s="16">
        <v>45203</v>
      </c>
      <c r="E15" s="37">
        <v>4</v>
      </c>
      <c r="F15" s="31" t="s">
        <v>146</v>
      </c>
      <c r="G15" s="149" t="s">
        <v>18</v>
      </c>
      <c r="H15" s="193" t="s">
        <v>19</v>
      </c>
      <c r="I15" s="32"/>
      <c r="J15" s="32">
        <v>985.45</v>
      </c>
      <c r="K15" s="38"/>
      <c r="L15" s="11">
        <f>ROW()</f>
        <v>15</v>
      </c>
    </row>
    <row r="16" spans="3:12" x14ac:dyDescent="0.25">
      <c r="C16" s="11">
        <v>4</v>
      </c>
      <c r="D16" s="16">
        <v>45203</v>
      </c>
      <c r="E16" s="37">
        <v>4</v>
      </c>
      <c r="F16" s="31" t="s">
        <v>146</v>
      </c>
      <c r="G16" s="149" t="s">
        <v>24</v>
      </c>
      <c r="H16" s="193" t="s">
        <v>25</v>
      </c>
      <c r="I16" s="32">
        <v>4589</v>
      </c>
      <c r="J16" s="32"/>
      <c r="K16" s="38"/>
      <c r="L16" s="11">
        <f>ROW()</f>
        <v>16</v>
      </c>
    </row>
    <row r="17" spans="3:12" x14ac:dyDescent="0.25">
      <c r="C17" s="11">
        <v>4</v>
      </c>
      <c r="D17" s="16">
        <v>45203</v>
      </c>
      <c r="E17" s="37">
        <v>4</v>
      </c>
      <c r="F17" s="31" t="s">
        <v>146</v>
      </c>
      <c r="G17" s="149" t="s">
        <v>20</v>
      </c>
      <c r="H17" s="193" t="s">
        <v>21</v>
      </c>
      <c r="I17" s="32"/>
      <c r="J17" s="32">
        <v>1750</v>
      </c>
      <c r="K17" s="38"/>
      <c r="L17" s="11">
        <f>ROW()</f>
        <v>17</v>
      </c>
    </row>
    <row r="18" spans="3:12" x14ac:dyDescent="0.25">
      <c r="C18" s="11">
        <v>4</v>
      </c>
      <c r="D18" s="16">
        <v>45203</v>
      </c>
      <c r="E18" s="37">
        <v>4</v>
      </c>
      <c r="F18" s="31" t="s">
        <v>146</v>
      </c>
      <c r="G18" s="149" t="s">
        <v>12</v>
      </c>
      <c r="H18" s="193" t="s">
        <v>13</v>
      </c>
      <c r="I18" s="32"/>
      <c r="J18" s="32">
        <v>4153.55</v>
      </c>
      <c r="K18" s="38"/>
      <c r="L18" s="11">
        <f>ROW()</f>
        <v>18</v>
      </c>
    </row>
    <row r="19" spans="3:12" ht="15.75" thickBot="1" x14ac:dyDescent="0.3">
      <c r="C19" s="11">
        <v>4</v>
      </c>
      <c r="D19" s="18">
        <v>45203</v>
      </c>
      <c r="E19" s="43">
        <v>4</v>
      </c>
      <c r="F19" s="44" t="s">
        <v>146</v>
      </c>
      <c r="G19" s="152"/>
      <c r="H19" s="194" t="s">
        <v>147</v>
      </c>
      <c r="I19" s="185"/>
      <c r="J19" s="185"/>
      <c r="K19" s="186"/>
      <c r="L19" s="11">
        <f>ROW()</f>
        <v>19</v>
      </c>
    </row>
    <row r="20" spans="3:12" ht="15.75" thickBot="1" x14ac:dyDescent="0.3">
      <c r="C20" s="11">
        <v>4</v>
      </c>
      <c r="D20" s="119">
        <v>45203</v>
      </c>
      <c r="E20" s="118">
        <v>4</v>
      </c>
      <c r="F20" s="120" t="s">
        <v>146</v>
      </c>
      <c r="L20" s="11">
        <f>ROW()</f>
        <v>20</v>
      </c>
    </row>
    <row r="21" spans="3:12" x14ac:dyDescent="0.25">
      <c r="C21" s="11">
        <v>5</v>
      </c>
      <c r="D21" s="14">
        <v>45204</v>
      </c>
      <c r="E21" s="27">
        <v>5</v>
      </c>
      <c r="F21" s="28" t="s">
        <v>148</v>
      </c>
      <c r="G21" s="148">
        <v>1100</v>
      </c>
      <c r="H21" s="67" t="s">
        <v>15</v>
      </c>
      <c r="I21" s="29">
        <v>1228.72</v>
      </c>
      <c r="J21" s="29"/>
      <c r="K21" s="36"/>
      <c r="L21" s="11">
        <f>ROW()</f>
        <v>21</v>
      </c>
    </row>
    <row r="22" spans="3:12" x14ac:dyDescent="0.25">
      <c r="C22" s="11">
        <v>5</v>
      </c>
      <c r="D22" s="16">
        <v>45204</v>
      </c>
      <c r="E22" s="37">
        <v>5</v>
      </c>
      <c r="F22" s="31" t="s">
        <v>148</v>
      </c>
      <c r="G22" s="149" t="s">
        <v>87</v>
      </c>
      <c r="H22" s="193" t="s">
        <v>88</v>
      </c>
      <c r="I22" s="32"/>
      <c r="J22" s="32">
        <v>1625</v>
      </c>
      <c r="K22" s="38"/>
      <c r="L22" s="11">
        <f>ROW()</f>
        <v>22</v>
      </c>
    </row>
    <row r="23" spans="3:12" x14ac:dyDescent="0.25">
      <c r="C23" s="11">
        <v>5</v>
      </c>
      <c r="D23" s="16">
        <v>45204</v>
      </c>
      <c r="E23" s="37">
        <v>5</v>
      </c>
      <c r="F23" s="31" t="s">
        <v>148</v>
      </c>
      <c r="G23" s="149" t="s">
        <v>120</v>
      </c>
      <c r="H23" s="193" t="s">
        <v>121</v>
      </c>
      <c r="I23" s="32"/>
      <c r="J23" s="32">
        <v>31</v>
      </c>
      <c r="K23" s="38"/>
      <c r="L23" s="11">
        <f>ROW()</f>
        <v>23</v>
      </c>
    </row>
    <row r="24" spans="3:12" x14ac:dyDescent="0.25">
      <c r="C24" s="11">
        <v>5</v>
      </c>
      <c r="D24" s="16">
        <v>45204</v>
      </c>
      <c r="E24" s="37">
        <v>5</v>
      </c>
      <c r="F24" s="31" t="s">
        <v>148</v>
      </c>
      <c r="G24" s="149" t="s">
        <v>118</v>
      </c>
      <c r="H24" s="193" t="s">
        <v>119</v>
      </c>
      <c r="I24" s="32"/>
      <c r="J24" s="32">
        <v>32</v>
      </c>
      <c r="K24" s="38"/>
      <c r="L24" s="11">
        <f>ROW()</f>
        <v>24</v>
      </c>
    </row>
    <row r="25" spans="3:12" x14ac:dyDescent="0.25">
      <c r="C25" s="11">
        <v>5</v>
      </c>
      <c r="D25" s="16">
        <v>45204</v>
      </c>
      <c r="E25" s="37">
        <v>5</v>
      </c>
      <c r="F25" s="31" t="s">
        <v>148</v>
      </c>
      <c r="G25" s="149" t="s">
        <v>122</v>
      </c>
      <c r="H25" s="193" t="s">
        <v>123</v>
      </c>
      <c r="I25" s="32"/>
      <c r="J25" s="32">
        <v>33</v>
      </c>
      <c r="K25" s="38"/>
      <c r="L25" s="11">
        <f>ROW()</f>
        <v>25</v>
      </c>
    </row>
    <row r="26" spans="3:12" x14ac:dyDescent="0.25">
      <c r="C26" s="11">
        <v>5</v>
      </c>
      <c r="D26" s="16">
        <v>45204</v>
      </c>
      <c r="E26" s="37">
        <v>5</v>
      </c>
      <c r="F26" s="31" t="s">
        <v>148</v>
      </c>
      <c r="G26" s="149" t="s">
        <v>22</v>
      </c>
      <c r="H26" s="193" t="s">
        <v>23</v>
      </c>
      <c r="I26" s="32"/>
      <c r="J26" s="32">
        <v>86.05</v>
      </c>
      <c r="K26" s="38"/>
      <c r="L26" s="11">
        <f>ROW()</f>
        <v>26</v>
      </c>
    </row>
    <row r="27" spans="3:12" x14ac:dyDescent="0.25">
      <c r="C27" s="11">
        <v>5</v>
      </c>
      <c r="D27" s="16">
        <v>45204</v>
      </c>
      <c r="E27" s="37">
        <v>5</v>
      </c>
      <c r="F27" s="31" t="s">
        <v>148</v>
      </c>
      <c r="G27" s="149" t="s">
        <v>24</v>
      </c>
      <c r="H27" s="193" t="s">
        <v>25</v>
      </c>
      <c r="I27" s="32"/>
      <c r="J27" s="32">
        <v>171.67</v>
      </c>
      <c r="K27" s="38"/>
      <c r="L27" s="11">
        <f>ROW()</f>
        <v>27</v>
      </c>
    </row>
    <row r="28" spans="3:12" x14ac:dyDescent="0.25">
      <c r="C28" s="11">
        <v>5</v>
      </c>
      <c r="D28" s="16">
        <v>45204</v>
      </c>
      <c r="E28" s="37">
        <v>5</v>
      </c>
      <c r="F28" s="31" t="s">
        <v>148</v>
      </c>
      <c r="G28" s="149" t="s">
        <v>32</v>
      </c>
      <c r="H28" s="193" t="s">
        <v>33</v>
      </c>
      <c r="I28" s="32">
        <v>750</v>
      </c>
      <c r="J28" s="32"/>
      <c r="K28" s="38"/>
      <c r="L28" s="11">
        <f>ROW()</f>
        <v>28</v>
      </c>
    </row>
    <row r="29" spans="3:12" ht="15.75" thickBot="1" x14ac:dyDescent="0.3">
      <c r="C29" s="11">
        <v>5</v>
      </c>
      <c r="D29" s="18">
        <v>45204</v>
      </c>
      <c r="E29" s="43">
        <v>5</v>
      </c>
      <c r="F29" s="44" t="s">
        <v>148</v>
      </c>
      <c r="G29" s="154"/>
      <c r="H29" s="194" t="s">
        <v>149</v>
      </c>
      <c r="I29" s="185"/>
      <c r="J29" s="185"/>
      <c r="K29" s="186"/>
      <c r="L29" s="11">
        <f>ROW()</f>
        <v>29</v>
      </c>
    </row>
    <row r="30" spans="3:12" ht="15.75" thickBot="1" x14ac:dyDescent="0.3">
      <c r="C30" s="11">
        <v>5</v>
      </c>
      <c r="D30" s="26">
        <v>45204</v>
      </c>
      <c r="E30" s="45">
        <v>5</v>
      </c>
      <c r="F30" s="46" t="s">
        <v>148</v>
      </c>
      <c r="G30" s="155"/>
      <c r="H30" s="196"/>
      <c r="I30" s="48"/>
      <c r="J30" s="48"/>
      <c r="K30" s="47"/>
      <c r="L30" s="11">
        <f>ROW()</f>
        <v>30</v>
      </c>
    </row>
    <row r="31" spans="3:12" x14ac:dyDescent="0.25">
      <c r="C31" s="11">
        <v>6</v>
      </c>
      <c r="D31" s="14">
        <v>45204</v>
      </c>
      <c r="E31" s="27">
        <v>6</v>
      </c>
      <c r="F31" s="28" t="s">
        <v>148</v>
      </c>
      <c r="G31" s="148">
        <v>1100</v>
      </c>
      <c r="H31" s="67" t="s">
        <v>15</v>
      </c>
      <c r="I31" s="29">
        <v>1228.72</v>
      </c>
      <c r="J31" s="29"/>
      <c r="K31" s="36"/>
      <c r="L31" s="11">
        <f>ROW()</f>
        <v>31</v>
      </c>
    </row>
    <row r="32" spans="3:12" x14ac:dyDescent="0.25">
      <c r="C32" s="11">
        <v>6</v>
      </c>
      <c r="D32" s="16">
        <v>45204</v>
      </c>
      <c r="E32" s="37">
        <v>6</v>
      </c>
      <c r="F32" s="31" t="s">
        <v>148</v>
      </c>
      <c r="G32" s="149" t="s">
        <v>87</v>
      </c>
      <c r="H32" s="193" t="s">
        <v>88</v>
      </c>
      <c r="I32" s="32"/>
      <c r="J32" s="32">
        <v>1625</v>
      </c>
      <c r="K32" s="38"/>
      <c r="L32" s="11">
        <f>ROW()</f>
        <v>32</v>
      </c>
    </row>
    <row r="33" spans="3:12" x14ac:dyDescent="0.25">
      <c r="C33" s="11">
        <v>6</v>
      </c>
      <c r="D33" s="16">
        <v>45204</v>
      </c>
      <c r="E33" s="37">
        <v>6</v>
      </c>
      <c r="F33" s="31" t="s">
        <v>148</v>
      </c>
      <c r="G33" s="149" t="s">
        <v>120</v>
      </c>
      <c r="H33" s="193" t="s">
        <v>121</v>
      </c>
      <c r="I33" s="32"/>
      <c r="J33" s="32">
        <v>31</v>
      </c>
      <c r="K33" s="38"/>
      <c r="L33" s="11">
        <f>ROW()</f>
        <v>33</v>
      </c>
    </row>
    <row r="34" spans="3:12" x14ac:dyDescent="0.25">
      <c r="C34" s="11">
        <v>6</v>
      </c>
      <c r="D34" s="16">
        <v>45204</v>
      </c>
      <c r="E34" s="37">
        <v>6</v>
      </c>
      <c r="F34" s="31" t="s">
        <v>148</v>
      </c>
      <c r="G34" s="149" t="s">
        <v>118</v>
      </c>
      <c r="H34" s="193" t="s">
        <v>119</v>
      </c>
      <c r="I34" s="32"/>
      <c r="J34" s="32">
        <v>32</v>
      </c>
      <c r="K34" s="38"/>
      <c r="L34" s="11">
        <f>ROW()</f>
        <v>34</v>
      </c>
    </row>
    <row r="35" spans="3:12" x14ac:dyDescent="0.25">
      <c r="C35" s="11">
        <v>6</v>
      </c>
      <c r="D35" s="16">
        <v>45204</v>
      </c>
      <c r="E35" s="37">
        <v>6</v>
      </c>
      <c r="F35" s="31" t="s">
        <v>148</v>
      </c>
      <c r="G35" s="149" t="s">
        <v>122</v>
      </c>
      <c r="H35" s="193" t="s">
        <v>123</v>
      </c>
      <c r="I35" s="32"/>
      <c r="J35" s="32">
        <v>33</v>
      </c>
      <c r="K35" s="38"/>
      <c r="L35" s="11">
        <f>ROW()</f>
        <v>35</v>
      </c>
    </row>
    <row r="36" spans="3:12" x14ac:dyDescent="0.25">
      <c r="C36" s="11">
        <v>6</v>
      </c>
      <c r="D36" s="16">
        <v>45204</v>
      </c>
      <c r="E36" s="37">
        <v>6</v>
      </c>
      <c r="F36" s="31" t="s">
        <v>148</v>
      </c>
      <c r="G36" s="149" t="s">
        <v>22</v>
      </c>
      <c r="H36" s="193" t="s">
        <v>23</v>
      </c>
      <c r="I36" s="32"/>
      <c r="J36" s="32">
        <v>86.05</v>
      </c>
      <c r="K36" s="38"/>
      <c r="L36" s="11">
        <f>ROW()</f>
        <v>36</v>
      </c>
    </row>
    <row r="37" spans="3:12" x14ac:dyDescent="0.25">
      <c r="C37" s="11">
        <v>6</v>
      </c>
      <c r="D37" s="16">
        <v>45204</v>
      </c>
      <c r="E37" s="37">
        <v>6</v>
      </c>
      <c r="F37" s="31" t="s">
        <v>148</v>
      </c>
      <c r="G37" s="149" t="s">
        <v>24</v>
      </c>
      <c r="H37" s="193" t="s">
        <v>25</v>
      </c>
      <c r="I37" s="32"/>
      <c r="J37" s="32">
        <v>171.67</v>
      </c>
      <c r="K37" s="38"/>
      <c r="L37" s="11">
        <f>ROW()</f>
        <v>37</v>
      </c>
    </row>
    <row r="38" spans="3:12" x14ac:dyDescent="0.25">
      <c r="C38" s="11">
        <v>6</v>
      </c>
      <c r="D38" s="16">
        <v>45204</v>
      </c>
      <c r="E38" s="37">
        <v>6</v>
      </c>
      <c r="F38" s="31" t="s">
        <v>148</v>
      </c>
      <c r="G38" s="149" t="s">
        <v>32</v>
      </c>
      <c r="H38" s="193" t="s">
        <v>33</v>
      </c>
      <c r="I38" s="32">
        <v>750</v>
      </c>
      <c r="J38" s="32"/>
      <c r="K38" s="38"/>
      <c r="L38" s="11">
        <f>ROW()</f>
        <v>38</v>
      </c>
    </row>
    <row r="39" spans="3:12" ht="15.75" thickBot="1" x14ac:dyDescent="0.3">
      <c r="C39" s="11">
        <v>6</v>
      </c>
      <c r="D39" s="18">
        <v>45204</v>
      </c>
      <c r="E39" s="43">
        <v>6</v>
      </c>
      <c r="F39" s="44" t="s">
        <v>148</v>
      </c>
      <c r="G39" s="152"/>
      <c r="H39" s="194" t="s">
        <v>149</v>
      </c>
      <c r="I39" s="185"/>
      <c r="J39" s="185"/>
      <c r="K39" s="186"/>
      <c r="L39" s="11">
        <f>ROW()</f>
        <v>39</v>
      </c>
    </row>
    <row r="40" spans="3:12" ht="15.75" thickBot="1" x14ac:dyDescent="0.3">
      <c r="C40" s="11">
        <v>6</v>
      </c>
      <c r="D40" s="119">
        <v>45204</v>
      </c>
      <c r="E40" s="118">
        <v>6</v>
      </c>
      <c r="F40" s="120" t="s">
        <v>148</v>
      </c>
    </row>
    <row r="41" spans="3:12" x14ac:dyDescent="0.25">
      <c r="C41" s="11">
        <v>7</v>
      </c>
      <c r="D41" s="14">
        <v>45203</v>
      </c>
      <c r="E41" s="27">
        <v>7</v>
      </c>
      <c r="F41" s="28" t="s">
        <v>150</v>
      </c>
      <c r="G41" s="148">
        <v>1100</v>
      </c>
      <c r="H41" s="67" t="s">
        <v>15</v>
      </c>
      <c r="I41" s="29">
        <v>430.11</v>
      </c>
      <c r="J41" s="29"/>
      <c r="K41" s="36"/>
      <c r="L41" s="11">
        <f>ROW()</f>
        <v>41</v>
      </c>
    </row>
    <row r="42" spans="3:12" x14ac:dyDescent="0.25">
      <c r="C42" s="11">
        <v>7</v>
      </c>
      <c r="D42" s="16">
        <v>45203</v>
      </c>
      <c r="E42" s="37">
        <v>7</v>
      </c>
      <c r="F42" s="31" t="s">
        <v>150</v>
      </c>
      <c r="G42" s="149" t="s">
        <v>87</v>
      </c>
      <c r="H42" s="193" t="s">
        <v>88</v>
      </c>
      <c r="I42" s="32"/>
      <c r="J42" s="32">
        <v>612.5</v>
      </c>
      <c r="K42" s="38"/>
      <c r="L42" s="11">
        <f>ROW()</f>
        <v>42</v>
      </c>
    </row>
    <row r="43" spans="3:12" x14ac:dyDescent="0.25">
      <c r="C43" s="11">
        <v>7</v>
      </c>
      <c r="D43" s="16">
        <v>45203</v>
      </c>
      <c r="E43" s="37">
        <v>7</v>
      </c>
      <c r="F43" s="31" t="s">
        <v>150</v>
      </c>
      <c r="G43" s="149" t="s">
        <v>120</v>
      </c>
      <c r="H43" s="193" t="s">
        <v>121</v>
      </c>
      <c r="I43" s="32"/>
      <c r="J43" s="32">
        <v>21</v>
      </c>
      <c r="K43" s="38"/>
      <c r="L43" s="11">
        <f>ROW()</f>
        <v>43</v>
      </c>
    </row>
    <row r="44" spans="3:12" x14ac:dyDescent="0.25">
      <c r="C44" s="11">
        <v>7</v>
      </c>
      <c r="D44" s="16">
        <v>45203</v>
      </c>
      <c r="E44" s="37">
        <v>7</v>
      </c>
      <c r="F44" s="31" t="s">
        <v>150</v>
      </c>
      <c r="G44" s="149" t="s">
        <v>118</v>
      </c>
      <c r="H44" s="193" t="s">
        <v>119</v>
      </c>
      <c r="I44" s="32"/>
      <c r="J44" s="32">
        <v>22</v>
      </c>
      <c r="K44" s="38"/>
      <c r="L44" s="11">
        <f>ROW()</f>
        <v>44</v>
      </c>
    </row>
    <row r="45" spans="3:12" x14ac:dyDescent="0.25">
      <c r="C45" s="11">
        <v>7</v>
      </c>
      <c r="D45" s="16">
        <v>45203</v>
      </c>
      <c r="E45" s="37">
        <v>7</v>
      </c>
      <c r="F45" s="31" t="s">
        <v>150</v>
      </c>
      <c r="G45" s="149" t="s">
        <v>122</v>
      </c>
      <c r="H45" s="193" t="s">
        <v>123</v>
      </c>
      <c r="I45" s="32"/>
      <c r="J45" s="32">
        <v>23</v>
      </c>
      <c r="K45" s="38"/>
      <c r="L45" s="11">
        <f>ROW()</f>
        <v>45</v>
      </c>
    </row>
    <row r="46" spans="3:12" x14ac:dyDescent="0.25">
      <c r="C46" s="11">
        <v>7</v>
      </c>
      <c r="D46" s="16">
        <v>45203</v>
      </c>
      <c r="E46" s="37">
        <v>7</v>
      </c>
      <c r="F46" s="31" t="s">
        <v>150</v>
      </c>
      <c r="G46" s="149" t="s">
        <v>22</v>
      </c>
      <c r="H46" s="193" t="s">
        <v>23</v>
      </c>
      <c r="I46" s="32"/>
      <c r="J46" s="32">
        <v>33.93</v>
      </c>
      <c r="K46" s="38"/>
      <c r="L46" s="11">
        <f>ROW()</f>
        <v>46</v>
      </c>
    </row>
    <row r="47" spans="3:12" x14ac:dyDescent="0.25">
      <c r="C47" s="11">
        <v>7</v>
      </c>
      <c r="D47" s="16">
        <v>45203</v>
      </c>
      <c r="E47" s="37">
        <v>7</v>
      </c>
      <c r="F47" s="31" t="s">
        <v>150</v>
      </c>
      <c r="G47" s="149" t="s">
        <v>24</v>
      </c>
      <c r="H47" s="193" t="s">
        <v>25</v>
      </c>
      <c r="I47" s="32"/>
      <c r="J47" s="32">
        <v>67.680000000000007</v>
      </c>
      <c r="K47" s="38"/>
      <c r="L47" s="11">
        <f>ROW()</f>
        <v>47</v>
      </c>
    </row>
    <row r="48" spans="3:12" x14ac:dyDescent="0.25">
      <c r="C48" s="11">
        <v>7</v>
      </c>
      <c r="D48" s="16">
        <v>45203</v>
      </c>
      <c r="E48" s="37">
        <v>7</v>
      </c>
      <c r="F48" s="31" t="s">
        <v>150</v>
      </c>
      <c r="G48" s="149" t="s">
        <v>32</v>
      </c>
      <c r="H48" s="193" t="s">
        <v>33</v>
      </c>
      <c r="I48" s="32">
        <v>350</v>
      </c>
      <c r="J48" s="32"/>
      <c r="K48" s="38"/>
      <c r="L48" s="11">
        <f>ROW()</f>
        <v>48</v>
      </c>
    </row>
    <row r="49" spans="3:12" ht="15.75" thickBot="1" x14ac:dyDescent="0.3">
      <c r="C49" s="11">
        <v>7</v>
      </c>
      <c r="D49" s="18">
        <v>45203</v>
      </c>
      <c r="E49" s="43">
        <v>7</v>
      </c>
      <c r="F49" s="44" t="s">
        <v>150</v>
      </c>
      <c r="G49" s="152"/>
      <c r="H49" s="194" t="s">
        <v>151</v>
      </c>
      <c r="I49" s="185"/>
      <c r="J49" s="185"/>
      <c r="K49" s="186"/>
      <c r="L49" s="11">
        <f>ROW()</f>
        <v>49</v>
      </c>
    </row>
    <row r="50" spans="3:12" ht="15.75" thickBot="1" x14ac:dyDescent="0.3">
      <c r="C50" s="11">
        <v>7</v>
      </c>
      <c r="D50" s="119">
        <v>45203</v>
      </c>
      <c r="E50" s="118">
        <v>7</v>
      </c>
      <c r="F50" s="120" t="s">
        <v>150</v>
      </c>
      <c r="L50" s="11">
        <f>ROW()</f>
        <v>50</v>
      </c>
    </row>
    <row r="51" spans="3:12" x14ac:dyDescent="0.25">
      <c r="C51" s="11">
        <v>8</v>
      </c>
      <c r="D51" s="14">
        <v>45204</v>
      </c>
      <c r="E51" s="27">
        <v>8</v>
      </c>
      <c r="F51" s="28" t="s">
        <v>152</v>
      </c>
      <c r="G51" s="148">
        <v>1100</v>
      </c>
      <c r="H51" s="67" t="s">
        <v>15</v>
      </c>
      <c r="I51" s="29">
        <v>1248.6300000000001</v>
      </c>
      <c r="J51" s="29"/>
      <c r="K51" s="36"/>
      <c r="L51" s="11">
        <f>ROW()</f>
        <v>51</v>
      </c>
    </row>
    <row r="52" spans="3:12" x14ac:dyDescent="0.25">
      <c r="C52" s="11">
        <v>8</v>
      </c>
      <c r="D52" s="16">
        <v>45204</v>
      </c>
      <c r="E52" s="37">
        <v>8</v>
      </c>
      <c r="F52" s="31" t="s">
        <v>152</v>
      </c>
      <c r="G52" s="149" t="s">
        <v>87</v>
      </c>
      <c r="H52" s="193" t="s">
        <v>88</v>
      </c>
      <c r="I52" s="32"/>
      <c r="J52" s="32">
        <v>1050</v>
      </c>
      <c r="K52" s="38"/>
      <c r="L52" s="11">
        <f>ROW()</f>
        <v>52</v>
      </c>
    </row>
    <row r="53" spans="3:12" x14ac:dyDescent="0.25">
      <c r="C53" s="11">
        <v>8</v>
      </c>
      <c r="D53" s="16">
        <v>45204</v>
      </c>
      <c r="E53" s="37">
        <v>8</v>
      </c>
      <c r="F53" s="31" t="s">
        <v>152</v>
      </c>
      <c r="G53" s="149" t="s">
        <v>120</v>
      </c>
      <c r="H53" s="193" t="s">
        <v>121</v>
      </c>
      <c r="I53" s="32"/>
      <c r="J53" s="32">
        <v>11</v>
      </c>
      <c r="K53" s="38"/>
      <c r="L53" s="11">
        <f>ROW()</f>
        <v>53</v>
      </c>
    </row>
    <row r="54" spans="3:12" x14ac:dyDescent="0.25">
      <c r="C54" s="11">
        <v>8</v>
      </c>
      <c r="D54" s="16">
        <v>45204</v>
      </c>
      <c r="E54" s="37">
        <v>8</v>
      </c>
      <c r="F54" s="31" t="s">
        <v>152</v>
      </c>
      <c r="G54" s="149" t="s">
        <v>118</v>
      </c>
      <c r="H54" s="193" t="s">
        <v>119</v>
      </c>
      <c r="I54" s="32"/>
      <c r="J54" s="32">
        <v>12</v>
      </c>
      <c r="K54" s="38"/>
      <c r="L54" s="11">
        <f>ROW()</f>
        <v>54</v>
      </c>
    </row>
    <row r="55" spans="3:12" x14ac:dyDescent="0.25">
      <c r="C55" s="11">
        <v>8</v>
      </c>
      <c r="D55" s="16">
        <v>45204</v>
      </c>
      <c r="E55" s="37">
        <v>8</v>
      </c>
      <c r="F55" s="31" t="s">
        <v>152</v>
      </c>
      <c r="G55" s="149" t="s">
        <v>122</v>
      </c>
      <c r="H55" s="193" t="s">
        <v>123</v>
      </c>
      <c r="I55" s="32"/>
      <c r="J55" s="32">
        <v>13</v>
      </c>
      <c r="K55" s="38"/>
      <c r="L55" s="11">
        <f>ROW()</f>
        <v>55</v>
      </c>
    </row>
    <row r="56" spans="3:12" x14ac:dyDescent="0.25">
      <c r="C56" s="11">
        <v>8</v>
      </c>
      <c r="D56" s="16">
        <v>45204</v>
      </c>
      <c r="E56" s="37">
        <v>8</v>
      </c>
      <c r="F56" s="31" t="s">
        <v>152</v>
      </c>
      <c r="G56" s="149" t="s">
        <v>22</v>
      </c>
      <c r="H56" s="193" t="s">
        <v>23</v>
      </c>
      <c r="I56" s="32"/>
      <c r="J56" s="32">
        <v>54.3</v>
      </c>
      <c r="K56" s="38"/>
      <c r="L56" s="11">
        <f>ROW()</f>
        <v>56</v>
      </c>
    </row>
    <row r="57" spans="3:12" x14ac:dyDescent="0.25">
      <c r="C57" s="11">
        <v>8</v>
      </c>
      <c r="D57" s="16">
        <v>45204</v>
      </c>
      <c r="E57" s="37">
        <v>8</v>
      </c>
      <c r="F57" s="31" t="s">
        <v>152</v>
      </c>
      <c r="G57" s="149" t="s">
        <v>24</v>
      </c>
      <c r="H57" s="193" t="s">
        <v>25</v>
      </c>
      <c r="I57" s="32"/>
      <c r="J57" s="32">
        <v>108.33</v>
      </c>
      <c r="K57" s="38"/>
      <c r="L57" s="11">
        <f>ROW()</f>
        <v>57</v>
      </c>
    </row>
    <row r="58" spans="3:12" ht="15.75" thickBot="1" x14ac:dyDescent="0.3">
      <c r="C58" s="11">
        <v>8</v>
      </c>
      <c r="D58" s="18">
        <v>45204</v>
      </c>
      <c r="E58" s="43">
        <v>8</v>
      </c>
      <c r="F58" s="44" t="s">
        <v>152</v>
      </c>
      <c r="G58" s="152"/>
      <c r="H58" s="194" t="s">
        <v>153</v>
      </c>
      <c r="I58" s="185"/>
      <c r="J58" s="185"/>
      <c r="K58" s="186"/>
      <c r="L58" s="11">
        <f>ROW()</f>
        <v>58</v>
      </c>
    </row>
    <row r="59" spans="3:12" ht="15.75" thickBot="1" x14ac:dyDescent="0.3">
      <c r="C59" s="11">
        <v>8</v>
      </c>
      <c r="D59" s="119">
        <v>45204</v>
      </c>
      <c r="E59" s="118">
        <v>8</v>
      </c>
      <c r="F59" s="120" t="s">
        <v>152</v>
      </c>
      <c r="L59" s="11">
        <f>ROW()</f>
        <v>59</v>
      </c>
    </row>
    <row r="60" spans="3:12" x14ac:dyDescent="0.25">
      <c r="C60" s="11">
        <v>9</v>
      </c>
      <c r="D60" s="14">
        <v>45205</v>
      </c>
      <c r="E60" s="27">
        <v>9</v>
      </c>
      <c r="F60" s="28" t="s">
        <v>154</v>
      </c>
      <c r="G60" s="148" t="s">
        <v>12</v>
      </c>
      <c r="H60" s="67" t="s">
        <v>13</v>
      </c>
      <c r="I60" s="29">
        <v>1248.6300000000001</v>
      </c>
      <c r="J60" s="29"/>
      <c r="K60" s="36"/>
      <c r="L60" s="11">
        <f>ROW()</f>
        <v>60</v>
      </c>
    </row>
    <row r="61" spans="3:12" x14ac:dyDescent="0.25">
      <c r="C61" s="11">
        <v>9</v>
      </c>
      <c r="D61" s="16">
        <v>45205</v>
      </c>
      <c r="E61" s="37">
        <v>9</v>
      </c>
      <c r="F61" s="31" t="s">
        <v>154</v>
      </c>
      <c r="G61" s="149" t="s">
        <v>14</v>
      </c>
      <c r="H61" s="193" t="s">
        <v>15</v>
      </c>
      <c r="I61" s="32"/>
      <c r="J61" s="32">
        <v>1248.6300000000001</v>
      </c>
      <c r="K61" s="38"/>
      <c r="L61" s="11">
        <f>ROW()</f>
        <v>61</v>
      </c>
    </row>
    <row r="62" spans="3:12" ht="15.75" thickBot="1" x14ac:dyDescent="0.3">
      <c r="C62" s="11">
        <v>9</v>
      </c>
      <c r="D62" s="18">
        <v>45205</v>
      </c>
      <c r="E62" s="43">
        <v>9</v>
      </c>
      <c r="F62" s="44" t="s">
        <v>154</v>
      </c>
      <c r="G62" s="152"/>
      <c r="H62" s="194" t="s">
        <v>155</v>
      </c>
      <c r="I62" s="185"/>
      <c r="J62" s="185"/>
      <c r="K62" s="186"/>
      <c r="L62" s="11">
        <f>ROW()</f>
        <v>62</v>
      </c>
    </row>
    <row r="63" spans="3:12" ht="15.75" thickBot="1" x14ac:dyDescent="0.3">
      <c r="C63" s="11">
        <v>9</v>
      </c>
      <c r="D63" s="119">
        <v>45205</v>
      </c>
      <c r="E63" s="118">
        <v>9</v>
      </c>
      <c r="F63" s="120" t="s">
        <v>154</v>
      </c>
      <c r="L63" s="11">
        <f>ROW()</f>
        <v>63</v>
      </c>
    </row>
    <row r="64" spans="3:12" x14ac:dyDescent="0.25">
      <c r="C64" s="11">
        <v>10</v>
      </c>
      <c r="D64" s="14">
        <v>45205</v>
      </c>
      <c r="E64" s="27">
        <v>10</v>
      </c>
      <c r="F64" s="28" t="s">
        <v>154</v>
      </c>
      <c r="G64" s="148" t="s">
        <v>12</v>
      </c>
      <c r="H64" s="67" t="s">
        <v>13</v>
      </c>
      <c r="I64" s="29">
        <v>1228.72</v>
      </c>
      <c r="J64" s="29"/>
      <c r="K64" s="36"/>
      <c r="L64" s="11">
        <f>ROW()</f>
        <v>64</v>
      </c>
    </row>
    <row r="65" spans="3:12" x14ac:dyDescent="0.25">
      <c r="C65" s="11">
        <v>10</v>
      </c>
      <c r="D65" s="16">
        <v>45205</v>
      </c>
      <c r="E65" s="37">
        <v>10</v>
      </c>
      <c r="F65" s="31" t="s">
        <v>154</v>
      </c>
      <c r="G65" s="149">
        <v>1100</v>
      </c>
      <c r="H65" s="193" t="s">
        <v>15</v>
      </c>
      <c r="I65" s="32"/>
      <c r="J65" s="32">
        <v>1228.72</v>
      </c>
      <c r="K65" s="38"/>
      <c r="L65" s="11">
        <f>ROW()</f>
        <v>65</v>
      </c>
    </row>
    <row r="66" spans="3:12" ht="15.75" thickBot="1" x14ac:dyDescent="0.3">
      <c r="C66" s="11">
        <v>10</v>
      </c>
      <c r="D66" s="18">
        <v>45205</v>
      </c>
      <c r="E66" s="43">
        <v>10</v>
      </c>
      <c r="F66" s="44" t="s">
        <v>154</v>
      </c>
      <c r="G66" s="152"/>
      <c r="H66" s="194" t="s">
        <v>149</v>
      </c>
      <c r="I66" s="185"/>
      <c r="J66" s="185"/>
      <c r="K66" s="186"/>
      <c r="L66" s="11">
        <f>ROW()</f>
        <v>66</v>
      </c>
    </row>
    <row r="67" spans="3:12" ht="15.75" thickBot="1" x14ac:dyDescent="0.3">
      <c r="C67" s="11">
        <v>10</v>
      </c>
      <c r="F67"/>
      <c r="L67" s="11">
        <v>67</v>
      </c>
    </row>
    <row r="68" spans="3:12" x14ac:dyDescent="0.25">
      <c r="C68" s="11">
        <v>11</v>
      </c>
      <c r="D68" s="14">
        <v>45205</v>
      </c>
      <c r="E68" s="27">
        <v>11</v>
      </c>
      <c r="F68" s="28" t="s">
        <v>156</v>
      </c>
      <c r="G68" s="148" t="s">
        <v>84</v>
      </c>
      <c r="H68" s="67" t="s">
        <v>85</v>
      </c>
      <c r="I68" s="29">
        <v>5000</v>
      </c>
      <c r="J68" s="29"/>
      <c r="K68" s="36"/>
      <c r="L68" s="11">
        <f>ROW()</f>
        <v>68</v>
      </c>
    </row>
    <row r="69" spans="3:12" x14ac:dyDescent="0.25">
      <c r="C69" s="11">
        <v>11</v>
      </c>
      <c r="D69" s="16">
        <v>45205</v>
      </c>
      <c r="E69" s="37">
        <v>11</v>
      </c>
      <c r="F69" s="31" t="s">
        <v>156</v>
      </c>
      <c r="G69" s="149" t="s">
        <v>12</v>
      </c>
      <c r="H69" s="193" t="s">
        <v>13</v>
      </c>
      <c r="I69" s="32"/>
      <c r="J69" s="32">
        <v>5000</v>
      </c>
      <c r="K69" s="38"/>
      <c r="L69" s="11">
        <f>ROW()</f>
        <v>69</v>
      </c>
    </row>
    <row r="70" spans="3:12" ht="15.75" thickBot="1" x14ac:dyDescent="0.3">
      <c r="C70" s="11">
        <v>11</v>
      </c>
      <c r="D70" s="18">
        <v>45205</v>
      </c>
      <c r="E70" s="43">
        <v>11</v>
      </c>
      <c r="F70" s="44" t="s">
        <v>156</v>
      </c>
      <c r="G70" s="152"/>
      <c r="H70" s="194" t="s">
        <v>157</v>
      </c>
      <c r="I70" s="185"/>
      <c r="J70" s="185"/>
      <c r="K70" s="186"/>
      <c r="L70" s="11">
        <f>ROW()</f>
        <v>70</v>
      </c>
    </row>
    <row r="71" spans="3:12" ht="15.75" thickBot="1" x14ac:dyDescent="0.3">
      <c r="C71" s="11">
        <v>11</v>
      </c>
      <c r="D71" s="119">
        <v>45205</v>
      </c>
      <c r="E71" s="118">
        <v>11</v>
      </c>
      <c r="F71" s="120" t="s">
        <v>156</v>
      </c>
      <c r="L71" s="11">
        <f>ROW()</f>
        <v>71</v>
      </c>
    </row>
    <row r="72" spans="3:12" x14ac:dyDescent="0.25">
      <c r="C72" s="11">
        <v>12</v>
      </c>
      <c r="D72" s="14">
        <v>45205</v>
      </c>
      <c r="E72" s="27">
        <v>12</v>
      </c>
      <c r="F72" s="28"/>
      <c r="G72" s="148" t="s">
        <v>34</v>
      </c>
      <c r="H72" s="67" t="s">
        <v>35</v>
      </c>
      <c r="I72" s="29">
        <v>3995.99</v>
      </c>
      <c r="J72" s="29"/>
      <c r="K72" s="36"/>
      <c r="L72" s="11">
        <f>ROW()</f>
        <v>72</v>
      </c>
    </row>
    <row r="73" spans="3:12" x14ac:dyDescent="0.25">
      <c r="C73" s="11">
        <v>12</v>
      </c>
      <c r="D73" s="16">
        <v>45205</v>
      </c>
      <c r="E73" s="37">
        <v>12</v>
      </c>
      <c r="F73" s="31"/>
      <c r="G73" s="149" t="s">
        <v>18</v>
      </c>
      <c r="H73" s="193" t="s">
        <v>19</v>
      </c>
      <c r="I73" s="32">
        <v>199.8</v>
      </c>
      <c r="J73" s="32"/>
      <c r="K73" s="38"/>
      <c r="L73" s="11">
        <f>ROW()</f>
        <v>73</v>
      </c>
    </row>
    <row r="74" spans="3:12" x14ac:dyDescent="0.25">
      <c r="C74" s="11">
        <v>12</v>
      </c>
      <c r="D74" s="16">
        <v>45205</v>
      </c>
      <c r="E74" s="37">
        <v>12</v>
      </c>
      <c r="F74" s="31"/>
      <c r="G74" s="149" t="s">
        <v>20</v>
      </c>
      <c r="H74" s="193" t="s">
        <v>21</v>
      </c>
      <c r="I74" s="32">
        <v>389.61</v>
      </c>
      <c r="J74" s="32"/>
      <c r="K74" s="38"/>
      <c r="L74" s="11">
        <f>ROW()</f>
        <v>74</v>
      </c>
    </row>
    <row r="75" spans="3:12" x14ac:dyDescent="0.25">
      <c r="C75" s="11">
        <v>12</v>
      </c>
      <c r="D75" s="16">
        <v>45205</v>
      </c>
      <c r="E75" s="37">
        <v>12</v>
      </c>
      <c r="F75" s="31"/>
      <c r="G75" s="149" t="s">
        <v>53</v>
      </c>
      <c r="H75" s="193" t="s">
        <v>54</v>
      </c>
      <c r="I75" s="32"/>
      <c r="J75" s="32">
        <v>4585.3999999999996</v>
      </c>
      <c r="K75" s="38"/>
      <c r="L75" s="11">
        <f>ROW()</f>
        <v>75</v>
      </c>
    </row>
    <row r="76" spans="3:12" ht="15.75" thickBot="1" x14ac:dyDescent="0.3">
      <c r="C76" s="11">
        <v>12</v>
      </c>
      <c r="D76" s="18">
        <v>45205</v>
      </c>
      <c r="E76" s="43">
        <v>12</v>
      </c>
      <c r="F76" s="44"/>
      <c r="G76" s="152"/>
      <c r="H76" s="194" t="s">
        <v>159</v>
      </c>
      <c r="I76" s="185"/>
      <c r="J76" s="185"/>
      <c r="K76" s="186"/>
      <c r="L76" s="11">
        <f>ROW()</f>
        <v>76</v>
      </c>
    </row>
    <row r="77" spans="3:12" ht="15.75" thickBot="1" x14ac:dyDescent="0.3">
      <c r="C77" s="11">
        <v>12</v>
      </c>
      <c r="D77" s="119">
        <v>45205</v>
      </c>
      <c r="E77" s="118">
        <v>12</v>
      </c>
      <c r="F77" s="120"/>
      <c r="L77" s="11">
        <f>ROW()</f>
        <v>77</v>
      </c>
    </row>
    <row r="78" spans="3:12" x14ac:dyDescent="0.25">
      <c r="C78" s="11">
        <v>13</v>
      </c>
      <c r="D78" s="14">
        <v>45205</v>
      </c>
      <c r="E78" s="27">
        <v>13</v>
      </c>
      <c r="F78" s="28" t="s">
        <v>158</v>
      </c>
      <c r="G78" s="148" t="s">
        <v>106</v>
      </c>
      <c r="H78" s="67" t="s">
        <v>107</v>
      </c>
      <c r="I78" s="29">
        <v>120</v>
      </c>
      <c r="J78" s="29"/>
      <c r="K78" s="36"/>
      <c r="L78" s="11">
        <f>ROW()</f>
        <v>78</v>
      </c>
    </row>
    <row r="79" spans="3:12" x14ac:dyDescent="0.25">
      <c r="C79" s="11">
        <v>13</v>
      </c>
      <c r="D79" s="16">
        <v>45205</v>
      </c>
      <c r="E79" s="37">
        <v>13</v>
      </c>
      <c r="F79" s="31" t="s">
        <v>158</v>
      </c>
      <c r="G79" s="149" t="s">
        <v>18</v>
      </c>
      <c r="H79" s="193" t="s">
        <v>19</v>
      </c>
      <c r="I79" s="32">
        <v>5</v>
      </c>
      <c r="J79" s="32"/>
      <c r="K79" s="38"/>
      <c r="L79" s="11">
        <f>ROW()</f>
        <v>79</v>
      </c>
    </row>
    <row r="80" spans="3:12" x14ac:dyDescent="0.25">
      <c r="C80" s="11">
        <v>13</v>
      </c>
      <c r="D80" s="16">
        <v>45205</v>
      </c>
      <c r="E80" s="37">
        <v>13</v>
      </c>
      <c r="F80" s="31" t="s">
        <v>158</v>
      </c>
      <c r="G80" s="149" t="s">
        <v>20</v>
      </c>
      <c r="H80" s="193" t="s">
        <v>21</v>
      </c>
      <c r="I80" s="32">
        <v>9.75</v>
      </c>
      <c r="J80" s="32"/>
      <c r="K80" s="38"/>
      <c r="L80" s="11">
        <f>ROW()</f>
        <v>80</v>
      </c>
    </row>
    <row r="81" spans="3:12" x14ac:dyDescent="0.25">
      <c r="C81" s="11">
        <v>13</v>
      </c>
      <c r="D81" s="16">
        <v>45205</v>
      </c>
      <c r="E81" s="37">
        <v>13</v>
      </c>
      <c r="F81" s="31" t="s">
        <v>158</v>
      </c>
      <c r="G81" s="149" t="s">
        <v>53</v>
      </c>
      <c r="H81" s="193" t="s">
        <v>54</v>
      </c>
      <c r="I81" s="32"/>
      <c r="J81" s="32">
        <v>134.75</v>
      </c>
      <c r="K81" s="38"/>
      <c r="L81" s="11">
        <f>ROW()</f>
        <v>81</v>
      </c>
    </row>
    <row r="82" spans="3:12" ht="15.75" thickBot="1" x14ac:dyDescent="0.3">
      <c r="C82" s="11">
        <v>13</v>
      </c>
      <c r="D82" s="18">
        <v>45205</v>
      </c>
      <c r="E82" s="43">
        <v>13</v>
      </c>
      <c r="F82" s="44" t="s">
        <v>158</v>
      </c>
      <c r="G82" s="152"/>
      <c r="H82" s="194" t="s">
        <v>160</v>
      </c>
      <c r="I82" s="185"/>
      <c r="J82" s="185"/>
      <c r="K82" s="186"/>
      <c r="L82" s="11">
        <f>ROW()</f>
        <v>82</v>
      </c>
    </row>
    <row r="83" spans="3:12" ht="15.75" thickBot="1" x14ac:dyDescent="0.3">
      <c r="C83" s="11">
        <v>13</v>
      </c>
      <c r="D83" s="119">
        <v>45205</v>
      </c>
      <c r="E83" s="118">
        <v>13</v>
      </c>
      <c r="F83" s="120" t="s">
        <v>158</v>
      </c>
      <c r="L83" s="11">
        <f>ROW()</f>
        <v>83</v>
      </c>
    </row>
    <row r="84" spans="3:12" x14ac:dyDescent="0.25">
      <c r="C84" s="11">
        <v>14</v>
      </c>
      <c r="D84" s="14">
        <v>45204</v>
      </c>
      <c r="E84" s="27">
        <v>14</v>
      </c>
      <c r="F84" s="28" t="s">
        <v>161</v>
      </c>
      <c r="G84" s="148">
        <v>1100</v>
      </c>
      <c r="H84" s="67" t="s">
        <v>15</v>
      </c>
      <c r="I84" s="29">
        <v>1034.9100000000001</v>
      </c>
      <c r="J84" s="29"/>
      <c r="K84" s="36"/>
      <c r="L84" s="11">
        <f>ROW()</f>
        <v>84</v>
      </c>
    </row>
    <row r="85" spans="3:12" x14ac:dyDescent="0.25">
      <c r="C85" s="11">
        <v>14</v>
      </c>
      <c r="D85" s="16">
        <v>45204</v>
      </c>
      <c r="E85" s="37">
        <v>14</v>
      </c>
      <c r="F85" s="31" t="s">
        <v>161</v>
      </c>
      <c r="G85" s="149" t="s">
        <v>87</v>
      </c>
      <c r="H85" s="193" t="s">
        <v>88</v>
      </c>
      <c r="I85" s="32"/>
      <c r="J85" s="32">
        <v>3062.5</v>
      </c>
      <c r="K85" s="38"/>
      <c r="L85" s="11">
        <f>ROW()</f>
        <v>85</v>
      </c>
    </row>
    <row r="86" spans="3:12" x14ac:dyDescent="0.25">
      <c r="C86" s="11">
        <v>14</v>
      </c>
      <c r="D86" s="16">
        <v>45204</v>
      </c>
      <c r="E86" s="37">
        <v>14</v>
      </c>
      <c r="F86" s="31" t="s">
        <v>161</v>
      </c>
      <c r="G86" s="149" t="s">
        <v>22</v>
      </c>
      <c r="H86" s="193" t="s">
        <v>23</v>
      </c>
      <c r="I86" s="32"/>
      <c r="J86" s="32">
        <v>153.72999999999999</v>
      </c>
      <c r="K86" s="38"/>
      <c r="L86" s="11">
        <f>ROW()</f>
        <v>86</v>
      </c>
    </row>
    <row r="87" spans="3:12" x14ac:dyDescent="0.25">
      <c r="C87" s="11">
        <v>14</v>
      </c>
      <c r="D87" s="16">
        <v>45204</v>
      </c>
      <c r="E87" s="37">
        <v>14</v>
      </c>
      <c r="F87" s="31" t="s">
        <v>161</v>
      </c>
      <c r="G87" s="149" t="s">
        <v>24</v>
      </c>
      <c r="H87" s="193" t="s">
        <v>25</v>
      </c>
      <c r="I87" s="32"/>
      <c r="J87" s="32">
        <v>306.68</v>
      </c>
      <c r="K87" s="38"/>
      <c r="L87" s="11">
        <f>ROW()</f>
        <v>87</v>
      </c>
    </row>
    <row r="88" spans="3:12" x14ac:dyDescent="0.25">
      <c r="C88" s="11">
        <v>14</v>
      </c>
      <c r="D88" s="16">
        <v>45204</v>
      </c>
      <c r="E88" s="37">
        <v>14</v>
      </c>
      <c r="F88" s="31" t="s">
        <v>161</v>
      </c>
      <c r="G88" s="149" t="s">
        <v>120</v>
      </c>
      <c r="H88" s="193" t="s">
        <v>121</v>
      </c>
      <c r="I88" s="32"/>
      <c r="J88" s="32">
        <v>3</v>
      </c>
      <c r="K88" s="38"/>
      <c r="L88" s="11">
        <f>ROW()</f>
        <v>88</v>
      </c>
    </row>
    <row r="89" spans="3:12" x14ac:dyDescent="0.25">
      <c r="C89" s="11">
        <v>14</v>
      </c>
      <c r="D89" s="16">
        <v>45204</v>
      </c>
      <c r="E89" s="37">
        <v>14</v>
      </c>
      <c r="F89" s="31" t="s">
        <v>161</v>
      </c>
      <c r="G89" s="149" t="s">
        <v>118</v>
      </c>
      <c r="H89" s="193" t="s">
        <v>119</v>
      </c>
      <c r="I89" s="32"/>
      <c r="J89" s="32">
        <v>4</v>
      </c>
      <c r="K89" s="38"/>
      <c r="L89" s="11">
        <f>ROW()</f>
        <v>89</v>
      </c>
    </row>
    <row r="90" spans="3:12" x14ac:dyDescent="0.25">
      <c r="C90" s="11">
        <v>14</v>
      </c>
      <c r="D90" s="16">
        <v>45204</v>
      </c>
      <c r="E90" s="37">
        <v>14</v>
      </c>
      <c r="F90" s="31" t="s">
        <v>161</v>
      </c>
      <c r="G90" s="149" t="s">
        <v>126</v>
      </c>
      <c r="H90" s="193" t="s">
        <v>127</v>
      </c>
      <c r="I90" s="32"/>
      <c r="J90" s="32">
        <v>5</v>
      </c>
      <c r="K90" s="38"/>
      <c r="L90" s="11">
        <f>ROW()</f>
        <v>90</v>
      </c>
    </row>
    <row r="91" spans="3:12" x14ac:dyDescent="0.25">
      <c r="C91" s="11">
        <v>14</v>
      </c>
      <c r="D91" s="16">
        <v>45204</v>
      </c>
      <c r="E91" s="37">
        <v>14</v>
      </c>
      <c r="F91" s="31" t="s">
        <v>161</v>
      </c>
      <c r="G91" s="149" t="s">
        <v>32</v>
      </c>
      <c r="H91" s="193" t="s">
        <v>33</v>
      </c>
      <c r="I91" s="32">
        <v>2500</v>
      </c>
      <c r="J91" s="32"/>
      <c r="K91" s="38"/>
      <c r="L91" s="11">
        <f>ROW()</f>
        <v>91</v>
      </c>
    </row>
    <row r="92" spans="3:12" ht="15.75" thickBot="1" x14ac:dyDescent="0.3">
      <c r="C92" s="11">
        <v>14</v>
      </c>
      <c r="D92" s="18">
        <v>45204</v>
      </c>
      <c r="E92" s="43">
        <v>14</v>
      </c>
      <c r="F92" s="44" t="s">
        <v>161</v>
      </c>
      <c r="G92" s="152"/>
      <c r="H92" s="194" t="s">
        <v>149</v>
      </c>
      <c r="I92" s="185"/>
      <c r="J92" s="185"/>
      <c r="K92" s="186"/>
      <c r="L92" s="11">
        <f>ROW()</f>
        <v>92</v>
      </c>
    </row>
    <row r="93" spans="3:12" ht="15.75" thickBot="1" x14ac:dyDescent="0.3">
      <c r="C93" s="11">
        <v>14</v>
      </c>
      <c r="D93" s="119">
        <v>45204</v>
      </c>
      <c r="E93" s="118">
        <v>14</v>
      </c>
      <c r="F93" s="120" t="s">
        <v>161</v>
      </c>
      <c r="L93" s="11">
        <f>ROW()</f>
        <v>93</v>
      </c>
    </row>
    <row r="94" spans="3:12" x14ac:dyDescent="0.25">
      <c r="C94" s="11">
        <v>15</v>
      </c>
      <c r="D94" s="14">
        <v>45203</v>
      </c>
      <c r="E94" s="27">
        <v>15</v>
      </c>
      <c r="F94" s="28" t="s">
        <v>162</v>
      </c>
      <c r="G94" s="148">
        <v>1100</v>
      </c>
      <c r="H94" s="67" t="s">
        <v>15</v>
      </c>
      <c r="I94" s="29">
        <v>980.31</v>
      </c>
      <c r="J94" s="29"/>
      <c r="K94" s="36"/>
      <c r="L94" s="11">
        <f>ROW()</f>
        <v>94</v>
      </c>
    </row>
    <row r="95" spans="3:12" x14ac:dyDescent="0.25">
      <c r="C95" s="11">
        <v>15</v>
      </c>
      <c r="D95" s="16">
        <v>45203</v>
      </c>
      <c r="E95" s="37">
        <v>15</v>
      </c>
      <c r="F95" s="31" t="s">
        <v>162</v>
      </c>
      <c r="G95" s="149" t="s">
        <v>87</v>
      </c>
      <c r="H95" s="193" t="s">
        <v>88</v>
      </c>
      <c r="I95" s="32"/>
      <c r="J95" s="32">
        <v>1137.5</v>
      </c>
      <c r="K95" s="38"/>
      <c r="L95" s="11">
        <f>ROW()</f>
        <v>95</v>
      </c>
    </row>
    <row r="96" spans="3:12" x14ac:dyDescent="0.25">
      <c r="C96" s="11">
        <v>15</v>
      </c>
      <c r="D96" s="16">
        <v>45203</v>
      </c>
      <c r="E96" s="37">
        <v>15</v>
      </c>
      <c r="F96" s="31" t="s">
        <v>162</v>
      </c>
      <c r="G96" s="149" t="s">
        <v>22</v>
      </c>
      <c r="H96" s="193" t="s">
        <v>23</v>
      </c>
      <c r="I96" s="32"/>
      <c r="J96" s="32">
        <v>64.38</v>
      </c>
      <c r="K96" s="38"/>
      <c r="L96" s="11">
        <f>ROW()</f>
        <v>96</v>
      </c>
    </row>
    <row r="97" spans="3:12" x14ac:dyDescent="0.25">
      <c r="C97" s="11">
        <v>15</v>
      </c>
      <c r="D97" s="16">
        <v>45203</v>
      </c>
      <c r="E97" s="37">
        <v>15</v>
      </c>
      <c r="F97" s="31" t="s">
        <v>162</v>
      </c>
      <c r="G97" s="149" t="s">
        <v>24</v>
      </c>
      <c r="H97" s="193" t="s">
        <v>25</v>
      </c>
      <c r="I97" s="32"/>
      <c r="J97" s="32">
        <v>128.43</v>
      </c>
      <c r="K97" s="38"/>
      <c r="L97" s="11">
        <f>ROW()</f>
        <v>97</v>
      </c>
    </row>
    <row r="98" spans="3:12" x14ac:dyDescent="0.25">
      <c r="C98" s="11">
        <v>15</v>
      </c>
      <c r="D98" s="16">
        <v>45203</v>
      </c>
      <c r="E98" s="37">
        <v>15</v>
      </c>
      <c r="F98" s="31" t="s">
        <v>162</v>
      </c>
      <c r="G98" s="149" t="s">
        <v>120</v>
      </c>
      <c r="H98" s="193" t="s">
        <v>121</v>
      </c>
      <c r="I98" s="32"/>
      <c r="J98" s="32">
        <v>25</v>
      </c>
      <c r="K98" s="38"/>
      <c r="L98" s="11">
        <f>ROW()</f>
        <v>98</v>
      </c>
    </row>
    <row r="99" spans="3:12" x14ac:dyDescent="0.25">
      <c r="C99" s="11">
        <v>15</v>
      </c>
      <c r="D99" s="16">
        <v>45203</v>
      </c>
      <c r="E99" s="37">
        <v>15</v>
      </c>
      <c r="F99" s="31" t="s">
        <v>162</v>
      </c>
      <c r="G99" s="149" t="s">
        <v>118</v>
      </c>
      <c r="H99" s="193" t="s">
        <v>119</v>
      </c>
      <c r="I99" s="32"/>
      <c r="J99" s="32">
        <v>50</v>
      </c>
      <c r="K99" s="38"/>
      <c r="L99" s="11">
        <f>ROW()</f>
        <v>99</v>
      </c>
    </row>
    <row r="100" spans="3:12" x14ac:dyDescent="0.25">
      <c r="C100" s="11">
        <v>15</v>
      </c>
      <c r="D100" s="16">
        <v>45203</v>
      </c>
      <c r="E100" s="37">
        <v>15</v>
      </c>
      <c r="F100" s="31" t="s">
        <v>162</v>
      </c>
      <c r="G100" s="149" t="s">
        <v>126</v>
      </c>
      <c r="H100" s="193" t="s">
        <v>127</v>
      </c>
      <c r="I100" s="32"/>
      <c r="J100" s="32">
        <v>75</v>
      </c>
      <c r="K100" s="38"/>
      <c r="L100" s="11">
        <f>ROW()</f>
        <v>100</v>
      </c>
    </row>
    <row r="101" spans="3:12" x14ac:dyDescent="0.25">
      <c r="C101" s="11">
        <v>15</v>
      </c>
      <c r="D101" s="16">
        <v>45203</v>
      </c>
      <c r="E101" s="37">
        <v>15</v>
      </c>
      <c r="F101" s="31" t="s">
        <v>162</v>
      </c>
      <c r="G101" s="149" t="s">
        <v>32</v>
      </c>
      <c r="H101" s="193" t="s">
        <v>33</v>
      </c>
      <c r="I101" s="32">
        <v>500</v>
      </c>
      <c r="J101" s="32"/>
      <c r="K101" s="38" t="s">
        <v>163</v>
      </c>
      <c r="L101" s="11">
        <f>ROW()</f>
        <v>101</v>
      </c>
    </row>
    <row r="102" spans="3:12" ht="15.75" thickBot="1" x14ac:dyDescent="0.3">
      <c r="C102" s="11">
        <v>15</v>
      </c>
      <c r="D102" s="18">
        <v>45203</v>
      </c>
      <c r="E102" s="43">
        <v>15</v>
      </c>
      <c r="F102" s="44" t="s">
        <v>162</v>
      </c>
      <c r="G102" s="152"/>
      <c r="H102" s="194" t="s">
        <v>149</v>
      </c>
      <c r="I102" s="185"/>
      <c r="J102" s="185"/>
      <c r="K102" s="186"/>
      <c r="L102" s="11">
        <f>ROW()</f>
        <v>102</v>
      </c>
    </row>
    <row r="103" spans="3:12" ht="15.75" thickBot="1" x14ac:dyDescent="0.3">
      <c r="C103" s="11">
        <v>15</v>
      </c>
      <c r="D103" s="119">
        <v>45203</v>
      </c>
      <c r="E103" s="118">
        <v>15</v>
      </c>
      <c r="F103" s="120" t="s">
        <v>162</v>
      </c>
      <c r="L103" s="11">
        <f>ROW()</f>
        <v>103</v>
      </c>
    </row>
    <row r="104" spans="3:12" x14ac:dyDescent="0.25">
      <c r="C104" s="11">
        <v>16</v>
      </c>
      <c r="D104" s="14">
        <v>45205</v>
      </c>
      <c r="E104" s="27">
        <v>16</v>
      </c>
      <c r="F104" s="28" t="s">
        <v>154</v>
      </c>
      <c r="G104" s="148" t="s">
        <v>12</v>
      </c>
      <c r="H104" s="67" t="s">
        <v>13</v>
      </c>
      <c r="I104" s="29">
        <v>1034.9100000000001</v>
      </c>
      <c r="J104" s="29"/>
      <c r="K104" s="36"/>
      <c r="L104" s="11">
        <f>ROW()</f>
        <v>104</v>
      </c>
    </row>
    <row r="105" spans="3:12" x14ac:dyDescent="0.25">
      <c r="C105" s="11">
        <v>16</v>
      </c>
      <c r="D105" s="16">
        <v>45205</v>
      </c>
      <c r="E105" s="37">
        <v>16</v>
      </c>
      <c r="F105" s="31" t="s">
        <v>154</v>
      </c>
      <c r="G105" s="149">
        <v>1100</v>
      </c>
      <c r="H105" s="193" t="s">
        <v>15</v>
      </c>
      <c r="I105" s="32"/>
      <c r="J105" s="32">
        <v>1034.9100000000001</v>
      </c>
      <c r="K105" s="38"/>
      <c r="L105" s="11">
        <f>ROW()</f>
        <v>105</v>
      </c>
    </row>
    <row r="106" spans="3:12" ht="15.75" thickBot="1" x14ac:dyDescent="0.3">
      <c r="C106" s="11">
        <v>16</v>
      </c>
      <c r="D106" s="18">
        <v>45205</v>
      </c>
      <c r="E106" s="43">
        <v>16</v>
      </c>
      <c r="F106" s="44" t="s">
        <v>154</v>
      </c>
      <c r="G106" s="152"/>
      <c r="H106" s="194" t="s">
        <v>149</v>
      </c>
      <c r="I106" s="185"/>
      <c r="J106" s="185"/>
      <c r="K106" s="186"/>
      <c r="L106" s="11">
        <f>ROW()</f>
        <v>106</v>
      </c>
    </row>
    <row r="107" spans="3:12" ht="15.75" thickBot="1" x14ac:dyDescent="0.3">
      <c r="C107" s="11">
        <v>16</v>
      </c>
      <c r="D107" s="119">
        <v>45205</v>
      </c>
      <c r="E107" s="118">
        <v>16</v>
      </c>
      <c r="F107" s="120" t="s">
        <v>154</v>
      </c>
      <c r="L107" s="11">
        <f>ROW()</f>
        <v>107</v>
      </c>
    </row>
    <row r="108" spans="3:12" x14ac:dyDescent="0.25">
      <c r="C108" s="11">
        <v>17</v>
      </c>
      <c r="D108" s="14">
        <v>45205</v>
      </c>
      <c r="E108" s="27">
        <v>17</v>
      </c>
      <c r="F108" s="28" t="s">
        <v>154</v>
      </c>
      <c r="G108" s="148" t="s">
        <v>12</v>
      </c>
      <c r="H108" s="67" t="s">
        <v>13</v>
      </c>
      <c r="I108" s="29">
        <v>980.31</v>
      </c>
      <c r="J108" s="29"/>
      <c r="K108" s="36" t="s">
        <v>164</v>
      </c>
      <c r="L108" s="11">
        <f>ROW()</f>
        <v>108</v>
      </c>
    </row>
    <row r="109" spans="3:12" x14ac:dyDescent="0.25">
      <c r="C109" s="11">
        <v>17</v>
      </c>
      <c r="D109" s="16">
        <v>45205</v>
      </c>
      <c r="E109" s="37">
        <v>17</v>
      </c>
      <c r="F109" s="31" t="s">
        <v>154</v>
      </c>
      <c r="G109" s="149">
        <v>1100</v>
      </c>
      <c r="H109" s="193" t="s">
        <v>15</v>
      </c>
      <c r="I109" s="32"/>
      <c r="J109" s="32">
        <v>980.31</v>
      </c>
      <c r="K109" s="38" t="s">
        <v>165</v>
      </c>
      <c r="L109" s="11">
        <f>ROW()</f>
        <v>109</v>
      </c>
    </row>
    <row r="110" spans="3:12" ht="15.75" thickBot="1" x14ac:dyDescent="0.3">
      <c r="C110" s="11">
        <v>17</v>
      </c>
      <c r="D110" s="18">
        <v>45205</v>
      </c>
      <c r="E110" s="43">
        <v>17</v>
      </c>
      <c r="F110" s="44" t="s">
        <v>154</v>
      </c>
      <c r="G110" s="152"/>
      <c r="H110" s="194" t="s">
        <v>149</v>
      </c>
      <c r="I110" s="185"/>
      <c r="J110" s="185"/>
      <c r="K110" s="186"/>
      <c r="L110" s="11">
        <f>ROW()</f>
        <v>110</v>
      </c>
    </row>
    <row r="111" spans="3:12" ht="15.75" thickBot="1" x14ac:dyDescent="0.3">
      <c r="C111" s="11">
        <v>17</v>
      </c>
      <c r="D111" s="119">
        <v>45205</v>
      </c>
      <c r="E111" s="118">
        <v>17</v>
      </c>
      <c r="F111" s="120" t="s">
        <v>154</v>
      </c>
      <c r="L111" s="11">
        <f>ROW()</f>
        <v>111</v>
      </c>
    </row>
    <row r="112" spans="3:12" x14ac:dyDescent="0.25">
      <c r="C112" s="11">
        <v>18</v>
      </c>
      <c r="D112" s="14">
        <v>44927</v>
      </c>
      <c r="E112" s="27">
        <v>18</v>
      </c>
      <c r="F112" s="63" t="s">
        <v>166</v>
      </c>
      <c r="G112" s="148">
        <v>1100</v>
      </c>
      <c r="H112" s="67" t="s">
        <v>15</v>
      </c>
      <c r="I112" s="29">
        <v>3923.53</v>
      </c>
      <c r="J112" s="29"/>
      <c r="K112" s="36"/>
      <c r="L112" s="11">
        <f>ROW()</f>
        <v>112</v>
      </c>
    </row>
    <row r="113" spans="3:12" x14ac:dyDescent="0.25">
      <c r="C113" s="11">
        <v>18</v>
      </c>
      <c r="D113" s="16">
        <v>44927</v>
      </c>
      <c r="E113" s="37">
        <v>18</v>
      </c>
      <c r="F113" s="64" t="s">
        <v>166</v>
      </c>
      <c r="G113" s="149" t="s">
        <v>87</v>
      </c>
      <c r="H113" s="193" t="s">
        <v>88</v>
      </c>
      <c r="I113" s="32"/>
      <c r="J113" s="32">
        <v>3412.5</v>
      </c>
      <c r="K113" s="38"/>
      <c r="L113" s="11">
        <f>ROW()</f>
        <v>113</v>
      </c>
    </row>
    <row r="114" spans="3:12" x14ac:dyDescent="0.25">
      <c r="C114" s="11">
        <v>18</v>
      </c>
      <c r="D114" s="16">
        <v>44927</v>
      </c>
      <c r="E114" s="37">
        <v>18</v>
      </c>
      <c r="F114" s="64" t="s">
        <v>166</v>
      </c>
      <c r="G114" s="149" t="s">
        <v>18</v>
      </c>
      <c r="H114" s="193" t="s">
        <v>19</v>
      </c>
      <c r="I114" s="32"/>
      <c r="J114" s="32">
        <v>170.63</v>
      </c>
      <c r="K114" s="38"/>
      <c r="L114" s="11">
        <f>ROW()</f>
        <v>114</v>
      </c>
    </row>
    <row r="115" spans="3:12" x14ac:dyDescent="0.25">
      <c r="C115" s="11">
        <v>18</v>
      </c>
      <c r="D115" s="16">
        <v>44927</v>
      </c>
      <c r="E115" s="37">
        <v>18</v>
      </c>
      <c r="F115" s="64" t="s">
        <v>166</v>
      </c>
      <c r="G115" s="149" t="s">
        <v>20</v>
      </c>
      <c r="H115" s="193" t="s">
        <v>21</v>
      </c>
      <c r="I115" s="32"/>
      <c r="J115" s="32">
        <v>340.4</v>
      </c>
      <c r="K115" s="38"/>
      <c r="L115" s="11">
        <f>ROW()</f>
        <v>115</v>
      </c>
    </row>
    <row r="116" spans="3:12" ht="15.75" thickBot="1" x14ac:dyDescent="0.3">
      <c r="C116" s="11">
        <v>18</v>
      </c>
      <c r="D116" s="18">
        <v>44927</v>
      </c>
      <c r="E116" s="43">
        <v>18</v>
      </c>
      <c r="F116" s="65" t="s">
        <v>166</v>
      </c>
      <c r="G116" s="152"/>
      <c r="H116" s="194" t="s">
        <v>167</v>
      </c>
      <c r="I116" s="185"/>
      <c r="J116" s="185"/>
      <c r="K116" s="186"/>
      <c r="L116" s="11">
        <f>ROW()</f>
        <v>116</v>
      </c>
    </row>
    <row r="117" spans="3:12" ht="15.75" thickBot="1" x14ac:dyDescent="0.3">
      <c r="C117" s="11">
        <v>18</v>
      </c>
      <c r="D117" s="119">
        <v>44927</v>
      </c>
      <c r="E117" s="118">
        <v>18</v>
      </c>
      <c r="F117" s="121" t="s">
        <v>166</v>
      </c>
      <c r="L117" s="11">
        <f>ROW()</f>
        <v>117</v>
      </c>
    </row>
    <row r="118" spans="3:12" x14ac:dyDescent="0.25">
      <c r="C118" s="11">
        <v>19</v>
      </c>
      <c r="D118" s="14">
        <v>45205</v>
      </c>
      <c r="E118" s="27">
        <v>19</v>
      </c>
      <c r="F118" s="67" t="s">
        <v>154</v>
      </c>
      <c r="G118" s="148" t="s">
        <v>12</v>
      </c>
      <c r="H118" s="67" t="s">
        <v>13</v>
      </c>
      <c r="I118" s="29">
        <v>3923.53</v>
      </c>
      <c r="J118" s="29"/>
      <c r="K118" s="36"/>
      <c r="L118" s="11">
        <f>ROW()</f>
        <v>118</v>
      </c>
    </row>
    <row r="119" spans="3:12" x14ac:dyDescent="0.25">
      <c r="C119" s="11">
        <v>19</v>
      </c>
      <c r="D119" s="16">
        <v>45205</v>
      </c>
      <c r="E119" s="37">
        <v>19</v>
      </c>
      <c r="F119" s="64" t="s">
        <v>154</v>
      </c>
      <c r="G119" s="149" t="s">
        <v>14</v>
      </c>
      <c r="H119" s="193" t="s">
        <v>15</v>
      </c>
      <c r="I119" s="32"/>
      <c r="J119" s="32">
        <v>3923.53</v>
      </c>
      <c r="K119" s="38"/>
      <c r="L119" s="11">
        <f>ROW()</f>
        <v>119</v>
      </c>
    </row>
    <row r="120" spans="3:12" ht="15.75" thickBot="1" x14ac:dyDescent="0.3">
      <c r="C120" s="11">
        <v>19</v>
      </c>
      <c r="D120" s="18">
        <v>45205</v>
      </c>
      <c r="E120" s="43">
        <v>19</v>
      </c>
      <c r="F120" s="65" t="s">
        <v>154</v>
      </c>
      <c r="G120" s="152"/>
      <c r="H120" s="194" t="s">
        <v>167</v>
      </c>
      <c r="I120" s="185"/>
      <c r="J120" s="185"/>
      <c r="K120" s="186"/>
      <c r="L120" s="11">
        <f>ROW()</f>
        <v>120</v>
      </c>
    </row>
    <row r="121" spans="3:12" ht="15.75" thickBot="1" x14ac:dyDescent="0.3">
      <c r="C121" s="11">
        <v>19</v>
      </c>
      <c r="D121" s="119">
        <v>45205</v>
      </c>
      <c r="E121" s="118">
        <v>19</v>
      </c>
      <c r="F121" s="121" t="s">
        <v>154</v>
      </c>
      <c r="L121" s="11">
        <f>ROW()</f>
        <v>121</v>
      </c>
    </row>
    <row r="122" spans="3:12" x14ac:dyDescent="0.25">
      <c r="C122" s="11">
        <v>20</v>
      </c>
      <c r="D122" s="68">
        <v>45212</v>
      </c>
      <c r="E122" s="69">
        <v>20</v>
      </c>
      <c r="F122" s="70" t="s">
        <v>156</v>
      </c>
      <c r="G122" s="156" t="s">
        <v>84</v>
      </c>
      <c r="H122" s="70" t="s">
        <v>85</v>
      </c>
      <c r="I122" s="71">
        <v>5000</v>
      </c>
      <c r="J122" s="71"/>
      <c r="K122" s="72"/>
      <c r="L122" s="11">
        <f>ROW()</f>
        <v>122</v>
      </c>
    </row>
    <row r="123" spans="3:12" x14ac:dyDescent="0.25">
      <c r="C123" s="11">
        <v>20</v>
      </c>
      <c r="D123" s="73">
        <v>45212</v>
      </c>
      <c r="E123" s="74">
        <v>20</v>
      </c>
      <c r="F123" s="75" t="s">
        <v>156</v>
      </c>
      <c r="G123" s="157" t="s">
        <v>12</v>
      </c>
      <c r="H123" s="197" t="s">
        <v>13</v>
      </c>
      <c r="I123" s="76"/>
      <c r="J123" s="76">
        <v>5000</v>
      </c>
      <c r="K123" s="77"/>
      <c r="L123" s="11">
        <f>ROW()</f>
        <v>123</v>
      </c>
    </row>
    <row r="124" spans="3:12" ht="15.75" thickBot="1" x14ac:dyDescent="0.3">
      <c r="C124" s="11">
        <v>20</v>
      </c>
      <c r="D124" s="78">
        <v>45212</v>
      </c>
      <c r="E124" s="79">
        <v>20</v>
      </c>
      <c r="F124" s="80" t="s">
        <v>156</v>
      </c>
      <c r="G124" s="152"/>
      <c r="H124" s="194" t="s">
        <v>157</v>
      </c>
      <c r="I124" s="185"/>
      <c r="J124" s="185"/>
      <c r="K124" s="186"/>
      <c r="L124" s="11">
        <f>ROW()</f>
        <v>124</v>
      </c>
    </row>
    <row r="125" spans="3:12" ht="15.75" thickBot="1" x14ac:dyDescent="0.3">
      <c r="C125" s="11">
        <v>20</v>
      </c>
      <c r="D125" s="119">
        <v>45212</v>
      </c>
      <c r="E125" s="118">
        <v>20</v>
      </c>
      <c r="F125" s="121" t="s">
        <v>156</v>
      </c>
      <c r="L125" s="11">
        <f>ROW()</f>
        <v>125</v>
      </c>
    </row>
    <row r="126" spans="3:12" x14ac:dyDescent="0.25">
      <c r="C126" s="11">
        <v>21</v>
      </c>
      <c r="D126" s="68">
        <v>45219</v>
      </c>
      <c r="E126" s="69">
        <v>21</v>
      </c>
      <c r="F126" s="70" t="s">
        <v>156</v>
      </c>
      <c r="G126" s="156" t="s">
        <v>84</v>
      </c>
      <c r="H126" s="70" t="s">
        <v>85</v>
      </c>
      <c r="I126" s="71">
        <v>5000</v>
      </c>
      <c r="J126" s="71"/>
      <c r="K126" s="72"/>
      <c r="L126" s="11">
        <f>ROW()</f>
        <v>126</v>
      </c>
    </row>
    <row r="127" spans="3:12" x14ac:dyDescent="0.25">
      <c r="C127" s="11">
        <v>21</v>
      </c>
      <c r="D127" s="73">
        <v>45219</v>
      </c>
      <c r="E127" s="74">
        <v>21</v>
      </c>
      <c r="F127" s="75" t="s">
        <v>156</v>
      </c>
      <c r="G127" s="157" t="s">
        <v>12</v>
      </c>
      <c r="H127" s="197" t="s">
        <v>13</v>
      </c>
      <c r="I127" s="76"/>
      <c r="J127" s="76">
        <v>5000</v>
      </c>
      <c r="K127" s="77"/>
      <c r="L127" s="11">
        <f>ROW()</f>
        <v>127</v>
      </c>
    </row>
    <row r="128" spans="3:12" ht="15.75" thickBot="1" x14ac:dyDescent="0.3">
      <c r="C128" s="11">
        <v>21</v>
      </c>
      <c r="D128" s="78">
        <v>45219</v>
      </c>
      <c r="E128" s="79">
        <v>21</v>
      </c>
      <c r="F128" s="80" t="s">
        <v>156</v>
      </c>
      <c r="G128" s="152"/>
      <c r="H128" s="194" t="s">
        <v>168</v>
      </c>
      <c r="I128" s="185"/>
      <c r="J128" s="185"/>
      <c r="K128" s="186"/>
      <c r="L128" s="11">
        <f>ROW()</f>
        <v>128</v>
      </c>
    </row>
    <row r="129" spans="3:12" ht="15.75" thickBot="1" x14ac:dyDescent="0.3">
      <c r="C129" s="11">
        <v>21</v>
      </c>
      <c r="D129" s="119">
        <v>45219</v>
      </c>
      <c r="E129" s="118">
        <v>21</v>
      </c>
      <c r="F129" s="121" t="s">
        <v>156</v>
      </c>
      <c r="L129" s="11">
        <f>ROW()</f>
        <v>129</v>
      </c>
    </row>
    <row r="130" spans="3:12" x14ac:dyDescent="0.25">
      <c r="C130" s="11">
        <v>22</v>
      </c>
      <c r="D130" s="14">
        <v>45230</v>
      </c>
      <c r="E130" s="27">
        <v>22</v>
      </c>
      <c r="F130" s="67" t="s">
        <v>169</v>
      </c>
      <c r="G130" s="148" t="s">
        <v>126</v>
      </c>
      <c r="H130" s="67" t="s">
        <v>127</v>
      </c>
      <c r="I130" s="29">
        <v>25.99</v>
      </c>
      <c r="J130" s="29"/>
      <c r="K130" s="36" t="s">
        <v>171</v>
      </c>
      <c r="L130" s="11">
        <f>ROW()</f>
        <v>130</v>
      </c>
    </row>
    <row r="131" spans="3:12" x14ac:dyDescent="0.25">
      <c r="C131" s="11">
        <v>22</v>
      </c>
      <c r="D131" s="16">
        <v>45230</v>
      </c>
      <c r="E131" s="37">
        <v>22</v>
      </c>
      <c r="F131" s="64" t="s">
        <v>169</v>
      </c>
      <c r="G131" s="149" t="s">
        <v>12</v>
      </c>
      <c r="H131" s="193" t="s">
        <v>13</v>
      </c>
      <c r="I131" s="32"/>
      <c r="J131" s="32">
        <v>25.99</v>
      </c>
      <c r="K131" s="38"/>
      <c r="L131" s="11">
        <f>ROW()</f>
        <v>131</v>
      </c>
    </row>
    <row r="132" spans="3:12" ht="15.75" thickBot="1" x14ac:dyDescent="0.3">
      <c r="C132" s="11">
        <v>22</v>
      </c>
      <c r="D132" s="18">
        <v>45230</v>
      </c>
      <c r="E132" s="43">
        <v>22</v>
      </c>
      <c r="F132" s="65" t="s">
        <v>169</v>
      </c>
      <c r="G132" s="152"/>
      <c r="H132" s="194" t="s">
        <v>170</v>
      </c>
      <c r="I132" s="185"/>
      <c r="J132" s="185"/>
      <c r="K132" s="186"/>
      <c r="L132" s="11">
        <f>ROW()</f>
        <v>132</v>
      </c>
    </row>
    <row r="133" spans="3:12" ht="15.75" thickBot="1" x14ac:dyDescent="0.3">
      <c r="C133" s="11">
        <v>22</v>
      </c>
      <c r="D133" s="119">
        <v>45230</v>
      </c>
      <c r="E133" s="118">
        <v>22</v>
      </c>
      <c r="F133" s="121" t="s">
        <v>169</v>
      </c>
      <c r="L133" s="11">
        <f>ROW()</f>
        <v>133</v>
      </c>
    </row>
    <row r="134" spans="3:12" x14ac:dyDescent="0.25">
      <c r="C134" s="11">
        <v>23</v>
      </c>
      <c r="D134" s="68">
        <v>45206</v>
      </c>
      <c r="E134" s="69">
        <v>23</v>
      </c>
      <c r="F134" s="70" t="s">
        <v>172</v>
      </c>
      <c r="G134" s="156" t="s">
        <v>12</v>
      </c>
      <c r="H134" s="70" t="s">
        <v>13</v>
      </c>
      <c r="I134" s="71">
        <v>159.94999999999999</v>
      </c>
      <c r="J134" s="71"/>
      <c r="K134" s="72"/>
      <c r="L134" s="11">
        <f>ROW()</f>
        <v>134</v>
      </c>
    </row>
    <row r="135" spans="3:12" x14ac:dyDescent="0.25">
      <c r="C135" s="11">
        <v>23</v>
      </c>
      <c r="D135" s="91">
        <v>45206</v>
      </c>
      <c r="E135" s="92">
        <v>23</v>
      </c>
      <c r="F135" s="93" t="s">
        <v>172</v>
      </c>
      <c r="G135" s="157" t="s">
        <v>14</v>
      </c>
      <c r="H135" s="197" t="s">
        <v>15</v>
      </c>
      <c r="I135" s="76"/>
      <c r="J135" s="76">
        <v>149.94999999999999</v>
      </c>
      <c r="K135" s="77"/>
      <c r="L135" s="11">
        <f>ROW()</f>
        <v>135</v>
      </c>
    </row>
    <row r="136" spans="3:12" x14ac:dyDescent="0.25">
      <c r="C136" s="11">
        <v>23</v>
      </c>
      <c r="D136" s="91">
        <v>45206</v>
      </c>
      <c r="E136" s="92">
        <v>23</v>
      </c>
      <c r="F136" s="93" t="s">
        <v>172</v>
      </c>
      <c r="G136" s="157" t="s">
        <v>18</v>
      </c>
      <c r="H136" s="197" t="s">
        <v>19</v>
      </c>
      <c r="I136" s="76">
        <v>10</v>
      </c>
      <c r="J136" s="76"/>
      <c r="K136" s="77"/>
      <c r="L136" s="11">
        <f>ROW()</f>
        <v>136</v>
      </c>
    </row>
    <row r="137" spans="3:12" x14ac:dyDescent="0.25">
      <c r="C137" s="11">
        <v>23</v>
      </c>
      <c r="D137" s="91">
        <v>45206</v>
      </c>
      <c r="E137" s="92">
        <v>23</v>
      </c>
      <c r="F137" s="93" t="s">
        <v>172</v>
      </c>
      <c r="G137" s="157" t="s">
        <v>20</v>
      </c>
      <c r="H137" s="197" t="s">
        <v>21</v>
      </c>
      <c r="I137" s="76"/>
      <c r="J137" s="76">
        <v>20</v>
      </c>
      <c r="K137" s="77"/>
      <c r="L137" s="11">
        <f>ROW()</f>
        <v>137</v>
      </c>
    </row>
    <row r="138" spans="3:12" ht="15.75" thickBot="1" x14ac:dyDescent="0.3">
      <c r="C138" s="11">
        <v>23</v>
      </c>
      <c r="D138" s="94">
        <v>45206</v>
      </c>
      <c r="E138" s="95">
        <v>23</v>
      </c>
      <c r="F138" s="96" t="s">
        <v>172</v>
      </c>
      <c r="G138" s="152"/>
      <c r="H138" s="194" t="s">
        <v>173</v>
      </c>
      <c r="I138" s="185"/>
      <c r="J138" s="185"/>
      <c r="K138" s="186"/>
      <c r="L138" s="11">
        <f>ROW()</f>
        <v>138</v>
      </c>
    </row>
    <row r="139" spans="3:12" ht="15.75" thickBot="1" x14ac:dyDescent="0.3">
      <c r="C139" s="11">
        <v>23</v>
      </c>
      <c r="D139" s="122">
        <v>45206</v>
      </c>
      <c r="E139" s="123">
        <v>23</v>
      </c>
      <c r="F139" s="124" t="s">
        <v>172</v>
      </c>
      <c r="L139" s="11">
        <f>ROW()</f>
        <v>139</v>
      </c>
    </row>
    <row r="140" spans="3:12" x14ac:dyDescent="0.25">
      <c r="C140" s="11">
        <v>24</v>
      </c>
      <c r="D140" s="68">
        <v>45179</v>
      </c>
      <c r="E140" s="69">
        <v>24</v>
      </c>
      <c r="F140" s="70" t="s">
        <v>172</v>
      </c>
      <c r="G140" s="156" t="s">
        <v>12</v>
      </c>
      <c r="H140" s="70" t="s">
        <v>13</v>
      </c>
      <c r="I140" s="71">
        <v>15</v>
      </c>
      <c r="J140" s="71"/>
      <c r="K140" s="72"/>
      <c r="L140" s="11">
        <f>ROW()</f>
        <v>140</v>
      </c>
    </row>
    <row r="141" spans="3:12" x14ac:dyDescent="0.25">
      <c r="C141" s="11">
        <v>24</v>
      </c>
      <c r="D141" s="91">
        <v>45179</v>
      </c>
      <c r="E141" s="92">
        <v>24</v>
      </c>
      <c r="F141" s="93" t="s">
        <v>172</v>
      </c>
      <c r="G141" s="157" t="s">
        <v>106</v>
      </c>
      <c r="H141" s="197" t="s">
        <v>107</v>
      </c>
      <c r="I141" s="76"/>
      <c r="J141" s="76">
        <v>15</v>
      </c>
      <c r="K141" s="77"/>
      <c r="L141" s="11">
        <f>ROW()</f>
        <v>141</v>
      </c>
    </row>
    <row r="142" spans="3:12" ht="15.75" thickBot="1" x14ac:dyDescent="0.3">
      <c r="C142" s="11">
        <v>24</v>
      </c>
      <c r="D142" s="94">
        <v>45179</v>
      </c>
      <c r="E142" s="95">
        <v>24</v>
      </c>
      <c r="F142" s="96" t="s">
        <v>172</v>
      </c>
      <c r="G142" s="158"/>
      <c r="H142" s="194" t="s">
        <v>174</v>
      </c>
      <c r="I142" s="185"/>
      <c r="J142" s="185"/>
      <c r="K142" s="186"/>
      <c r="L142" s="11">
        <f>ROW()</f>
        <v>142</v>
      </c>
    </row>
    <row r="143" spans="3:12" ht="15.75" thickBot="1" x14ac:dyDescent="0.3">
      <c r="C143" s="11">
        <v>24</v>
      </c>
      <c r="D143" s="122">
        <v>45179</v>
      </c>
      <c r="E143" s="123">
        <v>24</v>
      </c>
      <c r="F143" s="124" t="s">
        <v>172</v>
      </c>
      <c r="L143" s="11">
        <f>ROW()</f>
        <v>143</v>
      </c>
    </row>
    <row r="144" spans="3:12" x14ac:dyDescent="0.25">
      <c r="C144" s="11">
        <v>25</v>
      </c>
      <c r="D144" s="109" t="s">
        <v>176</v>
      </c>
      <c r="E144" s="69">
        <v>25</v>
      </c>
      <c r="F144" s="70" t="s">
        <v>175</v>
      </c>
      <c r="G144" s="156" t="s">
        <v>126</v>
      </c>
      <c r="H144" s="70" t="s">
        <v>127</v>
      </c>
      <c r="I144" s="71">
        <v>19.95</v>
      </c>
      <c r="J144" s="71"/>
      <c r="K144" s="72"/>
      <c r="L144" s="11">
        <f>ROW()</f>
        <v>144</v>
      </c>
    </row>
    <row r="145" spans="3:12" x14ac:dyDescent="0.25">
      <c r="C145" s="11">
        <v>25</v>
      </c>
      <c r="D145" s="110" t="s">
        <v>176</v>
      </c>
      <c r="E145" s="92">
        <v>25</v>
      </c>
      <c r="F145" s="93" t="s">
        <v>175</v>
      </c>
      <c r="G145" s="157" t="s">
        <v>12</v>
      </c>
      <c r="H145" s="197" t="s">
        <v>13</v>
      </c>
      <c r="I145" s="76"/>
      <c r="J145" s="76">
        <v>19.95</v>
      </c>
      <c r="K145" s="77"/>
      <c r="L145" s="11">
        <f>ROW()</f>
        <v>145</v>
      </c>
    </row>
    <row r="146" spans="3:12" ht="15.75" thickBot="1" x14ac:dyDescent="0.3">
      <c r="C146" s="11">
        <v>25</v>
      </c>
      <c r="D146" s="111" t="s">
        <v>176</v>
      </c>
      <c r="E146" s="95">
        <v>25</v>
      </c>
      <c r="F146" s="96" t="s">
        <v>175</v>
      </c>
      <c r="G146" s="158"/>
      <c r="H146" s="194" t="s">
        <v>177</v>
      </c>
      <c r="I146" s="185"/>
      <c r="J146" s="185"/>
      <c r="K146" s="186"/>
      <c r="L146" s="11">
        <f>ROW()</f>
        <v>146</v>
      </c>
    </row>
    <row r="147" spans="3:12" ht="15.75" thickBot="1" x14ac:dyDescent="0.3">
      <c r="C147" s="11">
        <v>25</v>
      </c>
      <c r="D147" s="123" t="s">
        <v>176</v>
      </c>
      <c r="E147" s="123">
        <v>25</v>
      </c>
      <c r="F147" s="124" t="s">
        <v>175</v>
      </c>
      <c r="L147" s="11">
        <f>ROW()</f>
        <v>147</v>
      </c>
    </row>
    <row r="148" spans="3:12" x14ac:dyDescent="0.25">
      <c r="C148" s="11">
        <v>26</v>
      </c>
      <c r="D148" s="68">
        <v>45207</v>
      </c>
      <c r="E148" s="69">
        <v>26</v>
      </c>
      <c r="F148" s="70" t="s">
        <v>175</v>
      </c>
      <c r="G148" s="156" t="s">
        <v>126</v>
      </c>
      <c r="H148" s="70" t="s">
        <v>127</v>
      </c>
      <c r="I148" s="71">
        <v>25</v>
      </c>
      <c r="J148" s="71"/>
      <c r="K148" s="72"/>
      <c r="L148" s="11">
        <f>ROW()</f>
        <v>148</v>
      </c>
    </row>
    <row r="149" spans="3:12" x14ac:dyDescent="0.25">
      <c r="C149" s="11">
        <v>26</v>
      </c>
      <c r="D149" s="110">
        <v>45148</v>
      </c>
      <c r="E149" s="92">
        <v>26</v>
      </c>
      <c r="F149" s="93" t="s">
        <v>175</v>
      </c>
      <c r="G149" s="157" t="s">
        <v>12</v>
      </c>
      <c r="H149" s="197" t="s">
        <v>13</v>
      </c>
      <c r="I149" s="76"/>
      <c r="J149" s="76">
        <v>25</v>
      </c>
      <c r="K149" s="77"/>
      <c r="L149" s="11">
        <f>ROW()</f>
        <v>149</v>
      </c>
    </row>
    <row r="150" spans="3:12" ht="15.75" thickBot="1" x14ac:dyDescent="0.3">
      <c r="C150" s="11">
        <v>26</v>
      </c>
      <c r="D150" s="111">
        <v>45148</v>
      </c>
      <c r="E150" s="95">
        <v>26</v>
      </c>
      <c r="F150" s="96" t="s">
        <v>175</v>
      </c>
      <c r="G150" s="158"/>
      <c r="H150" s="194" t="s">
        <v>178</v>
      </c>
      <c r="I150" s="185"/>
      <c r="J150" s="185"/>
      <c r="K150" s="186"/>
      <c r="L150" s="11">
        <f>ROW()</f>
        <v>150</v>
      </c>
    </row>
    <row r="151" spans="3:12" ht="15.75" thickBot="1" x14ac:dyDescent="0.3">
      <c r="C151" s="11">
        <v>26</v>
      </c>
      <c r="D151" s="119">
        <v>45148</v>
      </c>
      <c r="E151" s="118">
        <v>26</v>
      </c>
      <c r="F151" s="121" t="s">
        <v>175</v>
      </c>
      <c r="L151" s="11">
        <f>ROW()</f>
        <v>151</v>
      </c>
    </row>
    <row r="152" spans="3:12" x14ac:dyDescent="0.25">
      <c r="C152" s="11">
        <v>27</v>
      </c>
      <c r="D152" s="14">
        <v>45148</v>
      </c>
      <c r="E152" s="27">
        <v>27</v>
      </c>
      <c r="F152" s="67" t="s">
        <v>175</v>
      </c>
      <c r="G152" s="148" t="s">
        <v>126</v>
      </c>
      <c r="H152" s="67" t="s">
        <v>127</v>
      </c>
      <c r="I152" s="29">
        <v>25</v>
      </c>
      <c r="J152" s="29"/>
      <c r="K152" s="36"/>
      <c r="L152" s="11">
        <f>ROW()</f>
        <v>152</v>
      </c>
    </row>
    <row r="153" spans="3:12" x14ac:dyDescent="0.25">
      <c r="C153" s="11">
        <v>27</v>
      </c>
      <c r="D153" s="112">
        <v>45148</v>
      </c>
      <c r="E153" s="113">
        <v>26</v>
      </c>
      <c r="F153" s="114" t="s">
        <v>175</v>
      </c>
      <c r="G153" s="149" t="s">
        <v>12</v>
      </c>
      <c r="H153" s="193" t="s">
        <v>13</v>
      </c>
      <c r="I153" s="32"/>
      <c r="J153" s="32">
        <v>25</v>
      </c>
      <c r="K153" s="38"/>
      <c r="L153" s="11">
        <f>ROW()</f>
        <v>153</v>
      </c>
    </row>
    <row r="154" spans="3:12" ht="15.75" thickBot="1" x14ac:dyDescent="0.3">
      <c r="C154" s="11">
        <v>27</v>
      </c>
      <c r="D154" s="115">
        <v>45148</v>
      </c>
      <c r="E154" s="116">
        <v>26</v>
      </c>
      <c r="F154" s="117" t="s">
        <v>175</v>
      </c>
      <c r="G154" s="152"/>
      <c r="H154" s="194" t="s">
        <v>178</v>
      </c>
      <c r="I154" s="185"/>
      <c r="J154" s="185"/>
      <c r="K154" s="186"/>
      <c r="L154" s="11">
        <f>ROW()</f>
        <v>154</v>
      </c>
    </row>
    <row r="155" spans="3:12" ht="15.75" thickBot="1" x14ac:dyDescent="0.3">
      <c r="C155" s="11">
        <v>27</v>
      </c>
      <c r="D155" s="122">
        <v>45148</v>
      </c>
      <c r="E155" s="123">
        <v>26</v>
      </c>
      <c r="F155" s="124" t="s">
        <v>175</v>
      </c>
      <c r="L155" s="11">
        <f>ROW()</f>
        <v>155</v>
      </c>
    </row>
    <row r="156" spans="3:12" x14ac:dyDescent="0.25">
      <c r="C156" s="11">
        <v>28</v>
      </c>
      <c r="D156" s="125" t="s">
        <v>180</v>
      </c>
      <c r="E156" s="27">
        <v>28</v>
      </c>
      <c r="F156" s="67" t="s">
        <v>179</v>
      </c>
      <c r="G156" s="148" t="s">
        <v>124</v>
      </c>
      <c r="H156" s="67" t="s">
        <v>125</v>
      </c>
      <c r="I156" s="29">
        <v>795</v>
      </c>
      <c r="J156" s="29"/>
      <c r="K156" s="36"/>
      <c r="L156" s="11">
        <f>ROW()</f>
        <v>156</v>
      </c>
    </row>
    <row r="157" spans="3:12" x14ac:dyDescent="0.25">
      <c r="C157" s="11">
        <v>28</v>
      </c>
      <c r="D157" s="126" t="s">
        <v>180</v>
      </c>
      <c r="E157" s="113">
        <v>28</v>
      </c>
      <c r="F157" s="114" t="s">
        <v>179</v>
      </c>
      <c r="G157" s="149" t="s">
        <v>32</v>
      </c>
      <c r="H157" s="193" t="s">
        <v>33</v>
      </c>
      <c r="I157" s="32"/>
      <c r="J157" s="32">
        <v>795</v>
      </c>
      <c r="K157" s="38"/>
      <c r="L157" s="11">
        <f>ROW()</f>
        <v>157</v>
      </c>
    </row>
    <row r="158" spans="3:12" ht="15.75" thickBot="1" x14ac:dyDescent="0.3">
      <c r="C158" s="11">
        <v>28</v>
      </c>
      <c r="D158" s="127" t="s">
        <v>180</v>
      </c>
      <c r="E158" s="116">
        <v>28</v>
      </c>
      <c r="F158" s="117" t="s">
        <v>179</v>
      </c>
      <c r="G158" s="154"/>
      <c r="H158" s="194" t="s">
        <v>181</v>
      </c>
      <c r="I158" s="185"/>
      <c r="J158" s="185"/>
      <c r="K158" s="186"/>
      <c r="L158" s="11">
        <f>ROW()</f>
        <v>158</v>
      </c>
    </row>
    <row r="159" spans="3:12" ht="15.75" thickBot="1" x14ac:dyDescent="0.3">
      <c r="C159" s="11">
        <v>28</v>
      </c>
      <c r="D159" s="123" t="s">
        <v>180</v>
      </c>
      <c r="E159" s="123">
        <v>28</v>
      </c>
      <c r="F159" s="124" t="s">
        <v>179</v>
      </c>
      <c r="L159" s="11">
        <f>ROW()</f>
        <v>159</v>
      </c>
    </row>
    <row r="160" spans="3:12" x14ac:dyDescent="0.25">
      <c r="C160" s="11">
        <v>29</v>
      </c>
      <c r="D160" s="128">
        <v>45087</v>
      </c>
      <c r="E160" s="129">
        <v>29</v>
      </c>
      <c r="F160" s="130" t="s">
        <v>182</v>
      </c>
      <c r="G160" s="159" t="s">
        <v>14</v>
      </c>
      <c r="H160" s="130" t="s">
        <v>15</v>
      </c>
      <c r="I160" s="131">
        <v>2157.0700000000002</v>
      </c>
      <c r="J160" s="131"/>
      <c r="K160" s="132"/>
      <c r="L160" s="11">
        <f>ROW()</f>
        <v>160</v>
      </c>
    </row>
    <row r="161" spans="3:12" x14ac:dyDescent="0.25">
      <c r="C161" s="11">
        <v>29</v>
      </c>
      <c r="D161" s="133">
        <v>45087</v>
      </c>
      <c r="E161" s="106">
        <v>29</v>
      </c>
      <c r="F161" s="107" t="s">
        <v>182</v>
      </c>
      <c r="G161" s="160" t="s">
        <v>87</v>
      </c>
      <c r="H161" s="198" t="s">
        <v>88</v>
      </c>
      <c r="I161" s="134"/>
      <c r="J161" s="134">
        <v>2275</v>
      </c>
      <c r="K161" s="135"/>
      <c r="L161" s="11">
        <f>ROW()</f>
        <v>161</v>
      </c>
    </row>
    <row r="162" spans="3:12" x14ac:dyDescent="0.25">
      <c r="C162" s="11">
        <v>29</v>
      </c>
      <c r="D162" s="133">
        <v>45087</v>
      </c>
      <c r="E162" s="106">
        <v>29</v>
      </c>
      <c r="F162" s="107" t="s">
        <v>182</v>
      </c>
      <c r="G162" s="160" t="s">
        <v>120</v>
      </c>
      <c r="H162" s="198" t="s">
        <v>121</v>
      </c>
      <c r="I162" s="134"/>
      <c r="J162" s="134">
        <v>11</v>
      </c>
      <c r="K162" s="135"/>
      <c r="L162" s="11">
        <f>ROW()</f>
        <v>162</v>
      </c>
    </row>
    <row r="163" spans="3:12" x14ac:dyDescent="0.25">
      <c r="C163" s="11">
        <v>29</v>
      </c>
      <c r="D163" s="133">
        <v>45087</v>
      </c>
      <c r="E163" s="106">
        <v>29</v>
      </c>
      <c r="F163" s="107" t="s">
        <v>182</v>
      </c>
      <c r="G163" s="160" t="s">
        <v>118</v>
      </c>
      <c r="H163" s="198" t="s">
        <v>119</v>
      </c>
      <c r="I163" s="134"/>
      <c r="J163" s="134">
        <v>12</v>
      </c>
      <c r="K163" s="135"/>
      <c r="L163" s="11">
        <f>ROW()</f>
        <v>163</v>
      </c>
    </row>
    <row r="164" spans="3:12" x14ac:dyDescent="0.25">
      <c r="C164" s="11">
        <v>29</v>
      </c>
      <c r="D164" s="133">
        <v>45087</v>
      </c>
      <c r="E164" s="106">
        <v>29</v>
      </c>
      <c r="F164" s="107" t="s">
        <v>182</v>
      </c>
      <c r="G164" s="160" t="s">
        <v>126</v>
      </c>
      <c r="H164" s="198" t="s">
        <v>127</v>
      </c>
      <c r="I164" s="134"/>
      <c r="J164" s="134">
        <v>13</v>
      </c>
      <c r="K164" s="135"/>
      <c r="L164" s="11">
        <f>ROW()</f>
        <v>164</v>
      </c>
    </row>
    <row r="165" spans="3:12" x14ac:dyDescent="0.25">
      <c r="C165" s="11">
        <v>29</v>
      </c>
      <c r="D165" s="133">
        <v>45087</v>
      </c>
      <c r="E165" s="106">
        <v>29</v>
      </c>
      <c r="F165" s="107" t="s">
        <v>182</v>
      </c>
      <c r="G165" s="160" t="s">
        <v>22</v>
      </c>
      <c r="H165" s="198" t="s">
        <v>23</v>
      </c>
      <c r="I165" s="134"/>
      <c r="J165" s="134">
        <v>115.55</v>
      </c>
      <c r="K165" s="135"/>
      <c r="L165" s="11">
        <f>ROW()</f>
        <v>165</v>
      </c>
    </row>
    <row r="166" spans="3:12" x14ac:dyDescent="0.25">
      <c r="C166" s="11">
        <v>29</v>
      </c>
      <c r="D166" s="136">
        <v>45087</v>
      </c>
      <c r="E166" s="137">
        <v>29</v>
      </c>
      <c r="F166" s="138" t="s">
        <v>182</v>
      </c>
      <c r="G166" s="160" t="s">
        <v>24</v>
      </c>
      <c r="H166" s="198" t="s">
        <v>25</v>
      </c>
      <c r="I166" s="134"/>
      <c r="J166" s="134">
        <v>230.52</v>
      </c>
      <c r="K166" s="135"/>
      <c r="L166" s="11">
        <f>ROW()</f>
        <v>166</v>
      </c>
    </row>
    <row r="167" spans="3:12" x14ac:dyDescent="0.25">
      <c r="C167" s="11">
        <v>29</v>
      </c>
      <c r="D167" s="136">
        <v>45087</v>
      </c>
      <c r="E167" s="137">
        <v>29</v>
      </c>
      <c r="F167" s="138" t="s">
        <v>182</v>
      </c>
      <c r="G167" s="160" t="s">
        <v>32</v>
      </c>
      <c r="H167" s="198" t="s">
        <v>33</v>
      </c>
      <c r="I167" s="134">
        <v>500</v>
      </c>
      <c r="J167" s="134"/>
      <c r="K167" s="135"/>
      <c r="L167" s="11">
        <f>ROW()</f>
        <v>167</v>
      </c>
    </row>
    <row r="168" spans="3:12" ht="15.75" thickBot="1" x14ac:dyDescent="0.3">
      <c r="C168" s="11">
        <v>29</v>
      </c>
      <c r="D168" s="139">
        <v>45087</v>
      </c>
      <c r="E168" s="140">
        <v>29</v>
      </c>
      <c r="F168" s="141" t="s">
        <v>182</v>
      </c>
      <c r="G168" s="161"/>
      <c r="H168" s="194" t="s">
        <v>149</v>
      </c>
      <c r="I168" s="185"/>
      <c r="J168" s="185"/>
      <c r="K168" s="186"/>
      <c r="L168" s="11">
        <f>ROW()</f>
        <v>168</v>
      </c>
    </row>
    <row r="169" spans="3:12" ht="15.75" thickBot="1" x14ac:dyDescent="0.3">
      <c r="C169" s="11">
        <v>29</v>
      </c>
      <c r="D169" s="142">
        <v>45087</v>
      </c>
      <c r="E169" s="143">
        <v>29</v>
      </c>
      <c r="F169" s="144" t="s">
        <v>182</v>
      </c>
      <c r="G169" s="162"/>
      <c r="H169" s="184"/>
      <c r="I169" s="146"/>
      <c r="J169" s="146"/>
      <c r="K169" s="145"/>
      <c r="L169" s="11">
        <f>ROW()</f>
        <v>169</v>
      </c>
    </row>
    <row r="170" spans="3:12" x14ac:dyDescent="0.25">
      <c r="C170" s="11">
        <v>30</v>
      </c>
      <c r="D170" s="128">
        <v>45270</v>
      </c>
      <c r="E170" s="129">
        <v>30</v>
      </c>
      <c r="F170" s="130" t="s">
        <v>188</v>
      </c>
      <c r="G170" s="159" t="s">
        <v>12</v>
      </c>
      <c r="H170" s="130" t="s">
        <v>15</v>
      </c>
      <c r="I170" s="131">
        <v>16374.3</v>
      </c>
      <c r="J170" s="131"/>
      <c r="K170" s="132"/>
      <c r="L170" s="11">
        <f>ROW()</f>
        <v>170</v>
      </c>
    </row>
    <row r="171" spans="3:12" x14ac:dyDescent="0.25">
      <c r="C171" s="11">
        <v>30</v>
      </c>
      <c r="D171" s="133">
        <v>45270</v>
      </c>
      <c r="E171" s="106">
        <v>30</v>
      </c>
      <c r="F171" s="107" t="s">
        <v>188</v>
      </c>
      <c r="G171" s="160" t="s">
        <v>87</v>
      </c>
      <c r="H171" s="198" t="s">
        <v>88</v>
      </c>
      <c r="I171" s="134"/>
      <c r="J171" s="134">
        <v>15750</v>
      </c>
      <c r="K171" s="135"/>
      <c r="L171" s="11">
        <f>ROW()</f>
        <v>171</v>
      </c>
    </row>
    <row r="172" spans="3:12" x14ac:dyDescent="0.25">
      <c r="C172" s="11">
        <v>30</v>
      </c>
      <c r="D172" s="133">
        <v>45270</v>
      </c>
      <c r="E172" s="106">
        <v>30</v>
      </c>
      <c r="F172" s="107" t="s">
        <v>188</v>
      </c>
      <c r="G172" s="160" t="s">
        <v>118</v>
      </c>
      <c r="H172" s="198" t="s">
        <v>119</v>
      </c>
      <c r="I172" s="134"/>
      <c r="J172" s="134">
        <v>111</v>
      </c>
      <c r="K172" s="135"/>
      <c r="L172" s="11">
        <f>ROW()</f>
        <v>172</v>
      </c>
    </row>
    <row r="173" spans="3:12" x14ac:dyDescent="0.25">
      <c r="C173" s="11">
        <v>30</v>
      </c>
      <c r="D173" s="133">
        <v>45270</v>
      </c>
      <c r="E173" s="106">
        <v>30</v>
      </c>
      <c r="F173" s="107" t="s">
        <v>188</v>
      </c>
      <c r="G173" s="160" t="s">
        <v>120</v>
      </c>
      <c r="H173" s="198" t="s">
        <v>121</v>
      </c>
      <c r="I173" s="134"/>
      <c r="J173" s="134">
        <v>222</v>
      </c>
      <c r="K173" s="135"/>
      <c r="L173" s="11">
        <f>ROW()</f>
        <v>173</v>
      </c>
    </row>
    <row r="174" spans="3:12" x14ac:dyDescent="0.25">
      <c r="C174" s="11">
        <v>30</v>
      </c>
      <c r="D174" s="133">
        <v>45270</v>
      </c>
      <c r="E174" s="106">
        <v>30</v>
      </c>
      <c r="F174" s="107" t="s">
        <v>188</v>
      </c>
      <c r="G174" s="160" t="s">
        <v>126</v>
      </c>
      <c r="H174" s="198" t="s">
        <v>127</v>
      </c>
      <c r="I174" s="134"/>
      <c r="J174" s="134">
        <v>333</v>
      </c>
      <c r="K174" s="135"/>
      <c r="L174" s="11">
        <f>ROW()</f>
        <v>174</v>
      </c>
    </row>
    <row r="175" spans="3:12" x14ac:dyDescent="0.25">
      <c r="C175" s="11">
        <v>30</v>
      </c>
      <c r="D175" s="133">
        <v>45270</v>
      </c>
      <c r="E175" s="106">
        <v>30</v>
      </c>
      <c r="F175" s="107" t="s">
        <v>188</v>
      </c>
      <c r="G175" s="160" t="s">
        <v>22</v>
      </c>
      <c r="H175" s="198" t="s">
        <v>23</v>
      </c>
      <c r="I175" s="134"/>
      <c r="J175" s="134">
        <v>820.8</v>
      </c>
      <c r="K175" s="135"/>
      <c r="L175" s="11">
        <f>ROW()</f>
        <v>175</v>
      </c>
    </row>
    <row r="176" spans="3:12" x14ac:dyDescent="0.25">
      <c r="C176" s="11">
        <v>30</v>
      </c>
      <c r="D176" s="133">
        <v>45270</v>
      </c>
      <c r="E176" s="106">
        <v>30</v>
      </c>
      <c r="F176" s="107" t="s">
        <v>188</v>
      </c>
      <c r="G176" s="160" t="s">
        <v>24</v>
      </c>
      <c r="H176" s="198" t="s">
        <v>25</v>
      </c>
      <c r="I176" s="134"/>
      <c r="J176" s="134">
        <v>1637.5</v>
      </c>
      <c r="K176" s="135"/>
      <c r="L176" s="11">
        <f>ROW()</f>
        <v>176</v>
      </c>
    </row>
    <row r="177" spans="3:12" x14ac:dyDescent="0.25">
      <c r="C177" s="11">
        <v>30</v>
      </c>
      <c r="D177" s="133">
        <v>45270</v>
      </c>
      <c r="E177" s="106">
        <v>30</v>
      </c>
      <c r="F177" s="107" t="s">
        <v>188</v>
      </c>
      <c r="G177" s="160" t="s">
        <v>32</v>
      </c>
      <c r="H177" s="198" t="s">
        <v>51</v>
      </c>
      <c r="I177" s="134">
        <v>2500</v>
      </c>
      <c r="J177" s="134"/>
      <c r="K177" s="135"/>
      <c r="L177" s="11">
        <f>ROW()</f>
        <v>177</v>
      </c>
    </row>
    <row r="178" spans="3:12" ht="15.75" thickBot="1" x14ac:dyDescent="0.3">
      <c r="C178" s="11">
        <v>30</v>
      </c>
      <c r="D178" s="187">
        <v>45270</v>
      </c>
      <c r="E178" s="188">
        <v>30</v>
      </c>
      <c r="F178" s="189" t="s">
        <v>188</v>
      </c>
      <c r="G178" s="161"/>
      <c r="H178" s="199" t="s">
        <v>149</v>
      </c>
      <c r="I178" s="190"/>
      <c r="J178" s="190"/>
      <c r="K178" s="191"/>
      <c r="L178" s="11">
        <f>ROW()</f>
        <v>178</v>
      </c>
    </row>
    <row r="179" spans="3:12" ht="15.75" thickBot="1" x14ac:dyDescent="0.3">
      <c r="C179" s="11">
        <v>30</v>
      </c>
      <c r="D179" s="122">
        <v>45270</v>
      </c>
      <c r="E179" s="123">
        <v>30</v>
      </c>
      <c r="F179" s="124" t="s">
        <v>188</v>
      </c>
      <c r="L179" s="11">
        <f>ROW()</f>
        <v>179</v>
      </c>
    </row>
    <row r="180" spans="3:12" x14ac:dyDescent="0.25">
      <c r="C180" s="11">
        <v>31</v>
      </c>
      <c r="D180" s="128">
        <v>45270</v>
      </c>
      <c r="E180" s="129">
        <v>31</v>
      </c>
      <c r="F180" s="130" t="s">
        <v>189</v>
      </c>
      <c r="G180" s="159" t="s">
        <v>126</v>
      </c>
      <c r="H180" s="201" t="s">
        <v>127</v>
      </c>
      <c r="I180" s="131">
        <v>15.91</v>
      </c>
      <c r="J180" s="131"/>
      <c r="K180" s="202"/>
      <c r="L180" s="11">
        <f>ROW()</f>
        <v>180</v>
      </c>
    </row>
    <row r="181" spans="3:12" x14ac:dyDescent="0.25">
      <c r="C181" s="11">
        <v>31</v>
      </c>
      <c r="D181" s="133">
        <v>45270</v>
      </c>
      <c r="E181" s="106">
        <v>31</v>
      </c>
      <c r="F181" s="107" t="s">
        <v>189</v>
      </c>
      <c r="G181" s="160" t="s">
        <v>12</v>
      </c>
      <c r="H181" s="203" t="s">
        <v>13</v>
      </c>
      <c r="I181" s="134"/>
      <c r="J181" s="134">
        <v>15.91</v>
      </c>
      <c r="K181" s="204"/>
      <c r="L181" s="11">
        <f>ROW()</f>
        <v>181</v>
      </c>
    </row>
    <row r="182" spans="3:12" ht="15.75" thickBot="1" x14ac:dyDescent="0.3">
      <c r="C182" s="11">
        <v>31</v>
      </c>
      <c r="D182" s="187">
        <v>45270</v>
      </c>
      <c r="E182" s="188">
        <v>31</v>
      </c>
      <c r="F182" s="189" t="s">
        <v>189</v>
      </c>
      <c r="G182" s="161"/>
      <c r="H182" s="199" t="s">
        <v>190</v>
      </c>
      <c r="I182" s="190"/>
      <c r="J182" s="190"/>
      <c r="K182" s="191"/>
      <c r="L182" s="11">
        <f>ROW()</f>
        <v>182</v>
      </c>
    </row>
    <row r="183" spans="3:12" x14ac:dyDescent="0.25">
      <c r="C183" s="11">
        <v>31</v>
      </c>
      <c r="D183" s="122">
        <v>45270</v>
      </c>
      <c r="E183" s="123">
        <v>31</v>
      </c>
      <c r="F183" s="124" t="s">
        <v>189</v>
      </c>
      <c r="H183" s="200"/>
      <c r="K183" s="35"/>
      <c r="L183" s="11">
        <f>ROW()</f>
        <v>183</v>
      </c>
    </row>
  </sheetData>
  <autoFilter ref="C1:L183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C1:J65"/>
  <sheetViews>
    <sheetView tabSelected="1" workbookViewId="0">
      <pane ySplit="3" topLeftCell="A4" activePane="bottomLeft" state="frozen"/>
      <selection pane="bottomLeft" activeCell="K26" sqref="K26"/>
    </sheetView>
  </sheetViews>
  <sheetFormatPr baseColWidth="10" defaultRowHeight="15" x14ac:dyDescent="0.25"/>
  <cols>
    <col min="3" max="3" width="5.7109375" style="174" customWidth="1"/>
    <col min="4" max="4" width="11.42578125" style="12"/>
    <col min="5" max="5" width="37.42578125" bestFit="1" customWidth="1"/>
    <col min="6" max="7" width="13.7109375" style="182" customWidth="1"/>
    <col min="8" max="8" width="5.7109375" style="174" customWidth="1"/>
    <col min="10" max="10" width="12.7109375" customWidth="1"/>
  </cols>
  <sheetData>
    <row r="1" spans="3:10" s="171" customFormat="1" ht="21" x14ac:dyDescent="0.35">
      <c r="C1" s="210" t="s">
        <v>185</v>
      </c>
      <c r="D1" s="210"/>
      <c r="E1" s="210"/>
      <c r="F1" s="210"/>
      <c r="G1" s="210"/>
      <c r="H1" s="210"/>
    </row>
    <row r="2" spans="3:10" s="171" customFormat="1" ht="15" customHeight="1" x14ac:dyDescent="0.35">
      <c r="C2" s="170"/>
      <c r="D2" s="170"/>
      <c r="E2" s="170"/>
      <c r="F2" s="180"/>
      <c r="G2" s="180"/>
      <c r="H2" s="170"/>
      <c r="I2" s="172" t="s">
        <v>7</v>
      </c>
      <c r="J2" s="173">
        <v>45211</v>
      </c>
    </row>
    <row r="3" spans="3:10" ht="21" x14ac:dyDescent="0.35">
      <c r="C3" s="170"/>
      <c r="D3" s="169" t="s">
        <v>184</v>
      </c>
      <c r="E3" s="169" t="s">
        <v>10</v>
      </c>
      <c r="F3" s="181" t="s">
        <v>2</v>
      </c>
      <c r="G3" s="181" t="s">
        <v>3</v>
      </c>
      <c r="H3" s="170"/>
    </row>
    <row r="4" spans="3:10" x14ac:dyDescent="0.25">
      <c r="D4" s="12" t="s">
        <v>12</v>
      </c>
      <c r="E4" t="s">
        <v>13</v>
      </c>
      <c r="F4" s="182">
        <v>5400</v>
      </c>
    </row>
    <row r="5" spans="3:10" x14ac:dyDescent="0.25">
      <c r="D5" s="12" t="s">
        <v>14</v>
      </c>
      <c r="E5" t="s">
        <v>15</v>
      </c>
      <c r="F5" s="182">
        <v>3665.95</v>
      </c>
    </row>
    <row r="6" spans="3:10" x14ac:dyDescent="0.25">
      <c r="D6" s="12" t="s">
        <v>18</v>
      </c>
      <c r="E6" t="s">
        <v>19</v>
      </c>
      <c r="G6" s="182">
        <v>941.28</v>
      </c>
    </row>
    <row r="7" spans="3:10" x14ac:dyDescent="0.25">
      <c r="D7" s="12" t="s">
        <v>20</v>
      </c>
      <c r="E7" t="s">
        <v>21</v>
      </c>
      <c r="G7" s="182">
        <v>1711.04</v>
      </c>
    </row>
    <row r="8" spans="3:10" x14ac:dyDescent="0.25">
      <c r="D8" s="12" t="s">
        <v>22</v>
      </c>
      <c r="E8" t="s">
        <v>23</v>
      </c>
      <c r="F8" s="182">
        <v>885.21</v>
      </c>
      <c r="G8" s="182">
        <v>1711.04</v>
      </c>
    </row>
    <row r="9" spans="3:10" x14ac:dyDescent="0.25">
      <c r="D9" s="12" t="s">
        <v>24</v>
      </c>
      <c r="E9" t="s">
        <v>25</v>
      </c>
      <c r="F9" s="182">
        <v>1766.52</v>
      </c>
    </row>
    <row r="10" spans="3:10" x14ac:dyDescent="0.25">
      <c r="D10" s="12" t="s">
        <v>32</v>
      </c>
      <c r="E10" t="s">
        <v>33</v>
      </c>
      <c r="F10" s="182">
        <v>7055</v>
      </c>
    </row>
    <row r="11" spans="3:10" x14ac:dyDescent="0.25">
      <c r="D11" s="12" t="s">
        <v>34</v>
      </c>
      <c r="E11" t="s">
        <v>35</v>
      </c>
      <c r="F11" s="182">
        <v>3995.99</v>
      </c>
    </row>
    <row r="12" spans="3:10" x14ac:dyDescent="0.25">
      <c r="D12" s="12" t="s">
        <v>53</v>
      </c>
      <c r="E12" t="s">
        <v>54</v>
      </c>
      <c r="G12" s="182">
        <v>4720.1499999999996</v>
      </c>
    </row>
    <row r="13" spans="3:10" x14ac:dyDescent="0.25">
      <c r="D13" s="12" t="s">
        <v>84</v>
      </c>
      <c r="E13" t="s">
        <v>85</v>
      </c>
      <c r="F13" s="182">
        <v>15000</v>
      </c>
    </row>
    <row r="14" spans="3:10" x14ac:dyDescent="0.25">
      <c r="D14" s="12" t="s">
        <v>87</v>
      </c>
      <c r="E14" t="s">
        <v>88</v>
      </c>
      <c r="F14" s="182">
        <v>7055</v>
      </c>
      <c r="G14" s="182">
        <v>30550</v>
      </c>
    </row>
    <row r="15" spans="3:10" x14ac:dyDescent="0.25">
      <c r="D15" s="12" t="s">
        <v>106</v>
      </c>
      <c r="E15" t="s">
        <v>107</v>
      </c>
      <c r="F15" s="182">
        <v>404.95</v>
      </c>
    </row>
    <row r="16" spans="3:10" x14ac:dyDescent="0.25">
      <c r="D16" s="12" t="s">
        <v>118</v>
      </c>
      <c r="E16" t="s">
        <v>119</v>
      </c>
      <c r="G16" s="182">
        <v>275</v>
      </c>
    </row>
    <row r="17" spans="4:7" x14ac:dyDescent="0.25">
      <c r="D17" s="12" t="s">
        <v>120</v>
      </c>
      <c r="E17" t="s">
        <v>121</v>
      </c>
      <c r="G17" s="182">
        <v>355</v>
      </c>
    </row>
    <row r="18" spans="4:7" x14ac:dyDescent="0.25">
      <c r="D18" s="12" t="s">
        <v>122</v>
      </c>
      <c r="E18" t="s">
        <v>123</v>
      </c>
      <c r="G18" s="182">
        <v>102</v>
      </c>
    </row>
    <row r="19" spans="4:7" x14ac:dyDescent="0.25">
      <c r="D19" s="12" t="s">
        <v>124</v>
      </c>
      <c r="E19" t="s">
        <v>125</v>
      </c>
      <c r="F19" s="182">
        <v>795</v>
      </c>
    </row>
    <row r="20" spans="4:7" x14ac:dyDescent="0.25">
      <c r="D20" s="12" t="s">
        <v>126</v>
      </c>
      <c r="E20" t="s">
        <v>127</v>
      </c>
      <c r="G20" s="182">
        <v>314.14999999999998</v>
      </c>
    </row>
    <row r="21" spans="4:7" x14ac:dyDescent="0.25">
      <c r="D21" s="12" t="s">
        <v>46</v>
      </c>
      <c r="E21" t="s">
        <v>47</v>
      </c>
    </row>
    <row r="22" spans="4:7" x14ac:dyDescent="0.25">
      <c r="D22" s="12" t="s">
        <v>48</v>
      </c>
      <c r="E22" t="s">
        <v>49</v>
      </c>
    </row>
    <row r="23" spans="4:7" x14ac:dyDescent="0.25">
      <c r="D23" s="12" t="s">
        <v>50</v>
      </c>
      <c r="E23" t="s">
        <v>51</v>
      </c>
    </row>
    <row r="24" spans="4:7" x14ac:dyDescent="0.25">
      <c r="D24" s="12" t="s">
        <v>53</v>
      </c>
      <c r="E24" t="s">
        <v>54</v>
      </c>
      <c r="G24" s="182">
        <v>4720.1499999999996</v>
      </c>
    </row>
    <row r="25" spans="4:7" x14ac:dyDescent="0.25">
      <c r="D25" s="12" t="s">
        <v>55</v>
      </c>
      <c r="E25" t="s">
        <v>56</v>
      </c>
    </row>
    <row r="26" spans="4:7" x14ac:dyDescent="0.25">
      <c r="D26" s="12" t="s">
        <v>57</v>
      </c>
      <c r="E26" t="s">
        <v>58</v>
      </c>
    </row>
    <row r="27" spans="4:7" x14ac:dyDescent="0.25">
      <c r="D27" s="12" t="s">
        <v>59</v>
      </c>
      <c r="E27" t="s">
        <v>60</v>
      </c>
    </row>
    <row r="28" spans="4:7" x14ac:dyDescent="0.25">
      <c r="D28" s="12" t="s">
        <v>61</v>
      </c>
      <c r="E28" t="s">
        <v>62</v>
      </c>
    </row>
    <row r="29" spans="4:7" x14ac:dyDescent="0.25">
      <c r="D29" s="12" t="s">
        <v>63</v>
      </c>
      <c r="E29" t="s">
        <v>64</v>
      </c>
    </row>
    <row r="30" spans="4:7" x14ac:dyDescent="0.25">
      <c r="D30" s="12" t="s">
        <v>65</v>
      </c>
      <c r="E30" t="s">
        <v>66</v>
      </c>
    </row>
    <row r="31" spans="4:7" x14ac:dyDescent="0.25">
      <c r="D31" s="12" t="s">
        <v>67</v>
      </c>
      <c r="E31" t="s">
        <v>68</v>
      </c>
    </row>
    <row r="32" spans="4:7" x14ac:dyDescent="0.25">
      <c r="D32" s="12" t="s">
        <v>69</v>
      </c>
      <c r="E32" t="s">
        <v>70</v>
      </c>
    </row>
    <row r="33" spans="4:7" x14ac:dyDescent="0.25">
      <c r="D33" s="12" t="s">
        <v>71</v>
      </c>
      <c r="E33" t="s">
        <v>72</v>
      </c>
    </row>
    <row r="34" spans="4:7" x14ac:dyDescent="0.25">
      <c r="D34" s="12" t="s">
        <v>73</v>
      </c>
      <c r="E34" t="s">
        <v>74</v>
      </c>
    </row>
    <row r="35" spans="4:7" x14ac:dyDescent="0.25">
      <c r="D35" s="12" t="s">
        <v>75</v>
      </c>
      <c r="E35" t="s">
        <v>76</v>
      </c>
    </row>
    <row r="36" spans="4:7" x14ac:dyDescent="0.25">
      <c r="D36" s="12" t="s">
        <v>78</v>
      </c>
      <c r="E36" t="s">
        <v>79</v>
      </c>
    </row>
    <row r="37" spans="4:7" x14ac:dyDescent="0.25">
      <c r="D37" s="12" t="s">
        <v>80</v>
      </c>
      <c r="E37" t="s">
        <v>81</v>
      </c>
    </row>
    <row r="38" spans="4:7" x14ac:dyDescent="0.25">
      <c r="D38" s="12" t="s">
        <v>82</v>
      </c>
      <c r="E38" t="s">
        <v>83</v>
      </c>
    </row>
    <row r="39" spans="4:7" x14ac:dyDescent="0.25">
      <c r="D39" s="12" t="s">
        <v>84</v>
      </c>
      <c r="E39" t="s">
        <v>85</v>
      </c>
      <c r="F39" s="182">
        <v>15000</v>
      </c>
    </row>
    <row r="40" spans="4:7" x14ac:dyDescent="0.25">
      <c r="D40" s="12" t="s">
        <v>87</v>
      </c>
      <c r="E40" t="s">
        <v>88</v>
      </c>
      <c r="G40" s="182">
        <v>30550</v>
      </c>
    </row>
    <row r="41" spans="4:7" x14ac:dyDescent="0.25">
      <c r="D41" s="12" t="s">
        <v>89</v>
      </c>
      <c r="E41" t="s">
        <v>90</v>
      </c>
    </row>
    <row r="42" spans="4:7" x14ac:dyDescent="0.25">
      <c r="D42" s="12" t="s">
        <v>91</v>
      </c>
      <c r="E42" t="s">
        <v>92</v>
      </c>
    </row>
    <row r="43" spans="4:7" x14ac:dyDescent="0.25">
      <c r="D43" s="12" t="s">
        <v>93</v>
      </c>
      <c r="E43" t="s">
        <v>94</v>
      </c>
    </row>
    <row r="44" spans="4:7" x14ac:dyDescent="0.25">
      <c r="D44" s="12" t="s">
        <v>95</v>
      </c>
      <c r="E44" t="s">
        <v>96</v>
      </c>
    </row>
    <row r="45" spans="4:7" x14ac:dyDescent="0.25">
      <c r="D45" s="12" t="s">
        <v>97</v>
      </c>
      <c r="E45" t="s">
        <v>98</v>
      </c>
    </row>
    <row r="46" spans="4:7" x14ac:dyDescent="0.25">
      <c r="D46" s="12" t="s">
        <v>100</v>
      </c>
      <c r="E46" t="s">
        <v>101</v>
      </c>
    </row>
    <row r="47" spans="4:7" x14ac:dyDescent="0.25">
      <c r="D47" s="12" t="s">
        <v>102</v>
      </c>
      <c r="E47" t="s">
        <v>103</v>
      </c>
    </row>
    <row r="48" spans="4:7" x14ac:dyDescent="0.25">
      <c r="D48" s="12" t="s">
        <v>104</v>
      </c>
      <c r="E48" t="s">
        <v>105</v>
      </c>
    </row>
    <row r="49" spans="4:7" x14ac:dyDescent="0.25">
      <c r="D49" s="12" t="s">
        <v>106</v>
      </c>
      <c r="E49" t="s">
        <v>107</v>
      </c>
      <c r="F49" s="182">
        <v>404.95</v>
      </c>
    </row>
    <row r="50" spans="4:7" x14ac:dyDescent="0.25">
      <c r="D50" s="12" t="s">
        <v>108</v>
      </c>
      <c r="E50" t="s">
        <v>109</v>
      </c>
    </row>
    <row r="51" spans="4:7" x14ac:dyDescent="0.25">
      <c r="D51" s="12" t="s">
        <v>110</v>
      </c>
      <c r="E51" t="s">
        <v>111</v>
      </c>
    </row>
    <row r="52" spans="4:7" x14ac:dyDescent="0.25">
      <c r="D52" s="12" t="s">
        <v>112</v>
      </c>
      <c r="E52" t="s">
        <v>113</v>
      </c>
    </row>
    <row r="53" spans="4:7" x14ac:dyDescent="0.25">
      <c r="D53" s="12" t="s">
        <v>114</v>
      </c>
      <c r="E53" t="s">
        <v>115</v>
      </c>
    </row>
    <row r="54" spans="4:7" x14ac:dyDescent="0.25">
      <c r="D54" s="12" t="s">
        <v>116</v>
      </c>
      <c r="E54" t="s">
        <v>117</v>
      </c>
    </row>
    <row r="55" spans="4:7" x14ac:dyDescent="0.25">
      <c r="D55" s="12" t="s">
        <v>118</v>
      </c>
      <c r="E55" t="s">
        <v>119</v>
      </c>
      <c r="G55" s="182">
        <v>275</v>
      </c>
    </row>
    <row r="56" spans="4:7" x14ac:dyDescent="0.25">
      <c r="D56" s="12" t="s">
        <v>120</v>
      </c>
      <c r="E56" t="s">
        <v>121</v>
      </c>
      <c r="G56" s="182">
        <v>355</v>
      </c>
    </row>
    <row r="57" spans="4:7" x14ac:dyDescent="0.25">
      <c r="D57" s="12" t="s">
        <v>122</v>
      </c>
      <c r="E57" t="s">
        <v>123</v>
      </c>
      <c r="G57" s="182">
        <v>102</v>
      </c>
    </row>
    <row r="58" spans="4:7" x14ac:dyDescent="0.25">
      <c r="D58" s="12" t="s">
        <v>124</v>
      </c>
      <c r="E58" t="s">
        <v>125</v>
      </c>
      <c r="F58" s="182">
        <v>795</v>
      </c>
    </row>
    <row r="59" spans="4:7" x14ac:dyDescent="0.25">
      <c r="D59" s="12" t="s">
        <v>126</v>
      </c>
      <c r="E59" t="s">
        <v>127</v>
      </c>
      <c r="G59" s="182">
        <v>330.06</v>
      </c>
    </row>
    <row r="60" spans="4:7" x14ac:dyDescent="0.25">
      <c r="D60" s="12" t="s">
        <v>128</v>
      </c>
      <c r="E60" t="s">
        <v>129</v>
      </c>
    </row>
    <row r="61" spans="4:7" x14ac:dyDescent="0.25">
      <c r="D61" s="12" t="s">
        <v>130</v>
      </c>
      <c r="E61" t="s">
        <v>131</v>
      </c>
    </row>
    <row r="62" spans="4:7" x14ac:dyDescent="0.25">
      <c r="D62" s="12" t="s">
        <v>132</v>
      </c>
      <c r="E62" t="s">
        <v>133</v>
      </c>
    </row>
    <row r="63" spans="4:7" x14ac:dyDescent="0.25">
      <c r="D63" s="12" t="s">
        <v>134</v>
      </c>
      <c r="E63" t="s">
        <v>135</v>
      </c>
    </row>
    <row r="65" spans="6:7" x14ac:dyDescent="0.25">
      <c r="F65" s="182">
        <f>SUM(F4:F63)</f>
        <v>62223.569999999992</v>
      </c>
      <c r="G65" s="182">
        <f>SUM(G4:G63)</f>
        <v>77011.87</v>
      </c>
    </row>
  </sheetData>
  <mergeCells count="1">
    <mergeCell ref="C1:H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topLeftCell="A35" workbookViewId="0">
      <selection activeCell="E3" sqref="E3"/>
    </sheetView>
  </sheetViews>
  <sheetFormatPr baseColWidth="10" defaultRowHeight="15" x14ac:dyDescent="0.25"/>
  <cols>
    <col min="1" max="1" width="37.42578125" bestFit="1" customWidth="1"/>
    <col min="2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8"/>
      <c r="D1" s="176" t="s">
        <v>136</v>
      </c>
      <c r="E1" s="176" t="s">
        <v>186</v>
      </c>
      <c r="F1" s="176" t="s">
        <v>187</v>
      </c>
    </row>
    <row r="2" spans="1:6" ht="15.75" thickBot="1" x14ac:dyDescent="0.3">
      <c r="A2" t="s">
        <v>138</v>
      </c>
      <c r="C2" s="8"/>
      <c r="D2" s="5" t="s">
        <v>9</v>
      </c>
      <c r="E2" s="5" t="s">
        <v>137</v>
      </c>
      <c r="F2" s="6" t="s">
        <v>10</v>
      </c>
    </row>
    <row r="3" spans="1:6" x14ac:dyDescent="0.25">
      <c r="A3" s="9" t="str">
        <f>F3</f>
        <v>Encaisse</v>
      </c>
      <c r="C3" s="8"/>
      <c r="D3" s="175" t="s">
        <v>11</v>
      </c>
      <c r="E3" s="7" t="s">
        <v>12</v>
      </c>
      <c r="F3" s="8" t="s">
        <v>13</v>
      </c>
    </row>
    <row r="4" spans="1:6" x14ac:dyDescent="0.25">
      <c r="A4" s="9" t="str">
        <f t="shared" ref="A4:A62" si="0">F4</f>
        <v>Comptes Clients</v>
      </c>
      <c r="C4" s="8"/>
      <c r="D4" s="175" t="s">
        <v>11</v>
      </c>
      <c r="E4" s="7" t="s">
        <v>14</v>
      </c>
      <c r="F4" s="8" t="s">
        <v>15</v>
      </c>
    </row>
    <row r="5" spans="1:6" x14ac:dyDescent="0.25">
      <c r="A5" s="9" t="str">
        <f t="shared" si="0"/>
        <v>Provision pour mauvaises créances</v>
      </c>
      <c r="C5" s="8"/>
      <c r="D5" s="175" t="s">
        <v>11</v>
      </c>
      <c r="E5" s="7" t="s">
        <v>16</v>
      </c>
      <c r="F5" s="8" t="s">
        <v>17</v>
      </c>
    </row>
    <row r="6" spans="1:6" x14ac:dyDescent="0.25">
      <c r="A6" s="9" t="str">
        <f t="shared" si="0"/>
        <v>TPS payée</v>
      </c>
      <c r="C6" s="8"/>
      <c r="D6" s="175" t="s">
        <v>11</v>
      </c>
      <c r="E6" s="7" t="s">
        <v>18</v>
      </c>
      <c r="F6" s="8" t="s">
        <v>19</v>
      </c>
    </row>
    <row r="7" spans="1:6" x14ac:dyDescent="0.25">
      <c r="A7" s="9" t="str">
        <f t="shared" si="0"/>
        <v>TVQ payée</v>
      </c>
      <c r="C7" s="8"/>
      <c r="D7" s="175" t="s">
        <v>11</v>
      </c>
      <c r="E7" s="7" t="s">
        <v>20</v>
      </c>
      <c r="F7" s="8" t="s">
        <v>21</v>
      </c>
    </row>
    <row r="8" spans="1:6" x14ac:dyDescent="0.25">
      <c r="A8" s="9" t="str">
        <f t="shared" si="0"/>
        <v>TPS facturée</v>
      </c>
      <c r="C8" s="8"/>
      <c r="D8" s="175" t="s">
        <v>11</v>
      </c>
      <c r="E8" s="7" t="s">
        <v>22</v>
      </c>
      <c r="F8" s="8" t="s">
        <v>23</v>
      </c>
    </row>
    <row r="9" spans="1:6" x14ac:dyDescent="0.25">
      <c r="A9" s="9" t="str">
        <f t="shared" si="0"/>
        <v>TVQ facturée</v>
      </c>
      <c r="C9" s="8"/>
      <c r="D9" s="175" t="s">
        <v>11</v>
      </c>
      <c r="E9" s="7" t="s">
        <v>24</v>
      </c>
      <c r="F9" s="8" t="s">
        <v>25</v>
      </c>
    </row>
    <row r="10" spans="1:6" x14ac:dyDescent="0.25">
      <c r="A10" s="9" t="str">
        <f t="shared" si="0"/>
        <v>Acomptes provisionnels - TPS</v>
      </c>
      <c r="C10" s="8"/>
      <c r="D10" s="175" t="s">
        <v>11</v>
      </c>
      <c r="E10" s="7" t="s">
        <v>26</v>
      </c>
      <c r="F10" s="8" t="s">
        <v>27</v>
      </c>
    </row>
    <row r="11" spans="1:6" x14ac:dyDescent="0.25">
      <c r="A11" s="9" t="str">
        <f t="shared" si="0"/>
        <v>Acomptes provisionnels - TVQ</v>
      </c>
      <c r="D11" s="175" t="s">
        <v>11</v>
      </c>
      <c r="E11" s="7" t="s">
        <v>28</v>
      </c>
      <c r="F11" s="8" t="s">
        <v>29</v>
      </c>
    </row>
    <row r="12" spans="1:6" x14ac:dyDescent="0.25">
      <c r="A12" s="9" t="str">
        <f t="shared" si="0"/>
        <v>Travaux en cours</v>
      </c>
      <c r="D12" s="175" t="s">
        <v>11</v>
      </c>
      <c r="E12" s="7" t="s">
        <v>30</v>
      </c>
      <c r="F12" s="8" t="s">
        <v>31</v>
      </c>
    </row>
    <row r="13" spans="1:6" x14ac:dyDescent="0.25">
      <c r="A13" s="9" t="str">
        <f t="shared" si="0"/>
        <v>Frais payés d'avance</v>
      </c>
      <c r="D13" s="175" t="s">
        <v>11</v>
      </c>
      <c r="E13" s="7" t="s">
        <v>32</v>
      </c>
      <c r="F13" s="8" t="s">
        <v>33</v>
      </c>
    </row>
    <row r="14" spans="1:6" x14ac:dyDescent="0.25">
      <c r="A14" s="9" t="str">
        <f t="shared" si="0"/>
        <v>Mobilier de bureau</v>
      </c>
      <c r="D14" s="175" t="s">
        <v>11</v>
      </c>
      <c r="E14" s="7" t="s">
        <v>34</v>
      </c>
      <c r="F14" s="8" t="s">
        <v>35</v>
      </c>
    </row>
    <row r="15" spans="1:6" x14ac:dyDescent="0.25">
      <c r="A15" s="9" t="str">
        <f t="shared" si="0"/>
        <v>Amort. Cum - mobil. de bureau</v>
      </c>
      <c r="D15" s="175" t="s">
        <v>11</v>
      </c>
      <c r="E15" s="7" t="s">
        <v>36</v>
      </c>
      <c r="F15" s="8" t="s">
        <v>37</v>
      </c>
    </row>
    <row r="16" spans="1:6" x14ac:dyDescent="0.25">
      <c r="A16" s="9" t="str">
        <f t="shared" si="0"/>
        <v>Matériel informatique</v>
      </c>
      <c r="D16" s="175" t="s">
        <v>11</v>
      </c>
      <c r="E16" s="7" t="s">
        <v>38</v>
      </c>
      <c r="F16" s="8" t="s">
        <v>39</v>
      </c>
    </row>
    <row r="17" spans="1:6" x14ac:dyDescent="0.25">
      <c r="A17" s="9" t="str">
        <f t="shared" si="0"/>
        <v>Amort. Cum - mat. Inform.</v>
      </c>
      <c r="D17" s="175" t="s">
        <v>11</v>
      </c>
      <c r="E17" s="7" t="s">
        <v>40</v>
      </c>
      <c r="F17" s="8" t="s">
        <v>41</v>
      </c>
    </row>
    <row r="18" spans="1:6" x14ac:dyDescent="0.25">
      <c r="A18" s="9" t="str">
        <f t="shared" si="0"/>
        <v>Logiciel informatique</v>
      </c>
      <c r="D18" s="175" t="s">
        <v>11</v>
      </c>
      <c r="E18" s="7" t="s">
        <v>42</v>
      </c>
      <c r="F18" s="8" t="s">
        <v>43</v>
      </c>
    </row>
    <row r="19" spans="1:6" x14ac:dyDescent="0.25">
      <c r="A19" s="9" t="str">
        <f t="shared" si="0"/>
        <v>Amort. Cum - logiciels</v>
      </c>
      <c r="D19" s="175" t="s">
        <v>11</v>
      </c>
      <c r="E19" s="7" t="s">
        <v>44</v>
      </c>
      <c r="F19" s="8" t="s">
        <v>45</v>
      </c>
    </row>
    <row r="20" spans="1:6" x14ac:dyDescent="0.25">
      <c r="A20" s="9" t="str">
        <f t="shared" si="0"/>
        <v>Achalandage</v>
      </c>
      <c r="D20" s="175" t="s">
        <v>11</v>
      </c>
      <c r="E20" s="7" t="s">
        <v>46</v>
      </c>
      <c r="F20" s="8" t="s">
        <v>47</v>
      </c>
    </row>
    <row r="21" spans="1:6" x14ac:dyDescent="0.25">
      <c r="A21" s="9" t="str">
        <f t="shared" si="0"/>
        <v>Amort. Cum - Achalandage</v>
      </c>
      <c r="D21" s="175" t="s">
        <v>11</v>
      </c>
      <c r="E21" s="7" t="s">
        <v>48</v>
      </c>
      <c r="F21" s="8" t="s">
        <v>49</v>
      </c>
    </row>
    <row r="22" spans="1:6" x14ac:dyDescent="0.25">
      <c r="A22" s="9" t="str">
        <f t="shared" si="0"/>
        <v>Avance - Prêt GCP</v>
      </c>
      <c r="D22" s="175" t="s">
        <v>11</v>
      </c>
      <c r="E22" s="7" t="s">
        <v>50</v>
      </c>
      <c r="F22" s="8" t="s">
        <v>51</v>
      </c>
    </row>
    <row r="23" spans="1:6" x14ac:dyDescent="0.25">
      <c r="A23" s="9" t="str">
        <f t="shared" si="0"/>
        <v>VISA Odyssey Desjardins</v>
      </c>
      <c r="D23" s="175" t="s">
        <v>52</v>
      </c>
      <c r="E23" s="7" t="s">
        <v>53</v>
      </c>
      <c r="F23" s="8" t="s">
        <v>54</v>
      </c>
    </row>
    <row r="24" spans="1:6" x14ac:dyDescent="0.25">
      <c r="A24" s="9" t="str">
        <f t="shared" si="0"/>
        <v>Avances de Guillaume Charron</v>
      </c>
      <c r="D24" s="175" t="s">
        <v>52</v>
      </c>
      <c r="E24" s="7" t="s">
        <v>55</v>
      </c>
      <c r="F24" s="8" t="s">
        <v>56</v>
      </c>
    </row>
    <row r="25" spans="1:6" x14ac:dyDescent="0.25">
      <c r="A25" s="9" t="str">
        <f t="shared" si="0"/>
        <v>Avances à Fiducie Famille Charron</v>
      </c>
      <c r="D25" s="175" t="s">
        <v>52</v>
      </c>
      <c r="E25" s="7" t="s">
        <v>57</v>
      </c>
      <c r="F25" s="8" t="s">
        <v>58</v>
      </c>
    </row>
    <row r="26" spans="1:6" x14ac:dyDescent="0.25">
      <c r="A26" s="9" t="str">
        <f t="shared" si="0"/>
        <v>Compte fournisseur</v>
      </c>
      <c r="D26" s="175" t="s">
        <v>52</v>
      </c>
      <c r="E26" s="7" t="s">
        <v>59</v>
      </c>
      <c r="F26" s="8" t="s">
        <v>60</v>
      </c>
    </row>
    <row r="27" spans="1:6" x14ac:dyDescent="0.25">
      <c r="A27" s="9" t="str">
        <f t="shared" si="0"/>
        <v>Avances avec 9249-3626 Québec inc.</v>
      </c>
      <c r="D27" s="175" t="s">
        <v>52</v>
      </c>
      <c r="E27" s="7" t="s">
        <v>61</v>
      </c>
      <c r="F27" s="8" t="s">
        <v>62</v>
      </c>
    </row>
    <row r="28" spans="1:6" x14ac:dyDescent="0.25">
      <c r="A28" s="9" t="str">
        <f t="shared" si="0"/>
        <v>Avances avec 9333-4829 Québec inc</v>
      </c>
      <c r="D28" s="175" t="s">
        <v>52</v>
      </c>
      <c r="E28" s="7" t="s">
        <v>63</v>
      </c>
      <c r="F28" s="8" t="s">
        <v>64</v>
      </c>
    </row>
    <row r="29" spans="1:6" x14ac:dyDescent="0.25">
      <c r="A29" s="9" t="str">
        <f t="shared" si="0"/>
        <v>Prêt - Compte d'urgence</v>
      </c>
      <c r="D29" s="175" t="s">
        <v>52</v>
      </c>
      <c r="E29" s="7" t="s">
        <v>65</v>
      </c>
      <c r="F29" s="8" t="s">
        <v>66</v>
      </c>
    </row>
    <row r="30" spans="1:6" x14ac:dyDescent="0.25">
      <c r="A30" s="9" t="str">
        <f t="shared" si="0"/>
        <v>Impôt Fédéral à payer</v>
      </c>
      <c r="D30" s="175" t="s">
        <v>52</v>
      </c>
      <c r="E30" s="7" t="s">
        <v>67</v>
      </c>
      <c r="F30" s="8" t="s">
        <v>68</v>
      </c>
    </row>
    <row r="31" spans="1:6" x14ac:dyDescent="0.25">
      <c r="A31" s="9" t="str">
        <f t="shared" si="0"/>
        <v>Impôt Québec à payer</v>
      </c>
      <c r="D31" s="175" t="s">
        <v>52</v>
      </c>
      <c r="E31" s="7" t="s">
        <v>69</v>
      </c>
      <c r="F31" s="8" t="s">
        <v>70</v>
      </c>
    </row>
    <row r="32" spans="1:6" x14ac:dyDescent="0.25">
      <c r="A32" s="9" t="str">
        <f t="shared" si="0"/>
        <v>Acomptes - Impôt Fédéral</v>
      </c>
      <c r="D32" s="175" t="s">
        <v>52</v>
      </c>
      <c r="E32" s="7" t="s">
        <v>71</v>
      </c>
      <c r="F32" s="8" t="s">
        <v>72</v>
      </c>
    </row>
    <row r="33" spans="1:6" x14ac:dyDescent="0.25">
      <c r="A33" s="9" t="str">
        <f t="shared" si="0"/>
        <v>Acomptes - Impôt Québec</v>
      </c>
      <c r="D33" s="175" t="s">
        <v>52</v>
      </c>
      <c r="E33" s="7" t="s">
        <v>73</v>
      </c>
      <c r="F33" s="8" t="s">
        <v>74</v>
      </c>
    </row>
    <row r="34" spans="1:6" x14ac:dyDescent="0.25">
      <c r="A34" s="9" t="str">
        <f t="shared" si="0"/>
        <v>Produit perçu d'avance</v>
      </c>
      <c r="D34" s="175" t="s">
        <v>52</v>
      </c>
      <c r="E34" s="7" t="s">
        <v>75</v>
      </c>
      <c r="F34" s="8" t="s">
        <v>76</v>
      </c>
    </row>
    <row r="35" spans="1:6" x14ac:dyDescent="0.25">
      <c r="A35" s="9" t="str">
        <f t="shared" si="0"/>
        <v>Actions ordinaires</v>
      </c>
      <c r="D35" s="175" t="s">
        <v>77</v>
      </c>
      <c r="E35" s="7" t="s">
        <v>78</v>
      </c>
      <c r="F35" s="8" t="s">
        <v>79</v>
      </c>
    </row>
    <row r="36" spans="1:6" x14ac:dyDescent="0.25">
      <c r="A36" s="9" t="str">
        <f t="shared" si="0"/>
        <v>Actions privilégiées</v>
      </c>
      <c r="D36" s="175" t="s">
        <v>77</v>
      </c>
      <c r="E36" s="7" t="s">
        <v>80</v>
      </c>
      <c r="F36" s="8" t="s">
        <v>81</v>
      </c>
    </row>
    <row r="37" spans="1:6" x14ac:dyDescent="0.25">
      <c r="A37" s="9" t="str">
        <f t="shared" si="0"/>
        <v>BNR</v>
      </c>
      <c r="D37" s="175" t="s">
        <v>77</v>
      </c>
      <c r="E37" s="7" t="s">
        <v>82</v>
      </c>
      <c r="F37" s="8" t="s">
        <v>83</v>
      </c>
    </row>
    <row r="38" spans="1:6" x14ac:dyDescent="0.25">
      <c r="A38" s="9" t="str">
        <f t="shared" si="0"/>
        <v>Dividendes</v>
      </c>
      <c r="D38" s="175" t="s">
        <v>77</v>
      </c>
      <c r="E38" s="7" t="s">
        <v>84</v>
      </c>
      <c r="F38" s="8" t="s">
        <v>85</v>
      </c>
    </row>
    <row r="39" spans="1:6" x14ac:dyDescent="0.25">
      <c r="A39" s="9" t="str">
        <f t="shared" si="0"/>
        <v>Revenus de consultation</v>
      </c>
      <c r="D39" s="175" t="s">
        <v>86</v>
      </c>
      <c r="E39" s="7" t="s">
        <v>87</v>
      </c>
      <c r="F39" s="8" t="s">
        <v>88</v>
      </c>
    </row>
    <row r="40" spans="1:6" x14ac:dyDescent="0.25">
      <c r="A40" s="9" t="str">
        <f t="shared" si="0"/>
        <v>Revenus - Sociétés apparentées</v>
      </c>
      <c r="D40" s="175" t="s">
        <v>86</v>
      </c>
      <c r="E40" s="7" t="s">
        <v>89</v>
      </c>
      <c r="F40" s="8" t="s">
        <v>90</v>
      </c>
    </row>
    <row r="41" spans="1:6" x14ac:dyDescent="0.25">
      <c r="A41" s="9" t="str">
        <f t="shared" si="0"/>
        <v>Revenus - travaux en cours</v>
      </c>
      <c r="D41" s="175" t="s">
        <v>86</v>
      </c>
      <c r="E41" s="7" t="s">
        <v>91</v>
      </c>
      <c r="F41" s="8" t="s">
        <v>92</v>
      </c>
    </row>
    <row r="42" spans="1:6" x14ac:dyDescent="0.25">
      <c r="A42" s="9" t="str">
        <f t="shared" si="0"/>
        <v>Revenus d'intérêts</v>
      </c>
      <c r="D42" s="175" t="s">
        <v>86</v>
      </c>
      <c r="E42" s="7" t="s">
        <v>93</v>
      </c>
      <c r="F42" s="8" t="s">
        <v>94</v>
      </c>
    </row>
    <row r="43" spans="1:6" x14ac:dyDescent="0.25">
      <c r="A43" s="9" t="str">
        <f t="shared" si="0"/>
        <v>Revenus de dividendes</v>
      </c>
      <c r="D43" s="175" t="s">
        <v>86</v>
      </c>
      <c r="E43" s="7" t="s">
        <v>95</v>
      </c>
      <c r="F43" s="8" t="s">
        <v>96</v>
      </c>
    </row>
    <row r="44" spans="1:6" x14ac:dyDescent="0.25">
      <c r="A44" s="9" t="str">
        <f t="shared" si="0"/>
        <v>Prise de valeur - Valeur de consolidation</v>
      </c>
      <c r="D44" s="175" t="s">
        <v>86</v>
      </c>
      <c r="E44" s="7" t="s">
        <v>97</v>
      </c>
      <c r="F44" s="7" t="s">
        <v>98</v>
      </c>
    </row>
    <row r="45" spans="1:6" x14ac:dyDescent="0.25">
      <c r="A45" s="9" t="str">
        <f t="shared" si="0"/>
        <v>Doc. et outils de recherche</v>
      </c>
      <c r="D45" s="175" t="s">
        <v>99</v>
      </c>
      <c r="E45" s="7" t="s">
        <v>100</v>
      </c>
      <c r="F45" s="8" t="s">
        <v>101</v>
      </c>
    </row>
    <row r="46" spans="1:6" x14ac:dyDescent="0.25">
      <c r="A46" s="9" t="str">
        <f t="shared" si="0"/>
        <v>Formations</v>
      </c>
      <c r="D46" s="175" t="s">
        <v>99</v>
      </c>
      <c r="E46" s="7" t="s">
        <v>102</v>
      </c>
      <c r="F46" s="8" t="s">
        <v>103</v>
      </c>
    </row>
    <row r="47" spans="1:6" x14ac:dyDescent="0.25">
      <c r="A47" s="9" t="str">
        <f t="shared" si="0"/>
        <v>Fournitures de bureau</v>
      </c>
      <c r="D47" s="175" t="s">
        <v>99</v>
      </c>
      <c r="E47" s="7" t="s">
        <v>104</v>
      </c>
      <c r="F47" s="8" t="s">
        <v>105</v>
      </c>
    </row>
    <row r="48" spans="1:6" x14ac:dyDescent="0.25">
      <c r="A48" s="9" t="str">
        <f t="shared" si="0"/>
        <v>Frais de représentation</v>
      </c>
      <c r="D48" s="175" t="s">
        <v>99</v>
      </c>
      <c r="E48" s="7" t="s">
        <v>106</v>
      </c>
      <c r="F48" s="8" t="s">
        <v>107</v>
      </c>
    </row>
    <row r="49" spans="1:6" x14ac:dyDescent="0.25">
      <c r="A49" s="9" t="str">
        <f t="shared" si="0"/>
        <v>Golf / Pourvoirie</v>
      </c>
      <c r="D49" s="175" t="s">
        <v>99</v>
      </c>
      <c r="E49" s="7" t="s">
        <v>108</v>
      </c>
      <c r="F49" s="8" t="s">
        <v>109</v>
      </c>
    </row>
    <row r="50" spans="1:6" x14ac:dyDescent="0.25">
      <c r="A50" s="9" t="str">
        <f t="shared" si="0"/>
        <v>Frais de déplacement</v>
      </c>
      <c r="D50" s="175" t="s">
        <v>99</v>
      </c>
      <c r="E50" s="7" t="s">
        <v>110</v>
      </c>
      <c r="F50" s="8" t="s">
        <v>111</v>
      </c>
    </row>
    <row r="51" spans="1:6" x14ac:dyDescent="0.25">
      <c r="A51" s="9" t="str">
        <f t="shared" si="0"/>
        <v>Frais de publicité</v>
      </c>
      <c r="D51" s="175" t="s">
        <v>99</v>
      </c>
      <c r="E51" s="7" t="s">
        <v>112</v>
      </c>
      <c r="F51" s="8" t="s">
        <v>113</v>
      </c>
    </row>
    <row r="52" spans="1:6" x14ac:dyDescent="0.25">
      <c r="A52" s="9" t="str">
        <f t="shared" si="0"/>
        <v>Fournitures informatiques &amp; Site web</v>
      </c>
      <c r="D52" s="175" t="s">
        <v>99</v>
      </c>
      <c r="E52" s="7" t="s">
        <v>114</v>
      </c>
      <c r="F52" s="8" t="s">
        <v>115</v>
      </c>
    </row>
    <row r="53" spans="1:6" x14ac:dyDescent="0.25">
      <c r="A53" s="9" t="str">
        <f t="shared" si="0"/>
        <v>Loyer</v>
      </c>
      <c r="D53" s="175" t="s">
        <v>99</v>
      </c>
      <c r="E53" s="7" t="s">
        <v>116</v>
      </c>
      <c r="F53" s="8" t="s">
        <v>117</v>
      </c>
    </row>
    <row r="54" spans="1:6" x14ac:dyDescent="0.25">
      <c r="A54" s="9" t="str">
        <f t="shared" si="0"/>
        <v>Frais de communications</v>
      </c>
      <c r="D54" s="175" t="s">
        <v>99</v>
      </c>
      <c r="E54" s="7" t="s">
        <v>118</v>
      </c>
      <c r="F54" s="8" t="s">
        <v>119</v>
      </c>
    </row>
    <row r="55" spans="1:6" x14ac:dyDescent="0.25">
      <c r="A55" s="9" t="str">
        <f t="shared" si="0"/>
        <v>Frais de poste</v>
      </c>
      <c r="D55" s="175" t="s">
        <v>99</v>
      </c>
      <c r="E55" s="7" t="s">
        <v>120</v>
      </c>
      <c r="F55" s="8" t="s">
        <v>121</v>
      </c>
    </row>
    <row r="56" spans="1:6" x14ac:dyDescent="0.25">
      <c r="A56" s="9" t="str">
        <f t="shared" si="0"/>
        <v>Salaires et Sous-traitance</v>
      </c>
      <c r="D56" s="175" t="s">
        <v>99</v>
      </c>
      <c r="E56" s="7" t="s">
        <v>122</v>
      </c>
      <c r="F56" s="8" t="s">
        <v>123</v>
      </c>
    </row>
    <row r="57" spans="1:6" x14ac:dyDescent="0.25">
      <c r="A57" s="9" t="str">
        <f t="shared" si="0"/>
        <v>Assurance &amp; Cotisation professionnelle</v>
      </c>
      <c r="D57" s="175" t="s">
        <v>99</v>
      </c>
      <c r="E57" s="7" t="s">
        <v>124</v>
      </c>
      <c r="F57" s="8" t="s">
        <v>125</v>
      </c>
    </row>
    <row r="58" spans="1:6" x14ac:dyDescent="0.25">
      <c r="A58" s="9" t="str">
        <f t="shared" si="0"/>
        <v>Frais financiers</v>
      </c>
      <c r="D58" s="175" t="s">
        <v>99</v>
      </c>
      <c r="E58" s="7" t="s">
        <v>126</v>
      </c>
      <c r="F58" s="8" t="s">
        <v>127</v>
      </c>
    </row>
    <row r="59" spans="1:6" x14ac:dyDescent="0.25">
      <c r="A59" s="9" t="str">
        <f t="shared" si="0"/>
        <v>Amortissement</v>
      </c>
      <c r="D59" s="175" t="s">
        <v>99</v>
      </c>
      <c r="E59" s="7" t="s">
        <v>128</v>
      </c>
      <c r="F59" s="8" t="s">
        <v>129</v>
      </c>
    </row>
    <row r="60" spans="1:6" x14ac:dyDescent="0.25">
      <c r="A60" s="9" t="str">
        <f t="shared" si="0"/>
        <v>Mauvaises créances</v>
      </c>
      <c r="D60" s="175" t="s">
        <v>99</v>
      </c>
      <c r="E60" s="7" t="s">
        <v>130</v>
      </c>
      <c r="F60" s="8" t="s">
        <v>131</v>
      </c>
    </row>
    <row r="61" spans="1:6" x14ac:dyDescent="0.25">
      <c r="A61" s="9" t="str">
        <f t="shared" si="0"/>
        <v>Assurance - loyer</v>
      </c>
      <c r="D61" s="175" t="s">
        <v>99</v>
      </c>
      <c r="E61" s="7" t="s">
        <v>132</v>
      </c>
      <c r="F61" s="8" t="s">
        <v>133</v>
      </c>
    </row>
    <row r="62" spans="1:6" x14ac:dyDescent="0.25">
      <c r="A62" s="9" t="str">
        <f t="shared" si="0"/>
        <v>Impôts exigibles</v>
      </c>
      <c r="D62" s="177" t="s">
        <v>99</v>
      </c>
      <c r="E62" s="178" t="s">
        <v>134</v>
      </c>
      <c r="F62" s="179" t="s">
        <v>135</v>
      </c>
    </row>
  </sheetData>
  <conditionalFormatting sqref="D3:F22">
    <cfRule type="expression" dxfId="26" priority="7">
      <formula>#REF!=ROW()</formula>
    </cfRule>
  </conditionalFormatting>
  <conditionalFormatting sqref="D3:F9">
    <cfRule type="expression" dxfId="25" priority="8">
      <formula>AND($K1&lt;&gt;"",MOD(ROW(),2)=0)</formula>
    </cfRule>
  </conditionalFormatting>
  <conditionalFormatting sqref="D3:F62">
    <cfRule type="expression" dxfId="24" priority="6">
      <formula>MOD(ROW(),2)=0</formula>
    </cfRule>
  </conditionalFormatting>
  <conditionalFormatting sqref="D5:F42 D56:F57">
    <cfRule type="expression" dxfId="23" priority="9">
      <formula>AND($K1&lt;&gt;"",MOD(ROW(),2)=0)</formula>
    </cfRule>
  </conditionalFormatting>
  <conditionalFormatting sqref="D8:F9 D3:F3">
    <cfRule type="expression" dxfId="22" priority="5">
      <formula>AND($K1048576&lt;&gt;"",MOD(ROW(),2)=0)</formula>
    </cfRule>
  </conditionalFormatting>
  <conditionalFormatting sqref="D3:D62">
    <cfRule type="expression" dxfId="21" priority="10">
      <formula>AND($L1048564&lt;&gt;"",MOD(ROW(),2)=0)</formula>
    </cfRule>
  </conditionalFormatting>
  <conditionalFormatting sqref="D46:F46">
    <cfRule type="expression" dxfId="20" priority="11">
      <formula>AND(#REF!&lt;&gt;"",MOD(ROW(),2)=0)</formula>
    </cfRule>
  </conditionalFormatting>
  <conditionalFormatting sqref="D50:F62">
    <cfRule type="expression" dxfId="19" priority="12">
      <formula>AND($K84&lt;&gt;"",MOD(ROW(),2)=0)</formula>
    </cfRule>
  </conditionalFormatting>
  <conditionalFormatting sqref="D58:F58">
    <cfRule type="expression" dxfId="18" priority="13">
      <formula>AND(#REF!&lt;&gt;"",MOD(ROW(),2)=0)</formula>
    </cfRule>
  </conditionalFormatting>
  <conditionalFormatting sqref="D62:F62">
    <cfRule type="expression" dxfId="17" priority="14">
      <formula>AND($K84&lt;&gt;"",MOD(ROW(),2)=0)</formula>
    </cfRule>
  </conditionalFormatting>
  <conditionalFormatting sqref="D47:F49">
    <cfRule type="expression" dxfId="16" priority="15">
      <formula>AND($K79&lt;&gt;"",MOD(ROW(),2)=0)</formula>
    </cfRule>
  </conditionalFormatting>
  <conditionalFormatting sqref="D59:F61">
    <cfRule type="expression" dxfId="15" priority="16">
      <formula>AND($K79&lt;&gt;"",MOD(ROW(),2)=0)</formula>
    </cfRule>
  </conditionalFormatting>
  <conditionalFormatting sqref="D4:F4">
    <cfRule type="expression" dxfId="14" priority="17">
      <formula>AND(#REF!&lt;&gt;"",MOD(ROW(),2)=0)</formula>
    </cfRule>
  </conditionalFormatting>
  <conditionalFormatting sqref="D52:F54">
    <cfRule type="expression" dxfId="13" priority="18">
      <formula>AND($K36&lt;&gt;"",MOD(ROW(),2)=0)</formula>
    </cfRule>
  </conditionalFormatting>
  <conditionalFormatting sqref="D43:F43">
    <cfRule type="expression" dxfId="12" priority="24">
      <formula>AND($K50&lt;&gt;"",MOD(ROW(),2)=0)</formula>
    </cfRule>
  </conditionalFormatting>
  <conditionalFormatting sqref="D55:F55">
    <cfRule type="expression" dxfId="11" priority="25">
      <formula>AND($K50&lt;&gt;"",MOD(ROW(),2)=0)</formula>
    </cfRule>
  </conditionalFormatting>
  <conditionalFormatting sqref="D44:F45">
    <cfRule type="expression" dxfId="10" priority="26">
      <formula>AND($K52&lt;&gt;"",MOD(ROW(),2)=0)</formula>
    </cfRule>
  </conditionalFormatting>
  <conditionalFormatting sqref="C1:C10">
    <cfRule type="expression" dxfId="9" priority="2">
      <formula>#REF!=ROW()</formula>
    </cfRule>
  </conditionalFormatting>
  <conditionalFormatting sqref="C1:C10">
    <cfRule type="expression" dxfId="8" priority="3">
      <formula>AND($K1048575&lt;&gt;"",MOD(ROW(),2)=0)</formula>
    </cfRule>
  </conditionalFormatting>
  <conditionalFormatting sqref="C1:C10">
    <cfRule type="expression" dxfId="7" priority="1">
      <formula>MOD(ROW(),2)=0</formula>
    </cfRule>
  </conditionalFormatting>
  <conditionalFormatting sqref="C1:C10">
    <cfRule type="expression" dxfId="6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EJ</vt:lpstr>
      <vt:lpstr>Transactions</vt:lpstr>
      <vt:lpstr>BV</vt:lpstr>
      <vt:lpstr>PlanComptable</vt:lpstr>
      <vt:lpstr>Transactions!Impression_des_titres</vt:lpstr>
      <vt:lpstr>Transactions!Zone_d_impression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2023-10-12T11:15:33Z</cp:lastPrinted>
  <dcterms:created xsi:type="dcterms:W3CDTF">2023-10-05T16:17:00Z</dcterms:created>
  <dcterms:modified xsi:type="dcterms:W3CDTF">2023-10-12T11:33:21Z</dcterms:modified>
</cp:coreProperties>
</file>