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873BA687-B91A-4D48-9911-055F144F2413}"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Transactions!$D$4:$N$42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Accounts'!$L$4:$L$17),1)</definedName>
    <definedName name="Trans_Credit">OFFSET(Transactions!$K$4,1,,COUNTA(Transactions!$E$4:$E$999999)-1,1)</definedName>
    <definedName name="Trans_CreditAcct">OFFSET(Transactions!$I$4,1,,COUNTA(Transactions!$E$4:$E$999999)-1,1)</definedName>
    <definedName name="Trans_Date">OFFSET(Transactions!$E$4,1,,COUNTA(Transactions!$E$4:$E$999999)-1,1)</definedName>
    <definedName name="Trans_Debit">OFFSET(Transactions!$J$4,1,,COUNTA(Transactions!$E$4:$E$999999)-1,1)</definedName>
    <definedName name="Trans_DebitAcct">OFFSET(Transactions!$H$4,1,,COUNTA(Transactions!$E$4:$E$999999)-1,1)</definedName>
    <definedName name="Trans_Numb">OFFSET(Transactions!$D$4,1,,COUNTA(Transactions!$E$4:$E$999999)-1,1)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3" l="1"/>
  <c r="J44" i="3"/>
  <c r="S5" i="3" a="1"/>
  <c r="S5" i="3" s="1"/>
  <c r="R5" i="3" a="1"/>
  <c r="R5" i="3" s="1"/>
  <c r="Q5" i="3" a="1"/>
  <c r="Q5" i="3" s="1"/>
  <c r="I46" i="1" a="1"/>
  <c r="I46" i="1" s="1"/>
  <c r="B13" i="1"/>
  <c r="B14" i="1" s="1"/>
  <c r="B15" i="1" s="1"/>
  <c r="B16" i="1" s="1"/>
  <c r="B17" i="1" s="1"/>
  <c r="B18" i="1" s="1"/>
  <c r="B19" i="1" s="1"/>
  <c r="B20" i="1"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T4" i="3"/>
  <c r="B8" i="1"/>
  <c r="I24" i="1" s="1" a="1"/>
  <c r="I24" i="1" s="1"/>
  <c r="I20" i="1" l="1" a="1"/>
  <c r="I20" i="1" s="1"/>
  <c r="I22" i="1" a="1"/>
  <c r="I22" i="1" s="1"/>
  <c r="I16" i="1" a="1"/>
  <c r="I16" i="1" s="1"/>
  <c r="I18" i="1" a="1"/>
  <c r="I18" i="1" s="1"/>
  <c r="I12" i="1" a="1"/>
  <c r="I12" i="1" s="1"/>
  <c r="I14" i="1" a="1"/>
  <c r="I14" i="1" s="1"/>
  <c r="I8" i="1" a="1"/>
  <c r="I8" i="1" s="1"/>
  <c r="I10" i="1" a="1"/>
  <c r="I10" i="1" s="1"/>
  <c r="I44" i="1" a="1"/>
  <c r="I44" i="1" s="1"/>
  <c r="I28" i="1" a="1"/>
  <c r="I28" i="1" s="1"/>
  <c r="I42" i="1" a="1"/>
  <c r="I42" i="1" s="1"/>
  <c r="I26" i="1" a="1"/>
  <c r="I26" i="1" s="1"/>
  <c r="I32" i="1" a="1"/>
  <c r="I32" i="1" s="1"/>
  <c r="I40" i="1" a="1"/>
  <c r="I40" i="1" s="1"/>
  <c r="I38" i="1" a="1"/>
  <c r="I38" i="1" s="1"/>
  <c r="I36" i="1" a="1"/>
  <c r="I36" i="1" s="1"/>
  <c r="I34" i="1" a="1"/>
  <c r="I34" i="1" s="1"/>
  <c r="I30" i="1" a="1"/>
  <c r="I30" i="1" s="1"/>
  <c r="I4"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<sst xmlns="http://schemas.openxmlformats.org/spreadsheetml/2006/main" count="774" uniqueCount="310">
  <si>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</si>
  <si>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</si>
  <si>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</si>
  <si>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</si>
  <si>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</si>
  <si>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</si>
  <si>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</si>
  <si>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</si>
  <si>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</si>
  <si>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</si>
  <si>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</si>
  <si>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</si>
  <si>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</si>
  <si>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</si>
  <si>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</si>
  <si>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</si>
  <si>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</si>
  <si>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</si>
  <si>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</si>
  <si>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</si>
  <si>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</si>
  <si>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</si>
  <si>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</si>
  <si>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</si>
  <si>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</si>
  <si>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</si>
  <si>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</si>
  <si>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</si>
  <si>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</si>
  <si>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</si>
  <si>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</si>
  <si>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</si>
  <si>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</si>
  <si>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</si>
  <si>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</si>
  <si>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</si>
  <si>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</si>
  <si>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</si>
  <si>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</si>
  <si>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</si>
  <si>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</si>
  <si>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</si>
  <si>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</si>
  <si>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</si>
  <si>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</si>
  <si>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</si>
  <si>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</si>
  <si>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</si>
  <si>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</si>
  <si>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</si>
  <si>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</si>
  <si>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</si>
  <si>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</si>
  <si>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</si>
  <si>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</si>
  <si>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</si>
  <si>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</si>
  <si>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</si>
  <si>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</si>
  <si>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</si>
  <si>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</si>
  <si>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</si>
  <si>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</si>
  <si>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</si>
  <si>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</si>
  <si>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</si>
  <si>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</si>
  <si>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</si>
  <si>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</si>
  <si>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</si>
  <si>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</si>
  <si>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</si>
  <si>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</si>
  <si>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</si>
  <si>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</si>
  <si>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</si>
  <si>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</si>
  <si>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</si>
  <si>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</si>
  <si>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</si>
  <si>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</si>
  <si>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</si>
  <si>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</si>
  <si>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</si>
  <si>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</si>
  <si>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</si>
  <si>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</si>
  <si>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</si>
  <si>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</si>
  <si>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</si>
  <si>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</si>
  <si>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</si>
  <si>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</si>
  <si>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</si>
  <si>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</si>
  <si>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</si>
  <si>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</si>
  <si>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</si>
  <si>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</si>
  <si>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</si>
  <si>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</si>
  <si>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</si>
  <si>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</si>
  <si>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</si>
  <si>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</si>
  <si>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</si>
  <si>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</si>
  <si>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</si>
  <si>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</si>
  <si>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</si>
  <si>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</si>
  <si>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</si>
  <si>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</si>
  <si>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</si>
  <si>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</si>
  <si>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</si>
  <si>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</si>
  <si>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</si>
  <si>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</si>
  <si>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</si>
  <si>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</si>
  <si>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</si>
  <si>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</si>
  <si>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</si>
  <si>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</si>
  <si>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</si>
  <si>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</si>
  <si>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</si>
  <si>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</si>
  <si>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</si>
  <si>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</si>
  <si>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</si>
  <si>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</si>
  <si>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</si>
  <si>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</si>
  <si>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</si>
  <si>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</si>
  <si>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</si>
  <si>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</si>
  <si>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</si>
  <si>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</si>
  <si>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</si>
  <si>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</si>
  <si>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</si>
  <si>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</si>
  <si>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</si>
  <si>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</si>
  <si>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</si>
  <si>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</si>
  <si>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</si>
  <si>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</si>
  <si>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</si>
  <si>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</si>
  <si>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</si>
  <si>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</si>
  <si>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</si>
  <si>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</si>
  <si>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</si>
  <si>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</si>
  <si>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</si>
  <si>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</si>
  <si>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</si>
  <si>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</si>
  <si>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</si>
  <si>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</si>
  <si>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</si>
  <si>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</si>
  <si>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</si>
  <si>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</si>
  <si>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</si>
  <si>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</si>
  <si>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</si>
  <si>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</si>
  <si>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</si>
  <si>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</si>
  <si>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</si>
  <si>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</si>
  <si>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</si>
  <si>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</si>
  <si>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</si>
  <si>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</si>
  <si>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</si>
  <si>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</si>
  <si>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</si>
  <si>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</si>
  <si>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</si>
  <si>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</si>
  <si>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</si>
  <si>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</si>
  <si>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</si>
  <si>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</si>
  <si>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</si>
  <si>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</si>
  <si>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</si>
  <si>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</si>
  <si>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</si>
  <si>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</si>
  <si>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</si>
  <si>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</si>
  <si>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</si>
  <si>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</si>
  <si>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</si>
  <si>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</si>
  <si>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</si>
  <si>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</si>
  <si>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</si>
  <si>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</si>
  <si>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</si>
  <si>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</si>
  <si>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</si>
  <si>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</si>
  <si>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</si>
  <si>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</si>
  <si>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</si>
  <si>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</si>
  <si>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</si>
  <si>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</si>
  <si>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</si>
  <si>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</si>
  <si>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</si>
  <si>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</si>
  <si>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</si>
  <si>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</si>
  <si>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</si>
  <si>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</si>
  <si>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</si>
  <si>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</si>
  <si>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</si>
  <si>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</si>
  <si>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</si>
  <si>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</si>
  <si>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</si>
  <si>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</si>
  <si>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</si>
  <si>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</si>
  <si>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</si>
  <si>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</si>
  <si>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</si>
  <si>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</si>
  <si>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</si>
  <si>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</si>
  <si>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</si>
  <si>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</si>
  <si>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</si>
  <si>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</si>
  <si>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</si>
  <si>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</si>
  <si>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</si>
  <si>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</si>
  <si>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</si>
  <si>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</si>
  <si>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</si>
  <si>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</si>
  <si>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</si>
  <si>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</si>
  <si>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</si>
  <si>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</si>
  <si>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</si>
  <si>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</si>
  <si>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</si>
  <si>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</si>
  <si>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</si>
  <si>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</si>
  <si>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</si>
  <si>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</si>
  <si>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</si>
  <si>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</si>
  <si>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</si>
  <si>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</si>
  <si>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</si>
  <si>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</si>
  <si>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</si>
  <si>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</si>
  <si>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</si>
  <si>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</si>
  <si>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</si>
  <si>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</si>
  <si>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</si>
  <si>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</si>
  <si>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</si>
  <si>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</si>
  <si>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</si>
  <si>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</si>
  <si>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</si>
  <si>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</si>
  <si>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</si>
  <si>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</si>
  <si>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</si>
  <si>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</si>
  <si>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</si>
  <si>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</si>
  <si>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</si>
  <si>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</si>
  <si>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</si>
  <si>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</si>
  <si>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</si>
  <si>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</si>
  <si>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</si>
  <si>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</si>
  <si>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</si>
  <si>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</si>
  <si>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</si>
  <si>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</si>
  <si>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</si>
  <si>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</si>
  <si>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</si>
  <si>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</si>
  <si>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</si>
  <si>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</si>
  <si>
    <t>Hommes de Cœur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</si>
</sst>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_);\(#,##0.00\ &quot;$&quot;\)"/>
    <numFmt numFmtId="44" formatCode="_ * #,##0.00_)\ &quot;$&quot;_ ;_ * \(#,##0.00\)\ &quot;$&quot;_ ;_ * &quot;-&quot;??_)\ &quot;$&quot;_ ;_ @_ "/>
    <numFmt numFmtId="164" formatCode="&quot;$&quot;#,##0.00_);\(&quot;$&quot;#,##0.00\)"/>
    <numFmt numFmtId="165" formatCode="_(&quot;$&quot;* #,##0.00_);_(&quot;$&quot;* \(#,##0.00\);_(&quot;$&quot;* &quot;-&quot;??_);_(@_)"/>
    <numFmt numFmtId="166" formatCode="d"/>
  </numFmts>
  <fonts count="20"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
      <sz val="9"/>
      <color rgb="FFFF0000"/>
      <name val="Calibri"/>
      <family val="2"/>
      <scheme val="minor"/>
    </font>
    <font>
      <b/>
      <sz val="14"/>
      <color rgb="FFFF0000"/>
      <name val="Calibri"/>
      <family val="2"/>
      <scheme val="minor"/>
    </font>
    <font>
      <b/>
      <sz val="11"/>
      <color rgb="FF0070C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FFFF99"/>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
      <left/>
      <right/>
      <top style="thin">
        <color indexed="64"/>
      </top>
      <bottom style="medium">
        <color indexed="64"/>
      </bottom>
      <diagonal/>
    </border>
  </borders>
  <cellStyleXfs count="2">
    <xf numFmtId="0" fontId="0" fillId="0" borderId="0"/>
    <xf numFmtId="165" fontId="2" fillId="0" borderId="0" applyFont="0" applyFill="0" applyBorder="0" applyAlignment="0" applyProtection="0"/>
  </cellStyleXfs>
  <cellXfs count="152">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0" borderId="0" xfId="1" applyFont="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4" fontId="0" fillId="0" borderId="0" xfId="0" applyNumberFormat="1"/>
    <xf numFmtId="44" fontId="0" fillId="4" borderId="15" xfId="1" applyNumberFormat="1" applyFont="1" applyFill="1" applyBorder="1"/>
    <xf numFmtId="44" fontId="0" fillId="0" borderId="3" xfId="1" applyNumberFormat="1" applyFont="1" applyFill="1" applyBorder="1"/>
    <xf numFmtId="44" fontId="0" fillId="11" borderId="40" xfId="1" applyNumberFormat="1" applyFont="1" applyFill="1" applyBorder="1"/>
    <xf numFmtId="44" fontId="0" fillId="0" borderId="43" xfId="1" applyNumberFormat="1" applyFont="1" applyFill="1" applyBorder="1"/>
    <xf numFmtId="44" fontId="0" fillId="4" borderId="41" xfId="1" applyNumberFormat="1" applyFont="1" applyFill="1" applyBorder="1"/>
    <xf numFmtId="0" fontId="0" fillId="16" borderId="0" xfId="0" applyFill="1" applyAlignment="1">
      <alignment horizontal="center"/>
    </xf>
    <xf numFmtId="0" fontId="0" fillId="16" borderId="0" xfId="0" applyFill="1"/>
    <xf numFmtId="7" fontId="0" fillId="0" borderId="3" xfId="1" applyNumberFormat="1" applyFont="1" applyFill="1" applyBorder="1"/>
    <xf numFmtId="7" fontId="0" fillId="11" borderId="40" xfId="1" applyNumberFormat="1" applyFont="1" applyFill="1" applyBorder="1"/>
    <xf numFmtId="7" fontId="0" fillId="0" borderId="43" xfId="1" applyNumberFormat="1" applyFont="1" applyFill="1" applyBorder="1"/>
    <xf numFmtId="0" fontId="0" fillId="11" borderId="40" xfId="0" applyFill="1" applyBorder="1" applyAlignment="1">
      <alignment horizontal="right"/>
    </xf>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11" fillId="8" borderId="0" xfId="0" applyFont="1" applyFill="1" applyAlignment="1">
      <alignment horizontal="center" vertical="center"/>
    </xf>
    <xf numFmtId="0" fontId="8" fillId="13" borderId="0" xfId="0" applyFont="1" applyFill="1" applyAlignment="1">
      <alignment horizontal="center" vertical="center"/>
    </xf>
    <xf numFmtId="14" fontId="1" fillId="0" borderId="0" xfId="0" applyNumberFormat="1" applyFont="1" applyFill="1" applyAlignment="1">
      <alignment vertical="center"/>
    </xf>
    <xf numFmtId="4" fontId="0" fillId="0" borderId="0" xfId="0" applyNumberFormat="1" applyFill="1"/>
    <xf numFmtId="0" fontId="0" fillId="0" borderId="0" xfId="0" applyFill="1"/>
    <xf numFmtId="0" fontId="0" fillId="0" borderId="0" xfId="0" applyFill="1" applyAlignment="1">
      <alignment horizontal="center"/>
    </xf>
    <xf numFmtId="3" fontId="0" fillId="0" borderId="0" xfId="0" applyNumberFormat="1" applyFill="1" applyAlignment="1">
      <alignment horizontal="center"/>
    </xf>
    <xf numFmtId="4" fontId="18" fillId="0" borderId="0" xfId="0" applyNumberFormat="1" applyFont="1" applyFill="1" applyAlignment="1">
      <alignment horizontal="center"/>
    </xf>
    <xf numFmtId="0" fontId="0" fillId="0" borderId="0" xfId="0" applyFill="1" applyAlignment="1">
      <alignment horizontal="center" vertical="center"/>
    </xf>
    <xf numFmtId="4" fontId="0" fillId="0" borderId="0" xfId="0" applyNumberFormat="1" applyFill="1" applyAlignment="1">
      <alignment horizontal="center" vertical="center" wrapText="1"/>
    </xf>
    <xf numFmtId="0" fontId="0" fillId="0" borderId="0" xfId="0" applyFill="1" applyAlignment="1">
      <alignment horizontal="center" vertical="center" wrapText="1"/>
    </xf>
    <xf numFmtId="3" fontId="0" fillId="0" borderId="0" xfId="0" applyNumberFormat="1" applyFill="1" applyAlignment="1">
      <alignment horizontal="center" vertical="center" wrapText="1"/>
    </xf>
    <xf numFmtId="4" fontId="17" fillId="0" borderId="0" xfId="0" quotePrefix="1" applyNumberFormat="1" applyFont="1" applyFill="1" applyAlignment="1">
      <alignment horizontal="center" vertical="center" wrapText="1"/>
    </xf>
    <xf numFmtId="0" fontId="19" fillId="0" borderId="0" xfId="0" applyFont="1" applyFill="1" applyAlignment="1">
      <alignment horizontal="center" vertical="center" wrapText="1"/>
    </xf>
    <xf numFmtId="44" fontId="0" fillId="0" borderId="0" xfId="0" applyNumberFormat="1" applyFill="1"/>
    <xf numFmtId="0" fontId="16" fillId="0" borderId="0" xfId="0" applyFont="1" applyFill="1"/>
    <xf numFmtId="14" fontId="0" fillId="0" borderId="0" xfId="0" applyNumberFormat="1" applyFill="1"/>
    <xf numFmtId="14" fontId="0" fillId="0" borderId="0" xfId="0" applyNumberFormat="1" applyFill="1" applyAlignment="1">
      <alignment horizontal="center"/>
    </xf>
    <xf numFmtId="4" fontId="9" fillId="0" borderId="64" xfId="0" applyNumberFormat="1" applyFont="1" applyFill="1" applyBorder="1"/>
  </cellXfs>
  <cellStyles count="2">
    <cellStyle name="Monétaire" xfId="1" builtinId="4"/>
    <cellStyle name="Normal" xfId="0" builtinId="0"/>
  </cellStyles>
  <dxfs count="5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FFFF99"/>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11</xdr:row>
      <xdr:rowOff>25400</xdr:rowOff>
    </xdr:from>
    <xdr:to>
      <xdr:col>9</xdr:col>
      <xdr:colOff>348996</xdr:colOff>
      <xdr:row>12</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52350" y="2544233"/>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12</xdr:row>
      <xdr:rowOff>0</xdr:rowOff>
    </xdr:from>
    <xdr:to>
      <xdr:col>4</xdr:col>
      <xdr:colOff>1129553</xdr:colOff>
      <xdr:row>23</xdr:row>
      <xdr:rowOff>78130</xdr:rowOff>
    </xdr:to>
    <xdr:grpSp>
      <xdr:nvGrpSpPr>
        <xdr:cNvPr id="100" name="Calendar" hidden="1">
          <a:extLst>
            <a:ext uri="{FF2B5EF4-FFF2-40B4-BE49-F238E27FC236}">
              <a16:creationId xmlns:a16="http://schemas.microsoft.com/office/drawing/2014/main" id="{55045FE1-D840-3792-18E7-F6A9FD3F379C}"/>
            </a:ext>
          </a:extLst>
        </xdr:cNvPr>
        <xdr:cNvGrpSpPr/>
      </xdr:nvGrpSpPr>
      <xdr:grpSpPr>
        <a:xfrm>
          <a:off x="2730500" y="2709333"/>
          <a:ext cx="2060886" cy="2237130"/>
          <a:chOff x="2724150" y="289560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26009" y="489006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24150" y="289560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07264" y="309457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February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28376" y="306544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43498" y="349205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65283" y="349205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07718" y="368752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07718" y="349205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26752" y="349205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03545" y="349205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884258" y="349205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43498" y="368752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65283" y="368752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47450" y="349205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47450" y="368752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26752" y="368752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03545" y="368752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884258" y="368752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43498" y="388308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65283" y="388308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47450" y="388308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07718" y="388308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26752" y="388308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03545" y="388308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884258" y="388308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43498" y="407888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65283" y="407888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884258" y="407888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47450" y="407888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26752" y="407888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03545" y="407888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07718" y="407888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43498" y="427565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65283" y="427565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48946" y="427565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09215" y="427565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26752" y="427565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03545" y="427565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885754" y="427565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09108" y="329263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48840" y="329263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884786" y="329263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28140" y="329263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65812" y="329263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04933" y="329263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44886" y="329263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2409" y="470901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23881" y="493204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43338" y="493204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62794" y="493204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483068" y="493204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02525" y="493204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22799" y="493204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42256" y="493204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61713" y="493204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581987" y="493204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9" name="PrevMonth" hidden="1">
            <a:extLst>
              <a:ext uri="{FF2B5EF4-FFF2-40B4-BE49-F238E27FC236}">
                <a16:creationId xmlns:a16="http://schemas.microsoft.com/office/drawing/2014/main" id="{8342F13C-8FED-968A-09D0-146701D114B8}"/>
              </a:ext>
            </a:extLst>
          </xdr:cNvPr>
          <xdr:cNvGrpSpPr/>
        </xdr:nvGrpSpPr>
        <xdr:grpSpPr>
          <a:xfrm>
            <a:off x="2893453" y="3131912"/>
            <a:ext cx="101668" cy="108892"/>
            <a:chOff x="2893453" y="313191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893453" y="313191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02742" y="315922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98" name="NextMonth" hidden="1">
            <a:extLst>
              <a:ext uri="{FF2B5EF4-FFF2-40B4-BE49-F238E27FC236}">
                <a16:creationId xmlns:a16="http://schemas.microsoft.com/office/drawing/2014/main" id="{64E1D3AE-CF81-6567-1734-67ECCC988564}"/>
              </a:ext>
            </a:extLst>
          </xdr:cNvPr>
          <xdr:cNvGrpSpPr/>
        </xdr:nvGrpSpPr>
        <xdr:grpSpPr>
          <a:xfrm>
            <a:off x="4534618" y="3131912"/>
            <a:ext cx="101668" cy="108892"/>
            <a:chOff x="4534618" y="313191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34618" y="313191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52731" y="315922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886803" y="447145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50232" y="447145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27566" y="447145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65861" y="447145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10735" y="447145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03888" y="447145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43605" y="447145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25207" y="773642"/>
          <a:ext cx="872067"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February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5"/>
  <sheetViews>
    <sheetView workbookViewId="0">
      <selection activeCell="L4" sqref="L4:L16"/>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2"/>
      <c r="B1" s="52"/>
      <c r="C1" s="16"/>
      <c r="D1" s="120" t="s">
        <v>305</v>
      </c>
      <c r="E1" s="120"/>
      <c r="F1" s="120"/>
      <c r="G1" s="120"/>
      <c r="H1" s="120"/>
      <c r="I1" s="120"/>
      <c r="J1" s="120"/>
      <c r="K1" s="120"/>
      <c r="L1" s="120"/>
      <c r="M1" s="16"/>
      <c r="N1" s="124" t="s">
        <v>42</v>
      </c>
      <c r="O1" s="125"/>
      <c r="P1" s="126"/>
      <c r="Q1" s="16"/>
    </row>
    <row r="2" spans="1:17" ht="15.75" thickBot="1" x14ac:dyDescent="0.3">
      <c r="A2" s="52"/>
      <c r="B2" s="52"/>
      <c r="C2" s="14"/>
      <c r="D2" s="14"/>
      <c r="E2" s="14"/>
      <c r="F2" s="121" t="s">
        <v>10</v>
      </c>
      <c r="G2" s="122"/>
      <c r="H2" s="122"/>
      <c r="I2" s="122"/>
      <c r="J2" s="123"/>
      <c r="K2" s="14"/>
      <c r="L2" s="14"/>
      <c r="M2" s="14"/>
      <c r="N2" s="69" t="s">
        <v>2</v>
      </c>
      <c r="O2" s="70" t="s">
        <v>4</v>
      </c>
      <c r="P2" s="71" t="s">
        <v>5</v>
      </c>
      <c r="Q2" s="14"/>
    </row>
    <row r="3" spans="1:17" ht="15.75" thickBot="1" x14ac:dyDescent="0.3">
      <c r="A3" s="52" t="s">
        <v>206</v>
      </c>
      <c r="B3" s="52"/>
      <c r="C3" s="17"/>
      <c r="D3" s="23" t="s">
        <v>302</v>
      </c>
      <c r="E3" s="17"/>
      <c r="F3" s="11" t="s">
        <v>2</v>
      </c>
      <c r="G3" s="21" t="s">
        <v>21</v>
      </c>
      <c r="H3" s="12" t="s">
        <v>8</v>
      </c>
      <c r="I3" s="12" t="s">
        <v>9</v>
      </c>
      <c r="J3" s="13" t="s">
        <v>1</v>
      </c>
      <c r="K3" s="17"/>
      <c r="L3" s="22" t="s">
        <v>301</v>
      </c>
      <c r="M3" s="17"/>
      <c r="N3" s="63" t="s">
        <v>44</v>
      </c>
      <c r="O3" s="64" t="s">
        <v>14</v>
      </c>
      <c r="P3" s="65" t="s">
        <v>15</v>
      </c>
      <c r="Q3" s="17"/>
    </row>
    <row r="4" spans="1:17" x14ac:dyDescent="0.25">
      <c r="A4" s="52" t="str">
        <f t="shared" ref="A4:A63" si="0">H4</f>
        <v>Encaisse</v>
      </c>
      <c r="B4" s="52"/>
      <c r="C4" s="17"/>
      <c r="D4" s="24" t="s">
        <v>44</v>
      </c>
      <c r="E4" s="17"/>
      <c r="F4" s="96" t="s">
        <v>44</v>
      </c>
      <c r="G4" s="97" t="s">
        <v>45</v>
      </c>
      <c r="H4" s="98" t="s">
        <v>46</v>
      </c>
      <c r="I4" s="27"/>
      <c r="J4" s="28" t="str">
        <f>IF(OR(F4="",F4="Income",F4="COGS",F4="Expense"),"",IFERROR(LOOKUP(2,1/('[1]Trans. Register'!B19:B100012=H4),'[1]Trans. Register'!F19:F100012),""))</f>
        <v/>
      </c>
      <c r="K4" s="17"/>
      <c r="L4" s="35" t="s">
        <v>185</v>
      </c>
      <c r="M4" s="17"/>
      <c r="N4" s="63" t="s">
        <v>132</v>
      </c>
      <c r="O4" s="64" t="s">
        <v>14</v>
      </c>
      <c r="P4" s="65" t="s">
        <v>15</v>
      </c>
      <c r="Q4" s="17"/>
    </row>
    <row r="5" spans="1:17" x14ac:dyDescent="0.25">
      <c r="A5" s="52" t="str">
        <f t="shared" si="0"/>
        <v>Comptes Clients</v>
      </c>
      <c r="B5" s="52"/>
      <c r="C5" s="17"/>
      <c r="D5" s="24" t="s">
        <v>132</v>
      </c>
      <c r="E5" s="17"/>
      <c r="F5" s="96" t="s">
        <v>44</v>
      </c>
      <c r="G5" s="97" t="s">
        <v>47</v>
      </c>
      <c r="H5" s="98" t="s">
        <v>48</v>
      </c>
      <c r="I5" s="29"/>
      <c r="J5" s="30" t="str">
        <f>IF(OR(F5="",F5="Income",F5="COGS",F5="Expense"),"",IFERROR(LOOKUP(2,1/('[1]Trans. Register'!B22:B100015=H5),'[1]Trans. Register'!F22:F100015),""))</f>
        <v/>
      </c>
      <c r="K5" s="17"/>
      <c r="L5" s="25" t="s">
        <v>183</v>
      </c>
      <c r="M5" s="17"/>
      <c r="N5" s="63" t="s">
        <v>110</v>
      </c>
      <c r="O5" s="64" t="s">
        <v>15</v>
      </c>
      <c r="P5" s="65" t="s">
        <v>14</v>
      </c>
      <c r="Q5" s="17"/>
    </row>
    <row r="6" spans="1:17" x14ac:dyDescent="0.25">
      <c r="A6" s="52" t="str">
        <f t="shared" si="0"/>
        <v>Provision pour mauvaises créances</v>
      </c>
      <c r="B6" s="52"/>
      <c r="C6" s="17"/>
      <c r="D6" s="24" t="s">
        <v>110</v>
      </c>
      <c r="E6" s="17"/>
      <c r="F6" s="96" t="s">
        <v>44</v>
      </c>
      <c r="G6" s="97" t="s">
        <v>49</v>
      </c>
      <c r="H6" s="98" t="s">
        <v>50</v>
      </c>
      <c r="I6" s="29"/>
      <c r="J6" s="30" t="str">
        <f>IF(OR(F6="",F6="Income",F6="COGS",F6="Expense"),"",IFERROR(LOOKUP(2,1/('[1]Trans. Register'!B9:B100002=H6),'[1]Trans. Register'!F9:F100002),""))</f>
        <v/>
      </c>
      <c r="K6" s="17"/>
      <c r="L6" s="25" t="s">
        <v>306</v>
      </c>
      <c r="M6" s="17"/>
      <c r="N6" s="63" t="s">
        <v>85</v>
      </c>
      <c r="O6" s="64" t="s">
        <v>15</v>
      </c>
      <c r="P6" s="65" t="s">
        <v>14</v>
      </c>
      <c r="Q6" s="17"/>
    </row>
    <row r="7" spans="1:17" ht="15.75" thickBot="1" x14ac:dyDescent="0.3">
      <c r="A7" s="52" t="str">
        <f t="shared" si="0"/>
        <v>TPS payée</v>
      </c>
      <c r="B7" s="52"/>
      <c r="C7" s="17"/>
      <c r="D7" s="24" t="s">
        <v>85</v>
      </c>
      <c r="E7" s="17"/>
      <c r="F7" s="96" t="s">
        <v>44</v>
      </c>
      <c r="G7" s="97" t="s">
        <v>51</v>
      </c>
      <c r="H7" s="98" t="s">
        <v>52</v>
      </c>
      <c r="I7" s="29"/>
      <c r="J7" s="30" t="str">
        <f>IF(OR(F7="",F7="Income",F7="COGS",F7="Expense"),"",IFERROR(LOOKUP(2,1/('[1]Trans. Register'!B20:B100013=H7),'[1]Trans. Register'!F20:F100013),""))</f>
        <v/>
      </c>
      <c r="K7" s="17"/>
      <c r="L7" s="25" t="s">
        <v>210</v>
      </c>
      <c r="M7" s="17"/>
      <c r="N7" s="66" t="s">
        <v>119</v>
      </c>
      <c r="O7" s="67" t="s">
        <v>15</v>
      </c>
      <c r="P7" s="68" t="s">
        <v>14</v>
      </c>
      <c r="Q7" s="17"/>
    </row>
    <row r="8" spans="1:17" ht="15.75" thickBot="1" x14ac:dyDescent="0.3">
      <c r="A8" s="52" t="str">
        <f t="shared" si="0"/>
        <v>TVQ payée</v>
      </c>
      <c r="B8" s="52"/>
      <c r="C8" s="17"/>
      <c r="D8" s="26" t="s">
        <v>119</v>
      </c>
      <c r="E8" s="17"/>
      <c r="F8" s="96" t="s">
        <v>44</v>
      </c>
      <c r="G8" s="97" t="s">
        <v>53</v>
      </c>
      <c r="H8" s="98" t="s">
        <v>54</v>
      </c>
      <c r="I8" s="29"/>
      <c r="J8" s="30" t="str">
        <f>IF(OR(F8="",F8="Income",F8="COGS",F8="Expense"),"",IFERROR(LOOKUP(2,1/('[1]Trans. Register'!B6:B99999=H8),'[1]Trans. Register'!F6:F99999),""))</f>
        <v/>
      </c>
      <c r="K8" s="17"/>
      <c r="L8" s="25" t="s">
        <v>189</v>
      </c>
      <c r="M8" s="17"/>
      <c r="N8" s="17"/>
      <c r="O8" s="17"/>
      <c r="P8" s="17"/>
      <c r="Q8" s="17"/>
    </row>
    <row r="9" spans="1:17" ht="15.75" thickBot="1" x14ac:dyDescent="0.3">
      <c r="A9" s="52" t="str">
        <f t="shared" si="0"/>
        <v>TPS facturée</v>
      </c>
      <c r="B9" s="52"/>
      <c r="C9" s="17"/>
      <c r="D9" s="17"/>
      <c r="E9" s="17"/>
      <c r="F9" s="96" t="s">
        <v>44</v>
      </c>
      <c r="G9" s="97" t="s">
        <v>55</v>
      </c>
      <c r="H9" s="98" t="s">
        <v>56</v>
      </c>
      <c r="I9" s="29"/>
      <c r="J9" s="30" t="str">
        <f>IF(OR(F9="",F9="Income",F9="COGS",F9="Expense"),"",IFERROR(LOOKUP(2,1/('[1]Trans. Register'!B16:B100009=H9),'[1]Trans. Register'!F16:F100009),""))</f>
        <v/>
      </c>
      <c r="K9" s="17"/>
      <c r="L9" s="25" t="s">
        <v>169</v>
      </c>
      <c r="M9" s="17"/>
      <c r="N9" s="17"/>
      <c r="O9" s="17"/>
      <c r="P9" s="17"/>
      <c r="Q9" s="17"/>
    </row>
    <row r="10" spans="1:17" x14ac:dyDescent="0.25">
      <c r="A10" s="52" t="str">
        <f t="shared" si="0"/>
        <v>TVQ facturée</v>
      </c>
      <c r="B10" s="52"/>
      <c r="C10" s="17"/>
      <c r="D10" s="36" t="s">
        <v>303</v>
      </c>
      <c r="E10" s="17"/>
      <c r="F10" s="96" t="s">
        <v>44</v>
      </c>
      <c r="G10" s="97" t="s">
        <v>57</v>
      </c>
      <c r="H10" s="98" t="s">
        <v>58</v>
      </c>
      <c r="I10" s="29"/>
      <c r="J10" s="30" t="str">
        <f>IF(OR(F10="",F10="Income",F10="COGS",F10="Expense"),"",IFERROR(LOOKUP(2,1/('[1]Trans. Register'!B10:B100003=H10),'[1]Trans. Register'!F10:F100003),""))</f>
        <v/>
      </c>
      <c r="K10" s="17"/>
      <c r="L10" s="25" t="s">
        <v>192</v>
      </c>
      <c r="M10" s="17"/>
      <c r="N10" s="17"/>
      <c r="O10" s="17"/>
      <c r="P10" s="17"/>
      <c r="Q10" s="17"/>
    </row>
    <row r="11" spans="1:17" x14ac:dyDescent="0.25">
      <c r="A11" s="52" t="str">
        <f t="shared" si="0"/>
        <v>Acomptes provisionnels - TPS</v>
      </c>
      <c r="B11" s="52"/>
      <c r="C11" s="17"/>
      <c r="D11" s="104" t="s">
        <v>180</v>
      </c>
      <c r="E11" s="17"/>
      <c r="F11" s="96" t="s">
        <v>44</v>
      </c>
      <c r="G11" s="97" t="s">
        <v>59</v>
      </c>
      <c r="H11" s="98" t="s">
        <v>60</v>
      </c>
      <c r="I11" s="29"/>
      <c r="J11" s="30" t="str">
        <f>IF(OR(F11="",F11="Income",F11="COGS",F11="Expense"),"",IFERROR(LOOKUP(2,1/('[1]Trans. Register'!B11:B100004=H11),'[1]Trans. Register'!F11:F100004),""))</f>
        <v/>
      </c>
      <c r="K11" s="17"/>
      <c r="L11" s="25" t="s">
        <v>309</v>
      </c>
      <c r="M11" s="17"/>
      <c r="N11" s="17"/>
      <c r="O11" s="17"/>
      <c r="P11" s="17"/>
      <c r="Q11" s="17"/>
    </row>
    <row r="12" spans="1:17" x14ac:dyDescent="0.25">
      <c r="A12" s="52" t="str">
        <f t="shared" si="0"/>
        <v>Acomptes provisionnels - TVQ</v>
      </c>
      <c r="B12" s="52"/>
      <c r="C12" s="17"/>
      <c r="D12" s="25" t="s">
        <v>175</v>
      </c>
      <c r="E12" s="17"/>
      <c r="F12" s="96" t="s">
        <v>44</v>
      </c>
      <c r="G12" s="97" t="s">
        <v>61</v>
      </c>
      <c r="H12" s="98" t="s">
        <v>62</v>
      </c>
      <c r="I12" s="31"/>
      <c r="J12" s="32" t="str">
        <f>IF(OR(F12="",F12="Income",F12="COGS",F12="Expense"),"",IFERROR(LOOKUP(2,1/('[1]Trans. Register'!B7:B100000=H12),'[1]Trans. Register'!F7:F100000),""))</f>
        <v/>
      </c>
      <c r="K12" s="17"/>
      <c r="L12" s="25" t="s">
        <v>186</v>
      </c>
      <c r="M12" s="17"/>
      <c r="N12" s="17"/>
      <c r="O12" s="17"/>
      <c r="P12" s="17"/>
      <c r="Q12" s="17"/>
    </row>
    <row r="13" spans="1:17" x14ac:dyDescent="0.25">
      <c r="A13" s="52" t="str">
        <f t="shared" si="0"/>
        <v>Travaux en cours</v>
      </c>
      <c r="B13" s="52"/>
      <c r="C13" s="17"/>
      <c r="D13" s="24" t="s">
        <v>87</v>
      </c>
      <c r="E13" s="17"/>
      <c r="F13" s="96" t="s">
        <v>44</v>
      </c>
      <c r="G13" s="97" t="s">
        <v>63</v>
      </c>
      <c r="H13" s="98" t="s">
        <v>64</v>
      </c>
      <c r="I13" s="29"/>
      <c r="J13" s="30" t="str">
        <f>IF(OR(F13="",F13="Income",F13="COGS",F13="Expense"),"",IFERROR(LOOKUP(2,1/('[1]Trans. Register'!B12:B100005=H13),'[1]Trans. Register'!F12:F100005),""))</f>
        <v/>
      </c>
      <c r="K13" s="17"/>
      <c r="L13" s="25" t="s">
        <v>205</v>
      </c>
      <c r="M13" s="17"/>
      <c r="N13" s="17"/>
      <c r="O13" s="17"/>
      <c r="P13" s="17"/>
      <c r="Q13" s="17"/>
    </row>
    <row r="14" spans="1:17" x14ac:dyDescent="0.25">
      <c r="A14" s="52" t="str">
        <f t="shared" si="0"/>
        <v>Frais payés d'avance</v>
      </c>
      <c r="B14" s="52"/>
      <c r="C14" s="17"/>
      <c r="D14" s="24" t="s">
        <v>177</v>
      </c>
      <c r="E14" s="17"/>
      <c r="F14" s="96" t="s">
        <v>44</v>
      </c>
      <c r="G14" s="97" t="s">
        <v>65</v>
      </c>
      <c r="H14" s="98" t="s">
        <v>66</v>
      </c>
      <c r="I14" s="29"/>
      <c r="J14" s="30" t="str">
        <f>IF(OR(F14="",F14="Income",F14="COGS",F14="Expense"),"",IFERROR(LOOKUP(2,1/('[1]Trans. Register'!B21:B100014=H14),'[1]Trans. Register'!F21:F100014),""))</f>
        <v/>
      </c>
      <c r="K14" s="17"/>
      <c r="L14" s="25" t="s">
        <v>187</v>
      </c>
      <c r="M14" s="17"/>
      <c r="N14" s="17"/>
      <c r="O14" s="17"/>
      <c r="P14" s="17"/>
      <c r="Q14" s="17"/>
    </row>
    <row r="15" spans="1:17" x14ac:dyDescent="0.25">
      <c r="A15" s="52" t="str">
        <f t="shared" si="0"/>
        <v>Mobilier de bureau</v>
      </c>
      <c r="B15" s="52"/>
      <c r="C15" s="17"/>
      <c r="D15" s="24" t="s">
        <v>181</v>
      </c>
      <c r="E15" s="17"/>
      <c r="F15" s="96" t="s">
        <v>44</v>
      </c>
      <c r="G15" s="97" t="s">
        <v>67</v>
      </c>
      <c r="H15" s="98" t="s">
        <v>68</v>
      </c>
      <c r="I15" s="29"/>
      <c r="J15" s="30" t="str">
        <f>IF(OR(F15="",F15="Income",F15="COGS",F15="Expense"),"",IFERROR(LOOKUP(2,1/('[1]Trans. Register'!B8:B100001=H15),'[1]Trans. Register'!F8:F100001),""))</f>
        <v/>
      </c>
      <c r="K15" s="17"/>
      <c r="L15" s="25" t="s">
        <v>193</v>
      </c>
      <c r="M15" s="17"/>
      <c r="N15" s="17"/>
      <c r="O15" s="17"/>
      <c r="P15" s="17"/>
      <c r="Q15" s="17"/>
    </row>
    <row r="16" spans="1:17" x14ac:dyDescent="0.25">
      <c r="A16" s="52" t="str">
        <f t="shared" si="0"/>
        <v>Amort. Cum - mobil. de bureau</v>
      </c>
      <c r="B16" s="52"/>
      <c r="C16" s="17"/>
      <c r="D16" s="25" t="s">
        <v>170</v>
      </c>
      <c r="E16" s="17"/>
      <c r="F16" s="96" t="s">
        <v>44</v>
      </c>
      <c r="G16" s="97" t="s">
        <v>69</v>
      </c>
      <c r="H16" s="98" t="s">
        <v>70</v>
      </c>
      <c r="I16" s="29"/>
      <c r="J16" s="30" t="str">
        <f>IF(OR(F16="",F16="Income",F16="COGS",F16="Expense"),"",IFERROR(LOOKUP(2,1/('[1]Trans. Register'!B17:B100010=H16),'[1]Trans. Register'!F17:F100010),""))</f>
        <v/>
      </c>
      <c r="K16" s="17"/>
      <c r="L16" s="25" t="s">
        <v>191</v>
      </c>
      <c r="M16" s="17"/>
      <c r="N16" s="17"/>
      <c r="O16" s="17"/>
      <c r="P16" s="17"/>
      <c r="Q16" s="17"/>
    </row>
    <row r="17" spans="1:17" ht="15.75" thickBot="1" x14ac:dyDescent="0.3">
      <c r="A17" s="52" t="str">
        <f t="shared" si="0"/>
        <v>Matériel informatique</v>
      </c>
      <c r="B17" s="52"/>
      <c r="C17" s="17"/>
      <c r="D17" s="24" t="s">
        <v>179</v>
      </c>
      <c r="E17" s="17"/>
      <c r="F17" s="96" t="s">
        <v>44</v>
      </c>
      <c r="G17" s="97" t="s">
        <v>71</v>
      </c>
      <c r="H17" s="98" t="s">
        <v>72</v>
      </c>
      <c r="I17" s="29"/>
      <c r="J17" s="30" t="str">
        <f>IF(OR(F17="",F17="Income",F17="COGS",F17="Expense"),"",IFERROR(LOOKUP(2,1/('[1]Trans. Register'!B15:B100008=H17),'[1]Trans. Register'!F15:F100008),""))</f>
        <v/>
      </c>
      <c r="K17" s="17"/>
      <c r="L17" s="26"/>
      <c r="M17" s="17"/>
      <c r="N17" s="17"/>
      <c r="O17" s="17"/>
      <c r="P17" s="17"/>
      <c r="Q17" s="17"/>
    </row>
    <row r="18" spans="1:17" x14ac:dyDescent="0.25">
      <c r="A18" s="52" t="str">
        <f t="shared" si="0"/>
        <v>Amort. Cum - mat. Inform.</v>
      </c>
      <c r="B18" s="52"/>
      <c r="C18" s="17"/>
      <c r="D18" s="24" t="s">
        <v>178</v>
      </c>
      <c r="E18" s="17"/>
      <c r="F18" s="96" t="s">
        <v>44</v>
      </c>
      <c r="G18" s="97" t="s">
        <v>73</v>
      </c>
      <c r="H18" s="98" t="s">
        <v>74</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174</v>
      </c>
      <c r="E19" s="17"/>
      <c r="F19" s="96" t="s">
        <v>44</v>
      </c>
      <c r="G19" s="97" t="s">
        <v>75</v>
      </c>
      <c r="H19" s="98" t="s">
        <v>76</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176</v>
      </c>
      <c r="E20" s="17"/>
      <c r="F20" s="96" t="s">
        <v>44</v>
      </c>
      <c r="G20" s="97" t="s">
        <v>77</v>
      </c>
      <c r="H20" s="98"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96" t="s">
        <v>44</v>
      </c>
      <c r="G21" s="97" t="s">
        <v>79</v>
      </c>
      <c r="H21" s="98" t="s">
        <v>80</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96" t="s">
        <v>44</v>
      </c>
      <c r="G22" s="97" t="s">
        <v>81</v>
      </c>
      <c r="H22" s="98" t="s">
        <v>82</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96" t="s">
        <v>44</v>
      </c>
      <c r="G23" s="97" t="s">
        <v>83</v>
      </c>
      <c r="H23" s="98" t="s">
        <v>84</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96" t="s">
        <v>85</v>
      </c>
      <c r="G24" s="97" t="s">
        <v>86</v>
      </c>
      <c r="H24" s="98" t="s">
        <v>182</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96" t="s">
        <v>85</v>
      </c>
      <c r="G25" s="97" t="s">
        <v>88</v>
      </c>
      <c r="H25" s="98" t="s">
        <v>89</v>
      </c>
      <c r="I25" s="29"/>
      <c r="J25" s="30"/>
      <c r="K25" s="17"/>
      <c r="L25" s="17"/>
      <c r="M25" s="17"/>
      <c r="N25" s="17"/>
      <c r="O25" s="17"/>
      <c r="P25" s="17"/>
      <c r="Q25" s="17"/>
    </row>
    <row r="26" spans="1:17" x14ac:dyDescent="0.25">
      <c r="A26" s="52" t="str">
        <f t="shared" si="0"/>
        <v>Avances à Fiducie Famille Charron</v>
      </c>
      <c r="B26" s="52"/>
      <c r="C26" s="17"/>
      <c r="D26" s="17"/>
      <c r="E26" s="17"/>
      <c r="F26" s="96" t="s">
        <v>85</v>
      </c>
      <c r="G26" s="97" t="s">
        <v>90</v>
      </c>
      <c r="H26" s="98" t="s">
        <v>91</v>
      </c>
      <c r="I26" s="29"/>
      <c r="J26" s="30"/>
      <c r="K26" s="17"/>
      <c r="L26" s="17"/>
      <c r="M26" s="17"/>
      <c r="N26" s="17"/>
      <c r="O26" s="17"/>
      <c r="P26" s="17"/>
      <c r="Q26" s="17"/>
    </row>
    <row r="27" spans="1:17" x14ac:dyDescent="0.25">
      <c r="A27" s="52" t="str">
        <f t="shared" si="0"/>
        <v>Compte fournisseur</v>
      </c>
      <c r="B27" s="52"/>
      <c r="C27" s="17"/>
      <c r="D27" s="17"/>
      <c r="E27" s="17"/>
      <c r="F27" s="96" t="s">
        <v>85</v>
      </c>
      <c r="G27" s="97" t="s">
        <v>92</v>
      </c>
      <c r="H27" s="98" t="s">
        <v>93</v>
      </c>
      <c r="I27" s="29"/>
      <c r="J27" s="30"/>
      <c r="K27" s="17"/>
      <c r="L27" s="17"/>
      <c r="M27" s="17"/>
      <c r="N27" s="17"/>
      <c r="O27" s="17"/>
      <c r="P27" s="17"/>
      <c r="Q27" s="17"/>
    </row>
    <row r="28" spans="1:17" x14ac:dyDescent="0.25">
      <c r="A28" s="52" t="str">
        <f t="shared" si="0"/>
        <v>Avances avec 9249-3626 Québec inc.</v>
      </c>
      <c r="B28" s="52"/>
      <c r="C28" s="17"/>
      <c r="D28" s="17"/>
      <c r="E28" s="17"/>
      <c r="F28" s="96" t="s">
        <v>85</v>
      </c>
      <c r="G28" s="97" t="s">
        <v>94</v>
      </c>
      <c r="H28" s="98" t="s">
        <v>95</v>
      </c>
      <c r="I28" s="29"/>
      <c r="J28" s="30"/>
      <c r="K28" s="17"/>
      <c r="L28" s="17"/>
      <c r="M28" s="17"/>
      <c r="N28" s="17"/>
      <c r="O28" s="17"/>
      <c r="P28" s="17"/>
      <c r="Q28" s="17"/>
    </row>
    <row r="29" spans="1:17" x14ac:dyDescent="0.25">
      <c r="A29" s="52" t="str">
        <f t="shared" si="0"/>
        <v>Avances avec 9333-4829 Québec inc</v>
      </c>
      <c r="B29" s="52"/>
      <c r="C29" s="17"/>
      <c r="D29" s="17"/>
      <c r="E29" s="17"/>
      <c r="F29" s="96" t="s">
        <v>85</v>
      </c>
      <c r="G29" s="97" t="s">
        <v>96</v>
      </c>
      <c r="H29" s="98" t="s">
        <v>97</v>
      </c>
      <c r="I29" s="29"/>
      <c r="J29" s="30"/>
      <c r="K29" s="17"/>
      <c r="L29" s="17"/>
      <c r="M29" s="17"/>
      <c r="N29" s="17"/>
      <c r="O29" s="17"/>
      <c r="P29" s="17"/>
      <c r="Q29" s="17"/>
    </row>
    <row r="30" spans="1:17" x14ac:dyDescent="0.25">
      <c r="A30" s="52" t="str">
        <f t="shared" si="0"/>
        <v>Prêt - Compte d'urgence</v>
      </c>
      <c r="B30" s="52"/>
      <c r="C30" s="17"/>
      <c r="D30" s="17"/>
      <c r="E30" s="17"/>
      <c r="F30" s="96" t="s">
        <v>85</v>
      </c>
      <c r="G30" s="97" t="s">
        <v>98</v>
      </c>
      <c r="H30" s="98" t="s">
        <v>99</v>
      </c>
      <c r="I30" s="29"/>
      <c r="J30" s="30"/>
      <c r="K30" s="17"/>
      <c r="L30" s="17"/>
      <c r="M30" s="17"/>
      <c r="N30" s="17"/>
      <c r="O30" s="17"/>
      <c r="P30" s="17"/>
      <c r="Q30" s="17"/>
    </row>
    <row r="31" spans="1:17" x14ac:dyDescent="0.25">
      <c r="A31" s="52" t="str">
        <f t="shared" si="0"/>
        <v>Impôt Fédéral à payer</v>
      </c>
      <c r="B31" s="52"/>
      <c r="C31" s="17"/>
      <c r="D31" s="17"/>
      <c r="E31" s="17"/>
      <c r="F31" s="96" t="s">
        <v>85</v>
      </c>
      <c r="G31" s="97" t="s">
        <v>100</v>
      </c>
      <c r="H31" s="98" t="s">
        <v>101</v>
      </c>
      <c r="I31" s="29"/>
      <c r="J31" s="30"/>
      <c r="K31" s="17"/>
      <c r="L31" s="17"/>
      <c r="M31" s="17"/>
      <c r="N31" s="17"/>
      <c r="O31" s="17"/>
      <c r="P31" s="17"/>
      <c r="Q31" s="17"/>
    </row>
    <row r="32" spans="1:17" x14ac:dyDescent="0.25">
      <c r="A32" s="52" t="str">
        <f t="shared" si="0"/>
        <v>Impôt Québec à payer</v>
      </c>
      <c r="B32" s="52"/>
      <c r="C32" s="17"/>
      <c r="D32" s="17"/>
      <c r="E32" s="17"/>
      <c r="F32" s="96" t="s">
        <v>85</v>
      </c>
      <c r="G32" s="97" t="s">
        <v>102</v>
      </c>
      <c r="H32" s="98" t="s">
        <v>103</v>
      </c>
      <c r="I32" s="29"/>
      <c r="J32" s="30"/>
      <c r="K32" s="17"/>
      <c r="L32" s="17"/>
      <c r="M32" s="17"/>
      <c r="N32" s="17"/>
      <c r="O32" s="17"/>
      <c r="P32" s="17"/>
      <c r="Q32" s="17"/>
    </row>
    <row r="33" spans="1:17" x14ac:dyDescent="0.25">
      <c r="A33" s="52" t="str">
        <f t="shared" si="0"/>
        <v>Acomptes - Impôt Fédéral</v>
      </c>
      <c r="B33" s="52"/>
      <c r="C33" s="17"/>
      <c r="D33" s="17"/>
      <c r="E33" s="17"/>
      <c r="F33" s="96" t="s">
        <v>85</v>
      </c>
      <c r="G33" s="97" t="s">
        <v>104</v>
      </c>
      <c r="H33" s="98" t="s">
        <v>105</v>
      </c>
      <c r="I33" s="29"/>
      <c r="J33" s="30"/>
      <c r="K33" s="17"/>
      <c r="L33" s="17"/>
      <c r="M33" s="17"/>
      <c r="N33" s="17"/>
      <c r="O33" s="17"/>
      <c r="P33" s="17"/>
      <c r="Q33" s="17"/>
    </row>
    <row r="34" spans="1:17" x14ac:dyDescent="0.25">
      <c r="A34" s="52" t="str">
        <f t="shared" si="0"/>
        <v>Acomptes - Impôt Québec</v>
      </c>
      <c r="B34" s="52"/>
      <c r="C34" s="17"/>
      <c r="D34" s="17"/>
      <c r="E34" s="17"/>
      <c r="F34" s="96" t="s">
        <v>85</v>
      </c>
      <c r="G34" s="97" t="s">
        <v>106</v>
      </c>
      <c r="H34" s="98" t="s">
        <v>107</v>
      </c>
      <c r="I34" s="29"/>
      <c r="J34" s="30"/>
      <c r="K34" s="17"/>
      <c r="L34" s="17"/>
      <c r="M34" s="17"/>
      <c r="N34" s="17"/>
      <c r="O34" s="17"/>
      <c r="P34" s="17"/>
      <c r="Q34" s="17"/>
    </row>
    <row r="35" spans="1:17" x14ac:dyDescent="0.25">
      <c r="A35" s="52" t="str">
        <f t="shared" si="0"/>
        <v>Produit perçu d'avance</v>
      </c>
      <c r="B35" s="52"/>
      <c r="C35" s="17"/>
      <c r="D35" s="17"/>
      <c r="E35" s="17"/>
      <c r="F35" s="96" t="s">
        <v>85</v>
      </c>
      <c r="G35" s="97" t="s">
        <v>108</v>
      </c>
      <c r="H35" s="98" t="s">
        <v>109</v>
      </c>
      <c r="I35" s="29"/>
      <c r="J35" s="30"/>
      <c r="K35" s="17"/>
      <c r="L35" s="17"/>
      <c r="M35" s="17"/>
      <c r="N35" s="17"/>
      <c r="O35" s="17"/>
      <c r="P35" s="17"/>
      <c r="Q35" s="17"/>
    </row>
    <row r="36" spans="1:17" x14ac:dyDescent="0.25">
      <c r="A36" s="52" t="str">
        <f t="shared" si="0"/>
        <v>Actions ordinaires</v>
      </c>
      <c r="B36" s="52"/>
      <c r="C36" s="17"/>
      <c r="D36" s="17"/>
      <c r="E36" s="17"/>
      <c r="F36" s="96" t="s">
        <v>110</v>
      </c>
      <c r="G36" s="97" t="s">
        <v>111</v>
      </c>
      <c r="H36" s="98" t="s">
        <v>112</v>
      </c>
      <c r="I36" s="29"/>
      <c r="J36" s="30"/>
      <c r="K36" s="17"/>
      <c r="L36" s="17"/>
      <c r="M36" s="17"/>
      <c r="N36" s="17"/>
      <c r="O36" s="17"/>
      <c r="P36" s="17"/>
      <c r="Q36" s="17"/>
    </row>
    <row r="37" spans="1:17" x14ac:dyDescent="0.25">
      <c r="A37" s="52" t="str">
        <f t="shared" si="0"/>
        <v>Actions privilégiées</v>
      </c>
      <c r="B37" s="52"/>
      <c r="C37" s="17"/>
      <c r="D37" s="17"/>
      <c r="E37" s="17"/>
      <c r="F37" s="96" t="s">
        <v>110</v>
      </c>
      <c r="G37" s="97" t="s">
        <v>113</v>
      </c>
      <c r="H37" s="98" t="s">
        <v>114</v>
      </c>
      <c r="I37" s="29"/>
      <c r="J37" s="30"/>
      <c r="K37" s="17"/>
      <c r="L37" s="17"/>
      <c r="M37" s="17"/>
      <c r="N37" s="17"/>
      <c r="O37" s="17"/>
      <c r="P37" s="17"/>
      <c r="Q37" s="17"/>
    </row>
    <row r="38" spans="1:17" x14ac:dyDescent="0.25">
      <c r="A38" s="52" t="str">
        <f t="shared" si="0"/>
        <v>BNR</v>
      </c>
      <c r="B38" s="52"/>
      <c r="C38" s="17"/>
      <c r="D38" s="17"/>
      <c r="E38" s="17"/>
      <c r="F38" s="96" t="s">
        <v>110</v>
      </c>
      <c r="G38" s="97" t="s">
        <v>115</v>
      </c>
      <c r="H38" s="98" t="s">
        <v>116</v>
      </c>
      <c r="I38" s="29"/>
      <c r="J38" s="30"/>
      <c r="K38" s="17"/>
      <c r="L38" s="17"/>
      <c r="M38" s="17"/>
      <c r="N38" s="17"/>
      <c r="O38" s="17"/>
      <c r="P38" s="17"/>
      <c r="Q38" s="17"/>
    </row>
    <row r="39" spans="1:17" x14ac:dyDescent="0.25">
      <c r="A39" s="52" t="str">
        <f t="shared" si="0"/>
        <v>Dividendes</v>
      </c>
      <c r="B39" s="52"/>
      <c r="C39" s="17"/>
      <c r="D39" s="17"/>
      <c r="E39" s="17"/>
      <c r="F39" s="96" t="s">
        <v>110</v>
      </c>
      <c r="G39" s="97" t="s">
        <v>117</v>
      </c>
      <c r="H39" s="98" t="s">
        <v>118</v>
      </c>
      <c r="I39" s="29"/>
      <c r="J39" s="30"/>
      <c r="K39" s="17"/>
      <c r="L39" s="17"/>
      <c r="M39" s="17"/>
      <c r="N39" s="17"/>
      <c r="O39" s="17"/>
      <c r="P39" s="17"/>
      <c r="Q39" s="17"/>
    </row>
    <row r="40" spans="1:17" x14ac:dyDescent="0.25">
      <c r="A40" s="52" t="str">
        <f t="shared" si="0"/>
        <v>Revenus de consultation</v>
      </c>
      <c r="B40" s="52"/>
      <c r="C40" s="17"/>
      <c r="D40" s="17"/>
      <c r="E40" s="17"/>
      <c r="F40" s="96" t="s">
        <v>119</v>
      </c>
      <c r="G40" s="97" t="s">
        <v>120</v>
      </c>
      <c r="H40" s="98" t="s">
        <v>121</v>
      </c>
      <c r="I40" s="29"/>
      <c r="J40" s="30"/>
      <c r="K40" s="17"/>
      <c r="L40" s="17"/>
      <c r="M40" s="17"/>
      <c r="N40" s="17"/>
      <c r="O40" s="17"/>
      <c r="P40" s="17"/>
      <c r="Q40" s="17"/>
    </row>
    <row r="41" spans="1:17" x14ac:dyDescent="0.25">
      <c r="A41" s="52" t="str">
        <f t="shared" si="0"/>
        <v>Revenus - Sociétés apparentées</v>
      </c>
      <c r="B41" s="52"/>
      <c r="C41" s="17"/>
      <c r="D41" s="17"/>
      <c r="E41" s="17"/>
      <c r="F41" s="96" t="s">
        <v>119</v>
      </c>
      <c r="G41" s="97" t="s">
        <v>122</v>
      </c>
      <c r="H41" s="98" t="s">
        <v>123</v>
      </c>
      <c r="I41" s="29"/>
      <c r="J41" s="30"/>
      <c r="K41" s="17"/>
      <c r="L41" s="17"/>
      <c r="M41" s="17"/>
      <c r="N41" s="17"/>
      <c r="O41" s="17"/>
      <c r="P41" s="17"/>
      <c r="Q41" s="17"/>
    </row>
    <row r="42" spans="1:17" x14ac:dyDescent="0.25">
      <c r="A42" s="52" t="str">
        <f t="shared" si="0"/>
        <v>Revenus - travaux en cours</v>
      </c>
      <c r="B42" s="52"/>
      <c r="C42" s="17"/>
      <c r="D42" s="17"/>
      <c r="E42" s="17"/>
      <c r="F42" s="96" t="s">
        <v>119</v>
      </c>
      <c r="G42" s="97" t="s">
        <v>124</v>
      </c>
      <c r="H42" s="98" t="s">
        <v>125</v>
      </c>
      <c r="I42" s="29"/>
      <c r="J42" s="30"/>
      <c r="K42" s="17"/>
      <c r="L42" s="17"/>
      <c r="M42" s="17"/>
      <c r="N42" s="17"/>
      <c r="O42" s="17"/>
      <c r="P42" s="17"/>
      <c r="Q42" s="17"/>
    </row>
    <row r="43" spans="1:17" x14ac:dyDescent="0.25">
      <c r="A43" s="52" t="str">
        <f t="shared" si="0"/>
        <v>Revenus d'intérêts</v>
      </c>
      <c r="B43" s="52"/>
      <c r="C43" s="17"/>
      <c r="D43" s="17"/>
      <c r="E43" s="17"/>
      <c r="F43" s="96" t="s">
        <v>119</v>
      </c>
      <c r="G43" s="97" t="s">
        <v>126</v>
      </c>
      <c r="H43" s="98" t="s">
        <v>127</v>
      </c>
      <c r="I43" s="29"/>
      <c r="J43" s="30"/>
      <c r="K43" s="17"/>
      <c r="L43" s="17"/>
      <c r="M43" s="17"/>
      <c r="N43" s="17"/>
      <c r="O43" s="17"/>
      <c r="P43" s="17"/>
      <c r="Q43" s="17"/>
    </row>
    <row r="44" spans="1:17" x14ac:dyDescent="0.25">
      <c r="A44" s="52" t="str">
        <f t="shared" si="0"/>
        <v>Revenus de dividendes</v>
      </c>
      <c r="B44" s="52"/>
      <c r="C44" s="17"/>
      <c r="D44" s="17"/>
      <c r="E44" s="17"/>
      <c r="F44" s="96" t="s">
        <v>119</v>
      </c>
      <c r="G44" s="97" t="s">
        <v>128</v>
      </c>
      <c r="H44" s="98" t="s">
        <v>129</v>
      </c>
      <c r="I44" s="29"/>
      <c r="J44" s="30"/>
      <c r="K44" s="17"/>
      <c r="L44" s="17"/>
      <c r="M44" s="17"/>
      <c r="N44" s="17"/>
      <c r="O44" s="17"/>
      <c r="P44" s="17"/>
      <c r="Q44" s="17"/>
    </row>
    <row r="45" spans="1:17" x14ac:dyDescent="0.25">
      <c r="A45" s="52" t="str">
        <f t="shared" si="0"/>
        <v>Prise de valeur - Valeur de consolidation</v>
      </c>
      <c r="B45" s="52"/>
      <c r="C45" s="17"/>
      <c r="D45" s="17"/>
      <c r="E45" s="17"/>
      <c r="F45" s="96" t="s">
        <v>119</v>
      </c>
      <c r="G45" s="97" t="s">
        <v>130</v>
      </c>
      <c r="H45" s="97" t="s">
        <v>131</v>
      </c>
      <c r="I45" s="29"/>
      <c r="J45" s="30"/>
      <c r="K45" s="17"/>
      <c r="L45" s="17"/>
      <c r="M45" s="17"/>
      <c r="N45" s="17"/>
      <c r="O45" s="17"/>
      <c r="P45" s="17"/>
      <c r="Q45" s="17"/>
    </row>
    <row r="46" spans="1:17" x14ac:dyDescent="0.25">
      <c r="A46" s="52" t="str">
        <f t="shared" si="0"/>
        <v>Doc. et outils de recherche</v>
      </c>
      <c r="B46" s="52"/>
      <c r="C46" s="17"/>
      <c r="D46" s="17"/>
      <c r="E46" s="17"/>
      <c r="F46" s="96" t="s">
        <v>132</v>
      </c>
      <c r="G46" s="97" t="s">
        <v>133</v>
      </c>
      <c r="H46" s="98" t="s">
        <v>134</v>
      </c>
      <c r="I46" s="29"/>
      <c r="J46" s="30"/>
      <c r="K46" s="17"/>
      <c r="L46" s="17"/>
      <c r="M46" s="17"/>
      <c r="N46" s="17"/>
      <c r="O46" s="17"/>
      <c r="P46" s="17"/>
      <c r="Q46" s="17"/>
    </row>
    <row r="47" spans="1:17" x14ac:dyDescent="0.25">
      <c r="A47" s="52" t="str">
        <f t="shared" si="0"/>
        <v>Formations</v>
      </c>
      <c r="B47" s="52"/>
      <c r="C47" s="17"/>
      <c r="D47" s="17"/>
      <c r="E47" s="17"/>
      <c r="F47" s="96" t="s">
        <v>132</v>
      </c>
      <c r="G47" s="97" t="s">
        <v>135</v>
      </c>
      <c r="H47" s="98" t="s">
        <v>136</v>
      </c>
      <c r="I47" s="29"/>
      <c r="J47" s="30"/>
      <c r="K47" s="17"/>
      <c r="L47" s="17"/>
      <c r="M47" s="17"/>
      <c r="N47" s="17"/>
      <c r="O47" s="17"/>
      <c r="P47" s="17"/>
      <c r="Q47" s="17"/>
    </row>
    <row r="48" spans="1:17" x14ac:dyDescent="0.25">
      <c r="A48" s="52" t="str">
        <f t="shared" si="0"/>
        <v>Fournitures de bureau</v>
      </c>
      <c r="B48" s="52"/>
      <c r="C48" s="17"/>
      <c r="D48" s="17"/>
      <c r="E48" s="17"/>
      <c r="F48" s="96" t="s">
        <v>132</v>
      </c>
      <c r="G48" s="97" t="s">
        <v>137</v>
      </c>
      <c r="H48" s="98" t="s">
        <v>138</v>
      </c>
      <c r="I48" s="29"/>
      <c r="J48" s="30"/>
      <c r="K48" s="17"/>
      <c r="L48" s="17"/>
      <c r="M48" s="17"/>
      <c r="N48" s="17"/>
      <c r="O48" s="17"/>
      <c r="P48" s="17"/>
      <c r="Q48" s="17"/>
    </row>
    <row r="49" spans="1:17" x14ac:dyDescent="0.25">
      <c r="A49" s="52" t="str">
        <f t="shared" si="0"/>
        <v>Frais de représentation</v>
      </c>
      <c r="B49" s="52"/>
      <c r="C49" s="17"/>
      <c r="D49" s="17"/>
      <c r="E49" s="17"/>
      <c r="F49" s="96" t="s">
        <v>132</v>
      </c>
      <c r="G49" s="97" t="s">
        <v>139</v>
      </c>
      <c r="H49" s="98" t="s">
        <v>140</v>
      </c>
      <c r="I49" s="29"/>
      <c r="J49" s="30"/>
      <c r="K49" s="17"/>
      <c r="L49" s="17"/>
      <c r="M49" s="17"/>
      <c r="N49" s="17"/>
      <c r="O49" s="17"/>
      <c r="P49" s="17"/>
      <c r="Q49" s="17"/>
    </row>
    <row r="50" spans="1:17" x14ac:dyDescent="0.25">
      <c r="A50" s="52" t="str">
        <f t="shared" si="0"/>
        <v>Golf / Pourvoirie</v>
      </c>
      <c r="B50" s="52"/>
      <c r="C50" s="17"/>
      <c r="D50" s="17"/>
      <c r="E50" s="17"/>
      <c r="F50" s="96" t="s">
        <v>132</v>
      </c>
      <c r="G50" s="97" t="s">
        <v>141</v>
      </c>
      <c r="H50" s="98" t="s">
        <v>142</v>
      </c>
      <c r="I50" s="29"/>
      <c r="J50" s="30"/>
      <c r="K50" s="17"/>
      <c r="L50" s="17"/>
      <c r="M50" s="17"/>
      <c r="N50" s="17"/>
      <c r="O50" s="17"/>
      <c r="P50" s="17"/>
      <c r="Q50" s="17"/>
    </row>
    <row r="51" spans="1:17" x14ac:dyDescent="0.25">
      <c r="A51" s="52" t="str">
        <f t="shared" si="0"/>
        <v>Frais de déplacement</v>
      </c>
      <c r="B51" s="52"/>
      <c r="C51" s="17"/>
      <c r="D51" s="17"/>
      <c r="E51" s="17"/>
      <c r="F51" s="96" t="s">
        <v>132</v>
      </c>
      <c r="G51" s="97" t="s">
        <v>143</v>
      </c>
      <c r="H51" s="98" t="s">
        <v>144</v>
      </c>
      <c r="I51" s="29"/>
      <c r="J51" s="30"/>
      <c r="K51" s="17"/>
      <c r="L51" s="17"/>
      <c r="M51" s="17"/>
      <c r="N51" s="17"/>
      <c r="O51" s="17"/>
      <c r="P51" s="17"/>
      <c r="Q51" s="17"/>
    </row>
    <row r="52" spans="1:17" x14ac:dyDescent="0.25">
      <c r="A52" s="52" t="str">
        <f t="shared" si="0"/>
        <v>Frais de publicité</v>
      </c>
      <c r="B52" s="52"/>
      <c r="C52" s="17"/>
      <c r="D52" s="17"/>
      <c r="E52" s="17"/>
      <c r="F52" s="96" t="s">
        <v>132</v>
      </c>
      <c r="G52" s="97" t="s">
        <v>145</v>
      </c>
      <c r="H52" s="98" t="s">
        <v>146</v>
      </c>
      <c r="I52" s="29"/>
      <c r="J52" s="30"/>
      <c r="L52" s="17"/>
      <c r="M52" s="17"/>
      <c r="N52" s="17"/>
      <c r="O52" s="17"/>
      <c r="P52" s="17"/>
      <c r="Q52" s="17"/>
    </row>
    <row r="53" spans="1:17" x14ac:dyDescent="0.25">
      <c r="A53" s="52" t="str">
        <f t="shared" si="0"/>
        <v>Fournitures informatiques &amp; Site web</v>
      </c>
      <c r="B53" s="52"/>
      <c r="C53" s="17"/>
      <c r="D53" s="17"/>
      <c r="E53" s="17"/>
      <c r="F53" s="96" t="s">
        <v>132</v>
      </c>
      <c r="G53" s="97" t="s">
        <v>147</v>
      </c>
      <c r="H53" s="98" t="s">
        <v>148</v>
      </c>
      <c r="I53" s="29"/>
      <c r="J53" s="30"/>
      <c r="L53" s="17"/>
      <c r="M53" s="17"/>
      <c r="N53" s="17"/>
      <c r="O53" s="17"/>
      <c r="P53" s="17"/>
      <c r="Q53" s="17"/>
    </row>
    <row r="54" spans="1:17" x14ac:dyDescent="0.25">
      <c r="A54" s="52" t="str">
        <f t="shared" si="0"/>
        <v>Loyer</v>
      </c>
      <c r="B54" s="52"/>
      <c r="C54" s="17"/>
      <c r="D54" s="17"/>
      <c r="E54" s="17"/>
      <c r="F54" s="96" t="s">
        <v>132</v>
      </c>
      <c r="G54" s="97" t="s">
        <v>149</v>
      </c>
      <c r="H54" s="98" t="s">
        <v>150</v>
      </c>
      <c r="I54" s="29"/>
      <c r="J54" s="30"/>
      <c r="L54" s="17"/>
      <c r="M54" s="17"/>
      <c r="N54" s="17"/>
      <c r="O54" s="17"/>
      <c r="P54" s="17"/>
      <c r="Q54" s="17"/>
    </row>
    <row r="55" spans="1:17" x14ac:dyDescent="0.25">
      <c r="A55" s="52" t="str">
        <f t="shared" si="0"/>
        <v>Frais de communications</v>
      </c>
      <c r="B55" s="52"/>
      <c r="C55" s="17"/>
      <c r="D55" s="17"/>
      <c r="E55" s="17"/>
      <c r="F55" s="96" t="s">
        <v>132</v>
      </c>
      <c r="G55" s="97" t="s">
        <v>151</v>
      </c>
      <c r="H55" s="98" t="s">
        <v>152</v>
      </c>
      <c r="I55" s="29"/>
      <c r="J55" s="30"/>
      <c r="L55" s="17"/>
      <c r="M55" s="17"/>
      <c r="N55" s="17"/>
      <c r="O55" s="17"/>
      <c r="P55" s="17"/>
      <c r="Q55" s="17"/>
    </row>
    <row r="56" spans="1:17" x14ac:dyDescent="0.25">
      <c r="A56" s="52" t="str">
        <f t="shared" si="0"/>
        <v>Frais de poste</v>
      </c>
      <c r="B56" s="52"/>
      <c r="C56" s="17"/>
      <c r="D56" s="17"/>
      <c r="E56" s="17"/>
      <c r="F56" s="96" t="s">
        <v>132</v>
      </c>
      <c r="G56" s="97" t="s">
        <v>153</v>
      </c>
      <c r="H56" s="98" t="s">
        <v>154</v>
      </c>
      <c r="I56" s="29"/>
      <c r="J56" s="30"/>
      <c r="L56" s="17"/>
      <c r="M56" s="17"/>
      <c r="N56" s="17"/>
      <c r="O56" s="17"/>
      <c r="P56" s="17"/>
      <c r="Q56" s="17"/>
    </row>
    <row r="57" spans="1:17" x14ac:dyDescent="0.25">
      <c r="A57" s="52" t="str">
        <f t="shared" si="0"/>
        <v>Salaires et Sous-traitance</v>
      </c>
      <c r="B57" s="52"/>
      <c r="C57" s="17"/>
      <c r="D57" s="17"/>
      <c r="E57" s="17"/>
      <c r="F57" s="96" t="s">
        <v>132</v>
      </c>
      <c r="G57" s="97" t="s">
        <v>155</v>
      </c>
      <c r="H57" s="98" t="s">
        <v>156</v>
      </c>
      <c r="I57" s="29"/>
      <c r="J57" s="30"/>
      <c r="L57" s="17"/>
      <c r="M57" s="17"/>
      <c r="N57" s="17"/>
      <c r="O57" s="17"/>
      <c r="P57" s="17"/>
      <c r="Q57" s="17"/>
    </row>
    <row r="58" spans="1:17" x14ac:dyDescent="0.25">
      <c r="A58" s="52" t="str">
        <f t="shared" si="0"/>
        <v>Assurance &amp; Cotisation professionnelle</v>
      </c>
      <c r="B58" s="52"/>
      <c r="C58" s="17"/>
      <c r="D58" s="17"/>
      <c r="E58" s="17"/>
      <c r="F58" s="96" t="s">
        <v>132</v>
      </c>
      <c r="G58" s="97" t="s">
        <v>157</v>
      </c>
      <c r="H58" s="98" t="s">
        <v>158</v>
      </c>
      <c r="I58" s="29"/>
      <c r="J58" s="30"/>
      <c r="L58" s="17"/>
      <c r="M58" s="17"/>
      <c r="N58" s="17"/>
      <c r="O58" s="17"/>
      <c r="P58" s="17"/>
      <c r="Q58" s="17"/>
    </row>
    <row r="59" spans="1:17" x14ac:dyDescent="0.25">
      <c r="A59" s="52" t="str">
        <f t="shared" si="0"/>
        <v>Frais financiers</v>
      </c>
      <c r="B59" s="52"/>
      <c r="C59" s="17"/>
      <c r="D59" s="17"/>
      <c r="E59" s="17"/>
      <c r="F59" s="96" t="s">
        <v>132</v>
      </c>
      <c r="G59" s="97" t="s">
        <v>159</v>
      </c>
      <c r="H59" s="98" t="s">
        <v>160</v>
      </c>
      <c r="I59" s="29"/>
      <c r="J59" s="30"/>
      <c r="L59" s="17"/>
      <c r="M59" s="17"/>
      <c r="N59" s="17"/>
      <c r="O59" s="17"/>
      <c r="P59" s="17"/>
      <c r="Q59" s="17"/>
    </row>
    <row r="60" spans="1:17" x14ac:dyDescent="0.25">
      <c r="A60" s="52" t="str">
        <f t="shared" si="0"/>
        <v>Amortissement</v>
      </c>
      <c r="B60" s="52"/>
      <c r="C60" s="17"/>
      <c r="D60" s="17"/>
      <c r="E60" s="17"/>
      <c r="F60" s="96" t="s">
        <v>132</v>
      </c>
      <c r="G60" s="97" t="s">
        <v>161</v>
      </c>
      <c r="H60" s="98" t="s">
        <v>162</v>
      </c>
      <c r="I60" s="29"/>
      <c r="J60" s="30"/>
      <c r="L60" s="17"/>
      <c r="M60" s="17"/>
      <c r="N60" s="17"/>
      <c r="O60" s="17"/>
      <c r="P60" s="17"/>
      <c r="Q60" s="17"/>
    </row>
    <row r="61" spans="1:17" x14ac:dyDescent="0.25">
      <c r="A61" s="52" t="str">
        <f t="shared" si="0"/>
        <v>Mauvaises créances</v>
      </c>
      <c r="B61" s="52"/>
      <c r="C61" s="17"/>
      <c r="D61" s="17"/>
      <c r="E61" s="17"/>
      <c r="F61" s="96" t="s">
        <v>132</v>
      </c>
      <c r="G61" s="97" t="s">
        <v>163</v>
      </c>
      <c r="H61" s="98" t="s">
        <v>164</v>
      </c>
      <c r="I61" s="29"/>
      <c r="J61" s="30"/>
      <c r="L61" s="17"/>
      <c r="M61" s="17"/>
      <c r="N61" s="17"/>
      <c r="O61" s="17"/>
      <c r="P61" s="17"/>
      <c r="Q61" s="17"/>
    </row>
    <row r="62" spans="1:17" x14ac:dyDescent="0.25">
      <c r="A62" s="52" t="str">
        <f t="shared" si="0"/>
        <v>Assurance - loyer</v>
      </c>
      <c r="B62" s="52"/>
      <c r="C62" s="17"/>
      <c r="D62" s="17"/>
      <c r="E62" s="17"/>
      <c r="F62" s="96" t="s">
        <v>132</v>
      </c>
      <c r="G62" s="97" t="s">
        <v>165</v>
      </c>
      <c r="H62" s="98" t="s">
        <v>166</v>
      </c>
      <c r="I62" s="29"/>
      <c r="J62" s="30"/>
      <c r="L62" s="17"/>
      <c r="M62" s="17"/>
      <c r="N62" s="17"/>
      <c r="O62" s="17"/>
      <c r="P62" s="17"/>
      <c r="Q62" s="17"/>
    </row>
    <row r="63" spans="1:17" ht="15.75" thickBot="1" x14ac:dyDescent="0.3">
      <c r="A63" s="52" t="str">
        <f t="shared" si="0"/>
        <v>Impôts exigibles</v>
      </c>
      <c r="B63" s="52"/>
      <c r="C63" s="17"/>
      <c r="D63" s="17"/>
      <c r="E63" s="17"/>
      <c r="F63" s="101" t="s">
        <v>132</v>
      </c>
      <c r="G63" s="102" t="s">
        <v>167</v>
      </c>
      <c r="H63" s="103" t="s">
        <v>168</v>
      </c>
      <c r="I63" s="33"/>
      <c r="J63" s="34"/>
      <c r="L63" s="17"/>
      <c r="M63" s="17"/>
      <c r="N63" s="17"/>
      <c r="O63" s="17"/>
      <c r="P63" s="17"/>
      <c r="Q63" s="17"/>
    </row>
    <row r="64" spans="1:17" x14ac:dyDescent="0.25">
      <c r="L64" s="17"/>
    </row>
    <row r="65" spans="12:12" x14ac:dyDescent="0.25">
      <c r="L65" s="17"/>
    </row>
  </sheetData>
  <sortState xmlns:xlrd2="http://schemas.microsoft.com/office/spreadsheetml/2017/richdata2" ref="L4:L16">
    <sortCondition ref="L4:L16"/>
  </sortState>
  <mergeCells count="3">
    <mergeCell ref="D1:L1"/>
    <mergeCell ref="F2:J2"/>
    <mergeCell ref="N1:P1"/>
  </mergeCells>
  <conditionalFormatting sqref="I4:J20">
    <cfRule type="expression" dxfId="57" priority="18">
      <formula>$D$16=ROW()</formula>
    </cfRule>
  </conditionalFormatting>
  <conditionalFormatting sqref="I4:I13">
    <cfRule type="expression" dxfId="56" priority="22">
      <formula>AND($L4&lt;&gt;"",MOD(ROW(),2)=0)</formula>
    </cfRule>
  </conditionalFormatting>
  <conditionalFormatting sqref="J4:J13">
    <cfRule type="expression" dxfId="55" priority="19">
      <formula>AND($L4&lt;&gt;"",MOD(ROW(),2)=1)</formula>
    </cfRule>
    <cfRule type="expression" dxfId="54" priority="21">
      <formula>AND($L4&lt;&gt;"",MOD(ROW(),2)=0)</formula>
    </cfRule>
  </conditionalFormatting>
  <conditionalFormatting sqref="I4:J63 D11:D21 L4:L17">
    <cfRule type="expression" dxfId="53" priority="17">
      <formula>MOD(ROW(),2)=0</formula>
    </cfRule>
  </conditionalFormatting>
  <conditionalFormatting sqref="F4:H23">
    <cfRule type="expression" dxfId="52" priority="5">
      <formula>#REF!=ROW()</formula>
    </cfRule>
  </conditionalFormatting>
  <conditionalFormatting sqref="F4:H10">
    <cfRule type="expression" dxfId="51" priority="6">
      <formula>AND($J2&lt;&gt;"",MOD(ROW(),2)=0)</formula>
    </cfRule>
  </conditionalFormatting>
  <conditionalFormatting sqref="F4:H63">
    <cfRule type="expression" dxfId="50" priority="4">
      <formula>MOD(ROW(),2)=0</formula>
    </cfRule>
  </conditionalFormatting>
  <conditionalFormatting sqref="F6:H43 F57:H58">
    <cfRule type="expression" dxfId="49" priority="7">
      <formula>AND($J2&lt;&gt;"",MOD(ROW(),2)=0)</formula>
    </cfRule>
  </conditionalFormatting>
  <conditionalFormatting sqref="F9:H10 F4:H4">
    <cfRule type="expression" dxfId="48" priority="3">
      <formula>AND($J1&lt;&gt;"",MOD(ROW(),2)=0)</formula>
    </cfRule>
  </conditionalFormatting>
  <conditionalFormatting sqref="F4:F63">
    <cfRule type="expression" dxfId="47" priority="8">
      <formula>AND($L1048565&lt;&gt;"",MOD(ROW(),2)=0)</formula>
    </cfRule>
  </conditionalFormatting>
  <conditionalFormatting sqref="F47:H47">
    <cfRule type="expression" dxfId="46" priority="9">
      <formula>AND(#REF!&lt;&gt;"",MOD(ROW(),2)=0)</formula>
    </cfRule>
  </conditionalFormatting>
  <conditionalFormatting sqref="F51:H63">
    <cfRule type="expression" dxfId="45" priority="10">
      <formula>AND($J85&lt;&gt;"",MOD(ROW(),2)=0)</formula>
    </cfRule>
  </conditionalFormatting>
  <conditionalFormatting sqref="F59:H59">
    <cfRule type="expression" dxfId="44" priority="11">
      <formula>AND(#REF!&lt;&gt;"",MOD(ROW(),2)=0)</formula>
    </cfRule>
  </conditionalFormatting>
  <conditionalFormatting sqref="F63:H63">
    <cfRule type="expression" dxfId="43" priority="12">
      <formula>AND($J85&lt;&gt;"",MOD(ROW(),2)=0)</formula>
    </cfRule>
  </conditionalFormatting>
  <conditionalFormatting sqref="F48:H50">
    <cfRule type="expression" dxfId="42" priority="13">
      <formula>AND($J80&lt;&gt;"",MOD(ROW(),2)=0)</formula>
    </cfRule>
  </conditionalFormatting>
  <conditionalFormatting sqref="F60:H62">
    <cfRule type="expression" dxfId="41" priority="14">
      <formula>AND($J80&lt;&gt;"",MOD(ROW(),2)=0)</formula>
    </cfRule>
  </conditionalFormatting>
  <conditionalFormatting sqref="F5:H5">
    <cfRule type="expression" dxfId="40" priority="15">
      <formula>AND(#REF!&lt;&gt;"",MOD(ROW(),2)=0)</formula>
    </cfRule>
  </conditionalFormatting>
  <conditionalFormatting sqref="F53:H55">
    <cfRule type="expression" dxfId="39" priority="16">
      <formula>AND($J37&lt;&gt;"",MOD(ROW(),2)=0)</formula>
    </cfRule>
  </conditionalFormatting>
  <conditionalFormatting sqref="F44:H44">
    <cfRule type="expression" dxfId="38" priority="42">
      <formula>AND($J51&lt;&gt;"",MOD(ROW(),2)=0)</formula>
    </cfRule>
  </conditionalFormatting>
  <conditionalFormatting sqref="F56:H56">
    <cfRule type="expression" dxfId="37" priority="44">
      <formula>AND($J51&lt;&gt;"",MOD(ROW(),2)=0)</formula>
    </cfRule>
  </conditionalFormatting>
  <conditionalFormatting sqref="F45:H46">
    <cfRule type="expression" dxfId="36" priority="54">
      <formula>AND($J53&lt;&gt;"",MOD(ROW(),2)=0)</formula>
    </cfRule>
  </conditionalFormatting>
  <conditionalFormatting sqref="I15:I31">
    <cfRule type="expression" dxfId="35" priority="57">
      <formula>AND(#REF!&lt;&gt;"",MOD(ROW(),2)=0)</formula>
    </cfRule>
  </conditionalFormatting>
  <conditionalFormatting sqref="J15:J31">
    <cfRule type="expression" dxfId="34" priority="63">
      <formula>AND(#REF!&lt;&gt;"",MOD(ROW(),2)=1)</formula>
    </cfRule>
    <cfRule type="expression" dxfId="33" priority="64">
      <formula>AND(#REF!&lt;&gt;"",MOD(ROW(),2)=0)</formula>
    </cfRule>
  </conditionalFormatting>
  <conditionalFormatting sqref="I51:I52">
    <cfRule type="expression" dxfId="32" priority="73">
      <formula>AND(#REF!&lt;&gt;"",MOD(ROW(),2)=0)</formula>
    </cfRule>
  </conditionalFormatting>
  <conditionalFormatting sqref="J51:J52">
    <cfRule type="expression" dxfId="31" priority="74">
      <formula>AND(#REF!&lt;&gt;"",MOD(ROW(),2)=1)</formula>
    </cfRule>
    <cfRule type="expression" dxfId="30" priority="75">
      <formula>AND(#REF!&lt;&gt;"",MOD(ROW(),2)=0)</formula>
    </cfRule>
  </conditionalFormatting>
  <conditionalFormatting sqref="I53:I60">
    <cfRule type="expression" dxfId="29" priority="76">
      <formula>AND(#REF!&lt;&gt;"",MOD(ROW(),2)=0)</formula>
    </cfRule>
  </conditionalFormatting>
  <conditionalFormatting sqref="J53:J60">
    <cfRule type="expression" dxfId="28" priority="78">
      <formula>AND(#REF!&lt;&gt;"",MOD(ROW(),2)=1)</formula>
    </cfRule>
    <cfRule type="expression" dxfId="27" priority="79">
      <formula>AND(#REF!&lt;&gt;"",MOD(ROW(),2)=0)</formula>
    </cfRule>
  </conditionalFormatting>
  <conditionalFormatting sqref="I32:I48">
    <cfRule type="expression" dxfId="26" priority="82">
      <formula>AND(#REF!&lt;&gt;"",MOD(ROW(),2)=0)</formula>
    </cfRule>
  </conditionalFormatting>
  <conditionalFormatting sqref="J32:J48">
    <cfRule type="expression" dxfId="25" priority="84">
      <formula>AND(#REF!&lt;&gt;"",MOD(ROW(),2)=1)</formula>
    </cfRule>
    <cfRule type="expression" dxfId="24" priority="85">
      <formula>AND(#REF!&lt;&gt;"",MOD(ROW(),2)=0)</formula>
    </cfRule>
  </conditionalFormatting>
  <conditionalFormatting sqref="I61:I62">
    <cfRule type="expression" dxfId="23" priority="90">
      <formula>AND(#REF!&lt;&gt;"",MOD(ROW(),2)=0)</formula>
    </cfRule>
  </conditionalFormatting>
  <conditionalFormatting sqref="I63">
    <cfRule type="expression" dxfId="22" priority="91">
      <formula>AND($L17&lt;&gt;"",MOD(ROW(),2)=0)</formula>
    </cfRule>
  </conditionalFormatting>
  <conditionalFormatting sqref="J61:J62">
    <cfRule type="expression" dxfId="21" priority="92">
      <formula>AND(#REF!&lt;&gt;"",MOD(ROW(),2)=1)</formula>
    </cfRule>
    <cfRule type="expression" dxfId="20" priority="93">
      <formula>AND(#REF!&lt;&gt;"",MOD(ROW(),2)=0)</formula>
    </cfRule>
  </conditionalFormatting>
  <conditionalFormatting sqref="J63">
    <cfRule type="expression" dxfId="19" priority="94">
      <formula>AND($L17&lt;&gt;"",MOD(ROW(),2)=1)</formula>
    </cfRule>
    <cfRule type="expression" dxfId="18" priority="95">
      <formula>AND($L17&lt;&gt;"",MOD(ROW(),2)=0)</formula>
    </cfRule>
  </conditionalFormatting>
  <conditionalFormatting sqref="I49:I50">
    <cfRule type="expression" dxfId="17" priority="96">
      <formula>AND(#REF!&lt;&gt;"",MOD(ROW(),2)=0)</formula>
    </cfRule>
  </conditionalFormatting>
  <conditionalFormatting sqref="J49:J50">
    <cfRule type="expression" dxfId="16" priority="97">
      <formula>AND(#REF!&lt;&gt;"",MOD(ROW(),2)=1)</formula>
    </cfRule>
    <cfRule type="expression" dxfId="15" priority="98">
      <formula>AND(#REF!&lt;&gt;"",MOD(ROW(),2)=0)</formula>
    </cfRule>
  </conditionalFormatting>
  <conditionalFormatting sqref="D4:D7">
    <cfRule type="expression" dxfId="14" priority="2">
      <formula>MOD(ROW(),2)=0</formula>
    </cfRule>
  </conditionalFormatting>
  <conditionalFormatting sqref="D8">
    <cfRule type="expression" dxfId="13" priority="1">
      <formula>MOD(ROW(),2)=0</formula>
    </cfRule>
  </conditionalFormatting>
  <conditionalFormatting sqref="I14">
    <cfRule type="expression" dxfId="12" priority="100">
      <formula>AND($L16&lt;&gt;"",MOD(ROW(),2)=0)</formula>
    </cfRule>
  </conditionalFormatting>
  <conditionalFormatting sqref="J14">
    <cfRule type="expression" dxfId="11" priority="103">
      <formula>AND($L16&lt;&gt;"",MOD(ROW(),2)=1)</formula>
    </cfRule>
    <cfRule type="expression" dxfId="10" priority="104">
      <formula>AND($L16&lt;&gt;"",MOD(ROW(),2)=0)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Y338"/>
  <sheetViews>
    <sheetView tabSelected="1" zoomScale="90" zoomScaleNormal="90" workbookViewId="0">
      <pane ySplit="7" topLeftCell="A8" activePane="bottomLeft" state="frozen"/>
      <selection pane="bottomLeft" activeCell="L1" sqref="L1:Y1048576"/>
    </sheetView>
  </sheetViews>
  <sheetFormatPr baseColWidth="10" defaultColWidth="9.140625" defaultRowHeight="15" x14ac:dyDescent="0.25"/>
  <cols>
    <col min="1" max="1" width="15.28515625" bestFit="1" customWidth="1"/>
    <col min="2" max="2" width="14.85546875" customWidth="1"/>
    <col min="3" max="3" width="10.7109375" style="95"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1" max="11" width="3.7109375" customWidth="1"/>
    <col min="12" max="12" width="14.140625" style="137" bestFit="1" customWidth="1"/>
    <col min="13" max="13" width="12.7109375" style="136" customWidth="1"/>
    <col min="14" max="14" width="16.42578125" style="136" bestFit="1" customWidth="1"/>
    <col min="15" max="15" width="24.7109375" style="137" customWidth="1"/>
    <col min="16" max="16" width="23.42578125" style="137" customWidth="1"/>
    <col min="17" max="17" width="11.7109375" style="137" customWidth="1"/>
    <col min="18" max="18" width="6.7109375" style="138" customWidth="1"/>
    <col min="19" max="20" width="6.7109375" style="139" customWidth="1"/>
    <col min="21" max="21" width="12.7109375" style="136" bestFit="1" customWidth="1"/>
    <col min="22" max="22" width="12.7109375" style="136" customWidth="1"/>
    <col min="23" max="23" width="12.7109375" style="137" customWidth="1"/>
    <col min="24" max="25" width="9.140625" style="137"/>
  </cols>
  <sheetData>
    <row r="1" spans="1:23" ht="46.5" x14ac:dyDescent="0.25">
      <c r="A1" s="54" t="s">
        <v>19</v>
      </c>
      <c r="B1" s="58" t="b">
        <v>0</v>
      </c>
      <c r="C1" s="92"/>
      <c r="D1" s="127" t="s">
        <v>300</v>
      </c>
      <c r="E1" s="127"/>
      <c r="F1" s="127"/>
      <c r="G1" s="127"/>
      <c r="H1" s="127"/>
      <c r="I1" s="127"/>
      <c r="J1" s="127"/>
      <c r="K1" s="3"/>
      <c r="L1" s="135"/>
    </row>
    <row r="2" spans="1:23" x14ac:dyDescent="0.25">
      <c r="A2" s="54" t="s">
        <v>17</v>
      </c>
      <c r="B2" s="58">
        <v>24</v>
      </c>
      <c r="C2" s="93"/>
      <c r="D2" s="48"/>
      <c r="E2" s="1"/>
      <c r="F2" s="1"/>
      <c r="G2" s="1"/>
      <c r="H2" s="1"/>
      <c r="I2" s="1"/>
      <c r="J2" s="1"/>
      <c r="K2" s="1"/>
    </row>
    <row r="3" spans="1:23" x14ac:dyDescent="0.25">
      <c r="A3" s="54" t="s">
        <v>208</v>
      </c>
      <c r="B3" s="58">
        <f>INDEX(C1:C99999,B2,1)</f>
        <v>19</v>
      </c>
      <c r="C3" s="94"/>
      <c r="D3" s="9"/>
      <c r="E3" s="10" t="s">
        <v>197</v>
      </c>
      <c r="F3" s="130" t="str">
        <f>UPPER(E4)</f>
        <v>ENCAISSE</v>
      </c>
      <c r="G3" s="10" t="s">
        <v>195</v>
      </c>
      <c r="H3" s="10" t="s">
        <v>196</v>
      </c>
      <c r="I3" s="10" t="str">
        <f ca="1">IFERROR(IF(OR(B9="Income",B9="Expense",B9="COGS"),"Total "&amp;E4,"Ending/Current Balance"),"")</f>
        <v>Ending/Current Balance</v>
      </c>
      <c r="J3" s="2"/>
      <c r="K3" s="2"/>
    </row>
    <row r="4" spans="1:23" x14ac:dyDescent="0.25">
      <c r="A4" s="54" t="s">
        <v>22</v>
      </c>
      <c r="B4" s="58">
        <f ca="1">IFERROR(MATCH(B3,Trans_Numb,0)+4,"")</f>
        <v>41</v>
      </c>
      <c r="C4" s="94"/>
      <c r="D4" s="9"/>
      <c r="E4" s="47" t="s">
        <v>46</v>
      </c>
      <c r="F4" s="130"/>
      <c r="G4" s="38">
        <v>44927</v>
      </c>
      <c r="H4" s="38">
        <v>45291</v>
      </c>
      <c r="I4" s="62">
        <f ca="1">IF(OR(E4="[All Accounts]",E4=""),"",IF($B$8="Increase",SUMIFS(Trans_Debit,Trans_DebitAcct,$E$4)-SUMIFS(Trans_Credit,Trans_CreditAcct,$E$4),SUMIFS(Trans_Credit,Trans_CreditAcct,$E$4)-SUMIFS(Trans_Debit,Trans_DebitAcct,E4)))</f>
        <v>73595</v>
      </c>
      <c r="J4" s="2"/>
      <c r="K4" s="2"/>
    </row>
    <row r="5" spans="1:23" ht="15" customHeight="1" thickBot="1" x14ac:dyDescent="0.35">
      <c r="A5" s="54" t="s">
        <v>38</v>
      </c>
      <c r="B5" s="58"/>
      <c r="C5" s="94"/>
      <c r="D5" s="9"/>
      <c r="E5" s="2"/>
      <c r="F5" s="2"/>
      <c r="G5" s="2"/>
      <c r="H5" s="2"/>
      <c r="I5" s="2"/>
      <c r="J5" s="2"/>
      <c r="K5" s="2"/>
      <c r="U5" s="140"/>
      <c r="V5" s="140"/>
    </row>
    <row r="6" spans="1:23" x14ac:dyDescent="0.25">
      <c r="A6" s="54" t="s">
        <v>18</v>
      </c>
      <c r="B6" s="58" t="b">
        <v>0</v>
      </c>
      <c r="C6" s="94"/>
      <c r="D6" s="4" t="s">
        <v>0</v>
      </c>
      <c r="E6" s="99" t="s">
        <v>11</v>
      </c>
      <c r="F6" s="5" t="s">
        <v>7</v>
      </c>
      <c r="G6" s="131" t="s">
        <v>203</v>
      </c>
      <c r="H6" s="131" t="s">
        <v>181</v>
      </c>
      <c r="I6" s="131" t="s">
        <v>204</v>
      </c>
      <c r="J6" s="128" t="s">
        <v>16</v>
      </c>
      <c r="K6" s="2"/>
    </row>
    <row r="7" spans="1:23" x14ac:dyDescent="0.25">
      <c r="A7" s="54" t="s">
        <v>23</v>
      </c>
      <c r="B7" s="58">
        <f ca="1">IFERROR(MAX(Trans_Numb)+1,1)</f>
        <v>20</v>
      </c>
      <c r="C7" s="94"/>
      <c r="D7" s="6" t="s">
        <v>2</v>
      </c>
      <c r="E7" s="100" t="s">
        <v>171</v>
      </c>
      <c r="F7" s="7" t="s">
        <v>20</v>
      </c>
      <c r="G7" s="132"/>
      <c r="H7" s="132"/>
      <c r="I7" s="132"/>
      <c r="J7" s="129"/>
      <c r="K7" s="2"/>
      <c r="L7" s="141"/>
      <c r="M7" s="142"/>
      <c r="N7" s="142"/>
      <c r="O7" s="143"/>
      <c r="P7" s="143"/>
      <c r="Q7" s="143"/>
      <c r="R7" s="143"/>
      <c r="S7" s="144"/>
      <c r="T7" s="144"/>
      <c r="U7" s="145"/>
      <c r="V7" s="145"/>
      <c r="W7" s="146"/>
    </row>
    <row r="8" spans="1:23" x14ac:dyDescent="0.25">
      <c r="A8" s="57" t="s">
        <v>37</v>
      </c>
      <c r="B8" s="58" t="str">
        <f ca="1">INDEX(DebitType,MATCH(INDEX(AccountsList_Type,MATCH(E4,AccountsList_Names,0),1),AcctType,0),2)</f>
        <v>Increase</v>
      </c>
      <c r="C8" s="94">
        <v>1</v>
      </c>
      <c r="D8" s="49">
        <v>44927</v>
      </c>
      <c r="E8" s="8" t="s">
        <v>46</v>
      </c>
      <c r="F8" s="8" t="s">
        <v>169</v>
      </c>
      <c r="G8" s="116">
        <v>100000</v>
      </c>
      <c r="H8" s="110"/>
      <c r="I8" s="109" cm="1">
        <f t="array" aca="1" ref="I8" ca="1">_xlfn.SINGLE(IF(OR(E8="",$E$4="[All Accounts]"),"",IF($B$8="Increase",SUMIFS(Trans_Debit,Trans_DebitAcct,$E$4,Trans_Date,"&lt;="&amp;D8)-SUMIFS(Trans_Credit,Trans_CreditAcct,$E$4,Trans_Date,"&lt;="&amp;D8),SUMIFS(Trans_Credit,Trans_CreditAcct,$E$4,Trans_Date,"&lt;="&amp;D8)-SUMIFS(Trans_Debit,Trans_DebitAcct,$E$4,Trans_Date,"&lt;="&amp;D8))))</f>
        <v>100000</v>
      </c>
      <c r="J8" s="20"/>
      <c r="K8" s="2"/>
      <c r="L8" s="147"/>
      <c r="O8" s="148"/>
      <c r="Q8" s="149"/>
      <c r="R8" s="150"/>
      <c r="W8" s="136"/>
    </row>
    <row r="9" spans="1:23" ht="15.75" thickBot="1" x14ac:dyDescent="0.3">
      <c r="A9" s="54" t="s">
        <v>39</v>
      </c>
      <c r="B9" s="54" t="str">
        <f ca="1">INDEX(AccountsList_Type,MATCH(E4,AccountsList_Names,0),1)</f>
        <v>Actifs</v>
      </c>
      <c r="C9" s="94"/>
      <c r="D9" s="50" t="s">
        <v>170</v>
      </c>
      <c r="E9" s="39" t="s">
        <v>112</v>
      </c>
      <c r="F9" s="119" t="s">
        <v>172</v>
      </c>
      <c r="G9" s="111"/>
      <c r="H9" s="117">
        <v>100000</v>
      </c>
      <c r="I9" s="113"/>
      <c r="J9" s="19"/>
      <c r="K9" s="2"/>
      <c r="Q9" s="149"/>
      <c r="R9" s="150"/>
      <c r="W9" s="136"/>
    </row>
    <row r="10" spans="1:23" x14ac:dyDescent="0.25">
      <c r="C10" s="94">
        <v>14</v>
      </c>
      <c r="D10" s="51">
        <v>44941</v>
      </c>
      <c r="E10" s="42" t="s">
        <v>66</v>
      </c>
      <c r="F10" s="42" t="s">
        <v>205</v>
      </c>
      <c r="G10" s="118">
        <v>2850</v>
      </c>
      <c r="H10" s="112"/>
      <c r="I10" s="109" cm="1">
        <f t="array" aca="1" ref="I10" ca="1">_xlfn.SINGLE(IF(OR(E10="",$E$4="[All Accounts]"),"",IF($B$8="Increase",SUMIFS(Trans_Debit,Trans_DebitAcct,$E$4,Trans_Date,"&lt;="&amp;D10)-SUMIFS(Trans_Credit,Trans_CreditAcct,$E$4,Trans_Date,"&lt;="&amp;D10),SUMIFS(Trans_Credit,Trans_CreditAcct,$E$4,Trans_Date,"&lt;="&amp;D10)-SUMIFS(Trans_Debit,Trans_DebitAcct,$E$4,Trans_Date,"&lt;="&amp;D10))))</f>
        <v>97150</v>
      </c>
      <c r="J10" s="18"/>
      <c r="K10" s="2"/>
      <c r="L10" s="147"/>
      <c r="Q10" s="149"/>
      <c r="R10" s="150"/>
      <c r="W10" s="136"/>
    </row>
    <row r="11" spans="1:23" ht="15.75" thickBot="1" x14ac:dyDescent="0.3">
      <c r="C11" s="94"/>
      <c r="D11" s="50" t="s">
        <v>178</v>
      </c>
      <c r="E11" s="39" t="s">
        <v>46</v>
      </c>
      <c r="F11" s="119" t="s">
        <v>207</v>
      </c>
      <c r="G11" s="111"/>
      <c r="H11" s="117">
        <v>2850</v>
      </c>
      <c r="I11" s="113"/>
      <c r="J11" s="19"/>
      <c r="K11" s="2"/>
      <c r="Q11" s="149"/>
      <c r="R11" s="150"/>
      <c r="W11" s="136"/>
    </row>
    <row r="12" spans="1:23" x14ac:dyDescent="0.25">
      <c r="A12" s="108"/>
      <c r="B12" s="108">
        <v>100000</v>
      </c>
      <c r="C12" s="94">
        <v>5</v>
      </c>
      <c r="D12" s="51">
        <v>44958</v>
      </c>
      <c r="E12" s="42" t="s">
        <v>182</v>
      </c>
      <c r="F12" s="42" t="s">
        <v>189</v>
      </c>
      <c r="G12" s="118">
        <v>2000</v>
      </c>
      <c r="H12" s="112"/>
      <c r="I12" s="109" cm="1">
        <f t="array" aca="1" ref="I12" ca="1">_xlfn.SINGLE(IF(OR(E12="",$E$4="[All Accounts]"),"",IF($B$8="Increase",SUMIFS(Trans_Debit,Trans_DebitAcct,$E$4,Trans_Date,"&lt;="&amp;D12)-SUMIFS(Trans_Credit,Trans_CreditAcct,$E$4,Trans_Date,"&lt;="&amp;D12),SUMIFS(Trans_Credit,Trans_CreditAcct,$E$4,Trans_Date,"&lt;="&amp;D12)-SUMIFS(Trans_Debit,Trans_DebitAcct,$E$4,Trans_Date,"&lt;="&amp;D12))))</f>
        <v>95150</v>
      </c>
      <c r="J12" s="18"/>
      <c r="K12" s="2"/>
      <c r="L12" s="147"/>
      <c r="Q12" s="149"/>
      <c r="R12" s="150"/>
      <c r="W12" s="136"/>
    </row>
    <row r="13" spans="1:23" ht="15.75" thickBot="1" x14ac:dyDescent="0.3">
      <c r="A13" s="108">
        <v>-2850</v>
      </c>
      <c r="B13" s="108">
        <f>B12+A13</f>
        <v>97150</v>
      </c>
      <c r="C13" s="94"/>
      <c r="D13" s="50" t="s">
        <v>177</v>
      </c>
      <c r="E13" s="39" t="s">
        <v>46</v>
      </c>
      <c r="F13" s="119" t="s">
        <v>190</v>
      </c>
      <c r="G13" s="111"/>
      <c r="H13" s="117">
        <v>2000</v>
      </c>
      <c r="I13" s="113"/>
      <c r="J13" s="19"/>
      <c r="K13" s="2"/>
      <c r="Q13" s="149"/>
      <c r="R13" s="150"/>
      <c r="W13" s="136"/>
    </row>
    <row r="14" spans="1:23" x14ac:dyDescent="0.25">
      <c r="A14" s="108">
        <v>-2000</v>
      </c>
      <c r="B14" s="108">
        <f t="shared" ref="B14:B18" si="0">B13+A14</f>
        <v>95150</v>
      </c>
      <c r="C14" s="94">
        <v>7</v>
      </c>
      <c r="D14" s="51">
        <v>44985</v>
      </c>
      <c r="E14" s="42" t="s">
        <v>118</v>
      </c>
      <c r="F14" s="42" t="s">
        <v>169</v>
      </c>
      <c r="G14" s="118">
        <v>5000</v>
      </c>
      <c r="H14" s="112"/>
      <c r="I14" s="109" cm="1">
        <f t="array" aca="1" ref="I14" ca="1">_xlfn.SINGLE(IF(OR(E14="",$E$4="[All Accounts]"),"",IF($B$8="Increase",SUMIFS(Trans_Debit,Trans_DebitAcct,$E$4,Trans_Date,"&lt;="&amp;D14)-SUMIFS(Trans_Credit,Trans_CreditAcct,$E$4,Trans_Date,"&lt;="&amp;D14),SUMIFS(Trans_Credit,Trans_CreditAcct,$E$4,Trans_Date,"&lt;="&amp;D14)-SUMIFS(Trans_Debit,Trans_DebitAcct,$E$4,Trans_Date,"&lt;="&amp;D14))))</f>
        <v>90150</v>
      </c>
      <c r="J14" s="18"/>
      <c r="K14" s="2"/>
      <c r="L14" s="147"/>
      <c r="Q14" s="149"/>
      <c r="R14" s="150"/>
      <c r="W14" s="136"/>
    </row>
    <row r="15" spans="1:23" ht="15.75" thickBot="1" x14ac:dyDescent="0.3">
      <c r="A15" s="108">
        <v>-5000</v>
      </c>
      <c r="B15" s="108">
        <f t="shared" si="0"/>
        <v>90150</v>
      </c>
      <c r="C15" s="94"/>
      <c r="D15" s="50" t="s">
        <v>174</v>
      </c>
      <c r="E15" s="39" t="s">
        <v>46</v>
      </c>
      <c r="F15" s="119" t="s">
        <v>200</v>
      </c>
      <c r="G15" s="111"/>
      <c r="H15" s="117">
        <v>5000</v>
      </c>
      <c r="I15" s="113"/>
      <c r="J15" s="19"/>
      <c r="K15" s="2"/>
      <c r="P15" s="148"/>
      <c r="Q15" s="149"/>
      <c r="R15" s="150"/>
      <c r="W15" s="136"/>
    </row>
    <row r="16" spans="1:23" x14ac:dyDescent="0.25">
      <c r="A16" s="108">
        <v>-5000</v>
      </c>
      <c r="B16" s="108">
        <f t="shared" si="0"/>
        <v>85150</v>
      </c>
      <c r="C16" s="94">
        <v>12</v>
      </c>
      <c r="D16" s="51">
        <v>45016</v>
      </c>
      <c r="E16" s="42" t="s">
        <v>118</v>
      </c>
      <c r="F16" s="42" t="s">
        <v>169</v>
      </c>
      <c r="G16" s="118">
        <v>5000</v>
      </c>
      <c r="H16" s="112"/>
      <c r="I16" s="109" cm="1">
        <f t="array" aca="1" ref="I16" ca="1">_xlfn.SINGLE(IF(OR(E16="",$E$4="[All Accounts]"),"",IF($B$8="Increase",SUMIFS(Trans_Debit,Trans_DebitAcct,$E$4,Trans_Date,"&lt;="&amp;D16)-SUMIFS(Trans_Credit,Trans_CreditAcct,$E$4,Trans_Date,"&lt;="&amp;D16),SUMIFS(Trans_Credit,Trans_CreditAcct,$E$4,Trans_Date,"&lt;="&amp;D16)-SUMIFS(Trans_Debit,Trans_DebitAcct,$E$4,Trans_Date,"&lt;="&amp;D16))))</f>
        <v>85150</v>
      </c>
      <c r="J16" s="18"/>
      <c r="K16" s="2"/>
      <c r="L16" s="147"/>
      <c r="Q16" s="149"/>
      <c r="R16" s="150"/>
      <c r="W16" s="136"/>
    </row>
    <row r="17" spans="1:23" ht="15.75" thickBot="1" x14ac:dyDescent="0.3">
      <c r="A17" s="108">
        <v>-5000</v>
      </c>
      <c r="B17" s="108">
        <f t="shared" si="0"/>
        <v>80150</v>
      </c>
      <c r="C17" s="94"/>
      <c r="D17" s="50" t="s">
        <v>174</v>
      </c>
      <c r="E17" s="39" t="s">
        <v>46</v>
      </c>
      <c r="F17" s="119" t="s">
        <v>212</v>
      </c>
      <c r="G17" s="111"/>
      <c r="H17" s="117">
        <v>5000</v>
      </c>
      <c r="I17" s="113"/>
      <c r="J17" s="19"/>
      <c r="K17" s="2"/>
      <c r="Q17" s="149"/>
      <c r="R17" s="150"/>
      <c r="W17" s="136"/>
    </row>
    <row r="18" spans="1:23" x14ac:dyDescent="0.25">
      <c r="A18" s="108">
        <v>3445</v>
      </c>
      <c r="B18" s="108">
        <f t="shared" si="0"/>
        <v>83595</v>
      </c>
      <c r="C18" s="94">
        <v>16</v>
      </c>
      <c r="D18" s="51">
        <v>45046</v>
      </c>
      <c r="E18" s="42" t="s">
        <v>118</v>
      </c>
      <c r="F18" s="42" t="s">
        <v>169</v>
      </c>
      <c r="G18" s="118">
        <v>5000</v>
      </c>
      <c r="H18" s="112"/>
      <c r="I18" s="109" cm="1">
        <f t="array" aca="1" ref="I18" ca="1">_xlfn.SINGLE(IF(OR(E18="",$E$4="[All Accounts]"),"",IF($B$8="Increase",SUMIFS(Trans_Debit,Trans_DebitAcct,$E$4,Trans_Date,"&lt;="&amp;D18)-SUMIFS(Trans_Credit,Trans_CreditAcct,$E$4,Trans_Date,"&lt;="&amp;D18),SUMIFS(Trans_Credit,Trans_CreditAcct,$E$4,Trans_Date,"&lt;="&amp;D18)-SUMIFS(Trans_Debit,Trans_DebitAcct,$E$4,Trans_Date,"&lt;="&amp;D18))))</f>
        <v>80150</v>
      </c>
      <c r="J18" s="18"/>
      <c r="K18" s="2"/>
      <c r="L18" s="147"/>
      <c r="Q18" s="149"/>
      <c r="R18" s="150"/>
      <c r="W18" s="136"/>
    </row>
    <row r="19" spans="1:23" ht="15.75" thickBot="1" x14ac:dyDescent="0.3">
      <c r="A19" s="108">
        <v>-5000</v>
      </c>
      <c r="B19" s="108">
        <f t="shared" ref="B19" si="1">B18+A19</f>
        <v>78595</v>
      </c>
      <c r="C19" s="94"/>
      <c r="D19" s="50" t="s">
        <v>174</v>
      </c>
      <c r="E19" s="39" t="s">
        <v>46</v>
      </c>
      <c r="F19" s="119" t="s">
        <v>213</v>
      </c>
      <c r="G19" s="111"/>
      <c r="H19" s="117">
        <v>5000</v>
      </c>
      <c r="I19" s="113"/>
      <c r="J19" s="19"/>
      <c r="K19" s="2"/>
      <c r="Q19" s="149"/>
      <c r="R19" s="150"/>
      <c r="W19" s="136"/>
    </row>
    <row r="20" spans="1:23" x14ac:dyDescent="0.25">
      <c r="A20" s="108">
        <v>-5000</v>
      </c>
      <c r="B20" s="108">
        <f t="shared" ref="B20" si="2">B19+A20</f>
        <v>73595</v>
      </c>
      <c r="C20" s="94">
        <v>11</v>
      </c>
      <c r="D20" s="51">
        <v>45057</v>
      </c>
      <c r="E20" s="42" t="s">
        <v>46</v>
      </c>
      <c r="F20" s="42" t="s">
        <v>186</v>
      </c>
      <c r="G20" s="118">
        <v>3445</v>
      </c>
      <c r="H20" s="112"/>
      <c r="I20" s="109" cm="1">
        <f t="array" aca="1" ref="I20" ca="1">_xlfn.SINGLE(IF(OR(E20="",$E$4="[All Accounts]"),"",IF($B$8="Increase",SUMIFS(Trans_Debit,Trans_DebitAcct,$E$4,Trans_Date,"&lt;="&amp;D20)-SUMIFS(Trans_Credit,Trans_CreditAcct,$E$4,Trans_Date,"&lt;="&amp;D20),SUMIFS(Trans_Credit,Trans_CreditAcct,$E$4,Trans_Date,"&lt;="&amp;D20)-SUMIFS(Trans_Debit,Trans_DebitAcct,$E$4,Trans_Date,"&lt;="&amp;D20))))</f>
        <v>83595</v>
      </c>
      <c r="J20" s="18"/>
      <c r="K20" s="2"/>
      <c r="L20" s="147"/>
      <c r="Q20" s="149"/>
      <c r="R20" s="150"/>
      <c r="W20" s="136"/>
    </row>
    <row r="21" spans="1:23" ht="15.75" thickBot="1" x14ac:dyDescent="0.3">
      <c r="C21" s="94"/>
      <c r="D21" s="50" t="s">
        <v>178</v>
      </c>
      <c r="E21" s="39" t="s">
        <v>48</v>
      </c>
      <c r="F21" s="119" t="s">
        <v>188</v>
      </c>
      <c r="G21" s="111"/>
      <c r="H21" s="117">
        <v>3445</v>
      </c>
      <c r="I21" s="113"/>
      <c r="J21" s="19"/>
      <c r="K21" s="2"/>
      <c r="P21" s="148"/>
      <c r="Q21" s="149"/>
      <c r="R21" s="150"/>
      <c r="W21" s="136"/>
    </row>
    <row r="22" spans="1:23" x14ac:dyDescent="0.25">
      <c r="C22" s="94">
        <v>18</v>
      </c>
      <c r="D22" s="51">
        <v>45077</v>
      </c>
      <c r="E22" s="42" t="s">
        <v>118</v>
      </c>
      <c r="F22" s="42" t="s">
        <v>169</v>
      </c>
      <c r="G22" s="118">
        <v>5000</v>
      </c>
      <c r="H22" s="112"/>
      <c r="I22" s="109" cm="1">
        <f t="array" aca="1" ref="I22" ca="1">_xlfn.SINGLE(IF(OR(E22="",$E$4="[All Accounts]"),"",IF($B$8="Increase",SUMIFS(Trans_Debit,Trans_DebitAcct,$E$4,Trans_Date,"&lt;="&amp;D22)-SUMIFS(Trans_Credit,Trans_CreditAcct,$E$4,Trans_Date,"&lt;="&amp;D22),SUMIFS(Trans_Credit,Trans_CreditAcct,$E$4,Trans_Date,"&lt;="&amp;D22)-SUMIFS(Trans_Debit,Trans_DebitAcct,$E$4,Trans_Date,"&lt;="&amp;D22))))</f>
        <v>78595</v>
      </c>
      <c r="J22" s="18"/>
      <c r="K22" s="2"/>
      <c r="L22" s="147"/>
      <c r="Q22" s="149"/>
      <c r="R22" s="150"/>
      <c r="W22" s="136"/>
    </row>
    <row r="23" spans="1:23" ht="15.75" thickBot="1" x14ac:dyDescent="0.3">
      <c r="C23" s="94"/>
      <c r="D23" s="50" t="s">
        <v>174</v>
      </c>
      <c r="E23" s="39" t="s">
        <v>46</v>
      </c>
      <c r="F23" s="119" t="s">
        <v>307</v>
      </c>
      <c r="G23" s="111"/>
      <c r="H23" s="117">
        <v>5000</v>
      </c>
      <c r="I23" s="113"/>
      <c r="J23" s="19"/>
      <c r="K23" s="2"/>
      <c r="Q23" s="149"/>
      <c r="R23" s="150"/>
      <c r="W23" s="136"/>
    </row>
    <row r="24" spans="1:23" x14ac:dyDescent="0.25">
      <c r="C24" s="94">
        <v>19</v>
      </c>
      <c r="D24" s="51">
        <v>45107</v>
      </c>
      <c r="E24" s="42" t="s">
        <v>118</v>
      </c>
      <c r="F24" s="42" t="s">
        <v>169</v>
      </c>
      <c r="G24" s="118">
        <v>5000</v>
      </c>
      <c r="H24" s="112"/>
      <c r="I24" s="109" cm="1">
        <f t="array" aca="1" ref="I24" ca="1">_xlfn.SINGLE(IF(OR(E24="",$E$4="[All Accounts]"),"",IF($B$8="Increase",SUMIFS(Trans_Debit,Trans_DebitAcct,$E$4,Trans_Date,"&lt;="&amp;D24)-SUMIFS(Trans_Credit,Trans_CreditAcct,$E$4,Trans_Date,"&lt;="&amp;D24),SUMIFS(Trans_Credit,Trans_CreditAcct,$E$4,Trans_Date,"&lt;="&amp;D24)-SUMIFS(Trans_Debit,Trans_DebitAcct,$E$4,Trans_Date,"&lt;="&amp;D24))))</f>
        <v>73595</v>
      </c>
      <c r="J24" s="18"/>
      <c r="K24" s="2"/>
      <c r="L24" s="147"/>
      <c r="Q24" s="149"/>
      <c r="R24" s="150"/>
      <c r="W24" s="136"/>
    </row>
    <row r="25" spans="1:23" ht="15.75" thickBot="1" x14ac:dyDescent="0.3">
      <c r="C25" s="94"/>
      <c r="D25" s="50" t="s">
        <v>174</v>
      </c>
      <c r="E25" s="39" t="s">
        <v>46</v>
      </c>
      <c r="F25" s="119" t="s">
        <v>308</v>
      </c>
      <c r="G25" s="111"/>
      <c r="H25" s="117">
        <v>5000</v>
      </c>
      <c r="I25" s="113"/>
      <c r="J25" s="19"/>
      <c r="K25" s="2"/>
      <c r="Q25" s="149"/>
      <c r="R25" s="150"/>
      <c r="W25" s="136"/>
    </row>
    <row r="26" spans="1:23" x14ac:dyDescent="0.25">
      <c r="C26" s="94"/>
      <c r="D26" s="51"/>
      <c r="E26" s="42"/>
      <c r="F26" s="42"/>
      <c r="G26" s="61"/>
      <c r="H26" s="43"/>
      <c r="I26" s="37" t="str" cm="1">
        <f t="array" ref="I26">_xlfn.SINGLE(IF(OR(E26="",$E$4="[All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Q26" s="149"/>
      <c r="R26" s="150"/>
      <c r="W26" s="136"/>
    </row>
    <row r="27" spans="1:23" ht="15.75" thickBot="1" x14ac:dyDescent="0.3">
      <c r="C27" s="94"/>
      <c r="D27" s="50"/>
      <c r="E27" s="39"/>
      <c r="F27" s="39"/>
      <c r="G27" s="40"/>
      <c r="H27" s="59"/>
      <c r="I27" s="41"/>
      <c r="J27" s="19"/>
      <c r="K27" s="2"/>
      <c r="Q27" s="149"/>
      <c r="R27" s="150"/>
      <c r="W27" s="136"/>
    </row>
    <row r="28" spans="1:23" x14ac:dyDescent="0.25">
      <c r="C28" s="94"/>
      <c r="D28" s="51"/>
      <c r="E28" s="42"/>
      <c r="F28" s="42"/>
      <c r="G28" s="61"/>
      <c r="H28" s="61"/>
      <c r="I28" s="37" t="str" cm="1">
        <f t="array" ref="I28">_xlfn.SINGLE(IF(OR(E28="",$E$4="[All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Q28" s="149"/>
      <c r="R28" s="150"/>
      <c r="W28" s="136"/>
    </row>
    <row r="29" spans="1:23" ht="15.75" thickBot="1" x14ac:dyDescent="0.3">
      <c r="C29" s="94"/>
      <c r="D29" s="50"/>
      <c r="E29" s="39"/>
      <c r="F29" s="39"/>
      <c r="G29" s="59"/>
      <c r="H29" s="59"/>
      <c r="I29" s="41"/>
      <c r="J29" s="19"/>
      <c r="K29" s="2"/>
      <c r="Q29" s="149"/>
      <c r="R29" s="150"/>
      <c r="W29" s="136"/>
    </row>
    <row r="30" spans="1:23" x14ac:dyDescent="0.25">
      <c r="C30" s="94"/>
      <c r="D30" s="51"/>
      <c r="E30" s="42"/>
      <c r="F30" s="42"/>
      <c r="G30" s="61"/>
      <c r="H30" s="43"/>
      <c r="I30" s="37" t="str" cm="1">
        <f t="array" ref="I30">_xlfn.SINGLE(IF(OR(E30="",$E$4="[All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Q30" s="149"/>
      <c r="R30" s="150"/>
      <c r="W30" s="136"/>
    </row>
    <row r="31" spans="1:23" ht="15.75" thickBot="1" x14ac:dyDescent="0.3">
      <c r="C31" s="94"/>
      <c r="D31" s="50"/>
      <c r="E31" s="39"/>
      <c r="F31" s="39"/>
      <c r="G31" s="40"/>
      <c r="H31" s="59"/>
      <c r="I31" s="41"/>
      <c r="J31" s="19"/>
      <c r="K31" s="2"/>
      <c r="Q31" s="149"/>
      <c r="R31" s="150"/>
      <c r="W31" s="136"/>
    </row>
    <row r="32" spans="1:23" x14ac:dyDescent="0.25">
      <c r="C32" s="94"/>
      <c r="D32" s="51"/>
      <c r="E32" s="42"/>
      <c r="F32" s="42"/>
      <c r="G32" s="61"/>
      <c r="H32" s="43"/>
      <c r="I32" s="37" t="str" cm="1">
        <f t="array" ref="I32">_xlfn.SINGLE(IF(OR(E32="",$E$4="[All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Q32" s="149"/>
      <c r="R32" s="150"/>
      <c r="W32" s="136"/>
    </row>
    <row r="33" spans="3:23" ht="15.75" thickBot="1" x14ac:dyDescent="0.3">
      <c r="C33" s="94"/>
      <c r="D33" s="50"/>
      <c r="E33" s="39"/>
      <c r="F33" s="39"/>
      <c r="G33" s="40"/>
      <c r="H33" s="59"/>
      <c r="I33" s="41"/>
      <c r="J33" s="19"/>
      <c r="K33" s="2"/>
      <c r="Q33" s="149"/>
      <c r="R33" s="150"/>
      <c r="W33" s="136"/>
    </row>
    <row r="34" spans="3:23" x14ac:dyDescent="0.25">
      <c r="C34" s="94"/>
      <c r="D34" s="51"/>
      <c r="E34" s="42"/>
      <c r="F34" s="42"/>
      <c r="G34" s="61"/>
      <c r="H34" s="43"/>
      <c r="I34" s="37" t="str" cm="1">
        <f t="array" ref="I34">_xlfn.SINGLE(IF(OR(E34="",$E$4="[All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Q34" s="149"/>
      <c r="R34" s="150"/>
      <c r="W34" s="136"/>
    </row>
    <row r="35" spans="3:23" ht="15.75" thickBot="1" x14ac:dyDescent="0.3">
      <c r="C35" s="94"/>
      <c r="D35" s="50"/>
      <c r="E35" s="39"/>
      <c r="F35" s="39"/>
      <c r="G35" s="40"/>
      <c r="H35" s="59"/>
      <c r="I35" s="41"/>
      <c r="J35" s="19"/>
      <c r="K35" s="2"/>
      <c r="Q35" s="149"/>
      <c r="R35" s="150"/>
      <c r="W35" s="136"/>
    </row>
    <row r="36" spans="3:23" x14ac:dyDescent="0.25">
      <c r="C36" s="94"/>
      <c r="D36" s="51"/>
      <c r="E36" s="42"/>
      <c r="F36" s="42"/>
      <c r="G36" s="43"/>
      <c r="H36" s="43"/>
      <c r="I36" s="37" t="str" cm="1">
        <f t="array" ref="I36">_xlfn.SINGLE(IF(OR(E36="",$E$4="[All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Q36" s="149"/>
      <c r="R36" s="150"/>
      <c r="W36" s="136"/>
    </row>
    <row r="37" spans="3:23" ht="15.75" thickBot="1" x14ac:dyDescent="0.3">
      <c r="C37" s="94"/>
      <c r="D37" s="50"/>
      <c r="E37" s="39"/>
      <c r="F37" s="39"/>
      <c r="G37" s="40"/>
      <c r="H37" s="40"/>
      <c r="I37" s="41"/>
      <c r="J37" s="19"/>
      <c r="K37" s="2"/>
      <c r="Q37" s="149"/>
      <c r="R37" s="150"/>
      <c r="W37" s="136"/>
    </row>
    <row r="38" spans="3:23" x14ac:dyDescent="0.25">
      <c r="C38" s="94"/>
      <c r="D38" s="51"/>
      <c r="E38" s="42"/>
      <c r="F38" s="42"/>
      <c r="G38" s="43"/>
      <c r="H38" s="43"/>
      <c r="I38" s="37" t="str" cm="1">
        <f t="array" ref="I38">_xlfn.SINGLE(IF(OR(E38="",$E$4="[All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Q38" s="149"/>
      <c r="R38" s="150"/>
      <c r="W38" s="136"/>
    </row>
    <row r="39" spans="3:23" ht="15.75" thickBot="1" x14ac:dyDescent="0.3">
      <c r="C39" s="94"/>
      <c r="D39" s="50"/>
      <c r="E39" s="39"/>
      <c r="F39" s="39"/>
      <c r="G39" s="40"/>
      <c r="H39" s="40"/>
      <c r="I39" s="41"/>
      <c r="J39" s="19"/>
      <c r="K39" s="2"/>
      <c r="Q39" s="149"/>
      <c r="R39" s="150"/>
      <c r="W39" s="136"/>
    </row>
    <row r="40" spans="3:23" x14ac:dyDescent="0.25">
      <c r="C40" s="94"/>
      <c r="D40" s="51"/>
      <c r="E40" s="42"/>
      <c r="F40" s="42"/>
      <c r="G40" s="43"/>
      <c r="H40" s="43"/>
      <c r="I40" s="37" t="str" cm="1">
        <f t="array" ref="I40">_xlfn.SINGLE(IF(OR(E40="",$E$4="[All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Q40" s="149"/>
      <c r="R40" s="150"/>
      <c r="W40" s="136"/>
    </row>
    <row r="41" spans="3:23" ht="15.75" thickBot="1" x14ac:dyDescent="0.3">
      <c r="C41" s="94"/>
      <c r="D41" s="50"/>
      <c r="E41" s="39"/>
      <c r="F41" s="39"/>
      <c r="G41" s="40"/>
      <c r="H41" s="40"/>
      <c r="I41" s="41"/>
      <c r="J41" s="19"/>
      <c r="K41" s="2"/>
      <c r="Q41" s="149"/>
      <c r="R41" s="150"/>
      <c r="W41" s="136"/>
    </row>
    <row r="42" spans="3:23" x14ac:dyDescent="0.25">
      <c r="C42" s="94"/>
      <c r="D42" s="51"/>
      <c r="E42" s="42"/>
      <c r="F42" s="42"/>
      <c r="G42" s="43"/>
      <c r="H42" s="43"/>
      <c r="I42" s="37" t="str" cm="1">
        <f t="array" ref="I42">_xlfn.SINGLE(IF(OR(E42="",$E$4="[All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Q42" s="149"/>
      <c r="R42" s="150"/>
      <c r="W42" s="136"/>
    </row>
    <row r="43" spans="3:23" ht="15.75" thickBot="1" x14ac:dyDescent="0.3">
      <c r="C43" s="94"/>
      <c r="D43" s="50"/>
      <c r="E43" s="39"/>
      <c r="F43" s="39"/>
      <c r="G43" s="40"/>
      <c r="H43" s="40"/>
      <c r="I43" s="41"/>
      <c r="J43" s="19"/>
      <c r="K43" s="2"/>
      <c r="Q43" s="149"/>
      <c r="R43" s="150"/>
      <c r="W43" s="136"/>
    </row>
    <row r="44" spans="3:23" x14ac:dyDescent="0.25">
      <c r="C44" s="94"/>
      <c r="D44" s="51"/>
      <c r="E44" s="42"/>
      <c r="F44" s="42"/>
      <c r="G44" s="43"/>
      <c r="H44" s="43"/>
      <c r="I44" s="37" t="str" cm="1">
        <f t="array" ref="I44">_xlfn.SINGLE(IF(OR(E44="",$E$4="[All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Q44" s="149"/>
      <c r="R44" s="150"/>
      <c r="W44" s="136"/>
    </row>
    <row r="45" spans="3:23" ht="15.75" thickBot="1" x14ac:dyDescent="0.3">
      <c r="C45" s="94"/>
      <c r="D45" s="50"/>
      <c r="E45" s="39"/>
      <c r="F45" s="39"/>
      <c r="G45" s="40"/>
      <c r="H45" s="40"/>
      <c r="I45" s="41"/>
      <c r="J45" s="19"/>
      <c r="K45" s="2"/>
      <c r="Q45" s="149"/>
      <c r="R45" s="150"/>
      <c r="W45" s="136"/>
    </row>
    <row r="46" spans="3:23" x14ac:dyDescent="0.25">
      <c r="C46" s="94"/>
      <c r="D46" s="51"/>
      <c r="E46" s="42"/>
      <c r="F46" s="42"/>
      <c r="G46" s="43"/>
      <c r="H46" s="43"/>
      <c r="I46" s="37" t="str" cm="1">
        <f t="array" ref="I46">_xlfn.SINGLE(IF(OR(E46="",$E$4="[All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W46" s="136"/>
    </row>
    <row r="47" spans="3:23" ht="15.75" thickBot="1" x14ac:dyDescent="0.3">
      <c r="C47" s="94"/>
      <c r="D47" s="50"/>
      <c r="E47" s="39"/>
      <c r="F47" s="39"/>
      <c r="G47" s="40"/>
      <c r="H47" s="40"/>
      <c r="I47" s="41"/>
      <c r="J47" s="19"/>
      <c r="K47" s="2"/>
      <c r="M47" s="151"/>
      <c r="N47" s="151"/>
      <c r="W47" s="136"/>
    </row>
    <row r="48" spans="3:23" x14ac:dyDescent="0.25">
      <c r="C48" s="94"/>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W48" s="136"/>
    </row>
    <row r="49" spans="3:23" ht="15.75" thickBot="1" x14ac:dyDescent="0.3">
      <c r="C49" s="94"/>
      <c r="D49" s="50"/>
      <c r="E49" s="39"/>
      <c r="F49" s="39"/>
      <c r="G49" s="40"/>
      <c r="H49" s="40"/>
      <c r="I49" s="41"/>
      <c r="J49" s="19"/>
      <c r="K49" s="2"/>
      <c r="W49" s="136"/>
    </row>
    <row r="50" spans="3:23" x14ac:dyDescent="0.25">
      <c r="C50" s="94"/>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W50" s="136"/>
    </row>
    <row r="51" spans="3:23" ht="15.75" thickBot="1" x14ac:dyDescent="0.3">
      <c r="C51" s="94"/>
      <c r="D51" s="50"/>
      <c r="E51" s="39"/>
      <c r="F51" s="39"/>
      <c r="G51" s="40"/>
      <c r="H51" s="40"/>
      <c r="I51" s="41"/>
      <c r="J51" s="19"/>
      <c r="K51" s="2"/>
      <c r="W51" s="136"/>
    </row>
    <row r="52" spans="3:23" x14ac:dyDescent="0.25">
      <c r="C52" s="94"/>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W52" s="136"/>
    </row>
    <row r="53" spans="3:23" ht="15.75" thickBot="1" x14ac:dyDescent="0.3">
      <c r="C53" s="94"/>
      <c r="D53" s="50"/>
      <c r="E53" s="39"/>
      <c r="F53" s="39"/>
      <c r="G53" s="40"/>
      <c r="H53" s="40"/>
      <c r="I53" s="41"/>
      <c r="J53" s="19"/>
      <c r="K53" s="2"/>
      <c r="W53" s="136"/>
    </row>
    <row r="54" spans="3:23" x14ac:dyDescent="0.25">
      <c r="C54" s="94"/>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W54" s="136"/>
    </row>
    <row r="55" spans="3:23" ht="15.75" thickBot="1" x14ac:dyDescent="0.3">
      <c r="C55" s="94"/>
      <c r="D55" s="50"/>
      <c r="E55" s="39"/>
      <c r="F55" s="39"/>
      <c r="G55" s="40"/>
      <c r="H55" s="40"/>
      <c r="I55" s="41"/>
      <c r="J55" s="19"/>
      <c r="K55" s="2"/>
    </row>
    <row r="56" spans="3:23" x14ac:dyDescent="0.25">
      <c r="C56" s="94"/>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row>
    <row r="57" spans="3:23" ht="15.75" thickBot="1" x14ac:dyDescent="0.3">
      <c r="C57" s="94"/>
      <c r="D57" s="50"/>
      <c r="E57" s="39"/>
      <c r="F57" s="39"/>
      <c r="G57" s="40"/>
      <c r="H57" s="40"/>
      <c r="I57" s="41"/>
      <c r="J57" s="19"/>
      <c r="K57" s="2"/>
    </row>
    <row r="58" spans="3:23" x14ac:dyDescent="0.25">
      <c r="C58" s="94"/>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row>
    <row r="59" spans="3:23" ht="15.75" thickBot="1" x14ac:dyDescent="0.3">
      <c r="C59" s="94"/>
      <c r="D59" s="50"/>
      <c r="E59" s="39"/>
      <c r="F59" s="39"/>
      <c r="G59" s="40"/>
      <c r="H59" s="40"/>
      <c r="I59" s="41"/>
      <c r="J59" s="19"/>
      <c r="K59" s="2"/>
    </row>
    <row r="60" spans="3:23" x14ac:dyDescent="0.25">
      <c r="C60" s="94"/>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row>
    <row r="61" spans="3:23" ht="15.75" thickBot="1" x14ac:dyDescent="0.3">
      <c r="C61" s="94"/>
      <c r="D61" s="50"/>
      <c r="E61" s="39"/>
      <c r="F61" s="39"/>
      <c r="G61" s="40"/>
      <c r="H61" s="40"/>
      <c r="I61" s="41"/>
      <c r="J61" s="19"/>
      <c r="K61" s="2"/>
    </row>
    <row r="62" spans="3:23" x14ac:dyDescent="0.25">
      <c r="C62" s="94"/>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row>
    <row r="63" spans="3:23" ht="15.75" thickBot="1" x14ac:dyDescent="0.3">
      <c r="C63" s="94"/>
      <c r="D63" s="50"/>
      <c r="E63" s="39"/>
      <c r="F63" s="39"/>
      <c r="G63" s="40"/>
      <c r="H63" s="40"/>
      <c r="I63" s="41"/>
      <c r="J63" s="19"/>
      <c r="K63" s="2"/>
    </row>
    <row r="64" spans="3:23" x14ac:dyDescent="0.25">
      <c r="C64" s="94"/>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row>
    <row r="65" spans="3:11" ht="15.75" thickBot="1" x14ac:dyDescent="0.3">
      <c r="C65" s="94"/>
      <c r="D65" s="50"/>
      <c r="E65" s="39"/>
      <c r="F65" s="39"/>
      <c r="G65" s="40"/>
      <c r="H65" s="40"/>
      <c r="I65" s="41"/>
      <c r="J65" s="19"/>
      <c r="K65" s="2"/>
    </row>
    <row r="66" spans="3:11" x14ac:dyDescent="0.25">
      <c r="C66" s="94"/>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row>
    <row r="67" spans="3:11" ht="15.75" thickBot="1" x14ac:dyDescent="0.3">
      <c r="C67" s="94"/>
      <c r="D67" s="50"/>
      <c r="E67" s="39"/>
      <c r="F67" s="39"/>
      <c r="G67" s="40"/>
      <c r="H67" s="40"/>
      <c r="I67" s="41"/>
      <c r="J67" s="19"/>
      <c r="K67" s="2"/>
    </row>
    <row r="68" spans="3:11" x14ac:dyDescent="0.25">
      <c r="C68" s="94"/>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row>
    <row r="69" spans="3:11" ht="15.75" thickBot="1" x14ac:dyDescent="0.3">
      <c r="C69" s="94"/>
      <c r="D69" s="50"/>
      <c r="E69" s="39"/>
      <c r="F69" s="39"/>
      <c r="G69" s="40"/>
      <c r="H69" s="40"/>
      <c r="I69" s="41"/>
      <c r="J69" s="19"/>
      <c r="K69" s="2"/>
    </row>
    <row r="70" spans="3:11" x14ac:dyDescent="0.25">
      <c r="C70" s="94"/>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row>
    <row r="71" spans="3:11" ht="15.75" thickBot="1" x14ac:dyDescent="0.3">
      <c r="C71" s="94"/>
      <c r="D71" s="50"/>
      <c r="E71" s="39"/>
      <c r="F71" s="39"/>
      <c r="G71" s="40"/>
      <c r="H71" s="40"/>
      <c r="I71" s="41"/>
      <c r="J71" s="19"/>
      <c r="K71" s="2"/>
    </row>
    <row r="72" spans="3:11" x14ac:dyDescent="0.25">
      <c r="C72" s="94"/>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row>
    <row r="73" spans="3:11" ht="15.75" thickBot="1" x14ac:dyDescent="0.3">
      <c r="C73" s="94"/>
      <c r="D73" s="50"/>
      <c r="E73" s="39"/>
      <c r="F73" s="39"/>
      <c r="G73" s="40"/>
      <c r="H73" s="40"/>
      <c r="I73" s="41"/>
      <c r="J73" s="19"/>
      <c r="K73" s="2"/>
    </row>
    <row r="74" spans="3:11" x14ac:dyDescent="0.25">
      <c r="C74" s="94"/>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row>
    <row r="75" spans="3:11" ht="15.75" thickBot="1" x14ac:dyDescent="0.3">
      <c r="C75" s="94"/>
      <c r="D75" s="50"/>
      <c r="E75" s="39"/>
      <c r="F75" s="39"/>
      <c r="G75" s="40"/>
      <c r="H75" s="40"/>
      <c r="I75" s="41"/>
      <c r="J75" s="19"/>
      <c r="K75" s="2"/>
    </row>
    <row r="76" spans="3:11" x14ac:dyDescent="0.25">
      <c r="C76" s="94"/>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row>
    <row r="77" spans="3:11" ht="15.75" thickBot="1" x14ac:dyDescent="0.3">
      <c r="C77" s="94"/>
      <c r="D77" s="50"/>
      <c r="E77" s="39"/>
      <c r="F77" s="39"/>
      <c r="G77" s="40"/>
      <c r="H77" s="40"/>
      <c r="I77" s="41"/>
      <c r="J77" s="19"/>
      <c r="K77" s="2"/>
    </row>
    <row r="78" spans="3:11" x14ac:dyDescent="0.25">
      <c r="C78" s="94"/>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row>
    <row r="79" spans="3:11" ht="15.75" thickBot="1" x14ac:dyDescent="0.3">
      <c r="C79" s="94"/>
      <c r="D79" s="50"/>
      <c r="E79" s="39"/>
      <c r="F79" s="39"/>
      <c r="G79" s="40"/>
      <c r="H79" s="40"/>
      <c r="I79" s="41"/>
      <c r="J79" s="19"/>
      <c r="K79" s="2"/>
    </row>
    <row r="80" spans="3:11" x14ac:dyDescent="0.25">
      <c r="C80" s="94"/>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row>
    <row r="81" spans="3:11" ht="15.75" thickBot="1" x14ac:dyDescent="0.3">
      <c r="C81" s="94"/>
      <c r="D81" s="50"/>
      <c r="E81" s="39"/>
      <c r="F81" s="39"/>
      <c r="G81" s="40"/>
      <c r="H81" s="40"/>
      <c r="I81" s="41"/>
      <c r="J81" s="19"/>
      <c r="K81" s="2"/>
    </row>
    <row r="82" spans="3:11" x14ac:dyDescent="0.25">
      <c r="C82" s="94"/>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row>
    <row r="83" spans="3:11" ht="15.75" thickBot="1" x14ac:dyDescent="0.3">
      <c r="C83" s="94"/>
      <c r="D83" s="50"/>
      <c r="E83" s="39"/>
      <c r="F83" s="39"/>
      <c r="G83" s="40"/>
      <c r="H83" s="40"/>
      <c r="I83" s="41"/>
      <c r="J83" s="19"/>
      <c r="K83" s="2"/>
    </row>
    <row r="84" spans="3:11" x14ac:dyDescent="0.25">
      <c r="C84" s="94"/>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row>
    <row r="85" spans="3:11" ht="15.75" thickBot="1" x14ac:dyDescent="0.3">
      <c r="C85" s="94"/>
      <c r="D85" s="50"/>
      <c r="E85" s="39"/>
      <c r="F85" s="39"/>
      <c r="G85" s="40"/>
      <c r="H85" s="40"/>
      <c r="I85" s="41"/>
      <c r="J85" s="19"/>
      <c r="K85" s="2"/>
    </row>
    <row r="86" spans="3:11" x14ac:dyDescent="0.25">
      <c r="C86" s="94"/>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row>
    <row r="87" spans="3:11" ht="15.75" thickBot="1" x14ac:dyDescent="0.3">
      <c r="C87" s="94"/>
      <c r="D87" s="50"/>
      <c r="E87" s="39"/>
      <c r="F87" s="39"/>
      <c r="G87" s="40"/>
      <c r="H87" s="40"/>
      <c r="I87" s="41"/>
      <c r="J87" s="19"/>
      <c r="K87" s="2"/>
    </row>
    <row r="88" spans="3:11" x14ac:dyDescent="0.25">
      <c r="C88" s="94"/>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row>
    <row r="89" spans="3:11" ht="15.75" thickBot="1" x14ac:dyDescent="0.3">
      <c r="C89" s="94"/>
      <c r="D89" s="50"/>
      <c r="E89" s="39"/>
      <c r="F89" s="39"/>
      <c r="G89" s="40"/>
      <c r="H89" s="40"/>
      <c r="I89" s="41"/>
      <c r="J89" s="19"/>
      <c r="K89" s="2"/>
    </row>
    <row r="90" spans="3:11" x14ac:dyDescent="0.25">
      <c r="C90" s="94"/>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row>
    <row r="91" spans="3:11" ht="15.75" thickBot="1" x14ac:dyDescent="0.3">
      <c r="C91" s="94"/>
      <c r="D91" s="50"/>
      <c r="E91" s="39"/>
      <c r="F91" s="39"/>
      <c r="G91" s="40"/>
      <c r="H91" s="40"/>
      <c r="I91" s="41"/>
      <c r="J91" s="19"/>
      <c r="K91" s="2"/>
    </row>
    <row r="92" spans="3:11" x14ac:dyDescent="0.25">
      <c r="C92" s="94"/>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row>
    <row r="93" spans="3:11" ht="15.75" thickBot="1" x14ac:dyDescent="0.3">
      <c r="C93" s="94"/>
      <c r="D93" s="50"/>
      <c r="E93" s="39"/>
      <c r="F93" s="39"/>
      <c r="G93" s="40"/>
      <c r="H93" s="40"/>
      <c r="I93" s="41"/>
      <c r="J93" s="19"/>
      <c r="K93" s="2"/>
    </row>
    <row r="94" spans="3:11" x14ac:dyDescent="0.25">
      <c r="C94" s="94"/>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row>
    <row r="95" spans="3:11" ht="15.75" thickBot="1" x14ac:dyDescent="0.3">
      <c r="C95" s="94"/>
      <c r="D95" s="50"/>
      <c r="E95" s="39"/>
      <c r="F95" s="39"/>
      <c r="G95" s="40"/>
      <c r="H95" s="40"/>
      <c r="I95" s="41"/>
      <c r="J95" s="19"/>
      <c r="K95" s="2"/>
    </row>
    <row r="96" spans="3:11" x14ac:dyDescent="0.25">
      <c r="C96" s="94"/>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row>
    <row r="97" spans="3:11" ht="15.75" thickBot="1" x14ac:dyDescent="0.3">
      <c r="C97" s="94"/>
      <c r="D97" s="50"/>
      <c r="E97" s="39"/>
      <c r="F97" s="39"/>
      <c r="G97" s="40"/>
      <c r="H97" s="40"/>
      <c r="I97" s="41"/>
      <c r="J97" s="19"/>
      <c r="K97" s="2"/>
    </row>
    <row r="98" spans="3:11" x14ac:dyDescent="0.25">
      <c r="C98" s="94"/>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row>
    <row r="99" spans="3:11" ht="15.75" thickBot="1" x14ac:dyDescent="0.3">
      <c r="C99" s="94"/>
      <c r="D99" s="50"/>
      <c r="E99" s="39"/>
      <c r="F99" s="39"/>
      <c r="G99" s="40"/>
      <c r="H99" s="40"/>
      <c r="I99" s="41"/>
      <c r="J99" s="19"/>
      <c r="K99" s="2"/>
    </row>
    <row r="100" spans="3:11" x14ac:dyDescent="0.25">
      <c r="C100" s="94"/>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row>
    <row r="101" spans="3:11" ht="15.75" thickBot="1" x14ac:dyDescent="0.3">
      <c r="C101" s="94"/>
      <c r="D101" s="50"/>
      <c r="E101" s="39"/>
      <c r="F101" s="39"/>
      <c r="G101" s="40"/>
      <c r="H101" s="40"/>
      <c r="I101" s="41"/>
      <c r="J101" s="19"/>
      <c r="K101" s="2"/>
    </row>
    <row r="102" spans="3:11" x14ac:dyDescent="0.25">
      <c r="C102" s="94"/>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row>
    <row r="103" spans="3:11" ht="15.75" thickBot="1" x14ac:dyDescent="0.3">
      <c r="C103" s="94"/>
      <c r="D103" s="50"/>
      <c r="E103" s="39"/>
      <c r="F103" s="39"/>
      <c r="G103" s="40"/>
      <c r="H103" s="40"/>
      <c r="I103" s="41"/>
      <c r="J103" s="19"/>
      <c r="K103" s="2"/>
    </row>
    <row r="104" spans="3:11" x14ac:dyDescent="0.25">
      <c r="C104" s="94"/>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row>
    <row r="105" spans="3:11" ht="15.75" thickBot="1" x14ac:dyDescent="0.3">
      <c r="C105" s="94"/>
      <c r="D105" s="50"/>
      <c r="E105" s="39"/>
      <c r="F105" s="39"/>
      <c r="G105" s="40"/>
      <c r="H105" s="40"/>
      <c r="I105" s="41"/>
      <c r="J105" s="19"/>
      <c r="K105" s="2"/>
    </row>
    <row r="106" spans="3:11" x14ac:dyDescent="0.25">
      <c r="C106" s="94"/>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row>
    <row r="107" spans="3:11" ht="15.75" thickBot="1" x14ac:dyDescent="0.3">
      <c r="C107" s="94"/>
      <c r="D107" s="50"/>
      <c r="E107" s="39"/>
      <c r="F107" s="39"/>
      <c r="G107" s="40"/>
      <c r="H107" s="40"/>
      <c r="I107" s="41"/>
      <c r="J107" s="19"/>
      <c r="K107" s="2"/>
    </row>
    <row r="108" spans="3:11" x14ac:dyDescent="0.25">
      <c r="C108" s="94"/>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row>
    <row r="109" spans="3:11" ht="15.75" thickBot="1" x14ac:dyDescent="0.3">
      <c r="C109" s="94"/>
      <c r="D109" s="50"/>
      <c r="E109" s="39"/>
      <c r="F109" s="39"/>
      <c r="G109" s="40"/>
      <c r="H109" s="40"/>
      <c r="I109" s="41"/>
      <c r="J109" s="19"/>
      <c r="K109" s="2"/>
    </row>
    <row r="110" spans="3:11" x14ac:dyDescent="0.25">
      <c r="C110" s="94"/>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row>
    <row r="111" spans="3:11" ht="15.75" thickBot="1" x14ac:dyDescent="0.3">
      <c r="C111" s="94"/>
      <c r="D111" s="50"/>
      <c r="E111" s="39"/>
      <c r="F111" s="39"/>
      <c r="G111" s="40"/>
      <c r="H111" s="40"/>
      <c r="I111" s="41"/>
      <c r="J111" s="19"/>
      <c r="K111" s="2"/>
    </row>
    <row r="112" spans="3:11" x14ac:dyDescent="0.25">
      <c r="C112" s="94"/>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row>
    <row r="113" spans="3:11" ht="15.75" thickBot="1" x14ac:dyDescent="0.3">
      <c r="C113" s="94"/>
      <c r="D113" s="50"/>
      <c r="E113" s="39"/>
      <c r="F113" s="39"/>
      <c r="G113" s="40"/>
      <c r="H113" s="40"/>
      <c r="I113" s="41"/>
      <c r="J113" s="19"/>
      <c r="K113" s="2"/>
    </row>
    <row r="114" spans="3:11" x14ac:dyDescent="0.25">
      <c r="C114" s="94"/>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row>
    <row r="115" spans="3:11" ht="15.75" thickBot="1" x14ac:dyDescent="0.3">
      <c r="C115" s="94"/>
      <c r="D115" s="50"/>
      <c r="E115" s="39"/>
      <c r="F115" s="39"/>
      <c r="G115" s="40"/>
      <c r="H115" s="40"/>
      <c r="I115" s="41"/>
      <c r="J115" s="19"/>
      <c r="K115" s="2"/>
    </row>
    <row r="116" spans="3:11" x14ac:dyDescent="0.25">
      <c r="C116" s="94"/>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row>
    <row r="117" spans="3:11" ht="15.75" thickBot="1" x14ac:dyDescent="0.3">
      <c r="C117" s="94"/>
      <c r="D117" s="50"/>
      <c r="E117" s="39"/>
      <c r="F117" s="39"/>
      <c r="G117" s="40"/>
      <c r="H117" s="40"/>
      <c r="I117" s="41"/>
      <c r="J117" s="19"/>
      <c r="K117" s="2"/>
    </row>
    <row r="118" spans="3:11" x14ac:dyDescent="0.25">
      <c r="C118" s="94"/>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row>
    <row r="119" spans="3:11" ht="15.75" thickBot="1" x14ac:dyDescent="0.3">
      <c r="C119" s="94"/>
      <c r="D119" s="50"/>
      <c r="E119" s="39"/>
      <c r="F119" s="39"/>
      <c r="G119" s="40"/>
      <c r="H119" s="40"/>
      <c r="I119" s="41"/>
      <c r="J119" s="19"/>
      <c r="K119" s="2"/>
    </row>
    <row r="120" spans="3:11" x14ac:dyDescent="0.25">
      <c r="C120" s="94"/>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row>
    <row r="121" spans="3:11" ht="15.75" thickBot="1" x14ac:dyDescent="0.3">
      <c r="C121" s="94"/>
      <c r="D121" s="50"/>
      <c r="E121" s="39"/>
      <c r="F121" s="39"/>
      <c r="G121" s="40"/>
      <c r="H121" s="40"/>
      <c r="I121" s="41"/>
      <c r="J121" s="19"/>
      <c r="K121" s="2"/>
    </row>
    <row r="122" spans="3:11" x14ac:dyDescent="0.25">
      <c r="C122" s="94"/>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row>
    <row r="123" spans="3:11" ht="15.75" thickBot="1" x14ac:dyDescent="0.3">
      <c r="C123" s="94"/>
      <c r="D123" s="50"/>
      <c r="E123" s="39"/>
      <c r="F123" s="39"/>
      <c r="G123" s="40"/>
      <c r="H123" s="40"/>
      <c r="I123" s="41"/>
      <c r="J123" s="19"/>
      <c r="K123" s="2"/>
    </row>
    <row r="124" spans="3:11" x14ac:dyDescent="0.25">
      <c r="C124" s="94"/>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row>
    <row r="125" spans="3:11" ht="15.75" thickBot="1" x14ac:dyDescent="0.3">
      <c r="C125" s="94"/>
      <c r="D125" s="50"/>
      <c r="E125" s="39"/>
      <c r="F125" s="39"/>
      <c r="G125" s="40"/>
      <c r="H125" s="40"/>
      <c r="I125" s="41"/>
      <c r="J125" s="19"/>
      <c r="K125" s="2"/>
    </row>
    <row r="126" spans="3:11" x14ac:dyDescent="0.25">
      <c r="C126" s="94"/>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row>
    <row r="127" spans="3:11" ht="15.75" thickBot="1" x14ac:dyDescent="0.3">
      <c r="C127" s="94"/>
      <c r="D127" s="50"/>
      <c r="E127" s="39"/>
      <c r="F127" s="39"/>
      <c r="G127" s="40"/>
      <c r="H127" s="40"/>
      <c r="I127" s="41"/>
      <c r="J127" s="19"/>
      <c r="K127" s="2"/>
    </row>
    <row r="128" spans="3:11" x14ac:dyDescent="0.25">
      <c r="C128" s="94"/>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row>
    <row r="129" spans="3:11" ht="15.75" thickBot="1" x14ac:dyDescent="0.3">
      <c r="C129" s="94"/>
      <c r="D129" s="50"/>
      <c r="E129" s="39"/>
      <c r="F129" s="39"/>
      <c r="G129" s="40"/>
      <c r="H129" s="40"/>
      <c r="I129" s="41"/>
      <c r="J129" s="19"/>
      <c r="K129" s="2"/>
    </row>
    <row r="130" spans="3:11" x14ac:dyDescent="0.25">
      <c r="C130" s="94"/>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row>
    <row r="131" spans="3:11" ht="15.75" thickBot="1" x14ac:dyDescent="0.3">
      <c r="C131" s="94"/>
      <c r="D131" s="50"/>
      <c r="E131" s="39"/>
      <c r="F131" s="39"/>
      <c r="G131" s="40"/>
      <c r="H131" s="40"/>
      <c r="I131" s="41"/>
      <c r="J131" s="19"/>
      <c r="K131" s="2"/>
    </row>
    <row r="132" spans="3:11" x14ac:dyDescent="0.25">
      <c r="C132" s="94"/>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row>
    <row r="133" spans="3:11" ht="15.75" thickBot="1" x14ac:dyDescent="0.3">
      <c r="C133" s="94"/>
      <c r="D133" s="50"/>
      <c r="E133" s="39"/>
      <c r="F133" s="39"/>
      <c r="G133" s="40"/>
      <c r="H133" s="40"/>
      <c r="I133" s="41"/>
      <c r="J133" s="19"/>
      <c r="K133" s="2"/>
    </row>
    <row r="134" spans="3:11" x14ac:dyDescent="0.25">
      <c r="C134" s="94"/>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row>
    <row r="135" spans="3:11" ht="15.75" thickBot="1" x14ac:dyDescent="0.3">
      <c r="C135" s="94"/>
      <c r="D135" s="50"/>
      <c r="E135" s="39"/>
      <c r="F135" s="39"/>
      <c r="G135" s="40"/>
      <c r="H135" s="40"/>
      <c r="I135" s="41"/>
      <c r="J135" s="19"/>
      <c r="K135" s="2"/>
    </row>
    <row r="136" spans="3:11" x14ac:dyDescent="0.25">
      <c r="C136" s="94"/>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row>
    <row r="137" spans="3:11" ht="15.75" thickBot="1" x14ac:dyDescent="0.3">
      <c r="C137" s="94"/>
      <c r="D137" s="50"/>
      <c r="E137" s="39"/>
      <c r="F137" s="39"/>
      <c r="G137" s="40"/>
      <c r="H137" s="40"/>
      <c r="I137" s="41"/>
      <c r="J137" s="19"/>
      <c r="K137" s="2"/>
    </row>
    <row r="138" spans="3:11" x14ac:dyDescent="0.25">
      <c r="C138" s="94"/>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row>
    <row r="139" spans="3:11" ht="15.75" thickBot="1" x14ac:dyDescent="0.3">
      <c r="C139" s="94"/>
      <c r="D139" s="50"/>
      <c r="E139" s="39"/>
      <c r="F139" s="39"/>
      <c r="G139" s="40"/>
      <c r="H139" s="40"/>
      <c r="I139" s="41"/>
      <c r="J139" s="19"/>
      <c r="K139" s="2"/>
    </row>
    <row r="140" spans="3:11" x14ac:dyDescent="0.25">
      <c r="C140" s="94"/>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row>
    <row r="141" spans="3:11" ht="15.75" thickBot="1" x14ac:dyDescent="0.3">
      <c r="C141" s="94"/>
      <c r="D141" s="50"/>
      <c r="E141" s="39"/>
      <c r="F141" s="39"/>
      <c r="G141" s="40"/>
      <c r="H141" s="40"/>
      <c r="I141" s="41"/>
      <c r="J141" s="19"/>
      <c r="K141" s="2"/>
    </row>
    <row r="142" spans="3:11" x14ac:dyDescent="0.25">
      <c r="C142" s="94"/>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row>
    <row r="143" spans="3:11" ht="15.75" thickBot="1" x14ac:dyDescent="0.3">
      <c r="C143" s="94"/>
      <c r="D143" s="50"/>
      <c r="E143" s="39"/>
      <c r="F143" s="39"/>
      <c r="G143" s="40"/>
      <c r="H143" s="40"/>
      <c r="I143" s="41"/>
      <c r="J143" s="19"/>
      <c r="K143" s="2"/>
    </row>
    <row r="144" spans="3:11" x14ac:dyDescent="0.25">
      <c r="C144" s="94"/>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row>
    <row r="145" spans="3:11" ht="15.75" thickBot="1" x14ac:dyDescent="0.3">
      <c r="C145" s="94"/>
      <c r="D145" s="50"/>
      <c r="E145" s="39"/>
      <c r="F145" s="39"/>
      <c r="G145" s="40"/>
      <c r="H145" s="40"/>
      <c r="I145" s="41"/>
      <c r="J145" s="19"/>
      <c r="K145" s="2"/>
    </row>
    <row r="146" spans="3:11" x14ac:dyDescent="0.25">
      <c r="C146" s="94"/>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row>
    <row r="147" spans="3:11" ht="15.75" thickBot="1" x14ac:dyDescent="0.3">
      <c r="C147" s="94"/>
      <c r="D147" s="50"/>
      <c r="E147" s="39"/>
      <c r="F147" s="39"/>
      <c r="G147" s="40"/>
      <c r="H147" s="40"/>
      <c r="I147" s="41"/>
      <c r="J147" s="19"/>
      <c r="K147" s="2"/>
    </row>
    <row r="148" spans="3:11" x14ac:dyDescent="0.25">
      <c r="C148" s="94"/>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row>
    <row r="149" spans="3:11" ht="15.75" thickBot="1" x14ac:dyDescent="0.3">
      <c r="C149" s="94"/>
      <c r="D149" s="50"/>
      <c r="E149" s="39"/>
      <c r="F149" s="39"/>
      <c r="G149" s="40"/>
      <c r="H149" s="40"/>
      <c r="I149" s="41"/>
      <c r="J149" s="19"/>
      <c r="K149" s="2"/>
    </row>
    <row r="150" spans="3:11" x14ac:dyDescent="0.25">
      <c r="C150" s="94"/>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row>
    <row r="151" spans="3:11" ht="15.75" thickBot="1" x14ac:dyDescent="0.3">
      <c r="C151" s="94"/>
      <c r="D151" s="50"/>
      <c r="E151" s="39"/>
      <c r="F151" s="39"/>
      <c r="G151" s="40"/>
      <c r="H151" s="40"/>
      <c r="I151" s="41"/>
      <c r="J151" s="19"/>
      <c r="K151" s="2"/>
    </row>
    <row r="152" spans="3:11" x14ac:dyDescent="0.25">
      <c r="C152" s="94"/>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row>
    <row r="153" spans="3:11" ht="15.75" thickBot="1" x14ac:dyDescent="0.3">
      <c r="C153" s="94"/>
      <c r="D153" s="50"/>
      <c r="E153" s="39"/>
      <c r="F153" s="39"/>
      <c r="G153" s="40"/>
      <c r="H153" s="40"/>
      <c r="I153" s="41"/>
      <c r="J153" s="19"/>
      <c r="K153" s="2"/>
    </row>
    <row r="154" spans="3:11" x14ac:dyDescent="0.25">
      <c r="C154" s="94"/>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row>
    <row r="155" spans="3:11" ht="15.75" thickBot="1" x14ac:dyDescent="0.3">
      <c r="C155" s="94"/>
      <c r="D155" s="50"/>
      <c r="E155" s="39"/>
      <c r="F155" s="39"/>
      <c r="G155" s="40"/>
      <c r="H155" s="40"/>
      <c r="I155" s="41"/>
      <c r="J155" s="19"/>
      <c r="K155" s="2"/>
    </row>
    <row r="156" spans="3:11" x14ac:dyDescent="0.25">
      <c r="C156" s="94"/>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row>
    <row r="157" spans="3:11" ht="15.75" thickBot="1" x14ac:dyDescent="0.3">
      <c r="C157" s="94"/>
      <c r="D157" s="50"/>
      <c r="E157" s="39"/>
      <c r="F157" s="39"/>
      <c r="G157" s="40"/>
      <c r="H157" s="40"/>
      <c r="I157" s="41"/>
      <c r="J157" s="19"/>
      <c r="K157" s="2"/>
    </row>
    <row r="158" spans="3:11" x14ac:dyDescent="0.25">
      <c r="C158" s="94"/>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row>
    <row r="159" spans="3:11" ht="15.75" thickBot="1" x14ac:dyDescent="0.3">
      <c r="C159" s="94"/>
      <c r="D159" s="50"/>
      <c r="E159" s="39"/>
      <c r="F159" s="39"/>
      <c r="G159" s="40"/>
      <c r="H159" s="40"/>
      <c r="I159" s="41"/>
      <c r="J159" s="19"/>
      <c r="K159" s="2"/>
    </row>
    <row r="160" spans="3:11" x14ac:dyDescent="0.25">
      <c r="C160" s="94"/>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row>
    <row r="161" spans="3:11" ht="15.75" thickBot="1" x14ac:dyDescent="0.3">
      <c r="C161" s="94"/>
      <c r="D161" s="50"/>
      <c r="E161" s="39"/>
      <c r="F161" s="39"/>
      <c r="G161" s="40"/>
      <c r="H161" s="40"/>
      <c r="I161" s="41"/>
      <c r="J161" s="19"/>
      <c r="K161" s="2"/>
    </row>
    <row r="162" spans="3:11" x14ac:dyDescent="0.25">
      <c r="C162" s="94"/>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row>
    <row r="163" spans="3:11" ht="15.75" thickBot="1" x14ac:dyDescent="0.3">
      <c r="C163" s="94"/>
      <c r="D163" s="50"/>
      <c r="E163" s="39"/>
      <c r="F163" s="39"/>
      <c r="G163" s="40"/>
      <c r="H163" s="40"/>
      <c r="I163" s="41"/>
      <c r="J163" s="19"/>
      <c r="K163" s="2"/>
    </row>
    <row r="164" spans="3:11" x14ac:dyDescent="0.25">
      <c r="C164" s="94"/>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row>
    <row r="165" spans="3:11" ht="15.75" thickBot="1" x14ac:dyDescent="0.3">
      <c r="C165" s="94"/>
      <c r="D165" s="50"/>
      <c r="E165" s="39"/>
      <c r="F165" s="39"/>
      <c r="G165" s="40"/>
      <c r="H165" s="40"/>
      <c r="I165" s="41"/>
      <c r="J165" s="19"/>
      <c r="K165" s="2"/>
    </row>
    <row r="166" spans="3:11" x14ac:dyDescent="0.25">
      <c r="C166" s="94"/>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row>
    <row r="167" spans="3:11" ht="15.75" thickBot="1" x14ac:dyDescent="0.3">
      <c r="C167" s="94"/>
      <c r="D167" s="50"/>
      <c r="E167" s="39"/>
      <c r="F167" s="39"/>
      <c r="G167" s="40"/>
      <c r="H167" s="40"/>
      <c r="I167" s="41"/>
      <c r="J167" s="19"/>
      <c r="K167" s="2"/>
    </row>
    <row r="168" spans="3:11" x14ac:dyDescent="0.25">
      <c r="C168" s="94"/>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row>
    <row r="169" spans="3:11" ht="15.75" thickBot="1" x14ac:dyDescent="0.3">
      <c r="C169" s="94"/>
      <c r="D169" s="50"/>
      <c r="E169" s="39"/>
      <c r="F169" s="39"/>
      <c r="G169" s="40"/>
      <c r="H169" s="40"/>
      <c r="I169" s="41"/>
      <c r="J169" s="19"/>
      <c r="K169" s="2"/>
    </row>
    <row r="170" spans="3:11" x14ac:dyDescent="0.25">
      <c r="C170" s="94"/>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row>
    <row r="171" spans="3:11" ht="15.75" thickBot="1" x14ac:dyDescent="0.3">
      <c r="C171" s="94"/>
      <c r="D171" s="50"/>
      <c r="E171" s="39"/>
      <c r="F171" s="39"/>
      <c r="G171" s="40"/>
      <c r="H171" s="40"/>
      <c r="I171" s="41"/>
      <c r="J171" s="19"/>
      <c r="K171" s="2"/>
    </row>
    <row r="172" spans="3:11" x14ac:dyDescent="0.25">
      <c r="C172" s="94"/>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row>
    <row r="173" spans="3:11" ht="15.75" thickBot="1" x14ac:dyDescent="0.3">
      <c r="C173" s="94"/>
      <c r="D173" s="50"/>
      <c r="E173" s="39"/>
      <c r="F173" s="39"/>
      <c r="G173" s="40"/>
      <c r="H173" s="40"/>
      <c r="I173" s="41"/>
      <c r="J173" s="19"/>
      <c r="K173" s="2"/>
    </row>
    <row r="174" spans="3:11" x14ac:dyDescent="0.25">
      <c r="C174" s="94"/>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row>
    <row r="175" spans="3:11" ht="15.75" thickBot="1" x14ac:dyDescent="0.3">
      <c r="C175" s="94"/>
      <c r="D175" s="50"/>
      <c r="E175" s="39"/>
      <c r="F175" s="39"/>
      <c r="G175" s="40"/>
      <c r="H175" s="40"/>
      <c r="I175" s="41"/>
      <c r="J175" s="19"/>
      <c r="K175" s="2"/>
    </row>
    <row r="176" spans="3:11" x14ac:dyDescent="0.25">
      <c r="C176" s="94"/>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row>
    <row r="177" spans="3:11" ht="15.75" thickBot="1" x14ac:dyDescent="0.3">
      <c r="C177" s="94"/>
      <c r="D177" s="50"/>
      <c r="E177" s="39"/>
      <c r="F177" s="39"/>
      <c r="G177" s="40"/>
      <c r="H177" s="40"/>
      <c r="I177" s="41"/>
      <c r="J177" s="19"/>
      <c r="K177" s="2"/>
    </row>
    <row r="178" spans="3:11" x14ac:dyDescent="0.25">
      <c r="C178" s="94"/>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row>
    <row r="179" spans="3:11" ht="15.75" thickBot="1" x14ac:dyDescent="0.3">
      <c r="C179" s="94"/>
      <c r="D179" s="50"/>
      <c r="E179" s="39"/>
      <c r="F179" s="39"/>
      <c r="G179" s="40"/>
      <c r="H179" s="40"/>
      <c r="I179" s="41"/>
      <c r="J179" s="19"/>
      <c r="K179" s="2"/>
    </row>
    <row r="180" spans="3:11" x14ac:dyDescent="0.25">
      <c r="C180" s="94"/>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row>
    <row r="181" spans="3:11" ht="15.75" thickBot="1" x14ac:dyDescent="0.3">
      <c r="C181" s="94"/>
      <c r="D181" s="50"/>
      <c r="E181" s="39"/>
      <c r="F181" s="39"/>
      <c r="G181" s="40"/>
      <c r="H181" s="40"/>
      <c r="I181" s="41"/>
      <c r="J181" s="19"/>
      <c r="K181" s="2"/>
    </row>
    <row r="182" spans="3:11" x14ac:dyDescent="0.25">
      <c r="C182" s="94"/>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row>
    <row r="183" spans="3:11" ht="15.75" thickBot="1" x14ac:dyDescent="0.3">
      <c r="C183" s="94"/>
      <c r="D183" s="50"/>
      <c r="E183" s="39"/>
      <c r="F183" s="39"/>
      <c r="G183" s="40"/>
      <c r="H183" s="40"/>
      <c r="I183" s="41"/>
      <c r="J183" s="19"/>
      <c r="K183" s="2"/>
    </row>
    <row r="184" spans="3:11" x14ac:dyDescent="0.25">
      <c r="C184" s="94"/>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row>
    <row r="185" spans="3:11" ht="15.75" thickBot="1" x14ac:dyDescent="0.3">
      <c r="C185" s="94"/>
      <c r="D185" s="50"/>
      <c r="E185" s="39"/>
      <c r="F185" s="39"/>
      <c r="G185" s="40"/>
      <c r="H185" s="40"/>
      <c r="I185" s="41"/>
      <c r="J185" s="19"/>
      <c r="K185" s="2"/>
    </row>
    <row r="186" spans="3:11" x14ac:dyDescent="0.25">
      <c r="C186" s="94"/>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row>
    <row r="187" spans="3:11" ht="15.75" thickBot="1" x14ac:dyDescent="0.3">
      <c r="C187" s="94"/>
      <c r="D187" s="50"/>
      <c r="E187" s="39"/>
      <c r="F187" s="39"/>
      <c r="G187" s="40"/>
      <c r="H187" s="40"/>
      <c r="I187" s="41"/>
      <c r="J187" s="19"/>
      <c r="K187" s="2"/>
    </row>
    <row r="188" spans="3:11" x14ac:dyDescent="0.25">
      <c r="C188" s="94"/>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row>
    <row r="189" spans="3:11" ht="15.75" thickBot="1" x14ac:dyDescent="0.3">
      <c r="C189" s="94"/>
      <c r="D189" s="50"/>
      <c r="E189" s="39"/>
      <c r="F189" s="39"/>
      <c r="G189" s="40"/>
      <c r="H189" s="40"/>
      <c r="I189" s="41"/>
      <c r="J189" s="19"/>
      <c r="K189" s="2"/>
    </row>
    <row r="190" spans="3:11" x14ac:dyDescent="0.25">
      <c r="C190" s="94"/>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row>
    <row r="191" spans="3:11" ht="15.75" thickBot="1" x14ac:dyDescent="0.3">
      <c r="C191" s="94"/>
      <c r="D191" s="50"/>
      <c r="E191" s="39"/>
      <c r="F191" s="39"/>
      <c r="G191" s="40"/>
      <c r="H191" s="40"/>
      <c r="I191" s="41"/>
      <c r="J191" s="19"/>
      <c r="K191" s="2"/>
    </row>
    <row r="192" spans="3:11" x14ac:dyDescent="0.25">
      <c r="C192" s="94"/>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row>
    <row r="193" spans="3:11" ht="15.75" thickBot="1" x14ac:dyDescent="0.3">
      <c r="C193" s="94"/>
      <c r="D193" s="50"/>
      <c r="E193" s="39"/>
      <c r="F193" s="39"/>
      <c r="G193" s="40"/>
      <c r="H193" s="40"/>
      <c r="I193" s="41"/>
      <c r="J193" s="19"/>
      <c r="K193" s="2"/>
    </row>
    <row r="194" spans="3:11" x14ac:dyDescent="0.25">
      <c r="C194" s="94"/>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row>
    <row r="195" spans="3:11" ht="15.75" thickBot="1" x14ac:dyDescent="0.3">
      <c r="C195" s="94"/>
      <c r="D195" s="50"/>
      <c r="E195" s="39"/>
      <c r="F195" s="39"/>
      <c r="G195" s="40"/>
      <c r="H195" s="40"/>
      <c r="I195" s="41"/>
      <c r="J195" s="19"/>
      <c r="K195" s="2"/>
    </row>
    <row r="196" spans="3:11" x14ac:dyDescent="0.25">
      <c r="C196" s="94"/>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row>
    <row r="197" spans="3:11" ht="15.75" thickBot="1" x14ac:dyDescent="0.3">
      <c r="C197" s="94"/>
      <c r="D197" s="50"/>
      <c r="E197" s="39"/>
      <c r="F197" s="39"/>
      <c r="G197" s="40"/>
      <c r="H197" s="40"/>
      <c r="I197" s="41"/>
      <c r="J197" s="19"/>
      <c r="K197" s="2"/>
    </row>
    <row r="198" spans="3:11" x14ac:dyDescent="0.25">
      <c r="C198" s="94"/>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row>
    <row r="199" spans="3:11" ht="15.75" thickBot="1" x14ac:dyDescent="0.3">
      <c r="C199" s="94"/>
      <c r="D199" s="50"/>
      <c r="E199" s="39"/>
      <c r="F199" s="39"/>
      <c r="G199" s="40"/>
      <c r="H199" s="40"/>
      <c r="I199" s="41"/>
      <c r="J199" s="19"/>
      <c r="K199" s="2"/>
    </row>
    <row r="200" spans="3:11" x14ac:dyDescent="0.25">
      <c r="C200" s="94"/>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row>
    <row r="201" spans="3:11" ht="15.75" thickBot="1" x14ac:dyDescent="0.3">
      <c r="C201" s="94"/>
      <c r="D201" s="50"/>
      <c r="E201" s="39"/>
      <c r="F201" s="39"/>
      <c r="G201" s="40"/>
      <c r="H201" s="40"/>
      <c r="I201" s="41"/>
      <c r="J201" s="19"/>
      <c r="K201" s="2"/>
    </row>
    <row r="202" spans="3:11" x14ac:dyDescent="0.25">
      <c r="C202" s="94"/>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row>
    <row r="203" spans="3:11" ht="15.75" thickBot="1" x14ac:dyDescent="0.3">
      <c r="C203" s="94"/>
      <c r="D203" s="50"/>
      <c r="E203" s="39"/>
      <c r="F203" s="39"/>
      <c r="G203" s="40"/>
      <c r="H203" s="40"/>
      <c r="I203" s="41"/>
      <c r="J203" s="19"/>
      <c r="K203" s="2"/>
    </row>
    <row r="204" spans="3:11" x14ac:dyDescent="0.25">
      <c r="C204" s="94"/>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row>
    <row r="205" spans="3:11" ht="15.75" thickBot="1" x14ac:dyDescent="0.3">
      <c r="C205" s="94"/>
      <c r="D205" s="50"/>
      <c r="E205" s="39"/>
      <c r="F205" s="39"/>
      <c r="G205" s="40"/>
      <c r="H205" s="40"/>
      <c r="I205" s="41"/>
      <c r="J205" s="19"/>
      <c r="K205" s="2"/>
    </row>
    <row r="206" spans="3:11" x14ac:dyDescent="0.25">
      <c r="C206" s="94"/>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row>
    <row r="207" spans="3:11" ht="15.75" thickBot="1" x14ac:dyDescent="0.3">
      <c r="C207" s="94"/>
      <c r="D207" s="50"/>
      <c r="E207" s="39"/>
      <c r="F207" s="39"/>
      <c r="G207" s="40"/>
      <c r="H207" s="40"/>
      <c r="I207" s="41"/>
      <c r="J207" s="19"/>
      <c r="K207" s="2"/>
    </row>
    <row r="208" spans="3:11" x14ac:dyDescent="0.25">
      <c r="C208" s="94"/>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row>
    <row r="209" spans="3:11" ht="15.75" thickBot="1" x14ac:dyDescent="0.3">
      <c r="C209" s="94"/>
      <c r="D209" s="50"/>
      <c r="E209" s="39"/>
      <c r="F209" s="39"/>
      <c r="G209" s="40"/>
      <c r="H209" s="40"/>
      <c r="I209" s="41"/>
      <c r="J209" s="19"/>
      <c r="K209" s="2"/>
    </row>
    <row r="210" spans="3:11" x14ac:dyDescent="0.25">
      <c r="C210" s="94"/>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row>
    <row r="211" spans="3:11" ht="15.75" thickBot="1" x14ac:dyDescent="0.3">
      <c r="C211" s="94"/>
      <c r="D211" s="50"/>
      <c r="E211" s="39"/>
      <c r="F211" s="39"/>
      <c r="G211" s="40"/>
      <c r="H211" s="40"/>
      <c r="I211" s="41"/>
      <c r="J211" s="19"/>
      <c r="K211" s="2"/>
    </row>
    <row r="212" spans="3:11" x14ac:dyDescent="0.25">
      <c r="C212" s="94"/>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row>
    <row r="213" spans="3:11" ht="15.75" thickBot="1" x14ac:dyDescent="0.3">
      <c r="C213" s="94"/>
      <c r="D213" s="50"/>
      <c r="E213" s="39"/>
      <c r="F213" s="39"/>
      <c r="G213" s="40"/>
      <c r="H213" s="40"/>
      <c r="I213" s="41"/>
      <c r="J213" s="19"/>
      <c r="K213" s="2"/>
    </row>
    <row r="214" spans="3:11" x14ac:dyDescent="0.25">
      <c r="C214" s="94"/>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row>
    <row r="215" spans="3:11" ht="15.75" thickBot="1" x14ac:dyDescent="0.3">
      <c r="C215" s="94"/>
      <c r="D215" s="50"/>
      <c r="E215" s="39"/>
      <c r="F215" s="39"/>
      <c r="G215" s="40"/>
      <c r="H215" s="40"/>
      <c r="I215" s="41"/>
      <c r="J215" s="19"/>
      <c r="K215" s="2"/>
    </row>
    <row r="216" spans="3:11" x14ac:dyDescent="0.25">
      <c r="C216" s="94"/>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row>
    <row r="217" spans="3:11" ht="15.75" thickBot="1" x14ac:dyDescent="0.3">
      <c r="C217" s="94"/>
      <c r="D217" s="50"/>
      <c r="E217" s="39"/>
      <c r="F217" s="39"/>
      <c r="G217" s="40"/>
      <c r="H217" s="40"/>
      <c r="I217" s="41"/>
      <c r="J217" s="19"/>
      <c r="K217" s="2"/>
    </row>
    <row r="218" spans="3:11" x14ac:dyDescent="0.25">
      <c r="C218" s="94"/>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row>
    <row r="219" spans="3:11" ht="15.75" thickBot="1" x14ac:dyDescent="0.3">
      <c r="C219" s="94"/>
      <c r="D219" s="50"/>
      <c r="E219" s="39"/>
      <c r="F219" s="39"/>
      <c r="G219" s="40"/>
      <c r="H219" s="40"/>
      <c r="I219" s="41"/>
      <c r="J219" s="19"/>
      <c r="K219" s="2"/>
    </row>
    <row r="220" spans="3:11" x14ac:dyDescent="0.25">
      <c r="C220" s="94"/>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row>
    <row r="221" spans="3:11" ht="15.75" thickBot="1" x14ac:dyDescent="0.3">
      <c r="C221" s="94"/>
      <c r="D221" s="50"/>
      <c r="E221" s="39"/>
      <c r="F221" s="39"/>
      <c r="G221" s="40"/>
      <c r="H221" s="40"/>
      <c r="I221" s="41"/>
      <c r="J221" s="19"/>
      <c r="K221" s="2"/>
    </row>
    <row r="222" spans="3:11" x14ac:dyDescent="0.25">
      <c r="C222" s="94"/>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row>
    <row r="223" spans="3:11" ht="15.75" thickBot="1" x14ac:dyDescent="0.3">
      <c r="C223" s="94"/>
      <c r="D223" s="50"/>
      <c r="E223" s="39"/>
      <c r="F223" s="39"/>
      <c r="G223" s="40"/>
      <c r="H223" s="40"/>
      <c r="I223" s="41"/>
      <c r="J223" s="19"/>
      <c r="K223" s="2"/>
    </row>
    <row r="224" spans="3:11" x14ac:dyDescent="0.25">
      <c r="C224" s="94"/>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row>
    <row r="225" spans="3:11" ht="15.75" thickBot="1" x14ac:dyDescent="0.3">
      <c r="C225" s="94"/>
      <c r="D225" s="50"/>
      <c r="E225" s="39"/>
      <c r="F225" s="39"/>
      <c r="G225" s="40"/>
      <c r="H225" s="40"/>
      <c r="I225" s="41"/>
      <c r="J225" s="19"/>
      <c r="K225" s="2"/>
    </row>
    <row r="226" spans="3:11" x14ac:dyDescent="0.25">
      <c r="C226" s="94"/>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row>
    <row r="227" spans="3:11" ht="15.75" thickBot="1" x14ac:dyDescent="0.3">
      <c r="C227" s="94"/>
      <c r="D227" s="50"/>
      <c r="E227" s="39"/>
      <c r="F227" s="39"/>
      <c r="G227" s="40"/>
      <c r="H227" s="40"/>
      <c r="I227" s="41"/>
      <c r="J227" s="19"/>
      <c r="K227" s="2"/>
    </row>
    <row r="228" spans="3:11" x14ac:dyDescent="0.25">
      <c r="C228" s="94"/>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row>
    <row r="229" spans="3:11" ht="15.75" thickBot="1" x14ac:dyDescent="0.3">
      <c r="C229" s="94"/>
      <c r="D229" s="50"/>
      <c r="E229" s="39"/>
      <c r="F229" s="39"/>
      <c r="G229" s="40"/>
      <c r="H229" s="40"/>
      <c r="I229" s="41"/>
      <c r="J229" s="19"/>
      <c r="K229" s="2"/>
    </row>
    <row r="230" spans="3:11" x14ac:dyDescent="0.25">
      <c r="C230" s="94"/>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row>
    <row r="231" spans="3:11" ht="15.75" thickBot="1" x14ac:dyDescent="0.3">
      <c r="C231" s="94"/>
      <c r="D231" s="50"/>
      <c r="E231" s="39"/>
      <c r="F231" s="39"/>
      <c r="G231" s="40"/>
      <c r="H231" s="40"/>
      <c r="I231" s="41"/>
      <c r="J231" s="19"/>
      <c r="K231" s="2"/>
    </row>
    <row r="232" spans="3:11" x14ac:dyDescent="0.25">
      <c r="C232" s="94"/>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row>
    <row r="233" spans="3:11" ht="15.75" thickBot="1" x14ac:dyDescent="0.3">
      <c r="C233" s="94"/>
      <c r="D233" s="50"/>
      <c r="E233" s="39"/>
      <c r="F233" s="39"/>
      <c r="G233" s="40"/>
      <c r="H233" s="40"/>
      <c r="I233" s="41"/>
      <c r="J233" s="19"/>
      <c r="K233" s="2"/>
    </row>
    <row r="234" spans="3:11" x14ac:dyDescent="0.25">
      <c r="C234" s="94"/>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row>
    <row r="235" spans="3:11" ht="15.75" thickBot="1" x14ac:dyDescent="0.3">
      <c r="C235" s="94"/>
      <c r="D235" s="50"/>
      <c r="E235" s="39"/>
      <c r="F235" s="39"/>
      <c r="G235" s="40"/>
      <c r="H235" s="40"/>
      <c r="I235" s="41"/>
      <c r="J235" s="19"/>
      <c r="K235" s="2"/>
    </row>
    <row r="236" spans="3:11" x14ac:dyDescent="0.25">
      <c r="C236" s="94"/>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row>
    <row r="237" spans="3:11" ht="15.75" thickBot="1" x14ac:dyDescent="0.3">
      <c r="C237" s="94"/>
      <c r="D237" s="50"/>
      <c r="E237" s="39"/>
      <c r="F237" s="39"/>
      <c r="G237" s="40"/>
      <c r="H237" s="40"/>
      <c r="I237" s="41"/>
      <c r="J237" s="19"/>
      <c r="K237" s="2"/>
    </row>
    <row r="238" spans="3:11" x14ac:dyDescent="0.25">
      <c r="C238" s="94"/>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row>
    <row r="239" spans="3:11" ht="15.75" thickBot="1" x14ac:dyDescent="0.3">
      <c r="C239" s="94"/>
      <c r="D239" s="50"/>
      <c r="E239" s="39"/>
      <c r="F239" s="39"/>
      <c r="G239" s="40"/>
      <c r="H239" s="40"/>
      <c r="I239" s="41"/>
      <c r="J239" s="19"/>
      <c r="K239" s="2"/>
    </row>
    <row r="240" spans="3:11" x14ac:dyDescent="0.25">
      <c r="C240" s="94"/>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row>
    <row r="241" spans="3:11" ht="15.75" thickBot="1" x14ac:dyDescent="0.3">
      <c r="C241" s="94"/>
      <c r="D241" s="50"/>
      <c r="E241" s="39"/>
      <c r="F241" s="39"/>
      <c r="G241" s="40"/>
      <c r="H241" s="40"/>
      <c r="I241" s="41"/>
      <c r="J241" s="19"/>
      <c r="K241" s="2"/>
    </row>
    <row r="242" spans="3:11" x14ac:dyDescent="0.25">
      <c r="C242" s="94"/>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row>
    <row r="243" spans="3:11" ht="15.75" thickBot="1" x14ac:dyDescent="0.3">
      <c r="C243" s="94"/>
      <c r="D243" s="50"/>
      <c r="E243" s="39"/>
      <c r="F243" s="39"/>
      <c r="G243" s="40"/>
      <c r="H243" s="40"/>
      <c r="I243" s="41"/>
      <c r="J243" s="19"/>
      <c r="K243" s="2"/>
    </row>
    <row r="244" spans="3:11" x14ac:dyDescent="0.25">
      <c r="C244" s="94"/>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row>
    <row r="245" spans="3:11" ht="15.75" thickBot="1" x14ac:dyDescent="0.3">
      <c r="C245" s="94"/>
      <c r="D245" s="50"/>
      <c r="E245" s="39"/>
      <c r="F245" s="39"/>
      <c r="G245" s="40"/>
      <c r="H245" s="40"/>
      <c r="I245" s="41"/>
      <c r="J245" s="19"/>
      <c r="K245" s="2"/>
    </row>
    <row r="246" spans="3:11" x14ac:dyDescent="0.25">
      <c r="C246" s="94"/>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row>
    <row r="247" spans="3:11" ht="15.75" thickBot="1" x14ac:dyDescent="0.3">
      <c r="C247" s="94"/>
      <c r="D247" s="50"/>
      <c r="E247" s="39"/>
      <c r="F247" s="39"/>
      <c r="G247" s="40"/>
      <c r="H247" s="40"/>
      <c r="I247" s="41"/>
      <c r="J247" s="19"/>
      <c r="K247" s="2"/>
    </row>
    <row r="248" spans="3:11" x14ac:dyDescent="0.25">
      <c r="C248" s="94"/>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row>
    <row r="249" spans="3:11" ht="15.75" thickBot="1" x14ac:dyDescent="0.3">
      <c r="C249" s="94"/>
      <c r="D249" s="50"/>
      <c r="E249" s="39"/>
      <c r="F249" s="39"/>
      <c r="G249" s="40"/>
      <c r="H249" s="40"/>
      <c r="I249" s="41"/>
      <c r="J249" s="19"/>
      <c r="K249" s="2"/>
    </row>
    <row r="250" spans="3:11" x14ac:dyDescent="0.25">
      <c r="C250" s="94"/>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row>
    <row r="251" spans="3:11" ht="15.75" thickBot="1" x14ac:dyDescent="0.3">
      <c r="C251" s="94"/>
      <c r="D251" s="50"/>
      <c r="E251" s="39"/>
      <c r="F251" s="39"/>
      <c r="G251" s="40"/>
      <c r="H251" s="40"/>
      <c r="I251" s="41"/>
      <c r="J251" s="19"/>
      <c r="K251" s="2"/>
    </row>
    <row r="252" spans="3:11" x14ac:dyDescent="0.25">
      <c r="C252" s="94"/>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row>
    <row r="253" spans="3:11" ht="15.75" thickBot="1" x14ac:dyDescent="0.3">
      <c r="C253" s="94"/>
      <c r="D253" s="50"/>
      <c r="E253" s="39"/>
      <c r="F253" s="39"/>
      <c r="G253" s="40"/>
      <c r="H253" s="40"/>
      <c r="I253" s="41"/>
      <c r="J253" s="19"/>
      <c r="K253" s="2"/>
    </row>
    <row r="254" spans="3:11" x14ac:dyDescent="0.25">
      <c r="C254" s="94"/>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row>
    <row r="255" spans="3:11" ht="15.75" thickBot="1" x14ac:dyDescent="0.3">
      <c r="C255" s="94"/>
      <c r="D255" s="50"/>
      <c r="E255" s="39"/>
      <c r="F255" s="39"/>
      <c r="G255" s="40"/>
      <c r="H255" s="40"/>
      <c r="I255" s="41"/>
      <c r="J255" s="19"/>
      <c r="K255" s="2"/>
    </row>
    <row r="256" spans="3:11" x14ac:dyDescent="0.25">
      <c r="C256" s="94"/>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row>
    <row r="257" spans="3:11" ht="15.75" thickBot="1" x14ac:dyDescent="0.3">
      <c r="C257" s="94"/>
      <c r="D257" s="50"/>
      <c r="E257" s="39"/>
      <c r="F257" s="39"/>
      <c r="G257" s="40"/>
      <c r="H257" s="40"/>
      <c r="I257" s="41"/>
      <c r="J257" s="19"/>
      <c r="K257" s="2"/>
    </row>
    <row r="258" spans="3:11" x14ac:dyDescent="0.25">
      <c r="C258" s="94"/>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row>
    <row r="259" spans="3:11" ht="15.75" thickBot="1" x14ac:dyDescent="0.3">
      <c r="C259" s="94"/>
      <c r="D259" s="50"/>
      <c r="E259" s="39"/>
      <c r="F259" s="39"/>
      <c r="G259" s="40"/>
      <c r="H259" s="40"/>
      <c r="I259" s="41"/>
      <c r="J259" s="19"/>
      <c r="K259" s="2"/>
    </row>
    <row r="260" spans="3:11" x14ac:dyDescent="0.25">
      <c r="C260" s="94"/>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row>
    <row r="261" spans="3:11" ht="15.75" thickBot="1" x14ac:dyDescent="0.3">
      <c r="C261" s="94"/>
      <c r="D261" s="50"/>
      <c r="E261" s="39"/>
      <c r="F261" s="39"/>
      <c r="G261" s="40"/>
      <c r="H261" s="40"/>
      <c r="I261" s="41"/>
      <c r="J261" s="19"/>
      <c r="K261" s="2"/>
    </row>
    <row r="262" spans="3:11" x14ac:dyDescent="0.25">
      <c r="C262" s="94"/>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row>
    <row r="263" spans="3:11" ht="15.75" thickBot="1" x14ac:dyDescent="0.3">
      <c r="C263" s="94"/>
      <c r="D263" s="50"/>
      <c r="E263" s="39"/>
      <c r="F263" s="39"/>
      <c r="G263" s="40"/>
      <c r="H263" s="40"/>
      <c r="I263" s="41"/>
      <c r="J263" s="19"/>
      <c r="K263" s="2"/>
    </row>
    <row r="264" spans="3:11" x14ac:dyDescent="0.25">
      <c r="C264" s="94"/>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row>
    <row r="265" spans="3:11" ht="15.75" thickBot="1" x14ac:dyDescent="0.3">
      <c r="C265" s="94"/>
      <c r="D265" s="50"/>
      <c r="E265" s="39"/>
      <c r="F265" s="39"/>
      <c r="G265" s="40"/>
      <c r="H265" s="40"/>
      <c r="I265" s="41"/>
      <c r="J265" s="19"/>
      <c r="K265" s="2"/>
    </row>
    <row r="266" spans="3:11" x14ac:dyDescent="0.25">
      <c r="C266" s="94"/>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row>
    <row r="267" spans="3:11" ht="15.75" thickBot="1" x14ac:dyDescent="0.3">
      <c r="C267" s="94"/>
      <c r="D267" s="50"/>
      <c r="E267" s="39"/>
      <c r="F267" s="39"/>
      <c r="G267" s="40"/>
      <c r="H267" s="40"/>
      <c r="I267" s="41"/>
      <c r="J267" s="19"/>
      <c r="K267" s="2"/>
    </row>
    <row r="268" spans="3:11" x14ac:dyDescent="0.25">
      <c r="C268" s="94"/>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row>
    <row r="269" spans="3:11" ht="15.75" thickBot="1" x14ac:dyDescent="0.3">
      <c r="C269" s="94"/>
      <c r="D269" s="50"/>
      <c r="E269" s="39"/>
      <c r="F269" s="39"/>
      <c r="G269" s="40"/>
      <c r="H269" s="40"/>
      <c r="I269" s="41"/>
      <c r="J269" s="19"/>
      <c r="K269" s="2"/>
    </row>
    <row r="270" spans="3:11" x14ac:dyDescent="0.25">
      <c r="C270" s="94"/>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row>
    <row r="271" spans="3:11" ht="15.75" thickBot="1" x14ac:dyDescent="0.3">
      <c r="C271" s="94"/>
      <c r="D271" s="50"/>
      <c r="E271" s="39"/>
      <c r="F271" s="39"/>
      <c r="G271" s="40"/>
      <c r="H271" s="40"/>
      <c r="I271" s="41"/>
      <c r="J271" s="19"/>
      <c r="K271" s="2"/>
    </row>
    <row r="272" spans="3:11" x14ac:dyDescent="0.25">
      <c r="C272" s="94"/>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row>
    <row r="273" spans="3:11" ht="15.75" thickBot="1" x14ac:dyDescent="0.3">
      <c r="C273" s="94"/>
      <c r="D273" s="50"/>
      <c r="E273" s="39"/>
      <c r="F273" s="39"/>
      <c r="G273" s="40"/>
      <c r="H273" s="40"/>
      <c r="I273" s="41"/>
      <c r="J273" s="19"/>
      <c r="K273" s="2"/>
    </row>
    <row r="274" spans="3:11" x14ac:dyDescent="0.25">
      <c r="C274" s="94"/>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row>
    <row r="275" spans="3:11" ht="15.75" thickBot="1" x14ac:dyDescent="0.3">
      <c r="C275" s="94"/>
      <c r="D275" s="50"/>
      <c r="E275" s="39"/>
      <c r="F275" s="39"/>
      <c r="G275" s="40"/>
      <c r="H275" s="40"/>
      <c r="I275" s="41"/>
      <c r="J275" s="19"/>
      <c r="K275" s="2"/>
    </row>
    <row r="276" spans="3:11" x14ac:dyDescent="0.25">
      <c r="C276" s="94"/>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row>
    <row r="277" spans="3:11" ht="15.75" thickBot="1" x14ac:dyDescent="0.3">
      <c r="C277" s="94"/>
      <c r="D277" s="50"/>
      <c r="E277" s="39"/>
      <c r="F277" s="39"/>
      <c r="G277" s="40"/>
      <c r="H277" s="40"/>
      <c r="I277" s="41"/>
      <c r="J277" s="19"/>
      <c r="K277" s="2"/>
    </row>
    <row r="278" spans="3:11" x14ac:dyDescent="0.25">
      <c r="C278" s="94"/>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row>
    <row r="279" spans="3:11" ht="15.75" thickBot="1" x14ac:dyDescent="0.3">
      <c r="C279" s="94"/>
      <c r="D279" s="50"/>
      <c r="E279" s="39"/>
      <c r="F279" s="39"/>
      <c r="G279" s="40"/>
      <c r="H279" s="40"/>
      <c r="I279" s="41"/>
      <c r="J279" s="19"/>
      <c r="K279" s="2"/>
    </row>
    <row r="280" spans="3:11" x14ac:dyDescent="0.25">
      <c r="C280" s="94"/>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row>
    <row r="281" spans="3:11" ht="15.75" thickBot="1" x14ac:dyDescent="0.3">
      <c r="C281" s="94"/>
      <c r="D281" s="50"/>
      <c r="E281" s="39"/>
      <c r="F281" s="39"/>
      <c r="G281" s="40"/>
      <c r="H281" s="40"/>
      <c r="I281" s="41"/>
      <c r="J281" s="19"/>
      <c r="K281" s="2"/>
    </row>
    <row r="282" spans="3:11" x14ac:dyDescent="0.25">
      <c r="C282" s="94"/>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row>
    <row r="283" spans="3:11" ht="15.75" thickBot="1" x14ac:dyDescent="0.3">
      <c r="C283" s="94"/>
      <c r="D283" s="50"/>
      <c r="E283" s="39"/>
      <c r="F283" s="39"/>
      <c r="G283" s="40"/>
      <c r="H283" s="40"/>
      <c r="I283" s="41"/>
      <c r="J283" s="19"/>
      <c r="K283" s="2"/>
    </row>
    <row r="284" spans="3:11" x14ac:dyDescent="0.25">
      <c r="C284" s="94"/>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row>
    <row r="285" spans="3:11" ht="15.75" thickBot="1" x14ac:dyDescent="0.3">
      <c r="C285" s="94"/>
      <c r="D285" s="50"/>
      <c r="E285" s="39"/>
      <c r="F285" s="39"/>
      <c r="G285" s="40"/>
      <c r="H285" s="40"/>
      <c r="I285" s="41"/>
      <c r="J285" s="19"/>
      <c r="K285" s="2"/>
    </row>
    <row r="286" spans="3:11" x14ac:dyDescent="0.25">
      <c r="C286" s="94"/>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row>
    <row r="287" spans="3:11" ht="15.75" thickBot="1" x14ac:dyDescent="0.3">
      <c r="C287" s="94"/>
      <c r="D287" s="50"/>
      <c r="E287" s="39"/>
      <c r="F287" s="39"/>
      <c r="G287" s="40"/>
      <c r="H287" s="40"/>
      <c r="I287" s="41"/>
      <c r="J287" s="19"/>
      <c r="K287" s="2"/>
    </row>
    <row r="288" spans="3:11" x14ac:dyDescent="0.25">
      <c r="C288" s="94"/>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row>
    <row r="289" spans="3:11" ht="15.75" thickBot="1" x14ac:dyDescent="0.3">
      <c r="C289" s="94"/>
      <c r="D289" s="50"/>
      <c r="E289" s="39"/>
      <c r="F289" s="39"/>
      <c r="G289" s="40"/>
      <c r="H289" s="40"/>
      <c r="I289" s="41"/>
      <c r="J289" s="19"/>
      <c r="K289" s="2"/>
    </row>
    <row r="290" spans="3:11" x14ac:dyDescent="0.25">
      <c r="C290" s="94"/>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row>
    <row r="291" spans="3:11" ht="15.75" thickBot="1" x14ac:dyDescent="0.3">
      <c r="C291" s="94"/>
      <c r="D291" s="50"/>
      <c r="E291" s="39"/>
      <c r="F291" s="39"/>
      <c r="G291" s="40"/>
      <c r="H291" s="40"/>
      <c r="I291" s="41"/>
      <c r="J291" s="19"/>
      <c r="K291" s="2"/>
    </row>
    <row r="292" spans="3:11" x14ac:dyDescent="0.25">
      <c r="C292" s="94"/>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row>
    <row r="293" spans="3:11" ht="15.75" thickBot="1" x14ac:dyDescent="0.3">
      <c r="C293" s="94"/>
      <c r="D293" s="50"/>
      <c r="E293" s="39"/>
      <c r="F293" s="39"/>
      <c r="G293" s="40"/>
      <c r="H293" s="40"/>
      <c r="I293" s="41"/>
      <c r="J293" s="19"/>
      <c r="K293" s="2"/>
    </row>
    <row r="294" spans="3:11" x14ac:dyDescent="0.25">
      <c r="C294" s="94"/>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row>
    <row r="295" spans="3:11" ht="15.75" thickBot="1" x14ac:dyDescent="0.3">
      <c r="C295" s="94"/>
      <c r="D295" s="50"/>
      <c r="E295" s="39"/>
      <c r="F295" s="39"/>
      <c r="G295" s="40"/>
      <c r="H295" s="40"/>
      <c r="I295" s="41"/>
      <c r="J295" s="19"/>
      <c r="K295" s="2"/>
    </row>
    <row r="296" spans="3:11" x14ac:dyDescent="0.25">
      <c r="C296" s="94"/>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row>
    <row r="297" spans="3:11" ht="15.75" thickBot="1" x14ac:dyDescent="0.3">
      <c r="C297" s="94"/>
      <c r="D297" s="50"/>
      <c r="E297" s="39"/>
      <c r="F297" s="39"/>
      <c r="G297" s="40"/>
      <c r="H297" s="40"/>
      <c r="I297" s="41"/>
      <c r="J297" s="19"/>
      <c r="K297" s="2"/>
    </row>
    <row r="298" spans="3:11" x14ac:dyDescent="0.25">
      <c r="C298" s="94"/>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row>
    <row r="299" spans="3:11" ht="15.75" thickBot="1" x14ac:dyDescent="0.3">
      <c r="C299" s="94"/>
      <c r="D299" s="50"/>
      <c r="E299" s="39"/>
      <c r="F299" s="39"/>
      <c r="G299" s="40"/>
      <c r="H299" s="40"/>
      <c r="I299" s="41"/>
      <c r="J299" s="19"/>
      <c r="K299" s="2"/>
    </row>
    <row r="300" spans="3:11" x14ac:dyDescent="0.25">
      <c r="C300" s="94"/>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row>
    <row r="301" spans="3:11" ht="15.75" thickBot="1" x14ac:dyDescent="0.3">
      <c r="C301" s="94"/>
      <c r="D301" s="50"/>
      <c r="E301" s="39"/>
      <c r="F301" s="39"/>
      <c r="G301" s="40"/>
      <c r="H301" s="40"/>
      <c r="I301" s="41"/>
      <c r="J301" s="19"/>
      <c r="K301" s="2"/>
    </row>
    <row r="302" spans="3:11" x14ac:dyDescent="0.25">
      <c r="C302" s="94"/>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row>
    <row r="303" spans="3:11" ht="15.75" thickBot="1" x14ac:dyDescent="0.3">
      <c r="C303" s="94"/>
      <c r="D303" s="50"/>
      <c r="E303" s="39"/>
      <c r="F303" s="39"/>
      <c r="G303" s="40"/>
      <c r="H303" s="40"/>
      <c r="I303" s="41"/>
      <c r="J303" s="19"/>
      <c r="K303" s="2"/>
    </row>
    <row r="304" spans="3:11" x14ac:dyDescent="0.25">
      <c r="C304" s="94"/>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row>
    <row r="305" spans="3:11" ht="15.75" thickBot="1" x14ac:dyDescent="0.3">
      <c r="C305" s="94"/>
      <c r="D305" s="50"/>
      <c r="E305" s="39"/>
      <c r="F305" s="39"/>
      <c r="G305" s="40"/>
      <c r="H305" s="40"/>
      <c r="I305" s="41"/>
      <c r="J305" s="19"/>
      <c r="K305" s="2"/>
    </row>
    <row r="306" spans="3:11" x14ac:dyDescent="0.25">
      <c r="C306" s="94"/>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row>
    <row r="307" spans="3:11" ht="15.75" thickBot="1" x14ac:dyDescent="0.3">
      <c r="C307" s="94"/>
      <c r="D307" s="50"/>
      <c r="E307" s="39"/>
      <c r="F307" s="39"/>
      <c r="G307" s="40"/>
      <c r="H307" s="40"/>
      <c r="I307" s="41"/>
      <c r="J307" s="19"/>
      <c r="K307" s="2"/>
    </row>
    <row r="308" spans="3:11" x14ac:dyDescent="0.25">
      <c r="C308" s="94"/>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row>
    <row r="309" spans="3:11" ht="15.75" thickBot="1" x14ac:dyDescent="0.3">
      <c r="C309" s="94"/>
      <c r="D309" s="50"/>
      <c r="E309" s="39"/>
      <c r="F309" s="39"/>
      <c r="G309" s="40"/>
      <c r="H309" s="40"/>
      <c r="I309" s="41"/>
      <c r="J309" s="19"/>
      <c r="K309" s="2"/>
    </row>
    <row r="310" spans="3:11" x14ac:dyDescent="0.25">
      <c r="C310" s="94"/>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row>
    <row r="311" spans="3:11" ht="15.75" thickBot="1" x14ac:dyDescent="0.3">
      <c r="C311" s="94"/>
      <c r="D311" s="50"/>
      <c r="E311" s="39"/>
      <c r="F311" s="39"/>
      <c r="G311" s="40"/>
      <c r="H311" s="40"/>
      <c r="I311" s="41"/>
      <c r="J311" s="19"/>
      <c r="K311" s="2"/>
    </row>
    <row r="312" spans="3:11" x14ac:dyDescent="0.25">
      <c r="C312" s="94"/>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row>
    <row r="313" spans="3:11" ht="15.75" thickBot="1" x14ac:dyDescent="0.3">
      <c r="C313" s="94"/>
      <c r="D313" s="50"/>
      <c r="E313" s="39"/>
      <c r="F313" s="39"/>
      <c r="G313" s="40"/>
      <c r="H313" s="40"/>
      <c r="I313" s="41"/>
      <c r="J313" s="19"/>
      <c r="K313" s="2"/>
    </row>
    <row r="314" spans="3:11" x14ac:dyDescent="0.25">
      <c r="C314" s="94"/>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row>
    <row r="315" spans="3:11" ht="15.75" thickBot="1" x14ac:dyDescent="0.3">
      <c r="C315" s="94"/>
      <c r="D315" s="50"/>
      <c r="E315" s="39"/>
      <c r="F315" s="39"/>
      <c r="G315" s="40"/>
      <c r="H315" s="40"/>
      <c r="I315" s="41"/>
      <c r="J315" s="19"/>
      <c r="K315" s="2"/>
    </row>
    <row r="316" spans="3:11" x14ac:dyDescent="0.25">
      <c r="C316" s="94"/>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row>
    <row r="317" spans="3:11" ht="15.75" thickBot="1" x14ac:dyDescent="0.3">
      <c r="C317" s="94"/>
      <c r="D317" s="50"/>
      <c r="E317" s="39"/>
      <c r="F317" s="39"/>
      <c r="G317" s="40"/>
      <c r="H317" s="40"/>
      <c r="I317" s="41"/>
      <c r="J317" s="19"/>
      <c r="K317" s="2"/>
    </row>
    <row r="318" spans="3:11" x14ac:dyDescent="0.25">
      <c r="C318" s="94"/>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row>
    <row r="319" spans="3:11" ht="15.75" thickBot="1" x14ac:dyDescent="0.3">
      <c r="C319" s="94"/>
      <c r="D319" s="50"/>
      <c r="E319" s="39"/>
      <c r="F319" s="39"/>
      <c r="G319" s="40"/>
      <c r="H319" s="40"/>
      <c r="I319" s="41"/>
      <c r="J319" s="19"/>
      <c r="K319" s="2"/>
    </row>
    <row r="320" spans="3:11" x14ac:dyDescent="0.25">
      <c r="C320" s="94"/>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row>
    <row r="321" spans="3:11" ht="15.75" thickBot="1" x14ac:dyDescent="0.3">
      <c r="C321" s="94"/>
      <c r="D321" s="50"/>
      <c r="E321" s="39"/>
      <c r="F321" s="39"/>
      <c r="G321" s="40"/>
      <c r="H321" s="40"/>
      <c r="I321" s="41"/>
      <c r="J321" s="19"/>
      <c r="K321" s="2"/>
    </row>
    <row r="322" spans="3:11" x14ac:dyDescent="0.25">
      <c r="C322" s="94"/>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row>
    <row r="323" spans="3:11" ht="15.75" thickBot="1" x14ac:dyDescent="0.3">
      <c r="C323" s="94"/>
      <c r="D323" s="50"/>
      <c r="E323" s="39"/>
      <c r="F323" s="39"/>
      <c r="G323" s="40"/>
      <c r="H323" s="40"/>
      <c r="I323" s="41"/>
      <c r="J323" s="19"/>
      <c r="K323" s="2"/>
    </row>
    <row r="324" spans="3:11" x14ac:dyDescent="0.25">
      <c r="C324" s="94"/>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row>
    <row r="325" spans="3:11" ht="15.75" thickBot="1" x14ac:dyDescent="0.3">
      <c r="C325" s="94"/>
      <c r="D325" s="50"/>
      <c r="E325" s="39"/>
      <c r="F325" s="39"/>
      <c r="G325" s="40"/>
      <c r="H325" s="40"/>
      <c r="I325" s="41"/>
      <c r="J325" s="19"/>
      <c r="K325" s="2"/>
    </row>
    <row r="326" spans="3:11" x14ac:dyDescent="0.25">
      <c r="C326" s="94"/>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row>
    <row r="327" spans="3:11" ht="15.75" thickBot="1" x14ac:dyDescent="0.3">
      <c r="C327" s="94"/>
      <c r="D327" s="50"/>
      <c r="E327" s="39"/>
      <c r="F327" s="39"/>
      <c r="G327" s="40"/>
      <c r="H327" s="40"/>
      <c r="I327" s="41"/>
      <c r="J327" s="19"/>
      <c r="K327" s="2"/>
    </row>
    <row r="328" spans="3:11" x14ac:dyDescent="0.25">
      <c r="C328" s="94"/>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row>
    <row r="329" spans="3:11" ht="15.75" thickBot="1" x14ac:dyDescent="0.3">
      <c r="C329" s="94"/>
      <c r="D329" s="50"/>
      <c r="E329" s="39"/>
      <c r="F329" s="39"/>
      <c r="G329" s="40"/>
      <c r="H329" s="40"/>
      <c r="I329" s="41"/>
      <c r="J329" s="19"/>
      <c r="K329" s="2"/>
    </row>
    <row r="330" spans="3:11" x14ac:dyDescent="0.25">
      <c r="C330" s="94"/>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row>
    <row r="331" spans="3:11" ht="15.75" thickBot="1" x14ac:dyDescent="0.3">
      <c r="C331" s="94"/>
      <c r="D331" s="50"/>
      <c r="E331" s="39"/>
      <c r="F331" s="39"/>
      <c r="G331" s="40"/>
      <c r="H331" s="40"/>
      <c r="I331" s="41"/>
      <c r="J331" s="19"/>
      <c r="K331" s="2"/>
    </row>
    <row r="332" spans="3:11" x14ac:dyDescent="0.25">
      <c r="C332" s="94"/>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row>
    <row r="333" spans="3:11" ht="15.75" thickBot="1" x14ac:dyDescent="0.3">
      <c r="C333" s="94"/>
      <c r="D333" s="50"/>
      <c r="E333" s="39"/>
      <c r="F333" s="39"/>
      <c r="G333" s="40"/>
      <c r="H333" s="40"/>
      <c r="I333" s="41"/>
      <c r="J333" s="19"/>
      <c r="K333" s="2"/>
    </row>
    <row r="334" spans="3:11" x14ac:dyDescent="0.25">
      <c r="C334" s="94"/>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row>
    <row r="335" spans="3:11" ht="15.75" thickBot="1" x14ac:dyDescent="0.3">
      <c r="C335" s="94"/>
      <c r="D335" s="50"/>
      <c r="E335" s="39"/>
      <c r="F335" s="39"/>
      <c r="G335" s="40"/>
      <c r="H335" s="40"/>
      <c r="I335" s="41"/>
      <c r="J335" s="19"/>
      <c r="K335" s="2"/>
    </row>
    <row r="336" spans="3:11" x14ac:dyDescent="0.25">
      <c r="C336" s="94"/>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row>
    <row r="337" spans="3:11" ht="15.75" thickBot="1" x14ac:dyDescent="0.3">
      <c r="C337" s="94"/>
      <c r="D337" s="50"/>
      <c r="E337" s="39"/>
      <c r="F337" s="39"/>
      <c r="G337" s="40"/>
      <c r="H337" s="40"/>
      <c r="I337" s="41"/>
      <c r="J337" s="19"/>
      <c r="K337" s="2"/>
    </row>
    <row r="338" spans="3:11" x14ac:dyDescent="0.25">
      <c r="C338" s="94"/>
      <c r="D338" s="51"/>
      <c r="E338" s="42"/>
      <c r="F338" s="42"/>
      <c r="G338" s="43"/>
      <c r="H338" s="43"/>
      <c r="I338" s="44"/>
      <c r="J338" s="18"/>
      <c r="K338" s="2"/>
    </row>
  </sheetData>
  <mergeCells count="7">
    <mergeCell ref="U5:V5"/>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disablePrompts="1"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16" activePane="bottomLeft" state="frozen"/>
      <selection activeCell="C1" sqref="C1"/>
      <selection pane="bottomLeft" activeCell="V3" sqref="V3:AF20"/>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34.85546875" bestFit="1" customWidth="1"/>
    <col min="9" max="9" width="25.140625" customWidth="1"/>
    <col min="10" max="11" width="13.7109375" style="60" customWidth="1"/>
    <col min="12" max="12" width="15.5703125" bestFit="1" customWidth="1"/>
    <col min="13" max="13" width="46.140625" bestFit="1" customWidth="1"/>
    <col min="14" max="14" width="9.140625" style="15"/>
    <col min="15" max="15" width="5.7109375" customWidth="1"/>
    <col min="16" max="16" width="5.7109375" hidden="1" customWidth="1"/>
    <col min="17" max="17" width="8" bestFit="1" customWidth="1"/>
    <col min="18" max="18" width="34.85546875" bestFit="1" customWidth="1"/>
    <col min="19" max="20" width="15.7109375"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customHeight="1" x14ac:dyDescent="0.25">
      <c r="C1" s="55"/>
      <c r="D1" s="134" t="s">
        <v>304</v>
      </c>
      <c r="E1" s="134"/>
      <c r="F1" s="134"/>
      <c r="G1" s="134"/>
      <c r="H1" s="134"/>
      <c r="I1" s="134"/>
      <c r="J1" s="134"/>
      <c r="K1" s="134"/>
      <c r="L1" s="134"/>
      <c r="M1" s="134"/>
      <c r="N1" s="134"/>
      <c r="O1" s="55"/>
      <c r="P1" s="55"/>
      <c r="Q1" s="133" t="s">
        <v>25</v>
      </c>
      <c r="R1" s="133"/>
      <c r="S1" s="133"/>
      <c r="T1" s="133"/>
      <c r="V1" s="133" t="s">
        <v>43</v>
      </c>
      <c r="W1" s="133"/>
      <c r="X1" s="133"/>
      <c r="Y1" s="133"/>
      <c r="Z1" s="133"/>
      <c r="AA1" s="133"/>
      <c r="AB1" s="133"/>
      <c r="AC1" s="133"/>
      <c r="AD1" s="133"/>
      <c r="AE1" s="133"/>
      <c r="AF1" s="133"/>
    </row>
    <row r="2" spans="3:54" x14ac:dyDescent="0.25">
      <c r="C2" s="56"/>
      <c r="D2" s="134"/>
      <c r="E2" s="134"/>
      <c r="F2" s="134"/>
      <c r="G2" s="134"/>
      <c r="H2" s="134"/>
      <c r="I2" s="134"/>
      <c r="J2" s="134"/>
      <c r="K2" s="134"/>
      <c r="L2" s="134"/>
      <c r="M2" s="134"/>
      <c r="N2" s="134"/>
      <c r="O2" s="56"/>
      <c r="P2" s="56"/>
      <c r="Q2" s="114" t="s">
        <v>0</v>
      </c>
      <c r="R2" s="114" t="s">
        <v>0</v>
      </c>
      <c r="S2" s="114" t="s">
        <v>11</v>
      </c>
      <c r="T2" s="114" t="s">
        <v>12</v>
      </c>
      <c r="V2" s="72" t="s">
        <v>6</v>
      </c>
      <c r="W2" s="73" t="s">
        <v>0</v>
      </c>
      <c r="X2" s="74" t="s">
        <v>11</v>
      </c>
      <c r="Y2" s="74" t="s">
        <v>13</v>
      </c>
      <c r="Z2" s="74" t="s">
        <v>4</v>
      </c>
      <c r="AA2" s="74" t="s">
        <v>5</v>
      </c>
      <c r="AB2" s="74" t="s">
        <v>2</v>
      </c>
      <c r="AC2" s="74" t="s">
        <v>12</v>
      </c>
      <c r="AD2" s="74" t="s">
        <v>3</v>
      </c>
      <c r="AE2" s="74" t="s">
        <v>4</v>
      </c>
      <c r="AF2" s="74" t="s">
        <v>5</v>
      </c>
      <c r="AS2" s="45"/>
      <c r="BB2" s="15"/>
    </row>
    <row r="3" spans="3:54" ht="15.75" thickBot="1" x14ac:dyDescent="0.3">
      <c r="C3" s="72"/>
      <c r="D3" s="74"/>
      <c r="E3" s="73"/>
      <c r="F3" s="72"/>
      <c r="G3" s="72"/>
      <c r="H3" s="72"/>
      <c r="I3" s="72"/>
      <c r="J3" s="75"/>
      <c r="K3" s="75"/>
      <c r="L3" s="72"/>
      <c r="M3" s="72"/>
      <c r="N3" s="74"/>
      <c r="O3" s="72"/>
      <c r="P3" s="72"/>
      <c r="Q3" s="115" t="str">
        <f>IF(Écritures!G4="","","&gt;="&amp;Écritures!G4)</f>
        <v>&gt;=44927</v>
      </c>
      <c r="R3" s="115" t="str">
        <f>IF(Écritures!H4="","","&lt;="&amp;Écritures!H4)</f>
        <v>&lt;=45291</v>
      </c>
      <c r="S3" s="115" t="str">
        <f>IF(OR(Écritures!$E$4="",Écritures!$E$4="[All Accounts]"),"",Écritures!$E$4)</f>
        <v>Encaisse</v>
      </c>
      <c r="T3" s="115"/>
      <c r="V3" s="76">
        <v>1</v>
      </c>
      <c r="W3" s="77">
        <v>44927</v>
      </c>
      <c r="X3" s="78" t="s">
        <v>46</v>
      </c>
      <c r="Y3" s="78" t="s">
        <v>169</v>
      </c>
      <c r="Z3" s="79">
        <v>100000</v>
      </c>
      <c r="AA3" s="79"/>
      <c r="AB3" s="78" t="s">
        <v>170</v>
      </c>
      <c r="AC3" s="78" t="s">
        <v>112</v>
      </c>
      <c r="AD3" s="78" t="s">
        <v>172</v>
      </c>
      <c r="AE3" s="79">
        <v>100000</v>
      </c>
      <c r="AF3" s="79"/>
      <c r="AS3" s="45"/>
      <c r="BB3" s="15"/>
    </row>
    <row r="4" spans="3:54" x14ac:dyDescent="0.25">
      <c r="C4" s="72"/>
      <c r="D4" s="87" t="s">
        <v>6</v>
      </c>
      <c r="E4" s="88" t="s">
        <v>0</v>
      </c>
      <c r="F4" s="89" t="s">
        <v>2</v>
      </c>
      <c r="G4" s="89" t="s">
        <v>13</v>
      </c>
      <c r="H4" s="89" t="s">
        <v>11</v>
      </c>
      <c r="I4" s="89" t="s">
        <v>12</v>
      </c>
      <c r="J4" s="90" t="s">
        <v>4</v>
      </c>
      <c r="K4" s="90" t="s">
        <v>5</v>
      </c>
      <c r="L4" s="89" t="s">
        <v>41</v>
      </c>
      <c r="M4" s="89" t="s">
        <v>3</v>
      </c>
      <c r="N4" s="91" t="s">
        <v>24</v>
      </c>
      <c r="O4" s="72"/>
      <c r="P4" s="72"/>
      <c r="Q4" s="115" t="str">
        <f>IF(Écritures!G4="","","&gt;="&amp;Écritures!G4)</f>
        <v>&gt;=44927</v>
      </c>
      <c r="R4" s="115" t="str">
        <f>IF(Écritures!H4="","","&lt;="&amp;Écritures!H4)</f>
        <v>&lt;=45291</v>
      </c>
      <c r="S4" s="115"/>
      <c r="T4" s="115" t="str">
        <f>IF(OR(Écritures!$E$4="",Écritures!$E$4="[All Accounts]"),"",Écritures!$E$4)</f>
        <v>Encaisse</v>
      </c>
      <c r="V4" s="76">
        <v>1</v>
      </c>
      <c r="W4" s="77">
        <v>44927</v>
      </c>
      <c r="X4" s="78" t="s">
        <v>46</v>
      </c>
      <c r="Y4" s="78" t="s">
        <v>169</v>
      </c>
      <c r="Z4" s="79"/>
      <c r="AA4" s="79">
        <v>100000</v>
      </c>
      <c r="AB4" s="78" t="s">
        <v>170</v>
      </c>
      <c r="AC4" s="78" t="s">
        <v>112</v>
      </c>
      <c r="AD4" s="78" t="s">
        <v>172</v>
      </c>
      <c r="AE4" s="79"/>
      <c r="AF4" s="79">
        <v>100000</v>
      </c>
      <c r="AS4" s="45"/>
      <c r="BB4" s="15"/>
    </row>
    <row r="5" spans="3:54" x14ac:dyDescent="0.25">
      <c r="C5" s="72"/>
      <c r="D5" s="76">
        <v>1</v>
      </c>
      <c r="E5" s="77">
        <v>44927</v>
      </c>
      <c r="F5" s="78" t="s">
        <v>170</v>
      </c>
      <c r="G5" s="78" t="s">
        <v>169</v>
      </c>
      <c r="H5" s="78" t="s">
        <v>46</v>
      </c>
      <c r="I5" s="78" t="s">
        <v>112</v>
      </c>
      <c r="J5" s="79">
        <v>100000</v>
      </c>
      <c r="K5" s="79"/>
      <c r="L5" s="78"/>
      <c r="M5" s="78" t="s">
        <v>172</v>
      </c>
      <c r="N5" s="80"/>
      <c r="O5" s="72"/>
      <c r="P5" s="72"/>
      <c r="Q5" cm="1">
        <f t="array" aca="1" ref="Q5:Q42" ca="1">OFFSET(Transactions!$J$4,1,,COUNTA(Transactions!$E$4:$E$999999)-1,1)</f>
        <v>100000</v>
      </c>
      <c r="R5" t="str" cm="1">
        <f t="array" aca="1" ref="R5:R42" ca="1">OFFSET(Transactions!$H$4,1,,COUNTA(Transactions!$E$4:$E$999999)-1,1)</f>
        <v>Encaisse</v>
      </c>
      <c r="S5" s="45" cm="1">
        <f t="array" aca="1" ref="S5:S42" ca="1">OFFSET(Transactions!$E$4,1,,COUNTA(Transactions!$E$4:$E$999999)-1,1)</f>
        <v>44927</v>
      </c>
      <c r="V5" s="76">
        <v>14</v>
      </c>
      <c r="W5" s="77">
        <v>44941</v>
      </c>
      <c r="X5" s="78" t="s">
        <v>66</v>
      </c>
      <c r="Y5" s="78" t="s">
        <v>205</v>
      </c>
      <c r="Z5" s="79">
        <v>2850</v>
      </c>
      <c r="AA5" s="79"/>
      <c r="AB5" s="78" t="s">
        <v>178</v>
      </c>
      <c r="AC5" s="78" t="s">
        <v>46</v>
      </c>
      <c r="AD5" s="78" t="s">
        <v>207</v>
      </c>
      <c r="AE5" s="79">
        <v>2850</v>
      </c>
      <c r="AF5" s="79"/>
      <c r="AS5" s="45"/>
      <c r="BB5" s="15"/>
    </row>
    <row r="6" spans="3:54" x14ac:dyDescent="0.25">
      <c r="C6" s="72"/>
      <c r="D6" s="76">
        <v>1</v>
      </c>
      <c r="E6" s="77">
        <v>44927</v>
      </c>
      <c r="F6" s="78" t="s">
        <v>170</v>
      </c>
      <c r="G6" s="78" t="s">
        <v>169</v>
      </c>
      <c r="H6" s="78" t="s">
        <v>46</v>
      </c>
      <c r="I6" s="78" t="s">
        <v>112</v>
      </c>
      <c r="J6" s="79"/>
      <c r="K6" s="79">
        <v>100000</v>
      </c>
      <c r="L6" s="78"/>
      <c r="M6" s="78" t="s">
        <v>172</v>
      </c>
      <c r="N6" s="80"/>
      <c r="O6" s="72"/>
      <c r="P6" s="72"/>
      <c r="Q6">
        <f ca="1"/>
        <v>0</v>
      </c>
      <c r="R6" t="str">
        <f ca="1"/>
        <v>Encaisse</v>
      </c>
      <c r="S6" s="45">
        <f ca="1"/>
        <v>44927</v>
      </c>
      <c r="V6" s="76">
        <v>14</v>
      </c>
      <c r="W6" s="77">
        <v>44941</v>
      </c>
      <c r="X6" s="78" t="s">
        <v>66</v>
      </c>
      <c r="Y6" s="78" t="s">
        <v>205</v>
      </c>
      <c r="Z6" s="79"/>
      <c r="AA6" s="79">
        <v>2850</v>
      </c>
      <c r="AB6" s="78" t="s">
        <v>178</v>
      </c>
      <c r="AC6" s="78" t="s">
        <v>46</v>
      </c>
      <c r="AD6" s="78" t="s">
        <v>207</v>
      </c>
      <c r="AE6" s="79"/>
      <c r="AF6" s="79">
        <v>2850</v>
      </c>
      <c r="AS6" s="45"/>
      <c r="BB6" s="15"/>
    </row>
    <row r="7" spans="3:54" x14ac:dyDescent="0.25">
      <c r="C7" s="72"/>
      <c r="D7" s="76">
        <v>2</v>
      </c>
      <c r="E7" s="77">
        <v>44930</v>
      </c>
      <c r="F7" s="78" t="s">
        <v>87</v>
      </c>
      <c r="G7" s="78" t="s">
        <v>40</v>
      </c>
      <c r="H7" s="78" t="s">
        <v>140</v>
      </c>
      <c r="I7" s="78" t="s">
        <v>87</v>
      </c>
      <c r="J7" s="79">
        <v>195</v>
      </c>
      <c r="K7" s="81"/>
      <c r="L7" s="78"/>
      <c r="M7" s="78" t="s">
        <v>173</v>
      </c>
      <c r="N7" s="80"/>
      <c r="O7" s="72"/>
      <c r="P7" s="72"/>
      <c r="Q7">
        <f ca="1"/>
        <v>195</v>
      </c>
      <c r="R7" t="str">
        <f ca="1"/>
        <v>Frais de représentation</v>
      </c>
      <c r="S7" s="45">
        <f ca="1"/>
        <v>44930</v>
      </c>
      <c r="V7" s="76">
        <v>5</v>
      </c>
      <c r="W7" s="77">
        <v>44958</v>
      </c>
      <c r="X7" s="78" t="s">
        <v>182</v>
      </c>
      <c r="Y7" s="78" t="s">
        <v>189</v>
      </c>
      <c r="Z7" s="79">
        <v>2000</v>
      </c>
      <c r="AA7" s="81"/>
      <c r="AB7" s="78" t="s">
        <v>177</v>
      </c>
      <c r="AC7" s="78" t="s">
        <v>46</v>
      </c>
      <c r="AD7" s="78" t="s">
        <v>190</v>
      </c>
      <c r="AE7" s="79">
        <v>2000</v>
      </c>
      <c r="AF7" s="81"/>
      <c r="AS7" s="45"/>
      <c r="BB7" s="15"/>
    </row>
    <row r="8" spans="3:54" x14ac:dyDescent="0.25">
      <c r="C8" s="72"/>
      <c r="D8" s="76">
        <v>2</v>
      </c>
      <c r="E8" s="77">
        <v>44930</v>
      </c>
      <c r="F8" s="78" t="s">
        <v>87</v>
      </c>
      <c r="G8" s="78" t="s">
        <v>40</v>
      </c>
      <c r="H8" s="78" t="s">
        <v>140</v>
      </c>
      <c r="I8" s="78" t="s">
        <v>87</v>
      </c>
      <c r="J8" s="81"/>
      <c r="K8" s="79">
        <v>195</v>
      </c>
      <c r="L8" s="78"/>
      <c r="M8" s="78" t="s">
        <v>173</v>
      </c>
      <c r="N8" s="80"/>
      <c r="O8" s="72"/>
      <c r="P8" s="72"/>
      <c r="Q8">
        <f ca="1"/>
        <v>0</v>
      </c>
      <c r="R8" t="str">
        <f ca="1"/>
        <v>Frais de représentation</v>
      </c>
      <c r="S8" s="45">
        <f ca="1"/>
        <v>44930</v>
      </c>
      <c r="V8" s="76">
        <v>5</v>
      </c>
      <c r="W8" s="77">
        <v>44958</v>
      </c>
      <c r="X8" s="78" t="s">
        <v>182</v>
      </c>
      <c r="Y8" s="78" t="s">
        <v>189</v>
      </c>
      <c r="Z8" s="81"/>
      <c r="AA8" s="79">
        <v>2000</v>
      </c>
      <c r="AB8" s="78" t="s">
        <v>177</v>
      </c>
      <c r="AC8" s="78" t="s">
        <v>46</v>
      </c>
      <c r="AD8" s="78" t="s">
        <v>190</v>
      </c>
      <c r="AE8" s="81"/>
      <c r="AF8" s="79">
        <v>2000</v>
      </c>
      <c r="AS8" s="45"/>
      <c r="BB8" s="15"/>
    </row>
    <row r="9" spans="3:54" x14ac:dyDescent="0.25">
      <c r="C9" s="72"/>
      <c r="D9" s="76">
        <v>3</v>
      </c>
      <c r="E9" s="77">
        <v>44933</v>
      </c>
      <c r="F9" s="78" t="s">
        <v>87</v>
      </c>
      <c r="G9" s="78" t="s">
        <v>183</v>
      </c>
      <c r="H9" s="78" t="s">
        <v>68</v>
      </c>
      <c r="I9" s="78" t="s">
        <v>182</v>
      </c>
      <c r="J9" s="79">
        <v>2405</v>
      </c>
      <c r="K9" s="79"/>
      <c r="L9" s="78"/>
      <c r="M9" s="78" t="s">
        <v>184</v>
      </c>
      <c r="N9" s="80"/>
      <c r="O9" s="72"/>
      <c r="P9" s="72"/>
      <c r="Q9">
        <f ca="1"/>
        <v>2405</v>
      </c>
      <c r="R9" t="str">
        <f ca="1"/>
        <v>Mobilier de bureau</v>
      </c>
      <c r="S9" s="45">
        <f ca="1"/>
        <v>44933</v>
      </c>
      <c r="V9" s="76">
        <v>7</v>
      </c>
      <c r="W9" s="77">
        <v>44985</v>
      </c>
      <c r="X9" s="78" t="s">
        <v>118</v>
      </c>
      <c r="Y9" s="78" t="s">
        <v>169</v>
      </c>
      <c r="Z9" s="79">
        <v>5000</v>
      </c>
      <c r="AA9" s="81"/>
      <c r="AB9" s="78" t="s">
        <v>174</v>
      </c>
      <c r="AC9" s="78" t="s">
        <v>46</v>
      </c>
      <c r="AD9" s="78" t="s">
        <v>200</v>
      </c>
      <c r="AE9" s="79">
        <v>5000</v>
      </c>
      <c r="AF9" s="81"/>
      <c r="AS9" s="45"/>
      <c r="BB9" s="15"/>
    </row>
    <row r="10" spans="3:54" x14ac:dyDescent="0.25">
      <c r="C10" s="72"/>
      <c r="D10" s="76">
        <v>3</v>
      </c>
      <c r="E10" s="77">
        <v>44933</v>
      </c>
      <c r="F10" s="78" t="s">
        <v>87</v>
      </c>
      <c r="G10" s="78" t="s">
        <v>183</v>
      </c>
      <c r="H10" s="78" t="s">
        <v>68</v>
      </c>
      <c r="I10" s="78" t="s">
        <v>182</v>
      </c>
      <c r="J10" s="79"/>
      <c r="K10" s="79">
        <v>2405</v>
      </c>
      <c r="L10" s="78"/>
      <c r="M10" s="78" t="s">
        <v>184</v>
      </c>
      <c r="N10" s="80"/>
      <c r="O10" s="72"/>
      <c r="P10" s="72"/>
      <c r="Q10">
        <f ca="1"/>
        <v>0</v>
      </c>
      <c r="R10" t="str">
        <f ca="1"/>
        <v>Mobilier de bureau</v>
      </c>
      <c r="S10" s="45">
        <f ca="1"/>
        <v>44933</v>
      </c>
      <c r="V10" s="76">
        <v>7</v>
      </c>
      <c r="W10" s="77">
        <v>44985</v>
      </c>
      <c r="X10" s="78" t="s">
        <v>118</v>
      </c>
      <c r="Y10" s="78" t="s">
        <v>169</v>
      </c>
      <c r="Z10" s="81"/>
      <c r="AA10" s="79">
        <v>5000</v>
      </c>
      <c r="AB10" s="78" t="s">
        <v>174</v>
      </c>
      <c r="AC10" s="78" t="s">
        <v>46</v>
      </c>
      <c r="AD10" s="78" t="s">
        <v>200</v>
      </c>
      <c r="AE10" s="81"/>
      <c r="AF10" s="79">
        <v>5000</v>
      </c>
      <c r="AS10" s="45"/>
      <c r="BB10" s="15"/>
    </row>
    <row r="11" spans="3:54" x14ac:dyDescent="0.25">
      <c r="C11" s="72"/>
      <c r="D11" s="76">
        <v>14</v>
      </c>
      <c r="E11" s="77">
        <v>44941</v>
      </c>
      <c r="F11" s="78" t="s">
        <v>178</v>
      </c>
      <c r="G11" s="78" t="s">
        <v>205</v>
      </c>
      <c r="H11" s="78" t="s">
        <v>66</v>
      </c>
      <c r="I11" s="78" t="s">
        <v>46</v>
      </c>
      <c r="J11" s="79">
        <v>2850</v>
      </c>
      <c r="K11" s="79"/>
      <c r="L11" s="78"/>
      <c r="M11" s="78" t="s">
        <v>207</v>
      </c>
      <c r="N11" s="80"/>
      <c r="O11" s="72"/>
      <c r="P11" s="72"/>
      <c r="Q11">
        <f ca="1"/>
        <v>2850</v>
      </c>
      <c r="R11" t="str">
        <f ca="1"/>
        <v>Frais payés d'avance</v>
      </c>
      <c r="S11" s="45">
        <f ca="1"/>
        <v>44941</v>
      </c>
      <c r="V11" s="76">
        <v>12</v>
      </c>
      <c r="W11" s="77">
        <v>45016</v>
      </c>
      <c r="X11" s="78" t="s">
        <v>118</v>
      </c>
      <c r="Y11" s="78" t="s">
        <v>169</v>
      </c>
      <c r="Z11" s="79">
        <v>5000</v>
      </c>
      <c r="AA11" s="81"/>
      <c r="AB11" s="78" t="s">
        <v>174</v>
      </c>
      <c r="AC11" s="78" t="s">
        <v>46</v>
      </c>
      <c r="AD11" s="78" t="s">
        <v>212</v>
      </c>
      <c r="AE11" s="79">
        <v>5000</v>
      </c>
      <c r="AF11" s="81"/>
      <c r="AS11" s="45"/>
      <c r="BB11" s="15"/>
    </row>
    <row r="12" spans="3:54" x14ac:dyDescent="0.25">
      <c r="C12" s="72"/>
      <c r="D12" s="76">
        <v>14</v>
      </c>
      <c r="E12" s="77">
        <v>44941</v>
      </c>
      <c r="F12" s="78" t="s">
        <v>178</v>
      </c>
      <c r="G12" s="78" t="s">
        <v>205</v>
      </c>
      <c r="H12" s="78" t="s">
        <v>66</v>
      </c>
      <c r="I12" s="78" t="s">
        <v>46</v>
      </c>
      <c r="J12" s="79"/>
      <c r="K12" s="79">
        <v>2850</v>
      </c>
      <c r="L12" s="78"/>
      <c r="M12" s="78" t="s">
        <v>207</v>
      </c>
      <c r="N12" s="80"/>
      <c r="O12" s="72"/>
      <c r="P12" s="72"/>
      <c r="Q12">
        <f ca="1"/>
        <v>0</v>
      </c>
      <c r="R12" t="str">
        <f ca="1"/>
        <v>Frais payés d'avance</v>
      </c>
      <c r="S12" s="45">
        <f ca="1"/>
        <v>44941</v>
      </c>
      <c r="V12" s="76">
        <v>12</v>
      </c>
      <c r="W12" s="77">
        <v>45016</v>
      </c>
      <c r="X12" s="78" t="s">
        <v>118</v>
      </c>
      <c r="Y12" s="78" t="s">
        <v>169</v>
      </c>
      <c r="Z12" s="81"/>
      <c r="AA12" s="79">
        <v>5000</v>
      </c>
      <c r="AB12" s="78" t="s">
        <v>174</v>
      </c>
      <c r="AC12" s="78" t="s">
        <v>46</v>
      </c>
      <c r="AD12" s="78" t="s">
        <v>212</v>
      </c>
      <c r="AE12" s="81"/>
      <c r="AF12" s="79">
        <v>5000</v>
      </c>
      <c r="AS12" s="45"/>
      <c r="BB12" s="15"/>
    </row>
    <row r="13" spans="3:54" x14ac:dyDescent="0.25">
      <c r="C13" s="72"/>
      <c r="D13" s="76">
        <v>4</v>
      </c>
      <c r="E13" s="77">
        <v>44944</v>
      </c>
      <c r="F13" s="78" t="s">
        <v>179</v>
      </c>
      <c r="G13" s="78" t="s">
        <v>186</v>
      </c>
      <c r="H13" s="78" t="s">
        <v>48</v>
      </c>
      <c r="I13" s="78" t="s">
        <v>121</v>
      </c>
      <c r="J13" s="79">
        <v>3445</v>
      </c>
      <c r="K13" s="81"/>
      <c r="L13" s="78"/>
      <c r="M13" s="78" t="s">
        <v>188</v>
      </c>
      <c r="N13" s="80"/>
      <c r="O13" s="72"/>
      <c r="P13" s="72"/>
      <c r="Q13">
        <f ca="1"/>
        <v>3445</v>
      </c>
      <c r="R13" t="str">
        <f ca="1"/>
        <v>Comptes Clients</v>
      </c>
      <c r="S13" s="45">
        <f ca="1"/>
        <v>44944</v>
      </c>
      <c r="V13" s="76">
        <v>16</v>
      </c>
      <c r="W13" s="77">
        <v>45046</v>
      </c>
      <c r="X13" s="78" t="s">
        <v>118</v>
      </c>
      <c r="Y13" s="78" t="s">
        <v>169</v>
      </c>
      <c r="Z13" s="81">
        <v>5000</v>
      </c>
      <c r="AA13" s="81"/>
      <c r="AB13" s="78" t="s">
        <v>174</v>
      </c>
      <c r="AC13" s="78" t="s">
        <v>46</v>
      </c>
      <c r="AD13" s="78" t="s">
        <v>213</v>
      </c>
      <c r="AE13" s="81">
        <v>5000</v>
      </c>
      <c r="AF13" s="81"/>
      <c r="AS13" s="45"/>
      <c r="BB13" s="15"/>
    </row>
    <row r="14" spans="3:54" x14ac:dyDescent="0.25">
      <c r="C14" s="72"/>
      <c r="D14" s="76">
        <v>4</v>
      </c>
      <c r="E14" s="77">
        <v>44944</v>
      </c>
      <c r="F14" s="78" t="s">
        <v>179</v>
      </c>
      <c r="G14" s="78" t="s">
        <v>186</v>
      </c>
      <c r="H14" s="78" t="s">
        <v>48</v>
      </c>
      <c r="I14" s="78" t="s">
        <v>121</v>
      </c>
      <c r="J14" s="81"/>
      <c r="K14" s="79">
        <v>3445</v>
      </c>
      <c r="L14" s="78"/>
      <c r="M14" s="78" t="s">
        <v>188</v>
      </c>
      <c r="N14" s="80"/>
      <c r="O14" s="72"/>
      <c r="P14" s="72"/>
      <c r="Q14">
        <f ca="1"/>
        <v>0</v>
      </c>
      <c r="R14" t="str">
        <f ca="1"/>
        <v>Comptes Clients</v>
      </c>
      <c r="S14" s="45">
        <f ca="1"/>
        <v>44944</v>
      </c>
      <c r="V14" s="76">
        <v>16</v>
      </c>
      <c r="W14" s="77">
        <v>45046</v>
      </c>
      <c r="X14" s="78" t="s">
        <v>118</v>
      </c>
      <c r="Y14" s="78" t="s">
        <v>169</v>
      </c>
      <c r="Z14" s="81"/>
      <c r="AA14" s="81">
        <v>5000</v>
      </c>
      <c r="AB14" s="78" t="s">
        <v>174</v>
      </c>
      <c r="AC14" s="78" t="s">
        <v>46</v>
      </c>
      <c r="AD14" s="78" t="s">
        <v>213</v>
      </c>
      <c r="AE14" s="81"/>
      <c r="AF14" s="81">
        <v>5000</v>
      </c>
      <c r="AS14" s="45"/>
      <c r="BB14" s="15"/>
    </row>
    <row r="15" spans="3:54" x14ac:dyDescent="0.25">
      <c r="C15" s="72"/>
      <c r="D15" s="76">
        <v>5</v>
      </c>
      <c r="E15" s="77">
        <v>44958</v>
      </c>
      <c r="F15" s="78" t="s">
        <v>177</v>
      </c>
      <c r="G15" s="78" t="s">
        <v>189</v>
      </c>
      <c r="H15" s="78" t="s">
        <v>182</v>
      </c>
      <c r="I15" s="78" t="s">
        <v>46</v>
      </c>
      <c r="J15" s="79">
        <v>2000</v>
      </c>
      <c r="K15" s="81"/>
      <c r="L15" s="78"/>
      <c r="M15" s="78" t="s">
        <v>190</v>
      </c>
      <c r="N15" s="80"/>
      <c r="O15" s="72"/>
      <c r="P15" s="72"/>
      <c r="Q15">
        <f ca="1"/>
        <v>2000</v>
      </c>
      <c r="R15" t="str">
        <f ca="1"/>
        <v>VISA Odyssey Desjardins</v>
      </c>
      <c r="S15" s="45">
        <f ca="1"/>
        <v>44958</v>
      </c>
      <c r="V15" s="76">
        <v>11</v>
      </c>
      <c r="W15" s="77">
        <v>45057</v>
      </c>
      <c r="X15" s="78" t="s">
        <v>46</v>
      </c>
      <c r="Y15" s="78" t="s">
        <v>186</v>
      </c>
      <c r="Z15" s="79">
        <v>3445</v>
      </c>
      <c r="AA15" s="81"/>
      <c r="AB15" s="78" t="s">
        <v>178</v>
      </c>
      <c r="AC15" s="78" t="s">
        <v>48</v>
      </c>
      <c r="AD15" s="78" t="s">
        <v>188</v>
      </c>
      <c r="AE15" s="79">
        <v>3445</v>
      </c>
      <c r="AF15" s="81"/>
      <c r="AS15" s="45"/>
      <c r="BB15" s="15"/>
    </row>
    <row r="16" spans="3:54" x14ac:dyDescent="0.25">
      <c r="C16" s="72"/>
      <c r="D16" s="76">
        <v>5</v>
      </c>
      <c r="E16" s="77">
        <v>44958</v>
      </c>
      <c r="F16" s="78" t="s">
        <v>177</v>
      </c>
      <c r="G16" s="78" t="s">
        <v>189</v>
      </c>
      <c r="H16" s="78" t="s">
        <v>182</v>
      </c>
      <c r="I16" s="78" t="s">
        <v>46</v>
      </c>
      <c r="J16" s="81"/>
      <c r="K16" s="79">
        <v>2000</v>
      </c>
      <c r="L16" s="78"/>
      <c r="M16" s="78" t="s">
        <v>190</v>
      </c>
      <c r="N16" s="80"/>
      <c r="O16" s="72"/>
      <c r="P16" s="72"/>
      <c r="Q16">
        <f ca="1"/>
        <v>0</v>
      </c>
      <c r="R16" t="str">
        <f ca="1"/>
        <v>VISA Odyssey Desjardins</v>
      </c>
      <c r="S16" s="45">
        <f ca="1"/>
        <v>44958</v>
      </c>
      <c r="V16" s="76">
        <v>11</v>
      </c>
      <c r="W16" s="77">
        <v>45057</v>
      </c>
      <c r="X16" s="78" t="s">
        <v>46</v>
      </c>
      <c r="Y16" s="78" t="s">
        <v>186</v>
      </c>
      <c r="Z16" s="81"/>
      <c r="AA16" s="79">
        <v>3445</v>
      </c>
      <c r="AB16" s="78" t="s">
        <v>178</v>
      </c>
      <c r="AC16" s="78" t="s">
        <v>48</v>
      </c>
      <c r="AD16" s="78" t="s">
        <v>188</v>
      </c>
      <c r="AE16" s="81"/>
      <c r="AF16" s="79">
        <v>3445</v>
      </c>
      <c r="AS16" s="45"/>
      <c r="BB16" s="15"/>
    </row>
    <row r="17" spans="3:54" x14ac:dyDescent="0.25">
      <c r="C17" s="72"/>
      <c r="D17" s="76">
        <v>10</v>
      </c>
      <c r="E17" s="77">
        <v>44958</v>
      </c>
      <c r="F17" s="78" t="s">
        <v>180</v>
      </c>
      <c r="G17" s="78" t="s">
        <v>210</v>
      </c>
      <c r="H17" s="78" t="s">
        <v>76</v>
      </c>
      <c r="I17" s="78" t="s">
        <v>182</v>
      </c>
      <c r="J17" s="79">
        <v>995</v>
      </c>
      <c r="K17" s="81"/>
      <c r="L17" s="78"/>
      <c r="M17" s="78" t="s">
        <v>211</v>
      </c>
      <c r="N17" s="80"/>
      <c r="O17" s="72"/>
      <c r="P17" s="72"/>
      <c r="Q17">
        <f ca="1"/>
        <v>995</v>
      </c>
      <c r="R17" t="str">
        <f ca="1"/>
        <v>Logiciel informatique</v>
      </c>
      <c r="S17" s="45">
        <f ca="1"/>
        <v>44958</v>
      </c>
      <c r="V17" s="76">
        <v>18</v>
      </c>
      <c r="W17" s="77">
        <v>45077</v>
      </c>
      <c r="X17" s="78" t="s">
        <v>118</v>
      </c>
      <c r="Y17" s="78" t="s">
        <v>169</v>
      </c>
      <c r="Z17" s="81">
        <v>5000</v>
      </c>
      <c r="AA17" s="81"/>
      <c r="AB17" s="78" t="s">
        <v>174</v>
      </c>
      <c r="AC17" s="78" t="s">
        <v>46</v>
      </c>
      <c r="AD17" s="78" t="s">
        <v>307</v>
      </c>
      <c r="AE17" s="81">
        <v>5000</v>
      </c>
      <c r="AF17" s="81"/>
      <c r="AS17" s="45"/>
      <c r="BB17" s="15"/>
    </row>
    <row r="18" spans="3:54" x14ac:dyDescent="0.25">
      <c r="C18" s="72"/>
      <c r="D18" s="76">
        <v>10</v>
      </c>
      <c r="E18" s="77">
        <v>44958</v>
      </c>
      <c r="F18" s="78" t="s">
        <v>180</v>
      </c>
      <c r="G18" s="78" t="s">
        <v>210</v>
      </c>
      <c r="H18" s="78" t="s">
        <v>76</v>
      </c>
      <c r="I18" s="78" t="s">
        <v>182</v>
      </c>
      <c r="J18" s="81"/>
      <c r="K18" s="79">
        <v>995</v>
      </c>
      <c r="L18" s="78"/>
      <c r="M18" s="78" t="s">
        <v>211</v>
      </c>
      <c r="N18" s="80"/>
      <c r="O18" s="72"/>
      <c r="P18" s="72"/>
      <c r="Q18">
        <f ca="1"/>
        <v>0</v>
      </c>
      <c r="R18" t="str">
        <f ca="1"/>
        <v>Logiciel informatique</v>
      </c>
      <c r="S18" s="45">
        <f ca="1"/>
        <v>44958</v>
      </c>
      <c r="V18" s="76">
        <v>18</v>
      </c>
      <c r="W18" s="77">
        <v>45077</v>
      </c>
      <c r="X18" s="78" t="s">
        <v>118</v>
      </c>
      <c r="Y18" s="78" t="s">
        <v>169</v>
      </c>
      <c r="Z18" s="81"/>
      <c r="AA18" s="81">
        <v>5000</v>
      </c>
      <c r="AB18" s="78" t="s">
        <v>174</v>
      </c>
      <c r="AC18" s="78" t="s">
        <v>46</v>
      </c>
      <c r="AD18" s="78" t="s">
        <v>307</v>
      </c>
      <c r="AE18" s="81"/>
      <c r="AF18" s="81">
        <v>5000</v>
      </c>
      <c r="AS18" s="45"/>
      <c r="BB18" s="15"/>
    </row>
    <row r="19" spans="3:54" x14ac:dyDescent="0.25">
      <c r="C19" s="72"/>
      <c r="D19" s="76">
        <v>6</v>
      </c>
      <c r="E19" s="77">
        <v>44965</v>
      </c>
      <c r="F19" s="78" t="s">
        <v>87</v>
      </c>
      <c r="G19" s="78" t="s">
        <v>191</v>
      </c>
      <c r="H19" s="78" t="s">
        <v>140</v>
      </c>
      <c r="I19" s="78" t="s">
        <v>182</v>
      </c>
      <c r="J19" s="79">
        <v>65</v>
      </c>
      <c r="K19" s="81"/>
      <c r="L19" s="78"/>
      <c r="M19" s="78" t="s">
        <v>194</v>
      </c>
      <c r="N19" s="80"/>
      <c r="O19" s="72"/>
      <c r="P19" s="72"/>
      <c r="Q19">
        <f ca="1"/>
        <v>65</v>
      </c>
      <c r="R19" t="str">
        <f ca="1"/>
        <v>Frais de représentation</v>
      </c>
      <c r="S19" s="45">
        <f ca="1"/>
        <v>44965</v>
      </c>
      <c r="V19" s="76">
        <v>19</v>
      </c>
      <c r="W19" s="77">
        <v>45107</v>
      </c>
      <c r="X19" s="78" t="s">
        <v>118</v>
      </c>
      <c r="Y19" s="78" t="s">
        <v>169</v>
      </c>
      <c r="Z19" s="81">
        <v>5000</v>
      </c>
      <c r="AA19" s="81"/>
      <c r="AB19" s="78" t="s">
        <v>174</v>
      </c>
      <c r="AC19" s="78" t="s">
        <v>46</v>
      </c>
      <c r="AD19" s="78" t="s">
        <v>308</v>
      </c>
      <c r="AE19" s="81">
        <v>5000</v>
      </c>
      <c r="AF19" s="81"/>
      <c r="AS19" s="45"/>
      <c r="BB19" s="15"/>
    </row>
    <row r="20" spans="3:54" x14ac:dyDescent="0.25">
      <c r="C20" s="72"/>
      <c r="D20" s="76">
        <v>6</v>
      </c>
      <c r="E20" s="77">
        <v>44965</v>
      </c>
      <c r="F20" s="78" t="s">
        <v>87</v>
      </c>
      <c r="G20" s="78" t="s">
        <v>191</v>
      </c>
      <c r="H20" s="78" t="s">
        <v>140</v>
      </c>
      <c r="I20" s="78" t="s">
        <v>182</v>
      </c>
      <c r="J20" s="81"/>
      <c r="K20" s="79">
        <v>65</v>
      </c>
      <c r="L20" s="78"/>
      <c r="M20" s="78" t="s">
        <v>194</v>
      </c>
      <c r="N20" s="80"/>
      <c r="O20" s="72"/>
      <c r="P20" s="72"/>
      <c r="Q20">
        <f ca="1"/>
        <v>0</v>
      </c>
      <c r="R20" t="str">
        <f ca="1"/>
        <v>Frais de représentation</v>
      </c>
      <c r="S20" s="45">
        <f ca="1"/>
        <v>44965</v>
      </c>
      <c r="V20" s="76">
        <v>19</v>
      </c>
      <c r="W20" s="77">
        <v>45107</v>
      </c>
      <c r="X20" s="78" t="s">
        <v>118</v>
      </c>
      <c r="Y20" s="78" t="s">
        <v>169</v>
      </c>
      <c r="Z20" s="81"/>
      <c r="AA20" s="81">
        <v>5000</v>
      </c>
      <c r="AB20" s="78" t="s">
        <v>174</v>
      </c>
      <c r="AC20" s="78" t="s">
        <v>46</v>
      </c>
      <c r="AD20" s="78" t="s">
        <v>308</v>
      </c>
      <c r="AE20" s="81"/>
      <c r="AF20" s="81">
        <v>5000</v>
      </c>
      <c r="AS20" s="45"/>
      <c r="BB20" s="15"/>
    </row>
    <row r="21" spans="3:54" x14ac:dyDescent="0.25">
      <c r="C21" s="72"/>
      <c r="D21" s="76">
        <v>7</v>
      </c>
      <c r="E21" s="77">
        <v>44985</v>
      </c>
      <c r="F21" s="78" t="s">
        <v>174</v>
      </c>
      <c r="G21" s="78" t="s">
        <v>169</v>
      </c>
      <c r="H21" s="78" t="s">
        <v>118</v>
      </c>
      <c r="I21" s="78" t="s">
        <v>46</v>
      </c>
      <c r="J21" s="79">
        <v>5000</v>
      </c>
      <c r="K21" s="81"/>
      <c r="L21" s="78"/>
      <c r="M21" s="78" t="s">
        <v>200</v>
      </c>
      <c r="N21" s="80"/>
      <c r="O21" s="72"/>
      <c r="P21" s="72"/>
      <c r="Q21">
        <f ca="1"/>
        <v>5000</v>
      </c>
      <c r="R21" t="str">
        <f ca="1"/>
        <v>Dividendes</v>
      </c>
      <c r="S21" s="45">
        <f ca="1"/>
        <v>44985</v>
      </c>
      <c r="V21" s="76"/>
      <c r="W21" s="77"/>
      <c r="X21" s="78"/>
      <c r="Y21" s="78"/>
      <c r="Z21" s="79"/>
      <c r="AA21" s="81"/>
      <c r="AB21" s="78"/>
      <c r="AC21" s="78"/>
      <c r="AD21" s="78"/>
      <c r="AE21" s="79"/>
      <c r="AF21" s="81"/>
      <c r="AS21" s="45"/>
      <c r="BB21" s="15"/>
    </row>
    <row r="22" spans="3:54" x14ac:dyDescent="0.25">
      <c r="C22" s="72"/>
      <c r="D22" s="76">
        <v>7</v>
      </c>
      <c r="E22" s="77">
        <v>44985</v>
      </c>
      <c r="F22" s="78" t="s">
        <v>174</v>
      </c>
      <c r="G22" s="78" t="s">
        <v>169</v>
      </c>
      <c r="H22" s="78" t="s">
        <v>118</v>
      </c>
      <c r="I22" s="78" t="s">
        <v>46</v>
      </c>
      <c r="J22" s="81"/>
      <c r="K22" s="79">
        <v>5000</v>
      </c>
      <c r="L22" s="78"/>
      <c r="M22" s="78" t="s">
        <v>200</v>
      </c>
      <c r="N22" s="80"/>
      <c r="O22" s="72"/>
      <c r="P22" s="72"/>
      <c r="Q22">
        <f ca="1"/>
        <v>0</v>
      </c>
      <c r="R22" t="str">
        <f ca="1"/>
        <v>Dividendes</v>
      </c>
      <c r="S22" s="45">
        <f ca="1"/>
        <v>44985</v>
      </c>
      <c r="V22" s="76"/>
      <c r="W22" s="77"/>
      <c r="X22" s="78"/>
      <c r="Y22" s="78"/>
      <c r="Z22" s="81"/>
      <c r="AA22" s="79"/>
      <c r="AB22" s="78"/>
      <c r="AC22" s="78"/>
      <c r="AD22" s="78"/>
      <c r="AE22" s="81"/>
      <c r="AF22" s="79"/>
      <c r="AS22" s="45"/>
      <c r="BB22" s="15"/>
    </row>
    <row r="23" spans="3:54" x14ac:dyDescent="0.25">
      <c r="C23" s="72"/>
      <c r="D23" s="76">
        <v>13</v>
      </c>
      <c r="E23" s="77">
        <v>44985</v>
      </c>
      <c r="F23" s="78" t="s">
        <v>179</v>
      </c>
      <c r="G23" s="78" t="s">
        <v>187</v>
      </c>
      <c r="H23" s="78" t="s">
        <v>48</v>
      </c>
      <c r="I23" s="78" t="s">
        <v>121</v>
      </c>
      <c r="J23" s="79">
        <v>6890</v>
      </c>
      <c r="K23" s="81"/>
      <c r="L23" s="78"/>
      <c r="M23" s="78" t="s">
        <v>199</v>
      </c>
      <c r="N23" s="80"/>
      <c r="O23" s="72"/>
      <c r="P23" s="72"/>
      <c r="Q23">
        <f ca="1"/>
        <v>6890</v>
      </c>
      <c r="R23" t="str">
        <f ca="1"/>
        <v>Comptes Clients</v>
      </c>
      <c r="S23" s="45">
        <f ca="1"/>
        <v>44985</v>
      </c>
      <c r="V23" s="76"/>
      <c r="W23" s="77"/>
      <c r="X23" s="78"/>
      <c r="Y23" s="78"/>
      <c r="Z23" s="79"/>
      <c r="AA23" s="81"/>
      <c r="AB23" s="78"/>
      <c r="AC23" s="78"/>
      <c r="AD23" s="78"/>
      <c r="AE23" s="79"/>
      <c r="AF23" s="81"/>
      <c r="AS23" s="45"/>
      <c r="BB23" s="15"/>
    </row>
    <row r="24" spans="3:54" x14ac:dyDescent="0.25">
      <c r="C24" s="72"/>
      <c r="D24" s="76">
        <v>13</v>
      </c>
      <c r="E24" s="77">
        <v>44985</v>
      </c>
      <c r="F24" s="78" t="s">
        <v>179</v>
      </c>
      <c r="G24" s="78" t="s">
        <v>187</v>
      </c>
      <c r="H24" s="78" t="s">
        <v>48</v>
      </c>
      <c r="I24" s="78" t="s">
        <v>121</v>
      </c>
      <c r="J24" s="81"/>
      <c r="K24" s="79">
        <v>6890</v>
      </c>
      <c r="L24" s="78"/>
      <c r="M24" s="78" t="s">
        <v>199</v>
      </c>
      <c r="N24" s="80"/>
      <c r="O24" s="72"/>
      <c r="P24" s="72"/>
      <c r="Q24">
        <f ca="1"/>
        <v>0</v>
      </c>
      <c r="R24" t="str">
        <f ca="1"/>
        <v>Comptes Clients</v>
      </c>
      <c r="S24" s="45">
        <f ca="1"/>
        <v>44985</v>
      </c>
      <c r="V24" s="76"/>
      <c r="W24" s="77"/>
      <c r="X24" s="78"/>
      <c r="Y24" s="78"/>
      <c r="Z24" s="81"/>
      <c r="AA24" s="79"/>
      <c r="AB24" s="78"/>
      <c r="AC24" s="78"/>
      <c r="AD24" s="78"/>
      <c r="AE24" s="81"/>
      <c r="AF24" s="79"/>
      <c r="AS24" s="45"/>
      <c r="BB24" s="15"/>
    </row>
    <row r="25" spans="3:54" x14ac:dyDescent="0.25">
      <c r="C25" s="72"/>
      <c r="D25" s="76">
        <v>9</v>
      </c>
      <c r="E25" s="77">
        <v>44986</v>
      </c>
      <c r="F25" s="78" t="s">
        <v>87</v>
      </c>
      <c r="G25" s="78" t="s">
        <v>183</v>
      </c>
      <c r="H25" s="78" t="s">
        <v>148</v>
      </c>
      <c r="I25" s="78" t="s">
        <v>182</v>
      </c>
      <c r="J25" s="79">
        <v>192</v>
      </c>
      <c r="K25" s="81"/>
      <c r="L25" s="78"/>
      <c r="M25" s="78" t="s">
        <v>202</v>
      </c>
      <c r="N25" s="80"/>
      <c r="O25" s="72"/>
      <c r="P25" s="72"/>
      <c r="Q25">
        <f ca="1"/>
        <v>192</v>
      </c>
      <c r="R25" t="str">
        <f ca="1"/>
        <v>Fournitures informatiques &amp; Site web</v>
      </c>
      <c r="S25" s="45">
        <f ca="1"/>
        <v>44986</v>
      </c>
      <c r="V25" s="76"/>
      <c r="W25" s="77"/>
      <c r="X25" s="78"/>
      <c r="Y25" s="78"/>
      <c r="Z25" s="79"/>
      <c r="AA25" s="81"/>
      <c r="AB25" s="78"/>
      <c r="AC25" s="78"/>
      <c r="AD25" s="78"/>
      <c r="AE25" s="79"/>
      <c r="AF25" s="81"/>
      <c r="AS25" s="45"/>
      <c r="BB25" s="15"/>
    </row>
    <row r="26" spans="3:54" x14ac:dyDescent="0.25">
      <c r="C26" s="72"/>
      <c r="D26" s="76">
        <v>9</v>
      </c>
      <c r="E26" s="77">
        <v>44986</v>
      </c>
      <c r="F26" s="78" t="s">
        <v>87</v>
      </c>
      <c r="G26" s="78" t="s">
        <v>183</v>
      </c>
      <c r="H26" s="78" t="s">
        <v>148</v>
      </c>
      <c r="I26" s="78" t="s">
        <v>182</v>
      </c>
      <c r="J26" s="81"/>
      <c r="K26" s="79">
        <v>192</v>
      </c>
      <c r="L26" s="78"/>
      <c r="M26" s="78" t="s">
        <v>202</v>
      </c>
      <c r="N26" s="80"/>
      <c r="O26" s="72"/>
      <c r="P26" s="72"/>
      <c r="Q26">
        <f ca="1"/>
        <v>0</v>
      </c>
      <c r="R26" t="str">
        <f ca="1"/>
        <v>Fournitures informatiques &amp; Site web</v>
      </c>
      <c r="S26" s="45">
        <f ca="1"/>
        <v>44986</v>
      </c>
      <c r="V26" s="76"/>
      <c r="W26" s="77"/>
      <c r="X26" s="78"/>
      <c r="Y26" s="78"/>
      <c r="Z26" s="81"/>
      <c r="AA26" s="79"/>
      <c r="AB26" s="78"/>
      <c r="AC26" s="78"/>
      <c r="AD26" s="78"/>
      <c r="AE26" s="81"/>
      <c r="AF26" s="79"/>
      <c r="AS26" s="45"/>
      <c r="BB26" s="15"/>
    </row>
    <row r="27" spans="3:54" x14ac:dyDescent="0.25">
      <c r="C27" s="72"/>
      <c r="D27" s="76">
        <v>8</v>
      </c>
      <c r="E27" s="77">
        <v>44986</v>
      </c>
      <c r="F27" s="78" t="s">
        <v>87</v>
      </c>
      <c r="G27" s="78" t="s">
        <v>183</v>
      </c>
      <c r="H27" s="78" t="s">
        <v>72</v>
      </c>
      <c r="I27" s="78" t="s">
        <v>182</v>
      </c>
      <c r="J27" s="79">
        <v>699</v>
      </c>
      <c r="K27" s="81"/>
      <c r="L27" s="78"/>
      <c r="M27" s="78" t="s">
        <v>201</v>
      </c>
      <c r="N27" s="80"/>
      <c r="O27" s="72"/>
      <c r="P27" s="72"/>
      <c r="Q27">
        <f ca="1"/>
        <v>699</v>
      </c>
      <c r="R27" t="str">
        <f ca="1"/>
        <v>Matériel informatique</v>
      </c>
      <c r="S27" s="45">
        <f ca="1"/>
        <v>44986</v>
      </c>
      <c r="V27" s="76"/>
      <c r="W27" s="77"/>
      <c r="X27" s="78"/>
      <c r="Y27" s="78"/>
      <c r="Z27" s="79"/>
      <c r="AA27" s="81"/>
      <c r="AB27" s="78"/>
      <c r="AC27" s="78"/>
      <c r="AD27" s="78"/>
      <c r="AE27" s="79"/>
      <c r="AF27" s="81"/>
      <c r="AS27" s="45"/>
      <c r="BB27" s="15"/>
    </row>
    <row r="28" spans="3:54" x14ac:dyDescent="0.25">
      <c r="C28" s="72"/>
      <c r="D28" s="76">
        <v>8</v>
      </c>
      <c r="E28" s="77">
        <v>44986</v>
      </c>
      <c r="F28" s="78" t="s">
        <v>87</v>
      </c>
      <c r="G28" s="78" t="s">
        <v>183</v>
      </c>
      <c r="H28" s="78" t="s">
        <v>72</v>
      </c>
      <c r="I28" s="78" t="s">
        <v>182</v>
      </c>
      <c r="J28" s="81"/>
      <c r="K28" s="79">
        <v>699</v>
      </c>
      <c r="L28" s="78"/>
      <c r="M28" s="78" t="s">
        <v>201</v>
      </c>
      <c r="N28" s="80"/>
      <c r="O28" s="72"/>
      <c r="P28" s="72"/>
      <c r="Q28">
        <f ca="1"/>
        <v>0</v>
      </c>
      <c r="R28" t="str">
        <f ca="1"/>
        <v>Matériel informatique</v>
      </c>
      <c r="S28" s="45">
        <f ca="1"/>
        <v>44986</v>
      </c>
      <c r="V28" s="76"/>
      <c r="W28" s="77"/>
      <c r="X28" s="78"/>
      <c r="Y28" s="78"/>
      <c r="Z28" s="81"/>
      <c r="AA28" s="79"/>
      <c r="AB28" s="78"/>
      <c r="AC28" s="78"/>
      <c r="AD28" s="78"/>
      <c r="AE28" s="81"/>
      <c r="AF28" s="79"/>
      <c r="AS28" s="45"/>
      <c r="BB28" s="15"/>
    </row>
    <row r="29" spans="3:54" x14ac:dyDescent="0.25">
      <c r="C29" s="72"/>
      <c r="D29" s="76">
        <v>12</v>
      </c>
      <c r="E29" s="77">
        <v>45016</v>
      </c>
      <c r="F29" s="78" t="s">
        <v>174</v>
      </c>
      <c r="G29" s="78" t="s">
        <v>169</v>
      </c>
      <c r="H29" s="78" t="s">
        <v>118</v>
      </c>
      <c r="I29" s="78" t="s">
        <v>46</v>
      </c>
      <c r="J29" s="79">
        <v>5000</v>
      </c>
      <c r="K29" s="81"/>
      <c r="L29" s="78"/>
      <c r="M29" s="78" t="s">
        <v>212</v>
      </c>
      <c r="N29" s="80"/>
      <c r="O29" s="72"/>
      <c r="P29" s="72"/>
      <c r="Q29">
        <f ca="1"/>
        <v>5000</v>
      </c>
      <c r="R29" t="str">
        <f ca="1"/>
        <v>Dividendes</v>
      </c>
      <c r="S29" s="45">
        <f ca="1"/>
        <v>45016</v>
      </c>
      <c r="V29" s="76"/>
      <c r="W29" s="77"/>
      <c r="X29" s="78"/>
      <c r="Y29" s="78"/>
      <c r="Z29" s="81"/>
      <c r="AA29" s="81"/>
      <c r="AB29" s="78"/>
      <c r="AC29" s="78"/>
      <c r="AD29" s="78"/>
      <c r="AE29" s="81"/>
      <c r="AF29" s="81"/>
      <c r="AS29" s="45"/>
      <c r="BB29" s="15"/>
    </row>
    <row r="30" spans="3:54" x14ac:dyDescent="0.25">
      <c r="C30" s="72"/>
      <c r="D30" s="76">
        <v>12</v>
      </c>
      <c r="E30" s="77">
        <v>45016</v>
      </c>
      <c r="F30" s="78" t="s">
        <v>174</v>
      </c>
      <c r="G30" s="78" t="s">
        <v>169</v>
      </c>
      <c r="H30" s="78" t="s">
        <v>118</v>
      </c>
      <c r="I30" s="78" t="s">
        <v>46</v>
      </c>
      <c r="J30" s="81"/>
      <c r="K30" s="79">
        <v>5000</v>
      </c>
      <c r="L30" s="78"/>
      <c r="M30" s="78" t="s">
        <v>212</v>
      </c>
      <c r="N30" s="80"/>
      <c r="O30" s="72"/>
      <c r="P30" s="72"/>
      <c r="Q30">
        <f ca="1"/>
        <v>0</v>
      </c>
      <c r="R30" t="str">
        <f ca="1"/>
        <v>Dividendes</v>
      </c>
      <c r="S30" s="45">
        <f ca="1"/>
        <v>45016</v>
      </c>
      <c r="V30" s="76"/>
      <c r="W30" s="77"/>
      <c r="X30" s="78"/>
      <c r="Y30" s="78"/>
      <c r="Z30" s="81"/>
      <c r="AA30" s="81"/>
      <c r="AB30" s="78"/>
      <c r="AC30" s="78"/>
      <c r="AD30" s="78"/>
      <c r="AE30" s="81"/>
      <c r="AF30" s="81"/>
    </row>
    <row r="31" spans="3:54" x14ac:dyDescent="0.25">
      <c r="C31" s="72"/>
      <c r="D31" s="76">
        <v>15</v>
      </c>
      <c r="E31" s="77">
        <v>45016</v>
      </c>
      <c r="F31" s="78" t="s">
        <v>179</v>
      </c>
      <c r="G31" s="78" t="s">
        <v>185</v>
      </c>
      <c r="H31" s="78" t="s">
        <v>48</v>
      </c>
      <c r="I31" s="78" t="s">
        <v>121</v>
      </c>
      <c r="J31" s="81">
        <v>2298.4899999999998</v>
      </c>
      <c r="K31" s="81"/>
      <c r="L31" s="78"/>
      <c r="M31" s="78" t="s">
        <v>209</v>
      </c>
      <c r="N31" s="80"/>
      <c r="O31" s="72"/>
      <c r="P31" s="72"/>
      <c r="Q31">
        <f ca="1"/>
        <v>2298.4899999999998</v>
      </c>
      <c r="R31" t="str">
        <f ca="1"/>
        <v>Comptes Clients</v>
      </c>
      <c r="S31" s="45">
        <f ca="1"/>
        <v>45016</v>
      </c>
      <c r="V31" s="76"/>
      <c r="W31" s="77"/>
      <c r="X31" s="78"/>
      <c r="Y31" s="78"/>
      <c r="Z31" s="81"/>
      <c r="AA31" s="81"/>
      <c r="AB31" s="78"/>
      <c r="AC31" s="78"/>
      <c r="AD31" s="78"/>
      <c r="AE31" s="81"/>
      <c r="AF31" s="81"/>
    </row>
    <row r="32" spans="3:54" x14ac:dyDescent="0.25">
      <c r="C32" s="72"/>
      <c r="D32" s="76">
        <v>15</v>
      </c>
      <c r="E32" s="77">
        <v>45016</v>
      </c>
      <c r="F32" s="78" t="s">
        <v>179</v>
      </c>
      <c r="G32" s="78" t="s">
        <v>185</v>
      </c>
      <c r="H32" s="78" t="s">
        <v>48</v>
      </c>
      <c r="I32" s="78" t="s">
        <v>121</v>
      </c>
      <c r="J32" s="81"/>
      <c r="K32" s="81">
        <v>2298.4899999999998</v>
      </c>
      <c r="L32" s="78"/>
      <c r="M32" s="78" t="s">
        <v>209</v>
      </c>
      <c r="N32" s="80"/>
      <c r="O32" s="72"/>
      <c r="P32" s="72"/>
      <c r="Q32">
        <f ca="1"/>
        <v>0</v>
      </c>
      <c r="R32" t="str">
        <f ca="1"/>
        <v>Comptes Clients</v>
      </c>
      <c r="S32" s="45">
        <f ca="1"/>
        <v>45016</v>
      </c>
      <c r="V32" s="76"/>
      <c r="W32" s="77"/>
      <c r="X32" s="78"/>
      <c r="Y32" s="78"/>
      <c r="Z32" s="81"/>
      <c r="AA32" s="81"/>
      <c r="AB32" s="78"/>
      <c r="AC32" s="78"/>
      <c r="AD32" s="78"/>
      <c r="AE32" s="81"/>
      <c r="AF32" s="81"/>
    </row>
    <row r="33" spans="3:32" x14ac:dyDescent="0.25">
      <c r="C33" s="72"/>
      <c r="D33" s="76">
        <v>16</v>
      </c>
      <c r="E33" s="77">
        <v>45046</v>
      </c>
      <c r="F33" s="78" t="s">
        <v>174</v>
      </c>
      <c r="G33" s="78" t="s">
        <v>169</v>
      </c>
      <c r="H33" s="78" t="s">
        <v>118</v>
      </c>
      <c r="I33" s="78" t="s">
        <v>46</v>
      </c>
      <c r="J33" s="81">
        <v>5000</v>
      </c>
      <c r="K33" s="81"/>
      <c r="L33" s="78"/>
      <c r="M33" s="78" t="s">
        <v>213</v>
      </c>
      <c r="N33" s="80"/>
      <c r="O33" s="72"/>
      <c r="P33" s="72"/>
      <c r="Q33">
        <f ca="1"/>
        <v>5000</v>
      </c>
      <c r="R33" t="str">
        <f ca="1"/>
        <v>Dividendes</v>
      </c>
      <c r="S33" s="45">
        <f ca="1"/>
        <v>45046</v>
      </c>
      <c r="V33" s="76"/>
      <c r="W33" s="77"/>
      <c r="X33" s="78"/>
      <c r="Y33" s="78"/>
      <c r="Z33" s="79"/>
      <c r="AA33" s="81"/>
      <c r="AB33" s="78"/>
      <c r="AC33" s="78"/>
      <c r="AD33" s="78"/>
      <c r="AE33" s="79"/>
      <c r="AF33" s="81"/>
    </row>
    <row r="34" spans="3:32" x14ac:dyDescent="0.25">
      <c r="C34" s="72"/>
      <c r="D34" s="76">
        <v>16</v>
      </c>
      <c r="E34" s="77">
        <v>45046</v>
      </c>
      <c r="F34" s="78" t="s">
        <v>174</v>
      </c>
      <c r="G34" s="78" t="s">
        <v>169</v>
      </c>
      <c r="H34" s="78" t="s">
        <v>118</v>
      </c>
      <c r="I34" s="78" t="s">
        <v>46</v>
      </c>
      <c r="J34" s="81"/>
      <c r="K34" s="81">
        <v>5000</v>
      </c>
      <c r="L34" s="78"/>
      <c r="M34" s="78" t="s">
        <v>213</v>
      </c>
      <c r="N34" s="80"/>
      <c r="O34" s="72"/>
      <c r="P34" s="72"/>
      <c r="Q34">
        <f ca="1"/>
        <v>0</v>
      </c>
      <c r="R34" t="str">
        <f ca="1"/>
        <v>Dividendes</v>
      </c>
      <c r="S34" s="45">
        <f ca="1"/>
        <v>45046</v>
      </c>
      <c r="V34" s="76"/>
      <c r="W34" s="77"/>
      <c r="X34" s="78"/>
      <c r="Y34" s="78"/>
      <c r="Z34" s="81"/>
      <c r="AA34" s="79"/>
      <c r="AB34" s="78"/>
      <c r="AC34" s="78"/>
      <c r="AD34" s="78"/>
      <c r="AE34" s="81"/>
      <c r="AF34" s="79"/>
    </row>
    <row r="35" spans="3:32" x14ac:dyDescent="0.25">
      <c r="C35" s="72"/>
      <c r="D35" s="76">
        <v>11</v>
      </c>
      <c r="E35" s="77">
        <v>45057</v>
      </c>
      <c r="F35" s="78" t="s">
        <v>178</v>
      </c>
      <c r="G35" s="78" t="s">
        <v>186</v>
      </c>
      <c r="H35" s="78" t="s">
        <v>46</v>
      </c>
      <c r="I35" s="78" t="s">
        <v>48</v>
      </c>
      <c r="J35" s="79">
        <v>3445</v>
      </c>
      <c r="K35" s="81"/>
      <c r="L35" s="78"/>
      <c r="M35" s="78" t="s">
        <v>188</v>
      </c>
      <c r="N35" s="80"/>
      <c r="O35" s="72"/>
      <c r="P35" s="72"/>
      <c r="Q35">
        <f ca="1"/>
        <v>3445</v>
      </c>
      <c r="R35" t="str">
        <f ca="1"/>
        <v>Encaisse</v>
      </c>
      <c r="S35" s="45">
        <f ca="1"/>
        <v>45057</v>
      </c>
      <c r="V35" s="76"/>
      <c r="W35" s="77"/>
      <c r="X35" s="78"/>
      <c r="Y35" s="78"/>
      <c r="Z35" s="81"/>
      <c r="AA35" s="81"/>
      <c r="AB35" s="78"/>
      <c r="AC35" s="78"/>
      <c r="AD35" s="78"/>
      <c r="AE35" s="81"/>
      <c r="AF35" s="81"/>
    </row>
    <row r="36" spans="3:32" x14ac:dyDescent="0.25">
      <c r="C36" s="72"/>
      <c r="D36" s="76">
        <v>11</v>
      </c>
      <c r="E36" s="77">
        <v>45057</v>
      </c>
      <c r="F36" s="78" t="s">
        <v>178</v>
      </c>
      <c r="G36" s="78" t="s">
        <v>186</v>
      </c>
      <c r="H36" s="78" t="s">
        <v>46</v>
      </c>
      <c r="I36" s="78" t="s">
        <v>48</v>
      </c>
      <c r="J36" s="81"/>
      <c r="K36" s="79">
        <v>3445</v>
      </c>
      <c r="L36" s="78"/>
      <c r="M36" s="78" t="s">
        <v>188</v>
      </c>
      <c r="N36" s="80"/>
      <c r="O36" s="72"/>
      <c r="P36" s="72"/>
      <c r="Q36">
        <f ca="1"/>
        <v>0</v>
      </c>
      <c r="R36" t="str">
        <f ca="1"/>
        <v>Encaisse</v>
      </c>
      <c r="S36" s="45">
        <f ca="1"/>
        <v>45057</v>
      </c>
      <c r="V36" s="76"/>
      <c r="W36" s="77"/>
      <c r="X36" s="78"/>
      <c r="Y36" s="78"/>
      <c r="Z36" s="81"/>
      <c r="AA36" s="81"/>
      <c r="AB36" s="78"/>
      <c r="AC36" s="78"/>
      <c r="AD36" s="78"/>
      <c r="AE36" s="81"/>
      <c r="AF36" s="81"/>
    </row>
    <row r="37" spans="3:32" x14ac:dyDescent="0.25">
      <c r="C37" s="72"/>
      <c r="D37" s="76">
        <v>17</v>
      </c>
      <c r="E37" s="77">
        <v>45066</v>
      </c>
      <c r="F37" s="78" t="s">
        <v>87</v>
      </c>
      <c r="G37" s="78" t="s">
        <v>191</v>
      </c>
      <c r="H37" s="78" t="s">
        <v>140</v>
      </c>
      <c r="I37" s="78" t="s">
        <v>182</v>
      </c>
      <c r="J37" s="81">
        <v>198</v>
      </c>
      <c r="K37" s="81"/>
      <c r="L37" s="78"/>
      <c r="M37" s="78" t="s">
        <v>214</v>
      </c>
      <c r="N37" s="80"/>
      <c r="O37" s="72"/>
      <c r="P37" s="72"/>
      <c r="Q37">
        <f ca="1"/>
        <v>198</v>
      </c>
      <c r="R37" t="str">
        <f ca="1"/>
        <v>Frais de représentation</v>
      </c>
      <c r="S37" s="45">
        <f ca="1"/>
        <v>45066</v>
      </c>
      <c r="V37" s="76"/>
      <c r="W37" s="77"/>
      <c r="X37" s="78"/>
      <c r="Y37" s="78"/>
      <c r="Z37" s="81"/>
      <c r="AA37" s="81"/>
      <c r="AB37" s="78"/>
      <c r="AC37" s="78"/>
      <c r="AD37" s="78"/>
      <c r="AE37" s="81"/>
      <c r="AF37" s="81"/>
    </row>
    <row r="38" spans="3:32" x14ac:dyDescent="0.25">
      <c r="C38" s="72"/>
      <c r="D38" s="76">
        <v>17</v>
      </c>
      <c r="E38" s="77">
        <v>45066</v>
      </c>
      <c r="F38" s="78" t="s">
        <v>87</v>
      </c>
      <c r="G38" s="78" t="s">
        <v>191</v>
      </c>
      <c r="H38" s="78" t="s">
        <v>140</v>
      </c>
      <c r="I38" s="78" t="s">
        <v>182</v>
      </c>
      <c r="J38" s="81"/>
      <c r="K38" s="81">
        <v>198</v>
      </c>
      <c r="L38" s="78"/>
      <c r="M38" s="78" t="s">
        <v>214</v>
      </c>
      <c r="N38" s="80"/>
      <c r="O38" s="72"/>
      <c r="P38" s="72"/>
      <c r="Q38">
        <f ca="1"/>
        <v>0</v>
      </c>
      <c r="R38" t="str">
        <f ca="1"/>
        <v>Frais de représentation</v>
      </c>
      <c r="S38" s="45">
        <f ca="1"/>
        <v>45066</v>
      </c>
      <c r="V38" s="76"/>
      <c r="W38" s="77"/>
      <c r="X38" s="78"/>
      <c r="Y38" s="78"/>
      <c r="Z38" s="81"/>
      <c r="AA38" s="81"/>
      <c r="AB38" s="78"/>
      <c r="AC38" s="78"/>
      <c r="AD38" s="78"/>
      <c r="AE38" s="81"/>
      <c r="AF38" s="81"/>
    </row>
    <row r="39" spans="3:32" x14ac:dyDescent="0.25">
      <c r="C39" s="72"/>
      <c r="D39" s="76">
        <v>18</v>
      </c>
      <c r="E39" s="77">
        <v>45077</v>
      </c>
      <c r="F39" s="78" t="s">
        <v>174</v>
      </c>
      <c r="G39" s="78" t="s">
        <v>169</v>
      </c>
      <c r="H39" s="78" t="s">
        <v>118</v>
      </c>
      <c r="I39" s="78" t="s">
        <v>46</v>
      </c>
      <c r="J39" s="81">
        <v>5000</v>
      </c>
      <c r="K39" s="81"/>
      <c r="L39" s="78"/>
      <c r="M39" s="78" t="s">
        <v>307</v>
      </c>
      <c r="N39" s="80"/>
      <c r="O39" s="72"/>
      <c r="P39" s="72"/>
      <c r="Q39">
        <f ca="1"/>
        <v>5000</v>
      </c>
      <c r="R39" t="str">
        <f ca="1"/>
        <v>Dividendes</v>
      </c>
      <c r="S39" s="45">
        <f ca="1"/>
        <v>45077</v>
      </c>
      <c r="V39" s="76"/>
      <c r="W39" s="77"/>
      <c r="X39" s="78"/>
      <c r="Y39" s="78"/>
      <c r="Z39" s="81"/>
      <c r="AA39" s="81"/>
      <c r="AB39" s="78"/>
      <c r="AC39" s="78"/>
      <c r="AD39" s="78"/>
      <c r="AE39" s="81"/>
      <c r="AF39" s="81"/>
    </row>
    <row r="40" spans="3:32" x14ac:dyDescent="0.25">
      <c r="C40" s="72"/>
      <c r="D40" s="76">
        <v>18</v>
      </c>
      <c r="E40" s="77">
        <v>45077</v>
      </c>
      <c r="F40" s="78" t="s">
        <v>174</v>
      </c>
      <c r="G40" s="78" t="s">
        <v>169</v>
      </c>
      <c r="H40" s="78" t="s">
        <v>118</v>
      </c>
      <c r="I40" s="78" t="s">
        <v>46</v>
      </c>
      <c r="J40" s="81"/>
      <c r="K40" s="81">
        <v>5000</v>
      </c>
      <c r="L40" s="78"/>
      <c r="M40" s="78" t="s">
        <v>307</v>
      </c>
      <c r="N40" s="80"/>
      <c r="O40" s="72"/>
      <c r="P40" s="72"/>
      <c r="Q40">
        <f ca="1"/>
        <v>0</v>
      </c>
      <c r="R40" t="str">
        <f ca="1"/>
        <v>Dividendes</v>
      </c>
      <c r="S40" s="45">
        <f ca="1"/>
        <v>45077</v>
      </c>
      <c r="V40" s="76"/>
      <c r="W40" s="77"/>
      <c r="X40" s="78"/>
      <c r="Y40" s="78"/>
      <c r="Z40" s="81"/>
      <c r="AA40" s="81"/>
      <c r="AB40" s="78"/>
      <c r="AC40" s="78"/>
      <c r="AD40" s="78"/>
      <c r="AE40" s="81"/>
      <c r="AF40" s="81"/>
    </row>
    <row r="41" spans="3:32" x14ac:dyDescent="0.25">
      <c r="C41" s="72"/>
      <c r="D41" s="76">
        <v>19</v>
      </c>
      <c r="E41" s="77">
        <v>45107</v>
      </c>
      <c r="F41" s="78" t="s">
        <v>174</v>
      </c>
      <c r="G41" s="78" t="s">
        <v>169</v>
      </c>
      <c r="H41" s="78" t="s">
        <v>118</v>
      </c>
      <c r="I41" s="78" t="s">
        <v>46</v>
      </c>
      <c r="J41" s="81">
        <v>5000</v>
      </c>
      <c r="K41" s="81"/>
      <c r="L41" s="78"/>
      <c r="M41" s="78" t="s">
        <v>308</v>
      </c>
      <c r="N41" s="80"/>
      <c r="O41" s="72"/>
      <c r="P41" s="72"/>
      <c r="Q41">
        <f ca="1"/>
        <v>5000</v>
      </c>
      <c r="R41" t="str">
        <f ca="1"/>
        <v>Dividendes</v>
      </c>
      <c r="S41" s="45">
        <f ca="1"/>
        <v>45107</v>
      </c>
    </row>
    <row r="42" spans="3:32" x14ac:dyDescent="0.25">
      <c r="C42" s="72"/>
      <c r="D42" s="76">
        <v>19</v>
      </c>
      <c r="E42" s="77">
        <v>45107</v>
      </c>
      <c r="F42" s="78" t="s">
        <v>174</v>
      </c>
      <c r="G42" s="78" t="s">
        <v>169</v>
      </c>
      <c r="H42" s="78" t="s">
        <v>118</v>
      </c>
      <c r="I42" s="78" t="s">
        <v>46</v>
      </c>
      <c r="J42" s="81"/>
      <c r="K42" s="81">
        <v>5000</v>
      </c>
      <c r="L42" s="78"/>
      <c r="M42" s="78" t="s">
        <v>308</v>
      </c>
      <c r="N42" s="80"/>
      <c r="O42" s="72"/>
      <c r="P42" s="72"/>
      <c r="Q42">
        <f ca="1"/>
        <v>0</v>
      </c>
      <c r="R42" t="str">
        <f ca="1"/>
        <v>Dividendes</v>
      </c>
      <c r="S42" s="45">
        <f ca="1"/>
        <v>45107</v>
      </c>
    </row>
    <row r="43" spans="3:32" x14ac:dyDescent="0.25">
      <c r="C43" s="72"/>
      <c r="D43" s="76"/>
      <c r="E43" s="77"/>
      <c r="F43" s="78"/>
      <c r="G43" s="78"/>
      <c r="H43" s="78"/>
      <c r="I43" s="78"/>
      <c r="J43" s="81"/>
      <c r="K43" s="81"/>
      <c r="L43" s="78"/>
      <c r="M43" s="78"/>
      <c r="N43" s="80"/>
      <c r="O43" s="72"/>
      <c r="P43" s="72"/>
    </row>
    <row r="44" spans="3:32" x14ac:dyDescent="0.25">
      <c r="C44" s="72"/>
      <c r="D44" s="76"/>
      <c r="E44" s="77"/>
      <c r="F44" s="78"/>
      <c r="G44" s="78"/>
      <c r="H44" s="78"/>
      <c r="I44" s="78"/>
      <c r="J44" s="81">
        <f>SUM(J5:J43)</f>
        <v>150677.49</v>
      </c>
      <c r="K44" s="81">
        <f>SUM(K5:K43)</f>
        <v>150677.49</v>
      </c>
      <c r="L44" s="78"/>
      <c r="M44" s="78"/>
      <c r="N44" s="80"/>
      <c r="O44" s="72"/>
      <c r="P44" s="72"/>
    </row>
    <row r="45" spans="3:32" x14ac:dyDescent="0.25">
      <c r="C45" s="72"/>
      <c r="D45" s="76"/>
      <c r="E45" s="77"/>
      <c r="F45" s="78"/>
      <c r="G45" s="78"/>
      <c r="H45" s="78"/>
      <c r="I45" s="78"/>
      <c r="J45" s="81"/>
      <c r="K45" s="81"/>
      <c r="L45" s="78"/>
      <c r="M45" s="78"/>
      <c r="N45" s="80"/>
      <c r="O45" s="72"/>
      <c r="P45" s="72"/>
    </row>
    <row r="46" spans="3:32" x14ac:dyDescent="0.25">
      <c r="C46" s="72"/>
      <c r="D46" s="76"/>
      <c r="E46" s="77"/>
      <c r="F46" s="78"/>
      <c r="G46" s="78"/>
      <c r="H46" s="78"/>
      <c r="I46" s="78"/>
      <c r="J46" s="81"/>
      <c r="K46" s="81"/>
      <c r="L46" s="78"/>
      <c r="M46" s="78"/>
      <c r="N46" s="80"/>
      <c r="O46" s="72"/>
      <c r="P46" s="72"/>
    </row>
    <row r="47" spans="3:32" x14ac:dyDescent="0.25">
      <c r="C47" s="72"/>
      <c r="D47" s="76"/>
      <c r="E47" s="77"/>
      <c r="F47" s="78"/>
      <c r="G47" s="78"/>
      <c r="H47" s="78"/>
      <c r="I47" s="78"/>
      <c r="J47" s="81"/>
      <c r="K47" s="81"/>
      <c r="L47" s="78"/>
      <c r="M47" s="78"/>
      <c r="N47" s="80"/>
      <c r="O47" s="72"/>
      <c r="P47" s="72"/>
    </row>
    <row r="48" spans="3:32" x14ac:dyDescent="0.25">
      <c r="C48" s="72"/>
      <c r="D48" s="76"/>
      <c r="E48" s="77"/>
      <c r="F48" s="78"/>
      <c r="G48" s="78"/>
      <c r="H48" s="78"/>
      <c r="I48" s="78"/>
      <c r="J48" s="81"/>
      <c r="K48" s="81"/>
      <c r="L48" s="78"/>
      <c r="M48" s="78"/>
      <c r="N48" s="80"/>
      <c r="O48" s="72"/>
      <c r="P48" s="72"/>
    </row>
    <row r="49" spans="3:16" x14ac:dyDescent="0.25">
      <c r="C49" s="72"/>
      <c r="D49" s="76"/>
      <c r="E49" s="77"/>
      <c r="F49" s="78"/>
      <c r="G49" s="78"/>
      <c r="H49" s="78"/>
      <c r="I49" s="78"/>
      <c r="J49" s="81"/>
      <c r="K49" s="81"/>
      <c r="L49" s="78"/>
      <c r="M49" s="78"/>
      <c r="N49" s="80"/>
      <c r="O49" s="72"/>
      <c r="P49" s="72"/>
    </row>
    <row r="50" spans="3:16" x14ac:dyDescent="0.25">
      <c r="C50" s="72"/>
      <c r="D50" s="76"/>
      <c r="E50" s="77"/>
      <c r="F50" s="78"/>
      <c r="G50" s="78"/>
      <c r="H50" s="78"/>
      <c r="I50" s="78"/>
      <c r="J50" s="81"/>
      <c r="K50" s="81"/>
      <c r="L50" s="78"/>
      <c r="M50" s="78"/>
      <c r="N50" s="80"/>
      <c r="O50" s="72"/>
      <c r="P50" s="72"/>
    </row>
    <row r="51" spans="3:16" x14ac:dyDescent="0.25">
      <c r="C51" s="72"/>
      <c r="D51" s="76"/>
      <c r="E51" s="77"/>
      <c r="F51" s="78"/>
      <c r="G51" s="78"/>
      <c r="H51" s="78"/>
      <c r="I51" s="78"/>
      <c r="J51" s="81"/>
      <c r="K51" s="81"/>
      <c r="L51" s="78"/>
      <c r="M51" s="78"/>
      <c r="N51" s="80"/>
      <c r="O51" s="72"/>
      <c r="P51" s="72"/>
    </row>
    <row r="52" spans="3:16" x14ac:dyDescent="0.25">
      <c r="C52" s="72"/>
      <c r="D52" s="76"/>
      <c r="E52" s="77"/>
      <c r="F52" s="78"/>
      <c r="G52" s="78"/>
      <c r="H52" s="78"/>
      <c r="I52" s="78"/>
      <c r="J52" s="81"/>
      <c r="K52" s="81"/>
      <c r="L52" s="78"/>
      <c r="M52" s="78"/>
      <c r="N52" s="80"/>
      <c r="O52" s="72"/>
      <c r="P52" s="72"/>
    </row>
    <row r="53" spans="3:16" x14ac:dyDescent="0.25">
      <c r="C53" s="72"/>
      <c r="D53" s="76"/>
      <c r="E53" s="77"/>
      <c r="F53" s="78"/>
      <c r="G53" s="78"/>
      <c r="H53" s="78"/>
      <c r="I53" s="78"/>
      <c r="J53" s="81"/>
      <c r="K53" s="81"/>
      <c r="L53" s="78"/>
      <c r="M53" s="78"/>
      <c r="N53" s="80"/>
      <c r="O53" s="72"/>
      <c r="P53" s="72"/>
    </row>
    <row r="54" spans="3:16" x14ac:dyDescent="0.25">
      <c r="C54" s="72"/>
      <c r="D54" s="76"/>
      <c r="E54" s="77"/>
      <c r="F54" s="78"/>
      <c r="G54" s="78"/>
      <c r="H54" s="78"/>
      <c r="I54" s="78"/>
      <c r="J54" s="81"/>
      <c r="K54" s="81"/>
      <c r="L54" s="78"/>
      <c r="M54" s="78"/>
      <c r="N54" s="80"/>
      <c r="O54" s="72"/>
      <c r="P54" s="72"/>
    </row>
    <row r="55" spans="3:16" x14ac:dyDescent="0.25">
      <c r="C55" s="72"/>
      <c r="D55" s="76"/>
      <c r="E55" s="77"/>
      <c r="F55" s="78"/>
      <c r="G55" s="78"/>
      <c r="H55" s="78"/>
      <c r="I55" s="78"/>
      <c r="J55" s="81"/>
      <c r="K55" s="81"/>
      <c r="L55" s="78"/>
      <c r="M55" s="78"/>
      <c r="N55" s="80"/>
      <c r="O55" s="72"/>
      <c r="P55" s="72"/>
    </row>
    <row r="56" spans="3:16" ht="15.75" thickBot="1" x14ac:dyDescent="0.3">
      <c r="C56" s="72"/>
      <c r="D56" s="82"/>
      <c r="E56" s="83"/>
      <c r="F56" s="84"/>
      <c r="G56" s="84"/>
      <c r="H56" s="84"/>
      <c r="I56" s="84"/>
      <c r="J56" s="85"/>
      <c r="K56" s="85"/>
      <c r="L56" s="84"/>
      <c r="M56" s="84"/>
      <c r="N56" s="86"/>
      <c r="O56" s="72"/>
      <c r="P56" s="72"/>
    </row>
  </sheetData>
  <sortState xmlns:xlrd2="http://schemas.microsoft.com/office/spreadsheetml/2017/richdata2" ref="V3:AF20">
    <sortCondition ref="W3"/>
  </sortState>
  <mergeCells count="3">
    <mergeCell ref="Q1:T1"/>
    <mergeCell ref="V1:AF1"/>
    <mergeCell ref="D1:N2"/>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v>44957</v>
      </c>
      <c r="B1" s="53" t="str">
        <f>IF(WEEKDAY(DATE(CalYear,MATCH($A$4,CalMonths,0),1))=1,DATE(CalYear,MATCH($A$4,CalMonths,0),1),"")</f>
        <v/>
      </c>
      <c r="C1" s="53" t="str">
        <f>IF(B1&lt;&gt;"",B1+1,IF(WEEKDAY(DATE(CalYear,MATCH($A$4,CalMonths,0),1))=2,DATE(CalYear,MATCH($A$4,CalMonths,0),1),""))</f>
        <v/>
      </c>
      <c r="D1" s="53" t="str">
        <f>IF(C1&lt;&gt;"",C1+1,IF(WEEKDAY(DATE(CalYear,MATCH($A$4,CalMonths,0),1))=3,DATE(CalYear,MATCH($A$4,CalMonths,0),1),""))</f>
        <v/>
      </c>
      <c r="E1" s="53">
        <f>IF(D1&lt;&gt;"",D1+1,IF(WEEKDAY(DATE(CalYear,MATCH($A$4,CalMonths,0),1))=4,DATE(CalYear,MATCH($A$4,CalMonths,0),1),""))</f>
        <v>44958</v>
      </c>
      <c r="F1" s="53">
        <f>IF(E1&lt;&gt;"",E1+1,IF(WEEKDAY(DATE(CalYear,MATCH($A$4,CalMonths,0),1))=5,DATE(CalYear,MATCH($A$4,CalMonths,0),1),""))</f>
        <v>44959</v>
      </c>
      <c r="G1" s="53">
        <f>IF(F1&lt;&gt;"",F1+1,IF(WEEKDAY(DATE(CalYear,MATCH($A$4,CalMonths,0),1))=6,DATE(CalYear,MATCH($A$4,CalMonths,0),1),""))</f>
        <v>44960</v>
      </c>
      <c r="H1" s="53">
        <f>IF(G1&lt;&gt;"",G1+1,IF(WEEKDAY(DATE(CalYear,MATCH($A$4,CalMonths,0),1))=7,DATE(CalYear,MATCH($A$4,CalMonths,0),1),""))</f>
        <v>44961</v>
      </c>
    </row>
    <row r="2" spans="1:8" x14ac:dyDescent="0.25">
      <c r="A2">
        <v>2023</v>
      </c>
      <c r="B2" s="53">
        <f>H1+1</f>
        <v>44962</v>
      </c>
      <c r="C2" s="53">
        <f>B2+1</f>
        <v>44963</v>
      </c>
      <c r="D2" s="53">
        <f t="shared" ref="D2:H2" si="0">C2+1</f>
        <v>44964</v>
      </c>
      <c r="E2" s="53">
        <f t="shared" si="0"/>
        <v>44965</v>
      </c>
      <c r="F2" s="53">
        <f t="shared" si="0"/>
        <v>44966</v>
      </c>
      <c r="G2" s="53">
        <f t="shared" si="0"/>
        <v>44967</v>
      </c>
      <c r="H2" s="53">
        <f t="shared" si="0"/>
        <v>44968</v>
      </c>
    </row>
    <row r="3" spans="1:8" x14ac:dyDescent="0.25">
      <c r="A3">
        <v>2</v>
      </c>
      <c r="B3" s="53">
        <f t="shared" ref="B3:B4" si="1">H2+1</f>
        <v>44969</v>
      </c>
      <c r="C3" s="53">
        <f t="shared" ref="C3:H3" si="2">B3+1</f>
        <v>44970</v>
      </c>
      <c r="D3" s="53">
        <f t="shared" si="2"/>
        <v>44971</v>
      </c>
      <c r="E3" s="53">
        <f t="shared" si="2"/>
        <v>44972</v>
      </c>
      <c r="F3" s="53">
        <f t="shared" si="2"/>
        <v>44973</v>
      </c>
      <c r="G3" s="53">
        <f t="shared" si="2"/>
        <v>44974</v>
      </c>
      <c r="H3" s="53">
        <f t="shared" si="2"/>
        <v>44975</v>
      </c>
    </row>
    <row r="4" spans="1:8" x14ac:dyDescent="0.25">
      <c r="A4" t="str">
        <f>INDEX(CalMonths,A3,)</f>
        <v>February</v>
      </c>
      <c r="B4" s="53">
        <f t="shared" si="1"/>
        <v>44976</v>
      </c>
      <c r="C4" s="53">
        <f t="shared" ref="C4:H4" si="3">B4+1</f>
        <v>44977</v>
      </c>
      <c r="D4" s="53">
        <f t="shared" si="3"/>
        <v>44978</v>
      </c>
      <c r="E4" s="53">
        <f t="shared" si="3"/>
        <v>44979</v>
      </c>
      <c r="F4" s="53">
        <f t="shared" si="3"/>
        <v>44980</v>
      </c>
      <c r="G4" s="53">
        <f t="shared" si="3"/>
        <v>44981</v>
      </c>
      <c r="H4" s="53">
        <f t="shared" si="3"/>
        <v>44982</v>
      </c>
    </row>
    <row r="5" spans="1:8" x14ac:dyDescent="0.25">
      <c r="A5" t="str">
        <f>A4&amp;" "&amp;CalYear</f>
        <v>February 2023</v>
      </c>
      <c r="B5" s="53">
        <f>IF(OR(H4="",MONTH(H4+1)&lt;&gt;$A$3),"",H4+1)</f>
        <v>44983</v>
      </c>
      <c r="C5" s="53">
        <f>IFERROR(IF(MONTH(B5+1)&lt;&gt;$A$3,"",B5+1),"")</f>
        <v>44984</v>
      </c>
      <c r="D5" s="53">
        <f t="shared" ref="D5:H5" si="4">IFERROR(IF(MONTH(C5+1)&lt;&gt;$A$3,"",C5+1),"")</f>
        <v>44985</v>
      </c>
      <c r="E5" s="53" t="str">
        <f t="shared" si="4"/>
        <v/>
      </c>
      <c r="F5" s="53" t="str">
        <f t="shared" si="4"/>
        <v/>
      </c>
      <c r="G5" s="53" t="str">
        <f t="shared" si="4"/>
        <v/>
      </c>
      <c r="H5" s="53" t="str">
        <f t="shared" si="4"/>
        <v/>
      </c>
    </row>
    <row r="6" spans="1:8" x14ac:dyDescent="0.25">
      <c r="A6">
        <f ca="1">SUM(B6:H6)</f>
        <v>0</v>
      </c>
      <c r="B6" s="53" t="str">
        <f>IFERROR(IF(OR(H5="",MONTH(H5+1)&lt;&gt;$A$3),"",H5+1),"")</f>
        <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t="str">
        <f ca="1">IFERROR(INDIRECT(ADDRESS(SUMPRODUCT((B1:H6=A1)*ROW(B1:H6))+6,SUMPRODUCT((B1:H6=A1)*COLUMN(B1:H6)),1,1)),"")</f>
        <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07" customWidth="1"/>
    <col min="2" max="2" width="11.42578125" style="106"/>
    <col min="3" max="3" width="16.85546875" style="105" bestFit="1" customWidth="1"/>
    <col min="4" max="4" width="37.7109375" bestFit="1" customWidth="1"/>
  </cols>
  <sheetData>
    <row r="1" spans="1:5" x14ac:dyDescent="0.25">
      <c r="A1" s="107" t="s">
        <v>227</v>
      </c>
    </row>
    <row r="2" spans="1:5" x14ac:dyDescent="0.25">
      <c r="B2" s="106" t="s">
        <v>215</v>
      </c>
      <c r="C2" s="105" t="s">
        <v>216</v>
      </c>
      <c r="D2" t="s">
        <v>222</v>
      </c>
      <c r="E2" t="s">
        <v>223</v>
      </c>
    </row>
    <row r="3" spans="1:5" x14ac:dyDescent="0.25">
      <c r="D3" t="s">
        <v>225</v>
      </c>
      <c r="E3" t="s">
        <v>224</v>
      </c>
    </row>
    <row r="4" spans="1:5" x14ac:dyDescent="0.25">
      <c r="D4" t="s">
        <v>226</v>
      </c>
      <c r="E4" t="s">
        <v>223</v>
      </c>
    </row>
    <row r="5" spans="1:5" x14ac:dyDescent="0.25">
      <c r="B5" s="106" t="s">
        <v>217</v>
      </c>
      <c r="C5" s="105" t="s">
        <v>10</v>
      </c>
    </row>
    <row r="6" spans="1:5" x14ac:dyDescent="0.25">
      <c r="B6" s="106" t="s">
        <v>218</v>
      </c>
      <c r="C6" s="105" t="s">
        <v>220</v>
      </c>
    </row>
    <row r="7" spans="1:5" x14ac:dyDescent="0.25">
      <c r="B7" s="106" t="s">
        <v>219</v>
      </c>
      <c r="C7" s="105" t="s">
        <v>221</v>
      </c>
    </row>
    <row r="9" spans="1:5" x14ac:dyDescent="0.25">
      <c r="A9" s="107" t="s">
        <v>228</v>
      </c>
    </row>
    <row r="10" spans="1:5" x14ac:dyDescent="0.25">
      <c r="B10" s="106" t="s">
        <v>229</v>
      </c>
    </row>
    <row r="11" spans="1:5" x14ac:dyDescent="0.25">
      <c r="D11" t="s">
        <v>233</v>
      </c>
      <c r="E11" t="s">
        <v>224</v>
      </c>
    </row>
    <row r="12" spans="1:5" x14ac:dyDescent="0.25">
      <c r="D12" t="s">
        <v>234</v>
      </c>
      <c r="E12" t="s">
        <v>224</v>
      </c>
    </row>
    <row r="13" spans="1:5" x14ac:dyDescent="0.25">
      <c r="B13" s="106"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06" t="s">
        <v>231</v>
      </c>
    </row>
    <row r="77" spans="2:5" x14ac:dyDescent="0.25">
      <c r="D77" t="s">
        <v>296</v>
      </c>
    </row>
    <row r="78" spans="2:5" x14ac:dyDescent="0.25">
      <c r="D78" t="s">
        <v>297</v>
      </c>
    </row>
    <row r="79" spans="2:5" x14ac:dyDescent="0.25">
      <c r="B79" s="106"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2023-09-27T17:44:28Z</dcterms:modified>
</cp:coreProperties>
</file>