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9cfcb927093c144/_P E R S O N N E L/7_FORMATION/VBA pour EXCEL/"/>
    </mc:Choice>
  </mc:AlternateContent>
  <xr:revisionPtr revIDLastSave="2200" documentId="8_{7C4DD9EB-DBF5-4DF4-9489-EF598FBC7A6C}" xr6:coauthVersionLast="47" xr6:coauthVersionMax="47" xr10:uidLastSave="{D91FF214-1C86-4C1C-B9DB-701111654E85}"/>
  <bookViews>
    <workbookView xWindow="-108" yWindow="-108" windowWidth="23256" windowHeight="12576" activeTab="1" xr2:uid="{89DA8244-8C83-4FCA-9FCF-C8D71646EB25}"/>
  </bookViews>
  <sheets>
    <sheet name="Menu" sheetId="1" r:id="rId1"/>
    <sheet name="Heures" sheetId="2" r:id="rId2"/>
    <sheet name="HeuresFiltered" sheetId="5" r:id="rId3"/>
    <sheet name="Listes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" i="2" l="1"/>
  <c r="A37" i="2"/>
  <c r="A36" i="2"/>
  <c r="A35" i="2"/>
  <c r="A34" i="2"/>
  <c r="A33" i="2"/>
  <c r="A32" i="2"/>
  <c r="A31" i="2"/>
  <c r="A30" i="2"/>
  <c r="A29" i="2"/>
  <c r="A28" i="2"/>
  <c r="A27" i="2"/>
  <c r="A25" i="2"/>
  <c r="A26" i="2"/>
  <c r="A24" i="2"/>
  <c r="A23" i="2"/>
  <c r="A22" i="2"/>
  <c r="A21" i="2"/>
  <c r="A19" i="2"/>
  <c r="A20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<sst xmlns="http://schemas.openxmlformats.org/spreadsheetml/2006/main" count="210" uniqueCount="99">
  <si>
    <t>ID</t>
  </si>
  <si>
    <t>Robert M. Vigneault</t>
  </si>
  <si>
    <t>Guillaume Charron</t>
  </si>
  <si>
    <t>Professionnel</t>
  </si>
  <si>
    <t>Date</t>
  </si>
  <si>
    <t>Client</t>
  </si>
  <si>
    <t>Description</t>
  </si>
  <si>
    <t>Heure</t>
  </si>
  <si>
    <t>Facturée</t>
  </si>
  <si>
    <t>Date Saisie</t>
  </si>
  <si>
    <t>Date Facturée</t>
  </si>
  <si>
    <t>GC</t>
  </si>
  <si>
    <t>Prenom et nom</t>
  </si>
  <si>
    <t>RMV</t>
  </si>
  <si>
    <t>Marie-France Danault</t>
  </si>
  <si>
    <t>Adresse</t>
  </si>
  <si>
    <t>Ville</t>
  </si>
  <si>
    <t>Code Postal</t>
  </si>
  <si>
    <t>Province</t>
  </si>
  <si>
    <t>9299-2585 Québec inc.</t>
  </si>
  <si>
    <t>15 chemin des Mésanges</t>
  </si>
  <si>
    <t>Mansonville</t>
  </si>
  <si>
    <t>J0E 1X0</t>
  </si>
  <si>
    <t>QC</t>
  </si>
  <si>
    <t>Les logiciels INFORMAT inc.</t>
  </si>
  <si>
    <t>1 Place du Commerce, bureau 500</t>
  </si>
  <si>
    <t>Verdun</t>
  </si>
  <si>
    <t>H3E 1A2</t>
  </si>
  <si>
    <t>Aucun commentaire</t>
  </si>
  <si>
    <t>Commentaire / Note</t>
  </si>
  <si>
    <t>Analyser et optimiser la rémunération de Robert pour 2023 et fournir directives par courriel.</t>
  </si>
  <si>
    <t>Aucun</t>
  </si>
  <si>
    <t>Sans saisie de date</t>
  </si>
  <si>
    <t>Pas d'idée</t>
  </si>
  <si>
    <t>Test avec un nouveau professionnel</t>
  </si>
  <si>
    <t>Euh....</t>
  </si>
  <si>
    <t>Autre client</t>
  </si>
  <si>
    <t>9299-2596 Québec inc.</t>
  </si>
  <si>
    <t>218, 48ème Avenue</t>
  </si>
  <si>
    <t>Lachine</t>
  </si>
  <si>
    <t>H1H 2R2</t>
  </si>
  <si>
    <t>PG Solutions</t>
  </si>
  <si>
    <t>Huwiz Solutions inc.</t>
  </si>
  <si>
    <t>298 rue de Martigny O, bureau 200</t>
  </si>
  <si>
    <t>Saint-Jérôme</t>
  </si>
  <si>
    <t>J7Y 4C9</t>
  </si>
  <si>
    <t>Recherche de la jurisprudence sur la vente d'entreprise</t>
  </si>
  <si>
    <t>Site divers</t>
  </si>
  <si>
    <t>Première rencontre pour prendre connaissance de l'organigramme des entreprises liées à PG Solutions.</t>
  </si>
  <si>
    <t>Déplacement à Ottawa</t>
  </si>
  <si>
    <t>VRAI</t>
  </si>
  <si>
    <t>FAUX</t>
  </si>
  <si>
    <t>Encore du bla bla</t>
  </si>
  <si>
    <t>Sans commentaire</t>
  </si>
  <si>
    <t>Première charge pour ce client</t>
  </si>
  <si>
    <t>Test</t>
  </si>
  <si>
    <t>Test du commentaire modifié</t>
  </si>
  <si>
    <t>2023-02-22 09:57</t>
  </si>
  <si>
    <t>Test de l'activité</t>
  </si>
  <si>
    <t>Ma compagnie préférée</t>
  </si>
  <si>
    <t>Pertinent ?</t>
  </si>
  <si>
    <t>Première des deux compagnies de gestion</t>
  </si>
  <si>
    <t>A</t>
  </si>
  <si>
    <t>Test avec le format de date</t>
  </si>
  <si>
    <t>Un petit coup de main de la part de Marie-France</t>
  </si>
  <si>
    <t>2023-02-22 10:30</t>
  </si>
  <si>
    <t>Prof.</t>
  </si>
  <si>
    <t>Fact ?</t>
  </si>
  <si>
    <t>Test sans professionnel et sans date</t>
  </si>
  <si>
    <t>2023-02-22 10:41</t>
  </si>
  <si>
    <t>Appel téléphonique avec Martyne</t>
  </si>
  <si>
    <t>Questions diverses</t>
  </si>
  <si>
    <t>Overflow</t>
  </si>
  <si>
    <t>test</t>
  </si>
  <si>
    <t>2023-02-22 10:50</t>
  </si>
  <si>
    <t>Test du format de date</t>
  </si>
  <si>
    <t>2023-02-23 10:19</t>
  </si>
  <si>
    <t>Test avec filtre activé</t>
  </si>
  <si>
    <t>Autre test, modifié</t>
  </si>
  <si>
    <t>2023-02-23 12:39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</si>
  <si>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</si>
  <si>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</si>
  <si>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</si>
  <si>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</si>
  <si>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</si>
  <si>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MFP</t>
  </si>
  <si>
    <t>Premier test du 24 février</t>
  </si>
  <si>
    <t>Test après le bug</t>
  </si>
  <si>
    <t>Test après le bug d'affichage</t>
  </si>
  <si>
    <t>Une autre intervention à la demande de Robert</t>
  </si>
  <si>
    <t>Activité modifié en mode modification</t>
  </si>
  <si>
    <t>Test après le bug d'affichage de date sur double click</t>
  </si>
  <si>
    <t>Test après validation du format des heures</t>
  </si>
  <si>
    <t>Première utilisation de l'application</t>
  </si>
  <si>
    <t>Première charge de Guillaume pour le 24 février</t>
  </si>
  <si>
    <t>Dernier avis sur les réformes à venir</t>
  </si>
  <si>
    <t>2,25</t>
  </si>
  <si>
    <t>Tests avec la validation de date</t>
  </si>
  <si>
    <t>1,00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</si>
</sst>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0.00"/>
    <numFmt numFmtId="165" formatCode="#,##0.00\ _$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center" vertical="top"/>
    </xf>
    <xf numFmtId="22" fontId="0" fillId="0" borderId="0" xfId="0" applyNumberFormat="1" applyAlignment="1">
      <alignment horizontal="center" vertical="top"/>
    </xf>
    <xf numFmtId="22" fontId="0" fillId="0" borderId="0" xfId="0" applyNumberFormat="1" applyAlignment="1">
      <alignment horizontal="left" vertical="top"/>
    </xf>
    <xf numFmtId="14" fontId="1" fillId="2" borderId="0" xfId="0" applyNumberFormat="1" applyFont="1" applyFill="1" applyAlignment="1">
      <alignment horizontal="center" vertical="top"/>
    </xf>
    <xf numFmtId="0" fontId="3" fillId="2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left" vertical="top"/>
    </xf>
    <xf numFmtId="14" fontId="3" fillId="2" borderId="2" xfId="0" applyNumberFormat="1" applyFont="1" applyFill="1" applyBorder="1" applyAlignment="1">
      <alignment horizontal="center" vertical="top"/>
    </xf>
    <xf numFmtId="0" fontId="3" fillId="2" borderId="2" xfId="0" applyFont="1" applyFill="1" applyBorder="1" applyAlignment="1">
      <alignment vertical="top"/>
    </xf>
    <xf numFmtId="0" fontId="3" fillId="2" borderId="2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vertical="top"/>
    </xf>
    <xf numFmtId="164" fontId="0" fillId="0" borderId="0" xfId="0" applyNumberFormat="1"/>
    <xf numFmtId="165" fontId="1" fillId="2" borderId="0" xfId="0" applyNumberFormat="1" applyFont="1" applyFill="1" applyAlignment="1">
      <alignment horizontal="center" vertical="top"/>
    </xf>
    <xf numFmtId="165" fontId="0" fillId="0" borderId="0" xfId="0" applyNumberFormat="1" applyAlignment="1">
      <alignment horizontal="center" vertical="top"/>
    </xf>
    <xf numFmtId="165" fontId="3" fillId="2" borderId="2" xfId="0" applyNumberFormat="1" applyFont="1" applyFill="1" applyBorder="1" applyAlignment="1">
      <alignment horizontal="center" vertical="top"/>
    </xf>
    <xf numFmtId="0" fontId="0" fillId="3" borderId="1" xfId="0" applyFont="1" applyFill="1" applyBorder="1" applyAlignment="1">
      <alignment horizontal="center" vertical="top"/>
    </xf>
    <xf numFmtId="0" fontId="0" fillId="3" borderId="2" xfId="0" applyFont="1" applyFill="1" applyBorder="1" applyAlignment="1">
      <alignment horizontal="left" vertical="top"/>
    </xf>
    <xf numFmtId="14" fontId="0" fillId="3" borderId="2" xfId="0" applyNumberFormat="1" applyFont="1" applyFill="1" applyBorder="1" applyAlignment="1">
      <alignment horizontal="center" vertical="top"/>
    </xf>
    <xf numFmtId="0" fontId="0" fillId="3" borderId="2" xfId="0" applyFont="1" applyFill="1" applyBorder="1" applyAlignment="1">
      <alignment vertical="top"/>
    </xf>
    <xf numFmtId="165" fontId="0" fillId="3" borderId="2" xfId="0" applyNumberFormat="1" applyFont="1" applyFill="1" applyBorder="1" applyAlignment="1">
      <alignment horizontal="center" vertical="top"/>
    </xf>
    <xf numFmtId="22" fontId="0" fillId="3" borderId="2" xfId="0" applyNumberFormat="1" applyFont="1" applyFill="1" applyBorder="1" applyAlignment="1">
      <alignment horizontal="left" vertical="top"/>
    </xf>
    <xf numFmtId="0" fontId="0" fillId="3" borderId="2" xfId="0" applyFont="1" applyFill="1" applyBorder="1" applyAlignment="1">
      <alignment horizontal="center" vertical="top"/>
    </xf>
    <xf numFmtId="22" fontId="0" fillId="3" borderId="2" xfId="0" applyNumberFormat="1" applyFont="1" applyFill="1" applyBorder="1" applyAlignment="1">
      <alignment horizontal="center" vertical="top"/>
    </xf>
    <xf numFmtId="0" fontId="0" fillId="3" borderId="3" xfId="0" applyFont="1" applyFill="1" applyBorder="1" applyAlignment="1">
      <alignment vertical="top"/>
    </xf>
    <xf numFmtId="0" fontId="0" fillId="0" borderId="1" xfId="0" applyFont="1" applyBorder="1" applyAlignment="1">
      <alignment horizontal="center" vertical="top"/>
    </xf>
    <xf numFmtId="0" fontId="0" fillId="0" borderId="2" xfId="0" applyFont="1" applyBorder="1" applyAlignment="1">
      <alignment horizontal="left" vertical="top"/>
    </xf>
    <xf numFmtId="14" fontId="0" fillId="0" borderId="2" xfId="0" applyNumberFormat="1" applyFont="1" applyBorder="1" applyAlignment="1">
      <alignment horizontal="center" vertical="top"/>
    </xf>
    <xf numFmtId="0" fontId="0" fillId="0" borderId="2" xfId="0" applyFont="1" applyBorder="1" applyAlignment="1">
      <alignment vertical="top"/>
    </xf>
    <xf numFmtId="165" fontId="0" fillId="0" borderId="2" xfId="0" applyNumberFormat="1" applyFont="1" applyBorder="1" applyAlignment="1">
      <alignment horizontal="center" vertical="top"/>
    </xf>
    <xf numFmtId="22" fontId="0" fillId="0" borderId="2" xfId="0" applyNumberFormat="1" applyFont="1" applyBorder="1" applyAlignment="1">
      <alignment horizontal="left" vertical="top"/>
    </xf>
    <xf numFmtId="0" fontId="0" fillId="0" borderId="2" xfId="0" applyFont="1" applyBorder="1" applyAlignment="1">
      <alignment horizontal="center" vertical="top"/>
    </xf>
    <xf numFmtId="22" fontId="0" fillId="0" borderId="2" xfId="0" applyNumberFormat="1" applyFont="1" applyBorder="1" applyAlignment="1">
      <alignment horizontal="center" vertical="top"/>
    </xf>
    <xf numFmtId="0" fontId="0" fillId="0" borderId="3" xfId="0" applyFont="1" applyBorder="1" applyAlignment="1">
      <alignment vertical="top"/>
    </xf>
    <xf numFmtId="2" fontId="0" fillId="0" borderId="0" xfId="0" applyNumberFormat="1" applyAlignment="1">
      <alignment horizontal="center" vertical="top"/>
    </xf>
  </cellXfs>
  <cellStyles count="1">
    <cellStyle name="Normal" xfId="0" builtinId="0"/>
  </cellStyles>
  <dxfs count="26">
    <dxf>
      <font>
        <b val="0"/>
      </font>
      <numFmt numFmtId="2" formatCode="0.00"/>
      <alignment horizontal="center" vertical="top" textRotation="0" wrapText="0" indent="0" justifyLastLine="0" shrinkToFit="0" readingOrder="0"/>
    </dxf>
    <dxf>
      <font>
        <b val="0"/>
      </font>
      <numFmt numFmtId="27" formatCode="yyyy/mm/dd\ hh:mm"/>
      <alignment horizontal="left" vertical="top" textRotation="0" wrapText="0" indent="0" justifyLastLine="0" shrinkToFit="0" readingOrder="0"/>
    </dxf>
    <dxf>
      <font>
        <b val="0"/>
      </font>
      <alignment horizontal="general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</font>
      <numFmt numFmtId="0" formatCode="General"/>
      <alignment horizontal="center" vertical="top" textRotation="0" wrapText="0" indent="0" justifyLastLine="0" shrinkToFit="0" readingOrder="0"/>
    </dxf>
    <dxf>
      <font>
        <b val="0"/>
      </font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vertical="top" textRotation="0" indent="0" justifyLastLine="0" shrinkToFit="0" readingOrder="0"/>
    </dxf>
  </dxfs>
  <tableStyles count="1" defaultTableStyle="TableStyleMedium2" defaultPivotStyle="PivotStyleLight16">
    <tableStyle name="Invisible" pivot="0" table="0" count="0" xr9:uid="{B19D6A57-7110-442F-9B44-03C12D5D3BF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1</xdr:row>
          <xdr:rowOff>121920</xdr:rowOff>
        </xdr:from>
        <xdr:to>
          <xdr:col>3</xdr:col>
          <xdr:colOff>670560</xdr:colOff>
          <xdr:row>5</xdr:row>
          <xdr:rowOff>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B29704-53CD-4F35-BB39-530587131013}" name="tCharges" displayName="tCharges" ref="A1:K68" totalsRowShown="0" headerRowDxfId="25" dataDxfId="24" totalsRowDxfId="23">
  <autoFilter ref="A1:K68" xr:uid="{53B29704-53CD-4F35-BB39-530587131013}"/>
  <tableColumns count="11">
    <tableColumn id="1" xr3:uid="{60338EDA-1957-42E3-90B9-509ABBEDAA46}" name="ID" dataDxfId="22" totalsRowDxfId="21">
      <calculatedColumnFormula>ROW()-1</calculatedColumnFormula>
    </tableColumn>
    <tableColumn id="2" xr3:uid="{F3C87277-378D-476B-8B7A-218EA8F47B7A}" name="Prof." dataDxfId="20" totalsRowDxfId="19"/>
    <tableColumn id="3" xr3:uid="{E21D75AB-5E62-433E-9E5B-513B0D5FEDD1}" name="Date" dataDxfId="18" totalsRowDxfId="17"/>
    <tableColumn id="4" xr3:uid="{DE81D7A8-2190-4EF5-AF2C-9A5D0E8D4A09}" name="Client" dataDxfId="16" totalsRowDxfId="15"/>
    <tableColumn id="5" xr3:uid="{1FF6A0DF-EBB7-41DB-AE18-51C5278CBE41}" name="Description" dataDxfId="2" totalsRowDxfId="14"/>
    <tableColumn id="6" xr3:uid="{1E541307-C9D9-4647-AA7C-725BF87C32BD}" name="Heure" dataDxfId="0" totalsRowDxfId="13"/>
    <tableColumn id="11" xr3:uid="{973AFF43-77B8-4BCA-863C-E8430A6F0BBD}" name="Commentaire / Note" dataDxfId="1" totalsRowDxfId="12"/>
    <tableColumn id="7" xr3:uid="{E71133DD-027B-4D7D-842B-CD69C338CF96}" name="Fact ?" dataDxfId="11" totalsRowDxfId="10"/>
    <tableColumn id="9" xr3:uid="{93660B38-0C54-4AB2-9DD2-226A037A6330}" name="Date Saisie" dataDxfId="9" totalsRowDxfId="8"/>
    <tableColumn id="8" xr3:uid="{86B70A7E-5592-4D7E-8404-0E2CE1CFD66B}" name="Facturée" dataDxfId="7" totalsRowDxfId="6"/>
    <tableColumn id="10" xr3:uid="{086F2C79-AA5A-4B23-9E44-4D78A24F3037}" name="Date Facturée" dataDxfId="5" totalsRow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D5D6E4-E098-4773-B042-F44EC46BBB57}" name="tProfessionnel" displayName="tProfessionnel" ref="A1:B4" totalsRowShown="0">
  <autoFilter ref="A1:B4" xr:uid="{9BD5D6E4-E098-4773-B042-F44EC46BBB57}"/>
  <tableColumns count="2">
    <tableColumn id="1" xr3:uid="{25C164A9-0CEF-4670-A970-9E114DD2AD71}" name="Professionnel" dataDxfId="3"/>
    <tableColumn id="2" xr3:uid="{0CFD6F81-FEE3-46D0-B585-1E9C6ACF5BB3}" name="Prenom et n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7AF4-48C2-418C-91C9-4991C6B402F4}" name="tClient" displayName="tClient" ref="D1:H6" totalsRowShown="0">
  <autoFilter ref="D1:H6" xr:uid="{F7167AF4-48C2-418C-91C9-4991C6B402F4}"/>
  <sortState xmlns:xlrd2="http://schemas.microsoft.com/office/spreadsheetml/2017/richdata2" ref="D2:H6">
    <sortCondition ref="D2:D6"/>
  </sortState>
  <tableColumns count="5">
    <tableColumn id="1" xr3:uid="{D0797F4A-ADC2-4BCA-BDE4-CF73199A281C}" name="Client"/>
    <tableColumn id="3" xr3:uid="{9AB351FF-F3F7-42BF-BE29-2C525DB6DDA2}" name="Adresse"/>
    <tableColumn id="4" xr3:uid="{F6FB0569-B504-476A-A72F-A026F703DAF3}" name="Ville"/>
    <tableColumn id="5" xr3:uid="{6CD32F44-E19B-405E-9357-234F7D1F0AC2}" name="Code Postal"/>
    <tableColumn id="6" xr3:uid="{2F11F4D5-A02F-4F10-9B12-AF7E15EFD115}" name="Provi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5CD3-EFA2-4DF3-BF33-A7381A3FA2E7}">
  <sheetPr codeName="Feuil1"/>
  <dimension ref="A1"/>
  <sheetViews>
    <sheetView workbookViewId="0">
      <selection activeCell="I7" sqref="I7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defaultSize="0" autoLine="0" r:id="rId4">
            <anchor moveWithCells="1">
              <from>
                <xdr:col>0</xdr:col>
                <xdr:colOff>609600</xdr:colOff>
                <xdr:row>1</xdr:row>
                <xdr:rowOff>121920</xdr:rowOff>
              </from>
              <to>
                <xdr:col>3</xdr:col>
                <xdr:colOff>670560</xdr:colOff>
                <xdr:row>5</xdr:row>
                <xdr:rowOff>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B8FB-59A5-4CB0-98B7-0FC0CD784849}">
  <sheetPr codeName="Feuil2"/>
  <dimension ref="A1:K68"/>
  <sheetViews>
    <sheetView tabSelected="1" topLeftCell="A19" workbookViewId="0">
      <selection activeCell="F38" sqref="F19:F38"/>
    </sheetView>
  </sheetViews>
  <sheetFormatPr baseColWidth="10" defaultRowHeight="14.4" x14ac:dyDescent="0.3"/>
  <cols>
    <col min="1" max="1" width="7" style="6" customWidth="1"/>
    <col min="2" max="2" width="6.5546875" style="7" customWidth="1"/>
    <col min="3" max="3" width="10.33203125" style="8" bestFit="1" customWidth="1"/>
    <col min="4" max="4" width="26.77734375" style="5" bestFit="1" customWidth="1"/>
    <col min="5" max="5" width="58.44140625" style="5" customWidth="1"/>
    <col min="6" max="6" width="7.88671875" style="20" customWidth="1"/>
    <col min="7" max="7" width="24.33203125" style="7" customWidth="1"/>
    <col min="8" max="8" width="7.6640625" customWidth="1"/>
    <col min="9" max="9" width="15.33203125" style="6" bestFit="1" customWidth="1"/>
    <col min="10" max="10" width="8.77734375" style="6" customWidth="1"/>
    <col min="11" max="11" width="11.5546875" style="6"/>
    <col min="12" max="16384" width="11.5546875" style="5"/>
  </cols>
  <sheetData>
    <row r="1" spans="1:11" ht="19.95" customHeight="1" x14ac:dyDescent="0.3">
      <c r="A1" s="2" t="s">
        <v>0</v>
      </c>
      <c r="B1" s="3" t="s">
        <v>66</v>
      </c>
      <c r="C1" s="11" t="s">
        <v>4</v>
      </c>
      <c r="D1" s="4" t="s">
        <v>5</v>
      </c>
      <c r="E1" s="4" t="s">
        <v>6</v>
      </c>
      <c r="F1" s="19" t="s">
        <v>7</v>
      </c>
      <c r="G1" s="3" t="s">
        <v>29</v>
      </c>
      <c r="H1" s="2" t="s">
        <v>67</v>
      </c>
      <c r="I1" s="2" t="s">
        <v>9</v>
      </c>
      <c r="J1" s="2" t="s">
        <v>8</v>
      </c>
      <c r="K1" s="4" t="s">
        <v>10</v>
      </c>
    </row>
    <row r="2" spans="1:11" x14ac:dyDescent="0.3">
      <c r="A2" s="6">
        <f t="shared" ref="A2" si="0">ROW()-1</f>
        <v>1</v>
      </c>
      <c r="B2" s="7" t="s">
        <v>11</v>
      </c>
      <c r="C2" s="8">
        <v>44976</v>
      </c>
      <c r="D2" s="5" t="s">
        <v>19</v>
      </c>
      <c r="E2" s="5" t="s">
        <v>30</v>
      </c>
      <c r="F2" s="40">
        <v>1.4</v>
      </c>
      <c r="G2" s="10" t="s">
        <v>28</v>
      </c>
      <c r="H2" s="6" t="b">
        <v>1</v>
      </c>
      <c r="I2" s="9">
        <v>44976.765347222223</v>
      </c>
      <c r="J2" s="6" t="b">
        <v>0</v>
      </c>
      <c r="K2" s="5"/>
    </row>
    <row r="3" spans="1:11" x14ac:dyDescent="0.3">
      <c r="A3" s="6">
        <f t="shared" ref="A3:A21" si="1">ROW()-1</f>
        <v>2</v>
      </c>
      <c r="B3" s="7" t="s">
        <v>11</v>
      </c>
      <c r="C3" s="8">
        <v>44979</v>
      </c>
      <c r="D3" s="5" t="s">
        <v>24</v>
      </c>
      <c r="E3" s="5" t="s">
        <v>93</v>
      </c>
      <c r="F3" s="40">
        <v>1.5</v>
      </c>
      <c r="G3" s="10" t="s">
        <v>31</v>
      </c>
      <c r="H3" s="6" t="b">
        <v>1</v>
      </c>
      <c r="I3" s="9">
        <v>44981.475532407407</v>
      </c>
      <c r="J3" s="6" t="b">
        <v>0</v>
      </c>
      <c r="K3" s="5"/>
    </row>
    <row r="4" spans="1:11" x14ac:dyDescent="0.3">
      <c r="A4" s="6">
        <f t="shared" si="1"/>
        <v>3</v>
      </c>
      <c r="B4" s="7" t="s">
        <v>11</v>
      </c>
      <c r="C4" s="8">
        <v>44979</v>
      </c>
      <c r="D4" s="5" t="s">
        <v>19</v>
      </c>
      <c r="E4" s="5" t="s">
        <v>32</v>
      </c>
      <c r="F4" s="40">
        <v>2</v>
      </c>
      <c r="G4" s="10" t="s">
        <v>33</v>
      </c>
      <c r="H4" s="6" t="b">
        <v>1</v>
      </c>
      <c r="I4" s="9">
        <v>44979.379212962966</v>
      </c>
      <c r="J4" s="6" t="b">
        <v>0</v>
      </c>
      <c r="K4" s="5"/>
    </row>
    <row r="5" spans="1:11" x14ac:dyDescent="0.3">
      <c r="A5" s="6">
        <f t="shared" si="1"/>
        <v>4</v>
      </c>
      <c r="B5" s="7" t="s">
        <v>13</v>
      </c>
      <c r="C5" s="8">
        <v>44979</v>
      </c>
      <c r="D5" s="5" t="s">
        <v>24</v>
      </c>
      <c r="E5" s="5" t="s">
        <v>34</v>
      </c>
      <c r="F5" s="40">
        <v>0.4</v>
      </c>
      <c r="G5" s="10" t="s">
        <v>35</v>
      </c>
      <c r="H5" s="6" t="b">
        <v>1</v>
      </c>
      <c r="I5" s="9">
        <v>44979.429293981484</v>
      </c>
      <c r="J5" s="6" t="b">
        <v>0</v>
      </c>
      <c r="K5" s="5"/>
    </row>
    <row r="6" spans="1:11" x14ac:dyDescent="0.3">
      <c r="A6" s="6">
        <f t="shared" si="1"/>
        <v>5</v>
      </c>
      <c r="B6" s="7" t="s">
        <v>13</v>
      </c>
      <c r="C6" s="8">
        <v>44979</v>
      </c>
      <c r="D6" s="5" t="s">
        <v>19</v>
      </c>
      <c r="E6" s="5" t="s">
        <v>36</v>
      </c>
      <c r="F6" s="40">
        <v>0.5</v>
      </c>
      <c r="G6" s="10"/>
      <c r="H6" s="6" t="b">
        <v>1</v>
      </c>
      <c r="I6" s="9">
        <v>44979.380428240744</v>
      </c>
      <c r="J6" s="6" t="b">
        <v>0</v>
      </c>
      <c r="K6" s="5"/>
    </row>
    <row r="7" spans="1:11" x14ac:dyDescent="0.3">
      <c r="A7" s="6">
        <f t="shared" si="1"/>
        <v>6</v>
      </c>
      <c r="B7" s="7" t="s">
        <v>13</v>
      </c>
      <c r="C7" s="8">
        <v>44978</v>
      </c>
      <c r="D7" s="5" t="s">
        <v>42</v>
      </c>
      <c r="E7" s="5" t="s">
        <v>46</v>
      </c>
      <c r="F7" s="40">
        <v>4</v>
      </c>
      <c r="G7" s="10" t="s">
        <v>47</v>
      </c>
      <c r="H7" s="6" t="b">
        <v>1</v>
      </c>
      <c r="I7" s="9">
        <v>44979.390057870369</v>
      </c>
      <c r="J7" s="6" t="b">
        <v>0</v>
      </c>
      <c r="K7" s="5"/>
    </row>
    <row r="8" spans="1:11" x14ac:dyDescent="0.3">
      <c r="A8" s="6">
        <f t="shared" si="1"/>
        <v>7</v>
      </c>
      <c r="B8" s="7" t="s">
        <v>11</v>
      </c>
      <c r="C8" s="8">
        <v>44978</v>
      </c>
      <c r="D8" s="5" t="s">
        <v>41</v>
      </c>
      <c r="E8" s="5" t="s">
        <v>48</v>
      </c>
      <c r="F8" s="40">
        <v>4</v>
      </c>
      <c r="G8" s="10" t="s">
        <v>49</v>
      </c>
      <c r="H8" s="6" t="b">
        <v>1</v>
      </c>
      <c r="I8" s="9">
        <v>44979.393460648149</v>
      </c>
      <c r="J8" s="6" t="b">
        <v>0</v>
      </c>
      <c r="K8" s="5"/>
    </row>
    <row r="9" spans="1:11" x14ac:dyDescent="0.3">
      <c r="A9" s="6">
        <f t="shared" si="1"/>
        <v>8</v>
      </c>
      <c r="B9" s="7" t="s">
        <v>11</v>
      </c>
      <c r="C9" s="8">
        <v>44979</v>
      </c>
      <c r="D9" s="5" t="s">
        <v>19</v>
      </c>
      <c r="E9" s="5" t="s">
        <v>52</v>
      </c>
      <c r="F9" s="40">
        <v>1</v>
      </c>
      <c r="G9" s="10" t="s">
        <v>53</v>
      </c>
      <c r="H9" s="6" t="b">
        <v>1</v>
      </c>
      <c r="I9" s="9">
        <v>44979.413668981484</v>
      </c>
      <c r="J9" s="6" t="b">
        <v>0</v>
      </c>
      <c r="K9" s="5"/>
    </row>
    <row r="10" spans="1:11" x14ac:dyDescent="0.3">
      <c r="A10" s="6">
        <f t="shared" si="1"/>
        <v>9</v>
      </c>
      <c r="B10" s="7" t="s">
        <v>11</v>
      </c>
      <c r="C10" s="8">
        <v>44977</v>
      </c>
      <c r="D10" s="5" t="s">
        <v>37</v>
      </c>
      <c r="E10" s="5" t="s">
        <v>54</v>
      </c>
      <c r="F10" s="40">
        <v>0.25</v>
      </c>
      <c r="G10" s="10" t="s">
        <v>62</v>
      </c>
      <c r="H10" s="6" t="b">
        <v>1</v>
      </c>
      <c r="I10" s="9">
        <v>44979.43340277778</v>
      </c>
      <c r="J10" s="6" t="b">
        <v>0</v>
      </c>
      <c r="K10" s="5"/>
    </row>
    <row r="11" spans="1:11" x14ac:dyDescent="0.3">
      <c r="A11" s="6">
        <f t="shared" si="1"/>
        <v>10</v>
      </c>
      <c r="B11" s="7" t="s">
        <v>11</v>
      </c>
      <c r="C11" s="8">
        <v>44979</v>
      </c>
      <c r="D11" s="5" t="s">
        <v>41</v>
      </c>
      <c r="E11" s="5" t="s">
        <v>58</v>
      </c>
      <c r="F11" s="40">
        <v>1.25</v>
      </c>
      <c r="G11" s="10" t="s">
        <v>56</v>
      </c>
      <c r="H11" s="6" t="b">
        <v>1</v>
      </c>
      <c r="I11" s="9" t="s">
        <v>57</v>
      </c>
      <c r="J11" s="6" t="s">
        <v>51</v>
      </c>
      <c r="K11" s="5"/>
    </row>
    <row r="12" spans="1:11" x14ac:dyDescent="0.3">
      <c r="A12" s="6">
        <f t="shared" si="1"/>
        <v>11</v>
      </c>
      <c r="B12" s="7" t="s">
        <v>13</v>
      </c>
      <c r="C12" s="8">
        <v>44979</v>
      </c>
      <c r="D12" s="5" t="s">
        <v>19</v>
      </c>
      <c r="E12" s="5" t="s">
        <v>61</v>
      </c>
      <c r="F12" s="40">
        <v>1.75</v>
      </c>
      <c r="G12" s="10"/>
      <c r="H12" s="6" t="b">
        <v>1</v>
      </c>
      <c r="I12" s="9">
        <v>44979.429236111115</v>
      </c>
      <c r="J12" s="6" t="b">
        <v>0</v>
      </c>
      <c r="K12" s="5"/>
    </row>
    <row r="13" spans="1:11" x14ac:dyDescent="0.3">
      <c r="A13" s="6">
        <f t="shared" si="1"/>
        <v>12</v>
      </c>
      <c r="B13" s="7" t="s">
        <v>85</v>
      </c>
      <c r="C13" s="8">
        <v>44980</v>
      </c>
      <c r="D13" s="5" t="s">
        <v>24</v>
      </c>
      <c r="E13" s="5" t="s">
        <v>59</v>
      </c>
      <c r="F13" s="40">
        <v>1.25</v>
      </c>
      <c r="G13" s="10" t="s">
        <v>60</v>
      </c>
      <c r="H13" s="6" t="b">
        <v>1</v>
      </c>
      <c r="I13" s="9">
        <v>44979.437465277777</v>
      </c>
      <c r="J13" s="6" t="b">
        <v>0</v>
      </c>
      <c r="K13" s="5"/>
    </row>
    <row r="14" spans="1:11" x14ac:dyDescent="0.3">
      <c r="A14" s="6">
        <f t="shared" si="1"/>
        <v>13</v>
      </c>
      <c r="B14" s="7" t="s">
        <v>85</v>
      </c>
      <c r="C14" s="8">
        <v>44979</v>
      </c>
      <c r="D14" s="5" t="s">
        <v>24</v>
      </c>
      <c r="E14" s="5" t="s">
        <v>64</v>
      </c>
      <c r="F14" s="40">
        <v>0.5</v>
      </c>
      <c r="G14" s="10"/>
      <c r="H14" s="6" t="b">
        <v>1</v>
      </c>
      <c r="I14" s="9">
        <v>44979.43712962963</v>
      </c>
      <c r="J14" s="6" t="b">
        <v>0</v>
      </c>
      <c r="K14" s="5"/>
    </row>
    <row r="15" spans="1:11" x14ac:dyDescent="0.3">
      <c r="A15" s="6">
        <f t="shared" si="1"/>
        <v>14</v>
      </c>
      <c r="B15" s="7" t="s">
        <v>11</v>
      </c>
      <c r="C15" s="8">
        <v>44979</v>
      </c>
      <c r="D15" s="5" t="s">
        <v>37</v>
      </c>
      <c r="E15" s="5" t="s">
        <v>55</v>
      </c>
      <c r="F15" s="40">
        <v>4</v>
      </c>
      <c r="G15" s="10" t="s">
        <v>55</v>
      </c>
      <c r="H15" s="6" t="b">
        <v>1</v>
      </c>
      <c r="I15" s="9">
        <v>44979.439270833333</v>
      </c>
      <c r="J15" s="6" t="b">
        <v>0</v>
      </c>
      <c r="K15" s="5"/>
    </row>
    <row r="16" spans="1:11" x14ac:dyDescent="0.3">
      <c r="A16" s="6">
        <f t="shared" si="1"/>
        <v>15</v>
      </c>
      <c r="B16" s="7" t="s">
        <v>11</v>
      </c>
      <c r="C16" s="8">
        <v>44979</v>
      </c>
      <c r="D16" s="5" t="s">
        <v>24</v>
      </c>
      <c r="E16" s="5" t="s">
        <v>63</v>
      </c>
      <c r="F16" s="40">
        <v>0.5</v>
      </c>
      <c r="G16" s="10" t="s">
        <v>55</v>
      </c>
      <c r="H16" s="6" t="s">
        <v>50</v>
      </c>
      <c r="I16" s="9" t="s">
        <v>65</v>
      </c>
      <c r="J16" s="6" t="s">
        <v>51</v>
      </c>
      <c r="K16" s="5"/>
    </row>
    <row r="17" spans="1:11" x14ac:dyDescent="0.3">
      <c r="A17" s="6">
        <f t="shared" si="1"/>
        <v>16</v>
      </c>
      <c r="B17" s="7" t="s">
        <v>13</v>
      </c>
      <c r="C17" s="8">
        <v>44978</v>
      </c>
      <c r="D17" s="5" t="s">
        <v>42</v>
      </c>
      <c r="E17" s="5" t="s">
        <v>70</v>
      </c>
      <c r="F17" s="40">
        <v>0.5</v>
      </c>
      <c r="G17" s="10" t="s">
        <v>71</v>
      </c>
      <c r="H17" s="6" t="b">
        <v>1</v>
      </c>
      <c r="I17" s="9">
        <v>44979.445787037039</v>
      </c>
      <c r="J17" s="6" t="b">
        <v>0</v>
      </c>
      <c r="K17" s="5"/>
    </row>
    <row r="18" spans="1:11" x14ac:dyDescent="0.3">
      <c r="A18" s="6">
        <f t="shared" si="1"/>
        <v>17</v>
      </c>
      <c r="B18" s="7" t="s">
        <v>13</v>
      </c>
      <c r="C18" s="8">
        <v>44978</v>
      </c>
      <c r="D18" s="5" t="s">
        <v>41</v>
      </c>
      <c r="F18" s="40">
        <v>0.5</v>
      </c>
      <c r="G18" s="10"/>
      <c r="H18" s="6" t="b">
        <v>1</v>
      </c>
      <c r="I18" s="9">
        <v>44979.44604166667</v>
      </c>
      <c r="J18" s="6" t="b">
        <v>0</v>
      </c>
      <c r="K18" s="5"/>
    </row>
    <row r="19" spans="1:11" x14ac:dyDescent="0.3">
      <c r="A19" s="6">
        <f t="shared" si="1"/>
        <v>18</v>
      </c>
      <c r="B19" s="7" t="s">
        <v>13</v>
      </c>
      <c r="C19" s="8">
        <v>44978</v>
      </c>
      <c r="D19" s="5" t="s">
        <v>41</v>
      </c>
      <c r="E19" s="5" t="s">
        <v>72</v>
      </c>
      <c r="F19" s="40">
        <v>0.25</v>
      </c>
      <c r="G19" s="10"/>
      <c r="H19" s="6" t="b">
        <v>1</v>
      </c>
      <c r="I19" s="9">
        <v>44979.446192129632</v>
      </c>
      <c r="J19" s="6" t="b">
        <v>0</v>
      </c>
      <c r="K19" s="5"/>
    </row>
    <row r="20" spans="1:11" x14ac:dyDescent="0.3">
      <c r="A20" s="6">
        <f t="shared" si="1"/>
        <v>19</v>
      </c>
      <c r="B20" s="7" t="s">
        <v>85</v>
      </c>
      <c r="C20" s="8">
        <v>44978</v>
      </c>
      <c r="D20" s="5" t="s">
        <v>24</v>
      </c>
      <c r="E20" s="5" t="s">
        <v>68</v>
      </c>
      <c r="F20" s="40">
        <v>1</v>
      </c>
      <c r="G20" s="10" t="s">
        <v>55</v>
      </c>
      <c r="H20" s="6" t="s">
        <v>50</v>
      </c>
      <c r="I20" s="9" t="s">
        <v>69</v>
      </c>
      <c r="J20" s="6" t="s">
        <v>51</v>
      </c>
      <c r="K20" s="5"/>
    </row>
    <row r="21" spans="1:11" x14ac:dyDescent="0.3">
      <c r="A21" s="6">
        <f t="shared" si="1"/>
        <v>20</v>
      </c>
      <c r="B21" s="7" t="s">
        <v>11</v>
      </c>
      <c r="C21" s="8">
        <v>44979</v>
      </c>
      <c r="D21" s="5" t="s">
        <v>24</v>
      </c>
      <c r="E21" s="5" t="s">
        <v>73</v>
      </c>
      <c r="F21" s="40">
        <v>0.25</v>
      </c>
      <c r="G21" s="10"/>
      <c r="H21" s="6" t="s">
        <v>50</v>
      </c>
      <c r="I21" s="9" t="s">
        <v>74</v>
      </c>
      <c r="J21" s="6" t="s">
        <v>51</v>
      </c>
      <c r="K21" s="5"/>
    </row>
    <row r="22" spans="1:11" x14ac:dyDescent="0.3">
      <c r="A22" s="6">
        <f t="shared" ref="A22:A27" si="2">ROW()-1</f>
        <v>21</v>
      </c>
      <c r="B22" s="7" t="s">
        <v>11</v>
      </c>
      <c r="C22" s="8">
        <v>44980</v>
      </c>
      <c r="D22" s="5" t="s">
        <v>24</v>
      </c>
      <c r="E22" s="5" t="s">
        <v>75</v>
      </c>
      <c r="F22" s="40">
        <v>0.5</v>
      </c>
      <c r="G22" s="10"/>
      <c r="H22" s="6" t="s">
        <v>50</v>
      </c>
      <c r="I22" s="9" t="s">
        <v>76</v>
      </c>
      <c r="J22" s="6" t="s">
        <v>51</v>
      </c>
      <c r="K22" s="5"/>
    </row>
    <row r="23" spans="1:11" x14ac:dyDescent="0.3">
      <c r="A23" s="6">
        <f t="shared" si="2"/>
        <v>22</v>
      </c>
      <c r="B23" s="7" t="s">
        <v>85</v>
      </c>
      <c r="C23" s="8">
        <v>44979</v>
      </c>
      <c r="D23" s="5" t="s">
        <v>42</v>
      </c>
      <c r="E23" s="5" t="s">
        <v>77</v>
      </c>
      <c r="F23" s="40">
        <v>3.75</v>
      </c>
      <c r="G23" s="10"/>
      <c r="H23" s="6" t="b">
        <v>1</v>
      </c>
      <c r="I23" s="9">
        <v>44981.47859953704</v>
      </c>
      <c r="J23" s="6" t="b">
        <v>0</v>
      </c>
      <c r="K23" s="5"/>
    </row>
    <row r="24" spans="1:11" x14ac:dyDescent="0.3">
      <c r="A24" s="6">
        <f t="shared" si="2"/>
        <v>23</v>
      </c>
      <c r="B24" s="7" t="s">
        <v>85</v>
      </c>
      <c r="C24" s="8">
        <v>44979</v>
      </c>
      <c r="D24" s="5" t="s">
        <v>41</v>
      </c>
      <c r="E24" s="5" t="s">
        <v>55</v>
      </c>
      <c r="F24" s="40">
        <v>1.5</v>
      </c>
      <c r="G24" s="10"/>
      <c r="H24" s="6" t="b">
        <v>1</v>
      </c>
      <c r="I24" s="9">
        <v>44980.526597222219</v>
      </c>
      <c r="J24" s="6" t="b">
        <v>0</v>
      </c>
      <c r="K24" s="5"/>
    </row>
    <row r="25" spans="1:11" x14ac:dyDescent="0.3">
      <c r="A25" s="6">
        <f t="shared" si="2"/>
        <v>24</v>
      </c>
      <c r="B25" s="7" t="s">
        <v>11</v>
      </c>
      <c r="C25" s="8">
        <v>44979</v>
      </c>
      <c r="D25" s="5" t="s">
        <v>19</v>
      </c>
      <c r="E25" s="5" t="s">
        <v>78</v>
      </c>
      <c r="F25" s="40">
        <v>1</v>
      </c>
      <c r="G25" s="10"/>
      <c r="H25" s="6" t="s">
        <v>50</v>
      </c>
      <c r="I25" s="9" t="s">
        <v>79</v>
      </c>
      <c r="J25" s="6" t="s">
        <v>51</v>
      </c>
      <c r="K25" s="5"/>
    </row>
    <row r="26" spans="1:11" x14ac:dyDescent="0.3">
      <c r="A26" s="6">
        <f t="shared" si="2"/>
        <v>25</v>
      </c>
      <c r="B26" s="7" t="s">
        <v>11</v>
      </c>
      <c r="C26" s="8">
        <v>44979</v>
      </c>
      <c r="D26" s="5" t="s">
        <v>37</v>
      </c>
      <c r="E26" s="5" t="s">
        <v>80</v>
      </c>
      <c r="F26" s="40">
        <v>0.5</v>
      </c>
      <c r="G26" s="10"/>
      <c r="H26" s="6" t="b">
        <v>1</v>
      </c>
      <c r="I26" s="9">
        <v>44980.531087962961</v>
      </c>
      <c r="J26" s="6" t="b">
        <v>0</v>
      </c>
      <c r="K26" s="5"/>
    </row>
    <row r="27" spans="1:11" x14ac:dyDescent="0.3">
      <c r="A27" s="6">
        <f t="shared" si="2"/>
        <v>26</v>
      </c>
      <c r="B27" s="7" t="s">
        <v>11</v>
      </c>
      <c r="C27" s="8">
        <v>44979</v>
      </c>
      <c r="D27" s="5" t="s">
        <v>41</v>
      </c>
      <c r="E27" s="5" t="s">
        <v>90</v>
      </c>
      <c r="F27" s="40">
        <v>0.6</v>
      </c>
      <c r="G27" s="10"/>
      <c r="H27" s="6" t="b">
        <v>1</v>
      </c>
      <c r="I27" s="9">
        <v>44981.443784722222</v>
      </c>
      <c r="J27" s="6" t="b">
        <v>0</v>
      </c>
      <c r="K27" s="5"/>
    </row>
    <row r="28" spans="1:11" x14ac:dyDescent="0.3">
      <c r="A28" s="6">
        <f t="shared" ref="A28:A34" si="3">ROW()-1</f>
        <v>27</v>
      </c>
      <c r="B28" s="7" t="s">
        <v>11</v>
      </c>
      <c r="C28" s="8">
        <v>44979</v>
      </c>
      <c r="D28" s="5" t="s">
        <v>42</v>
      </c>
      <c r="E28" s="5" t="s">
        <v>81</v>
      </c>
      <c r="F28" s="40">
        <v>1</v>
      </c>
      <c r="G28" s="10" t="s">
        <v>82</v>
      </c>
      <c r="H28" s="6" t="b">
        <v>1</v>
      </c>
      <c r="I28" s="9">
        <v>44980.889097222222</v>
      </c>
      <c r="J28" s="6" t="b">
        <v>0</v>
      </c>
      <c r="K28" s="5"/>
    </row>
    <row r="29" spans="1:11" x14ac:dyDescent="0.3">
      <c r="A29" s="6">
        <f t="shared" si="3"/>
        <v>28</v>
      </c>
      <c r="B29" s="7" t="s">
        <v>11</v>
      </c>
      <c r="C29" s="8">
        <v>44979</v>
      </c>
      <c r="D29" s="5" t="s">
        <v>24</v>
      </c>
      <c r="E29" s="5" t="s">
        <v>83</v>
      </c>
      <c r="F29" s="40">
        <v>2</v>
      </c>
      <c r="G29" s="10" t="s">
        <v>84</v>
      </c>
      <c r="H29" s="6" t="b">
        <v>1</v>
      </c>
      <c r="I29" s="9">
        <v>44980.893067129633</v>
      </c>
      <c r="J29" s="6" t="b">
        <v>0</v>
      </c>
      <c r="K29" s="5"/>
    </row>
    <row r="30" spans="1:11" x14ac:dyDescent="0.3">
      <c r="A30" s="6">
        <f t="shared" si="3"/>
        <v>29</v>
      </c>
      <c r="B30" s="7" t="s">
        <v>85</v>
      </c>
      <c r="C30" s="8">
        <v>44981</v>
      </c>
      <c r="D30" s="5" t="s">
        <v>24</v>
      </c>
      <c r="E30" s="5" t="s">
        <v>86</v>
      </c>
      <c r="F30" s="40">
        <v>1</v>
      </c>
      <c r="G30" s="10"/>
      <c r="H30" s="6" t="b">
        <v>1</v>
      </c>
      <c r="I30" s="9">
        <v>44981.405127314814</v>
      </c>
      <c r="J30" s="6" t="b">
        <v>0</v>
      </c>
      <c r="K30" s="5"/>
    </row>
    <row r="31" spans="1:11" x14ac:dyDescent="0.3">
      <c r="A31" s="6">
        <f t="shared" si="3"/>
        <v>30</v>
      </c>
      <c r="B31" s="7" t="s">
        <v>11</v>
      </c>
      <c r="C31" s="8">
        <v>44979</v>
      </c>
      <c r="D31" s="5" t="s">
        <v>41</v>
      </c>
      <c r="E31" s="5" t="s">
        <v>87</v>
      </c>
      <c r="F31" s="40">
        <v>2.5</v>
      </c>
      <c r="G31" s="10"/>
      <c r="H31" s="6" t="b">
        <v>1</v>
      </c>
      <c r="I31" s="9">
        <v>44981.450335648151</v>
      </c>
      <c r="J31" s="6" t="b">
        <v>0</v>
      </c>
      <c r="K31" s="5"/>
    </row>
    <row r="32" spans="1:11" x14ac:dyDescent="0.3">
      <c r="A32" s="6">
        <f t="shared" si="3"/>
        <v>31</v>
      </c>
      <c r="B32" s="7" t="s">
        <v>85</v>
      </c>
      <c r="C32" s="8">
        <v>44979</v>
      </c>
      <c r="D32" s="5" t="s">
        <v>19</v>
      </c>
      <c r="E32" s="5" t="s">
        <v>88</v>
      </c>
      <c r="F32" s="40">
        <v>4</v>
      </c>
      <c r="G32" s="10"/>
      <c r="H32" s="6" t="b">
        <v>1</v>
      </c>
      <c r="I32" s="9">
        <v>44981.441863425927</v>
      </c>
      <c r="J32" s="6" t="b">
        <v>0</v>
      </c>
      <c r="K32" s="5"/>
    </row>
    <row r="33" spans="1:11" x14ac:dyDescent="0.3">
      <c r="A33" s="6">
        <f t="shared" si="3"/>
        <v>32</v>
      </c>
      <c r="B33" s="7" t="s">
        <v>11</v>
      </c>
      <c r="C33" s="8">
        <v>44980</v>
      </c>
      <c r="D33" s="5" t="s">
        <v>24</v>
      </c>
      <c r="E33" s="5" t="s">
        <v>89</v>
      </c>
      <c r="F33" s="40">
        <v>2</v>
      </c>
      <c r="G33" s="10"/>
      <c r="H33" s="6" t="b">
        <v>1</v>
      </c>
      <c r="I33" s="9">
        <v>44981.448298611111</v>
      </c>
      <c r="J33" s="6" t="b">
        <v>0</v>
      </c>
      <c r="K33" s="5"/>
    </row>
    <row r="34" spans="1:11" x14ac:dyDescent="0.3">
      <c r="A34" s="6">
        <f t="shared" si="3"/>
        <v>33</v>
      </c>
      <c r="B34" s="7" t="s">
        <v>11</v>
      </c>
      <c r="C34" s="8">
        <v>44979</v>
      </c>
      <c r="D34" s="5" t="s">
        <v>24</v>
      </c>
      <c r="E34" s="5" t="s">
        <v>91</v>
      </c>
      <c r="F34" s="40">
        <v>0.5</v>
      </c>
      <c r="G34" s="10"/>
      <c r="H34" s="6" t="b">
        <v>1</v>
      </c>
      <c r="I34" s="9">
        <v>44981.469525462962</v>
      </c>
      <c r="J34" s="6" t="b">
        <v>0</v>
      </c>
      <c r="K34" s="5"/>
    </row>
    <row r="35" spans="1:11" x14ac:dyDescent="0.3">
      <c r="A35" s="6">
        <f>ROW()-1</f>
        <v>34</v>
      </c>
      <c r="B35" s="7" t="s">
        <v>11</v>
      </c>
      <c r="C35" s="8">
        <v>44979</v>
      </c>
      <c r="D35" s="5" t="s">
        <v>24</v>
      </c>
      <c r="E35" s="5" t="s">
        <v>92</v>
      </c>
      <c r="F35" s="40">
        <v>1.4</v>
      </c>
      <c r="G35" s="10"/>
      <c r="H35" s="6" t="b">
        <v>1</v>
      </c>
      <c r="I35" s="9">
        <v>44981.522662037038</v>
      </c>
      <c r="J35" s="6" t="b">
        <v>0</v>
      </c>
      <c r="K35" s="5"/>
    </row>
    <row r="36" spans="1:11" x14ac:dyDescent="0.3">
      <c r="A36" s="6">
        <f>ROW()-1</f>
        <v>35</v>
      </c>
      <c r="B36" s="7" t="s">
        <v>11</v>
      </c>
      <c r="C36" s="8">
        <v>44981</v>
      </c>
      <c r="D36" s="5" t="s">
        <v>24</v>
      </c>
      <c r="E36" s="5" t="s">
        <v>94</v>
      </c>
      <c r="F36" s="40">
        <v>2</v>
      </c>
      <c r="G36" s="10"/>
      <c r="H36" s="6" t="b">
        <v>1</v>
      </c>
      <c r="I36" s="9">
        <v>44981.519988425927</v>
      </c>
      <c r="J36" s="6" t="b">
        <v>0</v>
      </c>
      <c r="K36" s="5"/>
    </row>
    <row r="37" spans="1:11" x14ac:dyDescent="0.3">
      <c r="A37" s="6">
        <f>ROW()-1</f>
        <v>36</v>
      </c>
      <c r="B37" s="7" t="s">
        <v>11</v>
      </c>
      <c r="C37" s="8">
        <v>44981</v>
      </c>
      <c r="D37" s="5" t="s">
        <v>19</v>
      </c>
      <c r="E37" s="5" t="s">
        <v>95</v>
      </c>
      <c r="F37" s="40">
        <v>2.25</v>
      </c>
      <c r="G37" s="10"/>
      <c r="H37" s="6" t="b">
        <v>1</v>
      </c>
      <c r="I37" s="9">
        <v>44981.524583333332</v>
      </c>
      <c r="J37" s="6" t="b">
        <v>0</v>
      </c>
      <c r="K37" s="5"/>
    </row>
    <row r="38" spans="1:11" x14ac:dyDescent="0.3">
      <c r="A38" s="6">
        <f>ROW()-1</f>
        <v>37</v>
      </c>
      <c r="B38" s="7" t="s">
        <v>11</v>
      </c>
      <c r="C38" s="8">
        <v>44981</v>
      </c>
      <c r="D38" s="5" t="s">
        <v>41</v>
      </c>
      <c r="E38" s="5" t="s">
        <v>97</v>
      </c>
      <c r="F38" s="40">
        <v>1</v>
      </c>
      <c r="G38" s="10"/>
      <c r="H38" s="6" t="b">
        <v>1</v>
      </c>
      <c r="I38" s="9">
        <v>44981.536736111113</v>
      </c>
      <c r="J38" s="6" t="b">
        <v>0</v>
      </c>
      <c r="K38" s="5"/>
    </row>
    <row r="39" spans="1:11" x14ac:dyDescent="0.3">
      <c r="F39" s="40"/>
      <c r="G39" s="10"/>
      <c r="H39" s="6"/>
      <c r="K39" s="5"/>
    </row>
    <row r="40" spans="1:11" x14ac:dyDescent="0.3">
      <c r="F40" s="40"/>
      <c r="G40" s="10"/>
      <c r="H40" s="6"/>
      <c r="K40" s="5"/>
    </row>
    <row r="41" spans="1:11" x14ac:dyDescent="0.3">
      <c r="F41" s="40"/>
      <c r="G41" s="10"/>
      <c r="H41" s="6"/>
      <c r="K41" s="5"/>
    </row>
    <row r="42" spans="1:11" x14ac:dyDescent="0.3">
      <c r="F42" s="40"/>
      <c r="G42" s="10"/>
      <c r="H42" s="6"/>
      <c r="K42" s="5"/>
    </row>
    <row r="43" spans="1:11" x14ac:dyDescent="0.3">
      <c r="F43" s="40"/>
      <c r="G43" s="10"/>
      <c r="H43" s="6"/>
      <c r="K43" s="5"/>
    </row>
    <row r="44" spans="1:11" x14ac:dyDescent="0.3">
      <c r="F44" s="40"/>
      <c r="G44" s="10"/>
      <c r="H44" s="6"/>
      <c r="K44" s="5"/>
    </row>
    <row r="45" spans="1:11" x14ac:dyDescent="0.3">
      <c r="F45" s="40"/>
      <c r="G45" s="10"/>
      <c r="H45" s="6"/>
      <c r="K45" s="5"/>
    </row>
    <row r="46" spans="1:11" x14ac:dyDescent="0.3">
      <c r="F46" s="40"/>
      <c r="G46" s="10"/>
      <c r="H46" s="6"/>
      <c r="K46" s="5"/>
    </row>
    <row r="47" spans="1:11" x14ac:dyDescent="0.3">
      <c r="F47" s="40"/>
      <c r="G47" s="10"/>
      <c r="H47" s="6"/>
      <c r="K47" s="5"/>
    </row>
    <row r="48" spans="1:11" x14ac:dyDescent="0.3">
      <c r="F48" s="40"/>
      <c r="G48" s="10"/>
      <c r="H48" s="6"/>
      <c r="K48" s="5"/>
    </row>
    <row r="49" spans="6:11" x14ac:dyDescent="0.3">
      <c r="F49" s="40"/>
      <c r="G49" s="10"/>
      <c r="H49" s="6"/>
      <c r="K49" s="5"/>
    </row>
    <row r="50" spans="6:11" x14ac:dyDescent="0.3">
      <c r="F50" s="40"/>
      <c r="G50" s="10"/>
      <c r="H50" s="6"/>
      <c r="K50" s="5"/>
    </row>
    <row r="51" spans="6:11" x14ac:dyDescent="0.3">
      <c r="F51" s="40"/>
      <c r="G51" s="10"/>
      <c r="H51" s="6"/>
      <c r="K51" s="5"/>
    </row>
    <row r="52" spans="6:11" x14ac:dyDescent="0.3">
      <c r="F52" s="40"/>
      <c r="G52" s="10"/>
      <c r="H52" s="6"/>
      <c r="K52" s="5"/>
    </row>
    <row r="53" spans="6:11" x14ac:dyDescent="0.3">
      <c r="F53" s="40"/>
      <c r="G53" s="10"/>
      <c r="H53" s="6"/>
      <c r="K53" s="5"/>
    </row>
    <row r="54" spans="6:11" x14ac:dyDescent="0.3">
      <c r="F54" s="40"/>
      <c r="G54" s="10"/>
      <c r="H54" s="6"/>
      <c r="K54" s="5"/>
    </row>
    <row r="55" spans="6:11" x14ac:dyDescent="0.3">
      <c r="F55" s="40"/>
      <c r="G55" s="10"/>
      <c r="H55" s="6"/>
      <c r="K55" s="5"/>
    </row>
    <row r="56" spans="6:11" x14ac:dyDescent="0.3">
      <c r="F56" s="40"/>
      <c r="G56" s="10"/>
      <c r="H56" s="6"/>
      <c r="K56" s="5"/>
    </row>
    <row r="57" spans="6:11" x14ac:dyDescent="0.3">
      <c r="F57" s="40"/>
      <c r="G57" s="10"/>
      <c r="H57" s="6"/>
      <c r="K57" s="5"/>
    </row>
    <row r="58" spans="6:11" x14ac:dyDescent="0.3">
      <c r="F58" s="40"/>
      <c r="G58" s="10"/>
      <c r="H58" s="6"/>
      <c r="K58" s="5"/>
    </row>
    <row r="59" spans="6:11" x14ac:dyDescent="0.3">
      <c r="F59" s="40"/>
      <c r="G59" s="10"/>
      <c r="H59" s="6"/>
      <c r="K59" s="5"/>
    </row>
    <row r="60" spans="6:11" x14ac:dyDescent="0.3">
      <c r="F60" s="40"/>
      <c r="G60" s="10"/>
      <c r="H60" s="6"/>
      <c r="K60" s="5"/>
    </row>
    <row r="61" spans="6:11" x14ac:dyDescent="0.3">
      <c r="F61" s="40"/>
      <c r="G61" s="10"/>
      <c r="H61" s="6"/>
      <c r="K61" s="5"/>
    </row>
    <row r="62" spans="6:11" x14ac:dyDescent="0.3">
      <c r="F62" s="40"/>
      <c r="G62" s="10"/>
      <c r="H62" s="6"/>
      <c r="K62" s="5"/>
    </row>
    <row r="63" spans="6:11" x14ac:dyDescent="0.3">
      <c r="F63" s="40"/>
      <c r="G63" s="10"/>
      <c r="H63" s="6"/>
      <c r="K63" s="5"/>
    </row>
    <row r="64" spans="6:11" x14ac:dyDescent="0.3">
      <c r="F64" s="40"/>
      <c r="G64" s="10"/>
      <c r="H64" s="6"/>
      <c r="K64" s="5"/>
    </row>
    <row r="65" spans="6:11" x14ac:dyDescent="0.3">
      <c r="F65" s="40"/>
      <c r="G65" s="10"/>
      <c r="H65" s="6"/>
      <c r="K65" s="5"/>
    </row>
    <row r="66" spans="6:11" x14ac:dyDescent="0.3">
      <c r="F66" s="40"/>
      <c r="G66" s="10"/>
      <c r="H66" s="6"/>
      <c r="K66" s="5"/>
    </row>
    <row r="67" spans="6:11" x14ac:dyDescent="0.3">
      <c r="F67" s="40"/>
      <c r="G67" s="10"/>
      <c r="H67" s="6"/>
      <c r="K67" s="5"/>
    </row>
    <row r="68" spans="6:11" x14ac:dyDescent="0.3">
      <c r="F68" s="40"/>
      <c r="G68" s="10"/>
      <c r="H68" s="6"/>
      <c r="K68" s="5"/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4524-3A9B-43B6-A356-379FBC216F14}">
  <sheetPr codeName="Feuil5"/>
  <dimension ref="A1:K17"/>
  <sheetViews>
    <sheetView workbookViewId="0">
      <selection activeCell="E8" sqref="E8"/>
    </sheetView>
  </sheetViews>
  <sheetFormatPr baseColWidth="10" defaultRowHeight="14.4" x14ac:dyDescent="0.3"/>
  <cols>
    <col min="1" max="1" width="4.6640625" customWidth="1"/>
    <col min="2" max="2" width="7" customWidth="1"/>
    <col min="3" max="3" width="10.33203125" bestFit="1" customWidth="1"/>
    <col min="4" max="4" width="23.5546875" bestFit="1" customWidth="1"/>
    <col min="5" max="5" width="85.5546875" bestFit="1" customWidth="1"/>
    <col min="6" max="6" width="7.88671875" style="18" customWidth="1"/>
    <col min="7" max="7" width="20.21875" customWidth="1"/>
    <col min="8" max="8" width="7.6640625" customWidth="1"/>
    <col min="9" max="9" width="15.33203125" bestFit="1" customWidth="1"/>
    <col min="10" max="10" width="10.109375" customWidth="1"/>
    <col min="11" max="11" width="14.44140625" customWidth="1"/>
  </cols>
  <sheetData>
    <row r="1" spans="1:11" s="5" customFormat="1" x14ac:dyDescent="0.3">
      <c r="A1" s="12" t="s">
        <v>0</v>
      </c>
      <c r="B1" s="13" t="s">
        <v>66</v>
      </c>
      <c r="C1" s="14" t="s">
        <v>4</v>
      </c>
      <c r="D1" s="15" t="s">
        <v>5</v>
      </c>
      <c r="E1" s="15" t="s">
        <v>6</v>
      </c>
      <c r="F1" s="21" t="s">
        <v>7</v>
      </c>
      <c r="G1" s="13" t="s">
        <v>29</v>
      </c>
      <c r="H1" s="16" t="s">
        <v>67</v>
      </c>
      <c r="I1" s="16" t="s">
        <v>9</v>
      </c>
      <c r="J1" s="16" t="s">
        <v>8</v>
      </c>
      <c r="K1" s="17" t="s">
        <v>10</v>
      </c>
    </row>
    <row r="2" spans="1:11" x14ac:dyDescent="0.3">
      <c r="A2" s="22">
        <v>35</v>
      </c>
      <c r="B2" s="23" t="s">
        <v>11</v>
      </c>
      <c r="C2" s="24">
        <v>44981</v>
      </c>
      <c r="D2" s="25" t="s">
        <v>24</v>
      </c>
      <c r="E2" s="25" t="s">
        <v>94</v>
      </c>
      <c r="F2" s="26">
        <v>2</v>
      </c>
      <c r="G2" s="27"/>
      <c r="H2" s="28" t="b">
        <v>1</v>
      </c>
      <c r="I2" s="29">
        <v>44981.519988425927</v>
      </c>
      <c r="J2" s="28" t="b">
        <v>0</v>
      </c>
      <c r="K2" s="30"/>
    </row>
    <row r="3" spans="1:11" x14ac:dyDescent="0.3">
      <c r="A3" s="31">
        <v>36</v>
      </c>
      <c r="B3" s="32" t="s">
        <v>11</v>
      </c>
      <c r="C3" s="33">
        <v>44981</v>
      </c>
      <c r="D3" s="34" t="s">
        <v>19</v>
      </c>
      <c r="E3" s="34" t="s">
        <v>95</v>
      </c>
      <c r="F3" s="35" t="s">
        <v>96</v>
      </c>
      <c r="G3" s="36"/>
      <c r="H3" s="37" t="b">
        <v>1</v>
      </c>
      <c r="I3" s="38">
        <v>44981.524583333332</v>
      </c>
      <c r="J3" s="37" t="b">
        <v>0</v>
      </c>
      <c r="K3" s="39"/>
    </row>
    <row r="4" spans="1:11" x14ac:dyDescent="0.3">
      <c r="A4" s="22">
        <v>37</v>
      </c>
      <c r="B4" s="23" t="s">
        <v>11</v>
      </c>
      <c r="C4" s="24">
        <v>44981</v>
      </c>
      <c r="D4" s="25" t="s">
        <v>41</v>
      </c>
      <c r="E4" s="25" t="s">
        <v>97</v>
      </c>
      <c r="F4" s="26" t="s">
        <v>98</v>
      </c>
      <c r="G4" s="27"/>
      <c r="H4" s="28" t="b">
        <v>1</v>
      </c>
      <c r="I4" s="29">
        <v>44981.536736111113</v>
      </c>
      <c r="J4" s="28" t="b">
        <v>0</v>
      </c>
      <c r="K4" s="30"/>
    </row>
    <row r="5" spans="1:11" x14ac:dyDescent="0.3">
      <c r="F5"/>
    </row>
    <row r="6" spans="1:11" x14ac:dyDescent="0.3">
      <c r="F6"/>
    </row>
    <row r="7" spans="1:11" x14ac:dyDescent="0.3">
      <c r="F7"/>
    </row>
    <row r="8" spans="1:11" x14ac:dyDescent="0.3">
      <c r="F8"/>
    </row>
    <row r="9" spans="1:11" x14ac:dyDescent="0.3">
      <c r="F9"/>
    </row>
    <row r="10" spans="1:11" x14ac:dyDescent="0.3">
      <c r="F10"/>
    </row>
    <row r="11" spans="1:11" x14ac:dyDescent="0.3">
      <c r="F11"/>
    </row>
    <row r="12" spans="1:11" x14ac:dyDescent="0.3">
      <c r="F12"/>
    </row>
    <row r="13" spans="1:11" x14ac:dyDescent="0.3">
      <c r="F13"/>
    </row>
    <row r="14" spans="1:11" x14ac:dyDescent="0.3">
      <c r="F14"/>
    </row>
    <row r="15" spans="1:11" x14ac:dyDescent="0.3">
      <c r="F15"/>
    </row>
    <row r="16" spans="1:11" x14ac:dyDescent="0.3">
      <c r="F16"/>
    </row>
    <row r="17" spans="6:6" x14ac:dyDescent="0.3">
      <c r="F17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FCF0-BA67-412A-B7A0-7ABA3ACF82BB}">
  <sheetPr codeName="Feuil3"/>
  <dimension ref="A1:H6"/>
  <sheetViews>
    <sheetView workbookViewId="0">
      <selection activeCell="K7" sqref="K7"/>
    </sheetView>
  </sheetViews>
  <sheetFormatPr baseColWidth="10" defaultRowHeight="14.4" x14ac:dyDescent="0.3"/>
  <cols>
    <col min="1" max="1" width="14.21875" style="1" customWidth="1"/>
    <col min="2" max="2" width="18.77734375" bestFit="1" customWidth="1"/>
    <col min="3" max="3" width="3.77734375" customWidth="1"/>
    <col min="4" max="4" width="23.5546875" bestFit="1" customWidth="1"/>
    <col min="5" max="5" width="28.88671875" bestFit="1" customWidth="1"/>
    <col min="6" max="6" width="10.77734375" bestFit="1" customWidth="1"/>
    <col min="7" max="7" width="13.109375" bestFit="1" customWidth="1"/>
    <col min="8" max="8" width="10.5546875" bestFit="1" customWidth="1"/>
    <col min="9" max="9" width="3.77734375" customWidth="1"/>
  </cols>
  <sheetData>
    <row r="1" spans="1:8" x14ac:dyDescent="0.3">
      <c r="A1" s="1" t="s">
        <v>3</v>
      </c>
      <c r="B1" t="s">
        <v>12</v>
      </c>
      <c r="D1" t="s">
        <v>5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 s="1" t="s">
        <v>11</v>
      </c>
      <c r="B2" t="s">
        <v>2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</row>
    <row r="3" spans="1:8" x14ac:dyDescent="0.3">
      <c r="A3" s="1" t="s">
        <v>85</v>
      </c>
      <c r="B3" t="s">
        <v>14</v>
      </c>
      <c r="D3" t="s">
        <v>37</v>
      </c>
      <c r="E3" t="s">
        <v>38</v>
      </c>
      <c r="F3" t="s">
        <v>39</v>
      </c>
      <c r="G3" t="s">
        <v>40</v>
      </c>
      <c r="H3" t="s">
        <v>23</v>
      </c>
    </row>
    <row r="4" spans="1:8" x14ac:dyDescent="0.3">
      <c r="A4" s="1" t="s">
        <v>13</v>
      </c>
      <c r="B4" t="s">
        <v>1</v>
      </c>
      <c r="D4" t="s">
        <v>42</v>
      </c>
      <c r="E4" t="s">
        <v>43</v>
      </c>
      <c r="F4" t="s">
        <v>44</v>
      </c>
      <c r="G4" t="s">
        <v>45</v>
      </c>
      <c r="H4" t="s">
        <v>23</v>
      </c>
    </row>
    <row r="5" spans="1:8" x14ac:dyDescent="0.3">
      <c r="D5" t="s">
        <v>24</v>
      </c>
      <c r="E5" t="s">
        <v>25</v>
      </c>
      <c r="F5" t="s">
        <v>26</v>
      </c>
      <c r="G5" t="s">
        <v>27</v>
      </c>
      <c r="H5" t="s">
        <v>23</v>
      </c>
    </row>
    <row r="6" spans="1:8" x14ac:dyDescent="0.3">
      <c r="D6" t="s">
        <v>41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Heures</vt:lpstr>
      <vt:lpstr>HeuresFiltered</vt:lpstr>
      <vt:lpstr>Listes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2023-02-18T16:17:22Z</dcterms:created>
  <dcterms:modified xsi:type="dcterms:W3CDTF">2023-02-24T17:54:22Z</dcterms:modified>
</cp:coreProperties>
</file>