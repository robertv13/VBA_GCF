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7C2ABEB-F3E4-4AAB-B6EA-83658A45C3F9}" xr6:coauthVersionLast="47" xr6:coauthVersionMax="47" xr10:uidLastSave="{00000000-0000-0000-0000-000000000000}"/>
  <bookViews>
    <workbookView xWindow="-120" yWindow="-120" windowWidth="29040" windowHeight="15840" xr2:uid="{8B896088-70BB-4C60-BB21-C1E442DA7D5A}"/>
  </bookViews>
  <sheets>
    <sheet name="EJ" sheetId="1" r:id="rId1"/>
    <sheet name="Transactions" sheetId="3" r:id="rId2"/>
    <sheet name="BV" sheetId="4" r:id="rId3"/>
    <sheet name="PlanComptable" sheetId="2" r:id="rId4"/>
  </sheets>
  <functionGroups builtInGroupCount="19"/>
  <definedNames>
    <definedName name="_xlnm._FilterDatabase" localSheetId="1" hidden="1">Transactions!$C$1:$L$187</definedName>
    <definedName name="AcctType">#REF!</definedName>
    <definedName name="CalMonths">#REF!</definedName>
    <definedName name="CalYear">#REF!</definedName>
    <definedName name="_xlnm.Print_Titles" localSheetId="2">BV!$1:$3</definedName>
    <definedName name="_xlnm.Print_Titles" localSheetId="1">Transactions!$1:$1</definedName>
    <definedName name="_xlnm.Print_Area" localSheetId="2">BV!$D$4:$G$66</definedName>
    <definedName name="_xlnm.Print_Area" localSheetId="1">Transactions!$D$1:$K$159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3" i="3" l="1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3" i="2"/>
  <c r="L199" i="3"/>
  <c r="L198" i="3"/>
  <c r="L197" i="3"/>
  <c r="L196" i="3"/>
  <c r="L195" i="3"/>
  <c r="L194" i="3"/>
  <c r="L193" i="3"/>
  <c r="L192" i="3"/>
  <c r="G22" i="4"/>
  <c r="F22" i="4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3" i="2"/>
  <c r="H25" i="1" l="1"/>
  <c r="G25" i="1"/>
</calcChain>
</file>

<file path=xl/sharedStrings.xml><?xml version="1.0" encoding="utf-8"?>
<sst xmlns="http://schemas.openxmlformats.org/spreadsheetml/2006/main" count="734" uniqueCount="197">
  <si>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</si>
  <si>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</si>
  <si>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</si>
  <si>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</si>
  <si>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</si>
  <si>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</si>
  <si>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</si>
  <si>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</si>
  <si>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</si>
  <si>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</si>
  <si>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</si>
  <si>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</si>
  <si>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</si>
  <si>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</si>
  <si>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</si>
  <si>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</si>
  <si>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</si>
  <si>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</si>
  <si>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</si>
  <si>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</si>
  <si>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</si>
  <si>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</si>
  <si>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</si>
  <si>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</si>
  <si>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</si>
  <si>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</si>
  <si>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</si>
  <si>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</si>
  <si>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</si>
  <si>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</si>
  <si>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</si>
  <si>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</si>
  <si>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</si>
  <si>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</si>
  <si>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</si>
  <si>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</si>
  <si>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</si>
  <si>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</si>
  <si>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</si>
  <si>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</si>
  <si>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</si>
  <si>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</si>
  <si>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</si>
  <si>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</si>
  <si>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</si>
  <si>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</si>
  <si>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</si>
  <si>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</si>
  <si>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</si>
  <si>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</si>
  <si>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</si>
  <si>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</si>
  <si>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</si>
  <si>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</si>
  <si>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</si>
  <si>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</si>
  <si>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</si>
  <si>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</si>
  <si>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</si>
  <si>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</si>
  <si>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</si>
  <si>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</si>
  <si>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</si>
  <si>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</si>
  <si>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</si>
  <si>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</si>
  <si>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</si>
  <si>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</si>
  <si>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</si>
  <si>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</si>
  <si>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</si>
  <si>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</si>
  <si>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</si>
  <si>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</si>
  <si>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</si>
  <si>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</si>
  <si>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</si>
  <si>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</si>
  <si>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</si>
  <si>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</si>
  <si>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</si>
  <si>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</si>
  <si>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</si>
  <si>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</si>
  <si>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</si>
  <si>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</si>
  <si>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</si>
  <si>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</si>
  <si>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</si>
  <si>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</si>
  <si>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</si>
  <si>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</si>
  <si>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</si>
  <si>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</si>
  <si>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</si>
  <si>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</si>
  <si>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</si>
  <si>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</si>
  <si>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</si>
  <si>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</si>
  <si>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</si>
  <si>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</si>
  <si>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</si>
  <si>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</si>
  <si>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</si>
  <si>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</si>
  <si>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</si>
  <si>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</si>
  <si>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</si>
  <si>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</si>
  <si>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</si>
  <si>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</si>
  <si>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</si>
  <si>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</si>
  <si>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</si>
  <si>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</si>
  <si>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</si>
  <si>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</si>
  <si>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</si>
  <si>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</si>
  <si>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</si>
  <si>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</si>
  <si>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</si>
  <si>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</si>
  <si>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</si>
  <si>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</si>
  <si>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</si>
  <si>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</si>
  <si>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</si>
  <si>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</si>
  <si>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</si>
  <si>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</si>
  <si>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</si>
  <si>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</si>
  <si>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</si>
  <si>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</si>
  <si>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</si>
  <si>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</si>
  <si>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</si>
  <si>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</si>
  <si>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</si>
  <si>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</si>
  <si>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</si>
  <si>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</si>
  <si>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</si>
  <si>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</si>
  <si>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</si>
  <si>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</si>
  <si>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</si>
  <si>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</si>
  <si>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</si>
  <si>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</si>
  <si>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</si>
  <si>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</si>
  <si>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</si>
  <si>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</si>
  <si>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</si>
  <si>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</si>
  <si>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</si>
  <si>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</si>
  <si>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</si>
  <si>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</si>
  <si>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</si>
  <si>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</si>
  <si>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</si>
  <si>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</si>
  <si>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</si>
  <si>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</si>
  <si>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</si>
  <si>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</si>
  <si>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</si>
  <si>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</si>
  <si>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</si>
  <si>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</si>
  <si>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</si>
  <si>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</si>
  <si>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</si>
  <si>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</si>
  <si>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</si>
  <si>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</si>
  <si>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</si>
  <si>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</si>
  <si>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</si>
  <si>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</si>
  <si>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</si>
  <si>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</si>
  <si>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</si>
  <si>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</si>
  <si>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</si>
  <si>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</si>
  <si>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13/10/2023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</si>
  <si>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</si>
  <si>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</si>
  <si>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</si>
  <si>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</si>
  <si>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</si>
  <si>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2023-10-13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</si>
</sst>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24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0" fillId="12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13" fillId="11" borderId="0" xfId="0" applyNumberFormat="1" applyFont="1" applyFill="1" applyAlignment="1">
      <alignment horizontal="right"/>
    </xf>
    <xf numFmtId="164" fontId="12" fillId="11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  <xf numFmtId="0" fontId="0" fillId="0" borderId="56" xfId="0" applyBorder="1" applyAlignment="1">
      <alignment horizontal="left"/>
    </xf>
    <xf numFmtId="0" fontId="1" fillId="13" borderId="19" xfId="0" applyFont="1" applyFill="1" applyBorder="1"/>
    <xf numFmtId="0" fontId="1" fillId="13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3" borderId="60" xfId="0" applyFont="1" applyFill="1" applyBorder="1"/>
    <xf numFmtId="0" fontId="1" fillId="13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3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3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7" fontId="0" fillId="0" borderId="0" xfId="0" applyNumberFormat="1"/>
    <xf numFmtId="164" fontId="1" fillId="0" borderId="62" xfId="0" applyNumberFormat="1" applyFont="1" applyBorder="1"/>
    <xf numFmtId="14" fontId="0" fillId="0" borderId="63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/>
    <xf numFmtId="14" fontId="10" fillId="0" borderId="65" xfId="0" applyNumberFormat="1" applyFont="1" applyBorder="1" applyAlignment="1">
      <alignment horizontal="center"/>
    </xf>
    <xf numFmtId="0" fontId="0" fillId="0" borderId="66" xfId="0" applyBorder="1"/>
    <xf numFmtId="14" fontId="10" fillId="0" borderId="67" xfId="0" applyNumberFormat="1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0" borderId="68" xfId="0" applyFont="1" applyBorder="1" applyAlignment="1">
      <alignment horizontal="left"/>
    </xf>
    <xf numFmtId="49" fontId="0" fillId="0" borderId="68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14" fontId="2" fillId="0" borderId="71" xfId="0" applyNumberFormat="1" applyFont="1" applyBorder="1" applyAlignment="1">
      <alignment horizontal="center"/>
    </xf>
    <xf numFmtId="0" fontId="0" fillId="0" borderId="63" xfId="0" applyBorder="1" applyAlignment="1">
      <alignment horizontal="center"/>
    </xf>
    <xf numFmtId="0" fontId="10" fillId="0" borderId="65" xfId="0" applyFont="1" applyBorder="1" applyAlignment="1">
      <alignment horizontal="center"/>
    </xf>
    <xf numFmtId="0" fontId="10" fillId="0" borderId="67" xfId="0" applyFont="1" applyBorder="1" applyAlignment="1">
      <alignment horizontal="center"/>
    </xf>
    <xf numFmtId="0" fontId="8" fillId="14" borderId="68" xfId="0" applyFont="1" applyFill="1" applyBorder="1" applyAlignment="1">
      <alignment horizontal="left"/>
    </xf>
    <xf numFmtId="164" fontId="8" fillId="14" borderId="68" xfId="0" applyNumberFormat="1" applyFont="1" applyFill="1" applyBorder="1"/>
    <xf numFmtId="0" fontId="8" fillId="14" borderId="69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164" fontId="1" fillId="0" borderId="0" xfId="0" applyNumberFormat="1" applyFont="1" applyAlignment="1">
      <alignment vertical="center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13" fillId="11" borderId="0" xfId="0" applyFont="1" applyFill="1" applyAlignment="1">
      <alignment horizont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7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1609726</xdr:colOff>
      <xdr:row>23</xdr:row>
      <xdr:rowOff>152399</xdr:rowOff>
    </xdr:from>
    <xdr:to>
      <xdr:col>9</xdr:col>
      <xdr:colOff>937124</xdr:colOff>
      <xdr:row>25</xdr:row>
      <xdr:rowOff>47625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124826" y="4362449"/>
          <a:ext cx="1041898" cy="276226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190500</xdr:colOff>
          <xdr:row>25</xdr:row>
          <xdr:rowOff>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2" totalsRowShown="0" headerRowDxfId="5" headerRowBorderDxfId="4" tableBorderDxfId="3">
  <autoFilter ref="D1:F62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J145"/>
  <sheetViews>
    <sheetView showGridLines="0" tabSelected="1" workbookViewId="0">
      <selection activeCell="J4" sqref="J4"/>
    </sheetView>
  </sheetViews>
  <sheetFormatPr baseColWidth="10" defaultRowHeight="15" x14ac:dyDescent="0.25"/>
  <cols>
    <col min="1" max="1" width="17" style="124" bestFit="1" customWidth="1"/>
    <col min="2" max="2" width="11.42578125" style="181"/>
    <col min="3" max="3" width="5.7109375" style="177" customWidth="1"/>
    <col min="4" max="4" width="13" style="180" customWidth="1"/>
    <col min="5" max="5" width="16.7109375" style="177" customWidth="1"/>
    <col min="6" max="6" width="5.7109375" style="177" customWidth="1"/>
    <col min="7" max="8" width="14.7109375" style="177" customWidth="1"/>
    <col min="9" max="9" width="25.7109375" style="177" customWidth="1"/>
    <col min="10" max="10" width="14.140625" style="177" customWidth="1"/>
    <col min="11" max="11" width="5.7109375" style="177" customWidth="1"/>
    <col min="12" max="16384" width="11.42578125" style="177"/>
  </cols>
  <sheetData>
    <row r="1" spans="1:10" x14ac:dyDescent="0.25">
      <c r="A1" s="124" t="s">
        <v>144</v>
      </c>
      <c r="B1" s="176">
        <v>37</v>
      </c>
      <c r="D1" s="217" t="s">
        <v>8</v>
      </c>
      <c r="E1" s="217"/>
      <c r="F1" s="217"/>
      <c r="G1" s="217"/>
      <c r="H1" s="217"/>
      <c r="I1" s="217"/>
      <c r="J1" s="217"/>
    </row>
    <row r="2" spans="1:10" x14ac:dyDescent="0.25">
      <c r="B2" s="178"/>
      <c r="C2" s="179"/>
      <c r="D2" s="217"/>
      <c r="E2" s="217"/>
      <c r="F2" s="217"/>
      <c r="G2" s="217"/>
      <c r="H2" s="217"/>
      <c r="I2" s="217"/>
      <c r="J2" s="217"/>
    </row>
    <row r="3" spans="1:10" x14ac:dyDescent="0.25">
      <c r="B3" s="178"/>
    </row>
    <row r="4" spans="1:10" x14ac:dyDescent="0.25">
      <c r="D4" s="182" t="s">
        <v>4</v>
      </c>
      <c r="E4" s="183" t="s">
        <v>195</v>
      </c>
      <c r="I4" s="182" t="s">
        <v>7</v>
      </c>
      <c r="J4" s="223" t="s">
        <v>196</v>
      </c>
    </row>
    <row r="6" spans="1:10" x14ac:dyDescent="0.25">
      <c r="D6" s="182" t="s">
        <v>5</v>
      </c>
      <c r="E6" s="214"/>
      <c r="F6" s="215"/>
      <c r="G6" s="215"/>
      <c r="H6" s="215"/>
      <c r="I6" s="215"/>
      <c r="J6" s="216"/>
    </row>
    <row r="7" spans="1:10" ht="15.75" thickBot="1" x14ac:dyDescent="0.3"/>
    <row r="8" spans="1:10" x14ac:dyDescent="0.25">
      <c r="D8" s="218" t="s">
        <v>1</v>
      </c>
      <c r="E8" s="219"/>
      <c r="F8" s="219"/>
      <c r="G8" s="2" t="s">
        <v>2</v>
      </c>
      <c r="H8" s="2" t="s">
        <v>3</v>
      </c>
      <c r="I8" s="220" t="s">
        <v>6</v>
      </c>
      <c r="J8" s="221"/>
    </row>
    <row r="9" spans="1:10" x14ac:dyDescent="0.25">
      <c r="D9" s="205"/>
      <c r="E9" s="206"/>
      <c r="F9" s="207"/>
      <c r="G9" s="184"/>
      <c r="H9" s="184"/>
      <c r="I9" s="199"/>
      <c r="J9" s="200"/>
    </row>
    <row r="10" spans="1:10" x14ac:dyDescent="0.25">
      <c r="D10" s="208"/>
      <c r="E10" s="209"/>
      <c r="F10" s="210"/>
      <c r="G10" s="185"/>
      <c r="H10" s="185"/>
      <c r="I10" s="201"/>
      <c r="J10" s="202"/>
    </row>
    <row r="11" spans="1:10" x14ac:dyDescent="0.25">
      <c r="D11" s="205"/>
      <c r="E11" s="206"/>
      <c r="F11" s="207"/>
      <c r="G11" s="186"/>
      <c r="H11" s="186"/>
      <c r="I11" s="199"/>
      <c r="J11" s="200"/>
    </row>
    <row r="12" spans="1:10" x14ac:dyDescent="0.25">
      <c r="D12" s="208"/>
      <c r="E12" s="209"/>
      <c r="F12" s="210"/>
      <c r="G12" s="185"/>
      <c r="H12" s="185"/>
      <c r="I12" s="201"/>
      <c r="J12" s="202"/>
    </row>
    <row r="13" spans="1:10" x14ac:dyDescent="0.25">
      <c r="D13" s="205"/>
      <c r="E13" s="206"/>
      <c r="F13" s="207"/>
      <c r="G13" s="186"/>
      <c r="H13" s="186"/>
      <c r="I13" s="199"/>
      <c r="J13" s="200"/>
    </row>
    <row r="14" spans="1:10" x14ac:dyDescent="0.25">
      <c r="D14" s="208"/>
      <c r="E14" s="209"/>
      <c r="F14" s="210"/>
      <c r="G14" s="185"/>
      <c r="H14" s="185"/>
      <c r="I14" s="201"/>
      <c r="J14" s="202"/>
    </row>
    <row r="15" spans="1:10" x14ac:dyDescent="0.25">
      <c r="D15" s="205"/>
      <c r="E15" s="206"/>
      <c r="F15" s="207"/>
      <c r="G15" s="186"/>
      <c r="H15" s="186"/>
      <c r="I15" s="199"/>
      <c r="J15" s="200"/>
    </row>
    <row r="16" spans="1:10" x14ac:dyDescent="0.25">
      <c r="D16" s="208"/>
      <c r="E16" s="209"/>
      <c r="F16" s="210"/>
      <c r="G16" s="185"/>
      <c r="H16" s="185"/>
      <c r="I16" s="201"/>
      <c r="J16" s="202"/>
    </row>
    <row r="17" spans="4:10" x14ac:dyDescent="0.25">
      <c r="D17" s="205"/>
      <c r="E17" s="206"/>
      <c r="F17" s="207"/>
      <c r="G17" s="186"/>
      <c r="H17" s="186"/>
      <c r="I17" s="199"/>
      <c r="J17" s="200"/>
    </row>
    <row r="18" spans="4:10" x14ac:dyDescent="0.25">
      <c r="D18" s="208"/>
      <c r="E18" s="209"/>
      <c r="F18" s="210"/>
      <c r="G18" s="185"/>
      <c r="H18" s="185"/>
      <c r="I18" s="201"/>
      <c r="J18" s="202"/>
    </row>
    <row r="19" spans="4:10" x14ac:dyDescent="0.25">
      <c r="D19" s="205"/>
      <c r="E19" s="206"/>
      <c r="F19" s="207"/>
      <c r="G19" s="186"/>
      <c r="H19" s="186"/>
      <c r="I19" s="199"/>
      <c r="J19" s="200"/>
    </row>
    <row r="20" spans="4:10" x14ac:dyDescent="0.25">
      <c r="D20" s="208"/>
      <c r="E20" s="209"/>
      <c r="F20" s="210"/>
      <c r="G20" s="185"/>
      <c r="H20" s="185"/>
      <c r="I20" s="201"/>
      <c r="J20" s="202"/>
    </row>
    <row r="21" spans="4:10" x14ac:dyDescent="0.25">
      <c r="D21" s="205"/>
      <c r="E21" s="206"/>
      <c r="F21" s="207"/>
      <c r="G21" s="186"/>
      <c r="H21" s="186"/>
      <c r="I21" s="199"/>
      <c r="J21" s="200"/>
    </row>
    <row r="22" spans="4:10" x14ac:dyDescent="0.25">
      <c r="D22" s="208"/>
      <c r="E22" s="209"/>
      <c r="F22" s="210"/>
      <c r="G22" s="185"/>
      <c r="H22" s="185"/>
      <c r="I22" s="201"/>
      <c r="J22" s="202"/>
    </row>
    <row r="23" spans="4:10" ht="15.75" thickBot="1" x14ac:dyDescent="0.3">
      <c r="D23" s="211"/>
      <c r="E23" s="212"/>
      <c r="F23" s="213"/>
      <c r="G23" s="187"/>
      <c r="H23" s="187"/>
      <c r="I23" s="203"/>
      <c r="J23" s="204"/>
    </row>
    <row r="25" spans="4:10" x14ac:dyDescent="0.25">
      <c r="G25" s="188">
        <f>SUM(G9:G23)</f>
        <v>0</v>
      </c>
      <c r="H25" s="188">
        <f>SUM(H9:H23)</f>
        <v>0</v>
      </c>
    </row>
    <row r="117" spans="4:10" ht="15.75" thickBot="1" x14ac:dyDescent="0.3"/>
    <row r="118" spans="4:10" ht="16.5" thickTop="1" thickBot="1" x14ac:dyDescent="0.3">
      <c r="D118" s="189"/>
      <c r="E118" s="190"/>
      <c r="F118" s="190"/>
      <c r="G118" s="190"/>
      <c r="H118" s="190"/>
      <c r="I118" s="190"/>
      <c r="J118" s="191"/>
    </row>
    <row r="119" spans="4:10" ht="15.75" thickTop="1" x14ac:dyDescent="0.25">
      <c r="D119" s="192"/>
      <c r="E119" s="193"/>
      <c r="F119" s="193"/>
      <c r="G119" s="193"/>
      <c r="H119" s="193"/>
      <c r="I119" s="193"/>
      <c r="J119" s="194"/>
    </row>
    <row r="120" spans="4:10" ht="15.75" thickBot="1" x14ac:dyDescent="0.3">
      <c r="D120" s="195"/>
      <c r="E120" s="196"/>
      <c r="F120" s="196"/>
      <c r="G120" s="196"/>
      <c r="H120" s="196"/>
      <c r="I120" s="196"/>
      <c r="J120" s="197"/>
    </row>
    <row r="121" spans="4:10" ht="16.5" thickTop="1" thickBot="1" x14ac:dyDescent="0.3">
      <c r="D121" s="195"/>
      <c r="E121" s="196"/>
      <c r="F121" s="196"/>
      <c r="G121" s="196"/>
      <c r="H121" s="196"/>
      <c r="I121" s="196"/>
      <c r="J121" s="197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98"/>
    </row>
    <row r="145" ht="15.75" thickTop="1" x14ac:dyDescent="0.25"/>
  </sheetData>
  <sheetProtection formatCells="0" selectLockedCells="1" sort="0" autoFilter="0" pivotTables="0"/>
  <mergeCells count="34">
    <mergeCell ref="D13:F13"/>
    <mergeCell ref="D14:F14"/>
    <mergeCell ref="D15:F15"/>
    <mergeCell ref="D1:J2"/>
    <mergeCell ref="D8:F8"/>
    <mergeCell ref="I8:J8"/>
    <mergeCell ref="D9:F9"/>
    <mergeCell ref="D10:F10"/>
    <mergeCell ref="I18:J18"/>
    <mergeCell ref="I19:J19"/>
    <mergeCell ref="I20:J20"/>
    <mergeCell ref="D16:F16"/>
    <mergeCell ref="D17:F17"/>
    <mergeCell ref="D18:F18"/>
    <mergeCell ref="D19:F19"/>
    <mergeCell ref="D20:F20"/>
    <mergeCell ref="I13:J13"/>
    <mergeCell ref="I14:J14"/>
    <mergeCell ref="I15:J15"/>
    <mergeCell ref="I16:J16"/>
    <mergeCell ref="I17:J17"/>
    <mergeCell ref="E6:J6"/>
    <mergeCell ref="I9:J9"/>
    <mergeCell ref="I10:J10"/>
    <mergeCell ref="I11:J11"/>
    <mergeCell ref="I12:J12"/>
    <mergeCell ref="D11:F11"/>
    <mergeCell ref="D12:F12"/>
    <mergeCell ref="I21:J21"/>
    <mergeCell ref="I22:J22"/>
    <mergeCell ref="I23:J23"/>
    <mergeCell ref="D21:F21"/>
    <mergeCell ref="D22:F22"/>
    <mergeCell ref="D23:F23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Line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C1:L203"/>
  <sheetViews>
    <sheetView workbookViewId="0">
      <pane ySplit="1" topLeftCell="A184" activePane="bottomLeft" state="frozen"/>
      <selection pane="bottomLeft" activeCell="E206" sqref="E206"/>
    </sheetView>
  </sheetViews>
  <sheetFormatPr baseColWidth="10" defaultRowHeight="15" x14ac:dyDescent="0.25"/>
  <cols>
    <col min="3" max="3" width="5.7109375" style="9" customWidth="1"/>
    <col min="4" max="4" width="12.7109375" style="10" customWidth="1"/>
    <col min="5" max="5" width="8.7109375" style="10" customWidth="1"/>
    <col min="6" max="6" width="16.14062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30.28515625" customWidth="1"/>
    <col min="12" max="12" width="5.7109375" style="9" customWidth="1"/>
  </cols>
  <sheetData>
    <row r="1" spans="3:12" s="120" customFormat="1" ht="26.25" thickBot="1" x14ac:dyDescent="0.3">
      <c r="C1" s="115" t="s">
        <v>143</v>
      </c>
      <c r="D1" s="116" t="s">
        <v>141</v>
      </c>
      <c r="E1" s="117" t="s">
        <v>140</v>
      </c>
      <c r="F1" s="116" t="s">
        <v>0</v>
      </c>
      <c r="G1" s="117" t="s">
        <v>181</v>
      </c>
      <c r="H1" s="142" t="s">
        <v>1</v>
      </c>
      <c r="I1" s="118" t="s">
        <v>2</v>
      </c>
      <c r="J1" s="118" t="s">
        <v>3</v>
      </c>
      <c r="K1" s="116" t="s">
        <v>142</v>
      </c>
      <c r="L1" s="119"/>
    </row>
    <row r="2" spans="3:12" x14ac:dyDescent="0.25"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3:12" ht="15.75" x14ac:dyDescent="0.25"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43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3:12" ht="16.5" thickBot="1" x14ac:dyDescent="0.3">
      <c r="C4" s="9">
        <v>1</v>
      </c>
      <c r="D4" s="18">
        <v>45204</v>
      </c>
      <c r="E4" s="26">
        <v>1</v>
      </c>
      <c r="F4" s="27"/>
      <c r="G4" s="102"/>
      <c r="H4" s="144" t="s">
        <v>145</v>
      </c>
      <c r="I4" s="136"/>
      <c r="J4" s="136"/>
      <c r="K4" s="137"/>
      <c r="L4" s="9">
        <f>ROW()</f>
        <v>4</v>
      </c>
    </row>
    <row r="5" spans="3:12" ht="15.75" thickBot="1" x14ac:dyDescent="0.3"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3:12" x14ac:dyDescent="0.25"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3:12" x14ac:dyDescent="0.25"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43" t="s">
        <v>13</v>
      </c>
      <c r="I7" s="25"/>
      <c r="J7" s="25">
        <v>250</v>
      </c>
      <c r="K7" s="31"/>
      <c r="L7" s="9">
        <f>ROW()</f>
        <v>7</v>
      </c>
    </row>
    <row r="8" spans="3:12" ht="15.75" thickBot="1" x14ac:dyDescent="0.3">
      <c r="C8" s="9">
        <v>2</v>
      </c>
      <c r="D8" s="15">
        <v>45230</v>
      </c>
      <c r="E8" s="32"/>
      <c r="F8" s="33"/>
      <c r="G8" s="104"/>
      <c r="H8" s="144" t="s">
        <v>145</v>
      </c>
      <c r="I8" s="136"/>
      <c r="J8" s="136"/>
      <c r="K8" s="137"/>
      <c r="L8" s="9">
        <f>ROW()</f>
        <v>8</v>
      </c>
    </row>
    <row r="9" spans="3:12" ht="15.75" thickBot="1" x14ac:dyDescent="0.3">
      <c r="C9" s="9">
        <v>2</v>
      </c>
      <c r="D9" s="155">
        <v>45230</v>
      </c>
      <c r="E9" s="14"/>
      <c r="F9" s="34"/>
      <c r="G9" s="105"/>
      <c r="H9" s="145"/>
      <c r="I9" s="35"/>
      <c r="J9" s="35"/>
      <c r="K9" s="34"/>
      <c r="L9" s="9">
        <f>ROW()</f>
        <v>9</v>
      </c>
    </row>
    <row r="10" spans="3:12" x14ac:dyDescent="0.25"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3:12" x14ac:dyDescent="0.25"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43" t="s">
        <v>13</v>
      </c>
      <c r="I11" s="25"/>
      <c r="J11" s="25">
        <v>49.95</v>
      </c>
      <c r="K11" s="31"/>
      <c r="L11" s="9">
        <f>ROW()</f>
        <v>11</v>
      </c>
    </row>
    <row r="12" spans="3:12" ht="15.75" thickBot="1" x14ac:dyDescent="0.3">
      <c r="C12" s="9">
        <v>3</v>
      </c>
      <c r="D12" s="15">
        <v>45204</v>
      </c>
      <c r="E12" s="36">
        <v>2</v>
      </c>
      <c r="F12" s="37" t="s">
        <v>139</v>
      </c>
      <c r="G12" s="104"/>
      <c r="H12" s="144" t="s">
        <v>145</v>
      </c>
      <c r="I12" s="136"/>
      <c r="J12" s="136"/>
      <c r="K12" s="137"/>
      <c r="L12" s="9">
        <f>ROW()</f>
        <v>12</v>
      </c>
    </row>
    <row r="13" spans="3:12" ht="15.75" thickBot="1" x14ac:dyDescent="0.3">
      <c r="C13" s="9">
        <v>3</v>
      </c>
      <c r="D13" s="75">
        <v>45204</v>
      </c>
      <c r="E13" s="74"/>
      <c r="F13" s="76"/>
      <c r="L13" s="9">
        <f>ROW()</f>
        <v>13</v>
      </c>
    </row>
    <row r="14" spans="3:12" x14ac:dyDescent="0.25"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2300</v>
      </c>
      <c r="J14" s="22"/>
      <c r="K14" s="29"/>
      <c r="L14" s="9">
        <f>ROW()</f>
        <v>14</v>
      </c>
    </row>
    <row r="15" spans="3:12" x14ac:dyDescent="0.25"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43" t="s">
        <v>19</v>
      </c>
      <c r="I15" s="25"/>
      <c r="J15" s="25">
        <v>985.45</v>
      </c>
      <c r="K15" s="31"/>
      <c r="L15" s="9">
        <f>ROW()</f>
        <v>15</v>
      </c>
    </row>
    <row r="16" spans="3:12" x14ac:dyDescent="0.25"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43" t="s">
        <v>25</v>
      </c>
      <c r="I16" s="25">
        <v>4589</v>
      </c>
      <c r="J16" s="25"/>
      <c r="K16" s="31"/>
      <c r="L16" s="9">
        <f>ROW()</f>
        <v>16</v>
      </c>
    </row>
    <row r="17" spans="3:12" x14ac:dyDescent="0.25"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43" t="s">
        <v>21</v>
      </c>
      <c r="I17" s="25"/>
      <c r="J17" s="25">
        <v>1750</v>
      </c>
      <c r="K17" s="31"/>
      <c r="L17" s="9">
        <f>ROW()</f>
        <v>17</v>
      </c>
    </row>
    <row r="18" spans="3:12" x14ac:dyDescent="0.25"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43" t="s">
        <v>13</v>
      </c>
      <c r="I18" s="25"/>
      <c r="J18" s="25">
        <v>4153.55</v>
      </c>
      <c r="K18" s="31"/>
      <c r="L18" s="9">
        <f>ROW()</f>
        <v>18</v>
      </c>
    </row>
    <row r="19" spans="3:12" ht="15.75" thickBot="1" x14ac:dyDescent="0.3">
      <c r="C19" s="9">
        <v>4</v>
      </c>
      <c r="D19" s="15">
        <v>45203</v>
      </c>
      <c r="E19" s="36">
        <v>4</v>
      </c>
      <c r="F19" s="37" t="s">
        <v>146</v>
      </c>
      <c r="G19" s="104"/>
      <c r="H19" s="144" t="s">
        <v>147</v>
      </c>
      <c r="I19" s="136"/>
      <c r="J19" s="136"/>
      <c r="K19" s="137"/>
      <c r="L19" s="9">
        <f>ROW()</f>
        <v>19</v>
      </c>
    </row>
    <row r="20" spans="3:12" ht="15.75" thickBot="1" x14ac:dyDescent="0.3">
      <c r="C20" s="9">
        <v>4</v>
      </c>
      <c r="D20" s="75">
        <v>45203</v>
      </c>
      <c r="E20" s="74">
        <v>4</v>
      </c>
      <c r="F20" s="76" t="s">
        <v>146</v>
      </c>
      <c r="L20" s="9">
        <f>ROW()</f>
        <v>20</v>
      </c>
    </row>
    <row r="21" spans="3:12" x14ac:dyDescent="0.25"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3:12" x14ac:dyDescent="0.25"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43" t="s">
        <v>88</v>
      </c>
      <c r="I22" s="25"/>
      <c r="J22" s="25">
        <v>1625</v>
      </c>
      <c r="K22" s="31"/>
      <c r="L22" s="9">
        <f>ROW()</f>
        <v>22</v>
      </c>
    </row>
    <row r="23" spans="3:12" x14ac:dyDescent="0.25"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43" t="s">
        <v>121</v>
      </c>
      <c r="I23" s="25"/>
      <c r="J23" s="25">
        <v>31</v>
      </c>
      <c r="K23" s="31"/>
      <c r="L23" s="9">
        <f>ROW()</f>
        <v>23</v>
      </c>
    </row>
    <row r="24" spans="3:12" x14ac:dyDescent="0.25"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43" t="s">
        <v>119</v>
      </c>
      <c r="I24" s="25"/>
      <c r="J24" s="25">
        <v>32</v>
      </c>
      <c r="K24" s="31"/>
      <c r="L24" s="9">
        <f>ROW()</f>
        <v>24</v>
      </c>
    </row>
    <row r="25" spans="3:12" x14ac:dyDescent="0.25"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43" t="s">
        <v>123</v>
      </c>
      <c r="I25" s="25"/>
      <c r="J25" s="25">
        <v>33</v>
      </c>
      <c r="K25" s="31"/>
      <c r="L25" s="9">
        <f>ROW()</f>
        <v>25</v>
      </c>
    </row>
    <row r="26" spans="3:12" x14ac:dyDescent="0.25"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43" t="s">
        <v>23</v>
      </c>
      <c r="I26" s="25"/>
      <c r="J26" s="25">
        <v>86.05</v>
      </c>
      <c r="K26" s="31"/>
      <c r="L26" s="9">
        <f>ROW()</f>
        <v>26</v>
      </c>
    </row>
    <row r="27" spans="3:12" x14ac:dyDescent="0.25"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43" t="s">
        <v>25</v>
      </c>
      <c r="I27" s="25"/>
      <c r="J27" s="25">
        <v>171.67</v>
      </c>
      <c r="K27" s="31"/>
      <c r="L27" s="9">
        <f>ROW()</f>
        <v>27</v>
      </c>
    </row>
    <row r="28" spans="3:12" x14ac:dyDescent="0.25"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43" t="s">
        <v>33</v>
      </c>
      <c r="I28" s="25">
        <v>750</v>
      </c>
      <c r="J28" s="25"/>
      <c r="K28" s="31"/>
      <c r="L28" s="9">
        <f>ROW()</f>
        <v>28</v>
      </c>
    </row>
    <row r="29" spans="3:12" ht="15.75" thickBot="1" x14ac:dyDescent="0.3">
      <c r="C29" s="9">
        <v>5</v>
      </c>
      <c r="D29" s="15">
        <v>45204</v>
      </c>
      <c r="E29" s="36">
        <v>5</v>
      </c>
      <c r="F29" s="37" t="s">
        <v>148</v>
      </c>
      <c r="G29" s="106"/>
      <c r="H29" s="144" t="s">
        <v>149</v>
      </c>
      <c r="I29" s="136"/>
      <c r="J29" s="136"/>
      <c r="K29" s="137"/>
      <c r="L29" s="9">
        <f>ROW()</f>
        <v>29</v>
      </c>
    </row>
    <row r="30" spans="3:12" ht="15.75" thickBot="1" x14ac:dyDescent="0.3">
      <c r="C30" s="9">
        <v>5</v>
      </c>
      <c r="D30" s="19">
        <v>45204</v>
      </c>
      <c r="E30" s="38">
        <v>5</v>
      </c>
      <c r="F30" s="39" t="s">
        <v>148</v>
      </c>
      <c r="G30" s="107"/>
      <c r="H30" s="146"/>
      <c r="I30" s="41"/>
      <c r="J30" s="41"/>
      <c r="K30" s="40"/>
      <c r="L30" s="9">
        <f>ROW()</f>
        <v>30</v>
      </c>
    </row>
    <row r="31" spans="3:12" x14ac:dyDescent="0.25"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3:12" x14ac:dyDescent="0.25"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43" t="s">
        <v>88</v>
      </c>
      <c r="I32" s="25"/>
      <c r="J32" s="25">
        <v>1625</v>
      </c>
      <c r="K32" s="31"/>
      <c r="L32" s="9">
        <f>ROW()</f>
        <v>32</v>
      </c>
    </row>
    <row r="33" spans="3:12" x14ac:dyDescent="0.25"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43" t="s">
        <v>121</v>
      </c>
      <c r="I33" s="25"/>
      <c r="J33" s="25">
        <v>31</v>
      </c>
      <c r="K33" s="31"/>
      <c r="L33" s="9">
        <f>ROW()</f>
        <v>33</v>
      </c>
    </row>
    <row r="34" spans="3:12" x14ac:dyDescent="0.25"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43" t="s">
        <v>119</v>
      </c>
      <c r="I34" s="25"/>
      <c r="J34" s="25">
        <v>32</v>
      </c>
      <c r="K34" s="31"/>
      <c r="L34" s="9">
        <f>ROW()</f>
        <v>34</v>
      </c>
    </row>
    <row r="35" spans="3:12" x14ac:dyDescent="0.25"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43" t="s">
        <v>123</v>
      </c>
      <c r="I35" s="25"/>
      <c r="J35" s="25">
        <v>33</v>
      </c>
      <c r="K35" s="31"/>
      <c r="L35" s="9">
        <f>ROW()</f>
        <v>35</v>
      </c>
    </row>
    <row r="36" spans="3:12" x14ac:dyDescent="0.25"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43" t="s">
        <v>23</v>
      </c>
      <c r="I36" s="25"/>
      <c r="J36" s="25">
        <v>86.05</v>
      </c>
      <c r="K36" s="31"/>
      <c r="L36" s="9">
        <f>ROW()</f>
        <v>36</v>
      </c>
    </row>
    <row r="37" spans="3:12" x14ac:dyDescent="0.25"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43" t="s">
        <v>25</v>
      </c>
      <c r="I37" s="25"/>
      <c r="J37" s="25">
        <v>171.67</v>
      </c>
      <c r="K37" s="31"/>
      <c r="L37" s="9">
        <f>ROW()</f>
        <v>37</v>
      </c>
    </row>
    <row r="38" spans="3:12" x14ac:dyDescent="0.25"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43" t="s">
        <v>33</v>
      </c>
      <c r="I38" s="25">
        <v>750</v>
      </c>
      <c r="J38" s="25"/>
      <c r="K38" s="31"/>
      <c r="L38" s="9">
        <f>ROW()</f>
        <v>38</v>
      </c>
    </row>
    <row r="39" spans="3:12" ht="15.75" thickBot="1" x14ac:dyDescent="0.3">
      <c r="C39" s="9">
        <v>6</v>
      </c>
      <c r="D39" s="15">
        <v>45204</v>
      </c>
      <c r="E39" s="36">
        <v>6</v>
      </c>
      <c r="F39" s="37" t="s">
        <v>148</v>
      </c>
      <c r="G39" s="104"/>
      <c r="H39" s="144" t="s">
        <v>149</v>
      </c>
      <c r="I39" s="136"/>
      <c r="J39" s="136"/>
      <c r="K39" s="137"/>
      <c r="L39" s="9">
        <f>ROW()</f>
        <v>39</v>
      </c>
    </row>
    <row r="40" spans="3:12" ht="15.75" thickBot="1" x14ac:dyDescent="0.3">
      <c r="C40" s="9">
        <v>6</v>
      </c>
      <c r="D40" s="75">
        <v>45204</v>
      </c>
      <c r="E40" s="74">
        <v>6</v>
      </c>
      <c r="F40" s="76" t="s">
        <v>148</v>
      </c>
    </row>
    <row r="41" spans="3:12" x14ac:dyDescent="0.25"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3:12" x14ac:dyDescent="0.25"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43" t="s">
        <v>88</v>
      </c>
      <c r="I42" s="25"/>
      <c r="J42" s="25">
        <v>612.5</v>
      </c>
      <c r="K42" s="31"/>
      <c r="L42" s="9">
        <f>ROW()</f>
        <v>42</v>
      </c>
    </row>
    <row r="43" spans="3:12" x14ac:dyDescent="0.25"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43" t="s">
        <v>121</v>
      </c>
      <c r="I43" s="25"/>
      <c r="J43" s="25">
        <v>21</v>
      </c>
      <c r="K43" s="31"/>
      <c r="L43" s="9">
        <f>ROW()</f>
        <v>43</v>
      </c>
    </row>
    <row r="44" spans="3:12" x14ac:dyDescent="0.25"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43" t="s">
        <v>119</v>
      </c>
      <c r="I44" s="25"/>
      <c r="J44" s="25">
        <v>22</v>
      </c>
      <c r="K44" s="31"/>
      <c r="L44" s="9">
        <f>ROW()</f>
        <v>44</v>
      </c>
    </row>
    <row r="45" spans="3:12" x14ac:dyDescent="0.25"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43" t="s">
        <v>123</v>
      </c>
      <c r="I45" s="25"/>
      <c r="J45" s="25">
        <v>23</v>
      </c>
      <c r="K45" s="31"/>
      <c r="L45" s="9">
        <f>ROW()</f>
        <v>45</v>
      </c>
    </row>
    <row r="46" spans="3:12" x14ac:dyDescent="0.25"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43" t="s">
        <v>23</v>
      </c>
      <c r="I46" s="25"/>
      <c r="J46" s="25">
        <v>33.93</v>
      </c>
      <c r="K46" s="31"/>
      <c r="L46" s="9">
        <f>ROW()</f>
        <v>46</v>
      </c>
    </row>
    <row r="47" spans="3:12" x14ac:dyDescent="0.25"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43" t="s">
        <v>25</v>
      </c>
      <c r="I47" s="25"/>
      <c r="J47" s="25">
        <v>67.680000000000007</v>
      </c>
      <c r="K47" s="31"/>
      <c r="L47" s="9">
        <f>ROW()</f>
        <v>47</v>
      </c>
    </row>
    <row r="48" spans="3:12" x14ac:dyDescent="0.25"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43" t="s">
        <v>33</v>
      </c>
      <c r="I48" s="25">
        <v>350</v>
      </c>
      <c r="J48" s="25"/>
      <c r="K48" s="31"/>
      <c r="L48" s="9">
        <f>ROW()</f>
        <v>48</v>
      </c>
    </row>
    <row r="49" spans="3:12" ht="15.75" thickBot="1" x14ac:dyDescent="0.3">
      <c r="C49" s="9">
        <v>7</v>
      </c>
      <c r="D49" s="15">
        <v>45203</v>
      </c>
      <c r="E49" s="36">
        <v>7</v>
      </c>
      <c r="F49" s="37" t="s">
        <v>150</v>
      </c>
      <c r="G49" s="104"/>
      <c r="H49" s="144" t="s">
        <v>151</v>
      </c>
      <c r="I49" s="136"/>
      <c r="J49" s="136"/>
      <c r="K49" s="137"/>
      <c r="L49" s="9">
        <f>ROW()</f>
        <v>49</v>
      </c>
    </row>
    <row r="50" spans="3:12" ht="15.75" thickBot="1" x14ac:dyDescent="0.3">
      <c r="C50" s="9">
        <v>7</v>
      </c>
      <c r="D50" s="75">
        <v>45203</v>
      </c>
      <c r="E50" s="74">
        <v>7</v>
      </c>
      <c r="F50" s="76" t="s">
        <v>150</v>
      </c>
      <c r="L50" s="9">
        <f>ROW()</f>
        <v>50</v>
      </c>
    </row>
    <row r="51" spans="3:12" x14ac:dyDescent="0.25"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3:12" x14ac:dyDescent="0.25"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43" t="s">
        <v>88</v>
      </c>
      <c r="I52" s="25"/>
      <c r="J52" s="25">
        <v>1050</v>
      </c>
      <c r="K52" s="31"/>
      <c r="L52" s="9">
        <f>ROW()</f>
        <v>52</v>
      </c>
    </row>
    <row r="53" spans="3:12" x14ac:dyDescent="0.25"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43" t="s">
        <v>121</v>
      </c>
      <c r="I53" s="25"/>
      <c r="J53" s="25">
        <v>11</v>
      </c>
      <c r="K53" s="31"/>
      <c r="L53" s="9">
        <f>ROW()</f>
        <v>53</v>
      </c>
    </row>
    <row r="54" spans="3:12" x14ac:dyDescent="0.25"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43" t="s">
        <v>119</v>
      </c>
      <c r="I54" s="25"/>
      <c r="J54" s="25">
        <v>12</v>
      </c>
      <c r="K54" s="31"/>
      <c r="L54" s="9">
        <f>ROW()</f>
        <v>54</v>
      </c>
    </row>
    <row r="55" spans="3:12" x14ac:dyDescent="0.25"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43" t="s">
        <v>123</v>
      </c>
      <c r="I55" s="25"/>
      <c r="J55" s="25">
        <v>13</v>
      </c>
      <c r="K55" s="31"/>
      <c r="L55" s="9">
        <f>ROW()</f>
        <v>55</v>
      </c>
    </row>
    <row r="56" spans="3:12" x14ac:dyDescent="0.25"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43" t="s">
        <v>23</v>
      </c>
      <c r="I56" s="25"/>
      <c r="J56" s="25">
        <v>54.3</v>
      </c>
      <c r="K56" s="31"/>
      <c r="L56" s="9">
        <f>ROW()</f>
        <v>56</v>
      </c>
    </row>
    <row r="57" spans="3:12" x14ac:dyDescent="0.25"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43" t="s">
        <v>25</v>
      </c>
      <c r="I57" s="25"/>
      <c r="J57" s="25">
        <v>108.33</v>
      </c>
      <c r="K57" s="31"/>
      <c r="L57" s="9">
        <f>ROW()</f>
        <v>57</v>
      </c>
    </row>
    <row r="58" spans="3:12" ht="15.75" thickBot="1" x14ac:dyDescent="0.3">
      <c r="C58" s="9">
        <v>8</v>
      </c>
      <c r="D58" s="15">
        <v>45204</v>
      </c>
      <c r="E58" s="36">
        <v>8</v>
      </c>
      <c r="F58" s="37" t="s">
        <v>152</v>
      </c>
      <c r="G58" s="104"/>
      <c r="H58" s="144" t="s">
        <v>153</v>
      </c>
      <c r="I58" s="136"/>
      <c r="J58" s="136"/>
      <c r="K58" s="137"/>
      <c r="L58" s="9">
        <f>ROW()</f>
        <v>58</v>
      </c>
    </row>
    <row r="59" spans="3:12" ht="15.75" thickBot="1" x14ac:dyDescent="0.3">
      <c r="C59" s="9">
        <v>8</v>
      </c>
      <c r="D59" s="75">
        <v>45204</v>
      </c>
      <c r="E59" s="74">
        <v>8</v>
      </c>
      <c r="F59" s="76" t="s">
        <v>152</v>
      </c>
      <c r="L59" s="9">
        <f>ROW()</f>
        <v>59</v>
      </c>
    </row>
    <row r="60" spans="3:12" x14ac:dyDescent="0.25"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3:12" x14ac:dyDescent="0.25"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43" t="s">
        <v>15</v>
      </c>
      <c r="I61" s="25"/>
      <c r="J61" s="25">
        <v>1248.6300000000001</v>
      </c>
      <c r="K61" s="31"/>
      <c r="L61" s="9">
        <f>ROW()</f>
        <v>61</v>
      </c>
    </row>
    <row r="62" spans="3:12" ht="15.75" thickBot="1" x14ac:dyDescent="0.3">
      <c r="C62" s="9">
        <v>9</v>
      </c>
      <c r="D62" s="15">
        <v>45205</v>
      </c>
      <c r="E62" s="36">
        <v>9</v>
      </c>
      <c r="F62" s="37" t="s">
        <v>154</v>
      </c>
      <c r="G62" s="104"/>
      <c r="H62" s="144" t="s">
        <v>155</v>
      </c>
      <c r="I62" s="136"/>
      <c r="J62" s="136"/>
      <c r="K62" s="137"/>
      <c r="L62" s="9">
        <f>ROW()</f>
        <v>62</v>
      </c>
    </row>
    <row r="63" spans="3:12" ht="15.75" thickBot="1" x14ac:dyDescent="0.3">
      <c r="C63" s="9">
        <v>9</v>
      </c>
      <c r="D63" s="75">
        <v>45205</v>
      </c>
      <c r="E63" s="74">
        <v>9</v>
      </c>
      <c r="F63" s="76" t="s">
        <v>154</v>
      </c>
      <c r="L63" s="9">
        <f>ROW()</f>
        <v>63</v>
      </c>
    </row>
    <row r="64" spans="3:12" x14ac:dyDescent="0.25"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3:12" x14ac:dyDescent="0.25"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43" t="s">
        <v>15</v>
      </c>
      <c r="I65" s="25"/>
      <c r="J65" s="25">
        <v>1228.72</v>
      </c>
      <c r="K65" s="31"/>
      <c r="L65" s="9">
        <f>ROW()</f>
        <v>65</v>
      </c>
    </row>
    <row r="66" spans="3:12" ht="15.75" thickBot="1" x14ac:dyDescent="0.3">
      <c r="C66" s="9">
        <v>10</v>
      </c>
      <c r="D66" s="15">
        <v>45205</v>
      </c>
      <c r="E66" s="36">
        <v>10</v>
      </c>
      <c r="F66" s="37" t="s">
        <v>154</v>
      </c>
      <c r="G66" s="104"/>
      <c r="H66" s="144" t="s">
        <v>149</v>
      </c>
      <c r="I66" s="136"/>
      <c r="J66" s="136"/>
      <c r="K66" s="137"/>
      <c r="L66" s="9">
        <f>ROW()</f>
        <v>66</v>
      </c>
    </row>
    <row r="67" spans="3:12" ht="15.75" thickBot="1" x14ac:dyDescent="0.3">
      <c r="C67" s="9">
        <v>10</v>
      </c>
      <c r="D67" s="75">
        <v>45205</v>
      </c>
      <c r="F67"/>
      <c r="L67" s="9">
        <v>67</v>
      </c>
    </row>
    <row r="68" spans="3:12" x14ac:dyDescent="0.25"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3:12" x14ac:dyDescent="0.25"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43" t="s">
        <v>13</v>
      </c>
      <c r="I69" s="25"/>
      <c r="J69" s="25">
        <v>5000</v>
      </c>
      <c r="K69" s="31"/>
      <c r="L69" s="9">
        <f>ROW()</f>
        <v>69</v>
      </c>
    </row>
    <row r="70" spans="3:12" ht="15.75" thickBot="1" x14ac:dyDescent="0.3">
      <c r="C70" s="9">
        <v>11</v>
      </c>
      <c r="D70" s="15">
        <v>45205</v>
      </c>
      <c r="E70" s="36">
        <v>11</v>
      </c>
      <c r="F70" s="37" t="s">
        <v>156</v>
      </c>
      <c r="G70" s="104"/>
      <c r="H70" s="144" t="s">
        <v>157</v>
      </c>
      <c r="I70" s="136"/>
      <c r="J70" s="136"/>
      <c r="K70" s="137"/>
      <c r="L70" s="9">
        <f>ROW()</f>
        <v>70</v>
      </c>
    </row>
    <row r="71" spans="3:12" ht="15.75" thickBot="1" x14ac:dyDescent="0.3">
      <c r="C71" s="9">
        <v>11</v>
      </c>
      <c r="D71" s="75">
        <v>45205</v>
      </c>
      <c r="E71" s="74">
        <v>11</v>
      </c>
      <c r="F71" s="76" t="s">
        <v>156</v>
      </c>
      <c r="L71" s="9">
        <f>ROW()</f>
        <v>71</v>
      </c>
    </row>
    <row r="72" spans="3:12" x14ac:dyDescent="0.25"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3:12" x14ac:dyDescent="0.25">
      <c r="C73" s="9">
        <v>12</v>
      </c>
      <c r="D73" s="13">
        <v>45205</v>
      </c>
      <c r="E73" s="30">
        <v>12</v>
      </c>
      <c r="F73" s="24"/>
      <c r="G73" s="101" t="s">
        <v>18</v>
      </c>
      <c r="H73" s="143" t="s">
        <v>19</v>
      </c>
      <c r="I73" s="25">
        <v>199.8</v>
      </c>
      <c r="J73" s="25"/>
      <c r="K73" s="31"/>
      <c r="L73" s="9">
        <f>ROW()</f>
        <v>73</v>
      </c>
    </row>
    <row r="74" spans="3:12" x14ac:dyDescent="0.25">
      <c r="C74" s="9">
        <v>12</v>
      </c>
      <c r="D74" s="13">
        <v>45205</v>
      </c>
      <c r="E74" s="30">
        <v>12</v>
      </c>
      <c r="F74" s="24"/>
      <c r="G74" s="101" t="s">
        <v>20</v>
      </c>
      <c r="H74" s="143" t="s">
        <v>21</v>
      </c>
      <c r="I74" s="25">
        <v>389.61</v>
      </c>
      <c r="J74" s="25"/>
      <c r="K74" s="31"/>
      <c r="L74" s="9">
        <f>ROW()</f>
        <v>74</v>
      </c>
    </row>
    <row r="75" spans="3:12" x14ac:dyDescent="0.25">
      <c r="C75" s="9">
        <v>12</v>
      </c>
      <c r="D75" s="13">
        <v>45205</v>
      </c>
      <c r="E75" s="30">
        <v>12</v>
      </c>
      <c r="F75" s="24"/>
      <c r="G75" s="101" t="s">
        <v>53</v>
      </c>
      <c r="H75" s="143" t="s">
        <v>54</v>
      </c>
      <c r="I75" s="25"/>
      <c r="J75" s="25">
        <v>4585.3999999999996</v>
      </c>
      <c r="K75" s="31"/>
      <c r="L75" s="9">
        <f>ROW()</f>
        <v>75</v>
      </c>
    </row>
    <row r="76" spans="3:12" ht="15.75" thickBot="1" x14ac:dyDescent="0.3">
      <c r="C76" s="9">
        <v>12</v>
      </c>
      <c r="D76" s="15">
        <v>45205</v>
      </c>
      <c r="E76" s="36">
        <v>12</v>
      </c>
      <c r="F76" s="37"/>
      <c r="G76" s="104"/>
      <c r="H76" s="144" t="s">
        <v>159</v>
      </c>
      <c r="I76" s="136"/>
      <c r="J76" s="136"/>
      <c r="K76" s="137"/>
      <c r="L76" s="9">
        <f>ROW()</f>
        <v>76</v>
      </c>
    </row>
    <row r="77" spans="3:12" ht="15.75" thickBot="1" x14ac:dyDescent="0.3">
      <c r="C77" s="9">
        <v>12</v>
      </c>
      <c r="D77" s="75">
        <v>45205</v>
      </c>
      <c r="E77" s="74">
        <v>12</v>
      </c>
      <c r="F77" s="76"/>
      <c r="L77" s="9">
        <f>ROW()</f>
        <v>77</v>
      </c>
    </row>
    <row r="78" spans="3:12" x14ac:dyDescent="0.25"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3:12" x14ac:dyDescent="0.25"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43" t="s">
        <v>19</v>
      </c>
      <c r="I79" s="25">
        <v>5</v>
      </c>
      <c r="J79" s="25"/>
      <c r="K79" s="31"/>
      <c r="L79" s="9">
        <f>ROW()</f>
        <v>79</v>
      </c>
    </row>
    <row r="80" spans="3:12" x14ac:dyDescent="0.25"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43" t="s">
        <v>21</v>
      </c>
      <c r="I80" s="25">
        <v>9.75</v>
      </c>
      <c r="J80" s="25"/>
      <c r="K80" s="31"/>
      <c r="L80" s="9">
        <f>ROW()</f>
        <v>80</v>
      </c>
    </row>
    <row r="81" spans="3:12" x14ac:dyDescent="0.25"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43" t="s">
        <v>54</v>
      </c>
      <c r="I81" s="25"/>
      <c r="J81" s="25">
        <v>134.75</v>
      </c>
      <c r="K81" s="31"/>
      <c r="L81" s="9">
        <f>ROW()</f>
        <v>81</v>
      </c>
    </row>
    <row r="82" spans="3:12" ht="15.75" thickBot="1" x14ac:dyDescent="0.3">
      <c r="C82" s="9">
        <v>13</v>
      </c>
      <c r="D82" s="15">
        <v>45205</v>
      </c>
      <c r="E82" s="36">
        <v>13</v>
      </c>
      <c r="F82" s="37" t="s">
        <v>158</v>
      </c>
      <c r="G82" s="104"/>
      <c r="H82" s="144" t="s">
        <v>160</v>
      </c>
      <c r="I82" s="136"/>
      <c r="J82" s="136"/>
      <c r="K82" s="137"/>
      <c r="L82" s="9">
        <f>ROW()</f>
        <v>82</v>
      </c>
    </row>
    <row r="83" spans="3:12" ht="15.75" thickBot="1" x14ac:dyDescent="0.3">
      <c r="C83" s="9">
        <v>13</v>
      </c>
      <c r="D83" s="75">
        <v>45205</v>
      </c>
      <c r="E83" s="74">
        <v>13</v>
      </c>
      <c r="F83" s="76" t="s">
        <v>158</v>
      </c>
      <c r="L83" s="9">
        <f>ROW()</f>
        <v>83</v>
      </c>
    </row>
    <row r="84" spans="3:12" x14ac:dyDescent="0.25"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3:12" x14ac:dyDescent="0.25"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43" t="s">
        <v>88</v>
      </c>
      <c r="I85" s="25"/>
      <c r="J85" s="25">
        <v>3062.5</v>
      </c>
      <c r="K85" s="31"/>
      <c r="L85" s="9">
        <f>ROW()</f>
        <v>85</v>
      </c>
    </row>
    <row r="86" spans="3:12" x14ac:dyDescent="0.25"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43" t="s">
        <v>23</v>
      </c>
      <c r="I86" s="25"/>
      <c r="J86" s="25">
        <v>153.72999999999999</v>
      </c>
      <c r="K86" s="31"/>
      <c r="L86" s="9">
        <f>ROW()</f>
        <v>86</v>
      </c>
    </row>
    <row r="87" spans="3:12" x14ac:dyDescent="0.25"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43" t="s">
        <v>25</v>
      </c>
      <c r="I87" s="25"/>
      <c r="J87" s="25">
        <v>306.68</v>
      </c>
      <c r="K87" s="31"/>
      <c r="L87" s="9">
        <f>ROW()</f>
        <v>87</v>
      </c>
    </row>
    <row r="88" spans="3:12" x14ac:dyDescent="0.25"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43" t="s">
        <v>121</v>
      </c>
      <c r="I88" s="25"/>
      <c r="J88" s="25">
        <v>3</v>
      </c>
      <c r="K88" s="31"/>
      <c r="L88" s="9">
        <f>ROW()</f>
        <v>88</v>
      </c>
    </row>
    <row r="89" spans="3:12" x14ac:dyDescent="0.25"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43" t="s">
        <v>119</v>
      </c>
      <c r="I89" s="25"/>
      <c r="J89" s="25">
        <v>4</v>
      </c>
      <c r="K89" s="31"/>
      <c r="L89" s="9">
        <f>ROW()</f>
        <v>89</v>
      </c>
    </row>
    <row r="90" spans="3:12" x14ac:dyDescent="0.25"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43" t="s">
        <v>127</v>
      </c>
      <c r="I90" s="25"/>
      <c r="J90" s="25">
        <v>5</v>
      </c>
      <c r="K90" s="31"/>
      <c r="L90" s="9">
        <f>ROW()</f>
        <v>90</v>
      </c>
    </row>
    <row r="91" spans="3:12" x14ac:dyDescent="0.25"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43" t="s">
        <v>33</v>
      </c>
      <c r="I91" s="25">
        <v>2500</v>
      </c>
      <c r="J91" s="25"/>
      <c r="K91" s="31"/>
      <c r="L91" s="9">
        <f>ROW()</f>
        <v>91</v>
      </c>
    </row>
    <row r="92" spans="3:12" ht="15.75" thickBot="1" x14ac:dyDescent="0.3">
      <c r="C92" s="9">
        <v>14</v>
      </c>
      <c r="D92" s="15">
        <v>45204</v>
      </c>
      <c r="E92" s="36">
        <v>14</v>
      </c>
      <c r="F92" s="37" t="s">
        <v>161</v>
      </c>
      <c r="G92" s="104"/>
      <c r="H92" s="144" t="s">
        <v>149</v>
      </c>
      <c r="I92" s="136"/>
      <c r="J92" s="136"/>
      <c r="K92" s="137"/>
      <c r="L92" s="9">
        <f>ROW()</f>
        <v>92</v>
      </c>
    </row>
    <row r="93" spans="3:12" ht="15.75" thickBot="1" x14ac:dyDescent="0.3">
      <c r="C93" s="9">
        <v>14</v>
      </c>
      <c r="D93" s="75">
        <v>45204</v>
      </c>
      <c r="E93" s="74">
        <v>14</v>
      </c>
      <c r="F93" s="76" t="s">
        <v>161</v>
      </c>
      <c r="L93" s="9">
        <f>ROW()</f>
        <v>93</v>
      </c>
    </row>
    <row r="94" spans="3:12" x14ac:dyDescent="0.25"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3:12" x14ac:dyDescent="0.25"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43" t="s">
        <v>88</v>
      </c>
      <c r="I95" s="25"/>
      <c r="J95" s="25">
        <v>1137.5</v>
      </c>
      <c r="K95" s="31"/>
      <c r="L95" s="9">
        <f>ROW()</f>
        <v>95</v>
      </c>
    </row>
    <row r="96" spans="3:12" x14ac:dyDescent="0.25"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43" t="s">
        <v>23</v>
      </c>
      <c r="I96" s="25"/>
      <c r="J96" s="25">
        <v>64.38</v>
      </c>
      <c r="K96" s="31"/>
      <c r="L96" s="9">
        <f>ROW()</f>
        <v>96</v>
      </c>
    </row>
    <row r="97" spans="3:12" x14ac:dyDescent="0.25"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43" t="s">
        <v>25</v>
      </c>
      <c r="I97" s="25"/>
      <c r="J97" s="25">
        <v>128.43</v>
      </c>
      <c r="K97" s="31"/>
      <c r="L97" s="9">
        <f>ROW()</f>
        <v>97</v>
      </c>
    </row>
    <row r="98" spans="3:12" x14ac:dyDescent="0.25"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43" t="s">
        <v>121</v>
      </c>
      <c r="I98" s="25"/>
      <c r="J98" s="25">
        <v>25</v>
      </c>
      <c r="K98" s="31"/>
      <c r="L98" s="9">
        <f>ROW()</f>
        <v>98</v>
      </c>
    </row>
    <row r="99" spans="3:12" x14ac:dyDescent="0.25"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43" t="s">
        <v>119</v>
      </c>
      <c r="I99" s="25"/>
      <c r="J99" s="25">
        <v>50</v>
      </c>
      <c r="K99" s="31"/>
      <c r="L99" s="9">
        <f>ROW()</f>
        <v>99</v>
      </c>
    </row>
    <row r="100" spans="3:12" x14ac:dyDescent="0.25"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43" t="s">
        <v>127</v>
      </c>
      <c r="I100" s="25"/>
      <c r="J100" s="25">
        <v>75</v>
      </c>
      <c r="K100" s="31"/>
      <c r="L100" s="9">
        <f>ROW()</f>
        <v>100</v>
      </c>
    </row>
    <row r="101" spans="3:12" x14ac:dyDescent="0.25"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43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3:12" ht="15.75" thickBot="1" x14ac:dyDescent="0.3"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44" t="s">
        <v>149</v>
      </c>
      <c r="I102" s="136"/>
      <c r="J102" s="136"/>
      <c r="K102" s="137"/>
      <c r="L102" s="9">
        <f>ROW()</f>
        <v>102</v>
      </c>
    </row>
    <row r="103" spans="3:12" ht="15.75" thickBot="1" x14ac:dyDescent="0.3">
      <c r="C103" s="9">
        <v>15</v>
      </c>
      <c r="D103" s="75">
        <v>45203</v>
      </c>
      <c r="E103" s="74">
        <v>15</v>
      </c>
      <c r="F103" s="76" t="s">
        <v>162</v>
      </c>
      <c r="L103" s="9">
        <f>ROW()</f>
        <v>103</v>
      </c>
    </row>
    <row r="104" spans="3:12" x14ac:dyDescent="0.25"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3:12" x14ac:dyDescent="0.25"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43" t="s">
        <v>15</v>
      </c>
      <c r="I105" s="25"/>
      <c r="J105" s="25">
        <v>1034.9100000000001</v>
      </c>
      <c r="K105" s="31"/>
      <c r="L105" s="9">
        <f>ROW()</f>
        <v>105</v>
      </c>
    </row>
    <row r="106" spans="3:12" ht="15.75" thickBot="1" x14ac:dyDescent="0.3"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44" t="s">
        <v>149</v>
      </c>
      <c r="I106" s="136"/>
      <c r="J106" s="136"/>
      <c r="K106" s="137"/>
      <c r="L106" s="9">
        <f>ROW()</f>
        <v>106</v>
      </c>
    </row>
    <row r="107" spans="3:12" ht="15.75" thickBot="1" x14ac:dyDescent="0.3">
      <c r="C107" s="9">
        <v>16</v>
      </c>
      <c r="D107" s="75">
        <v>45205</v>
      </c>
      <c r="E107" s="74">
        <v>16</v>
      </c>
      <c r="F107" s="76" t="s">
        <v>154</v>
      </c>
      <c r="L107" s="9">
        <f>ROW()</f>
        <v>107</v>
      </c>
    </row>
    <row r="108" spans="3:12" x14ac:dyDescent="0.25"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3:12" x14ac:dyDescent="0.25"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43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3:12" ht="15.75" thickBot="1" x14ac:dyDescent="0.3"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44" t="s">
        <v>149</v>
      </c>
      <c r="I110" s="136"/>
      <c r="J110" s="136"/>
      <c r="K110" s="137"/>
      <c r="L110" s="9">
        <f>ROW()</f>
        <v>110</v>
      </c>
    </row>
    <row r="111" spans="3:12" ht="15.75" thickBot="1" x14ac:dyDescent="0.3">
      <c r="C111" s="9">
        <v>17</v>
      </c>
      <c r="D111" s="75">
        <v>45205</v>
      </c>
      <c r="E111" s="74">
        <v>17</v>
      </c>
      <c r="F111" s="76" t="s">
        <v>154</v>
      </c>
      <c r="L111" s="9">
        <f>ROW()</f>
        <v>111</v>
      </c>
    </row>
    <row r="112" spans="3:12" x14ac:dyDescent="0.25"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3:12" x14ac:dyDescent="0.25"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43" t="s">
        <v>88</v>
      </c>
      <c r="I113" s="25"/>
      <c r="J113" s="25">
        <v>3412.5</v>
      </c>
      <c r="K113" s="31"/>
      <c r="L113" s="9">
        <f>ROW()</f>
        <v>113</v>
      </c>
    </row>
    <row r="114" spans="3:12" x14ac:dyDescent="0.25">
      <c r="C114" s="9">
        <v>18</v>
      </c>
      <c r="D114" s="13">
        <v>44927</v>
      </c>
      <c r="E114" s="30">
        <v>18</v>
      </c>
      <c r="F114" s="43" t="s">
        <v>166</v>
      </c>
      <c r="G114" s="101" t="s">
        <v>18</v>
      </c>
      <c r="H114" s="143" t="s">
        <v>19</v>
      </c>
      <c r="I114" s="25"/>
      <c r="J114" s="25">
        <v>170.63</v>
      </c>
      <c r="K114" s="31"/>
      <c r="L114" s="9">
        <f>ROW()</f>
        <v>114</v>
      </c>
    </row>
    <row r="115" spans="3:12" x14ac:dyDescent="0.25">
      <c r="C115" s="9">
        <v>18</v>
      </c>
      <c r="D115" s="13">
        <v>44927</v>
      </c>
      <c r="E115" s="30">
        <v>18</v>
      </c>
      <c r="F115" s="43" t="s">
        <v>166</v>
      </c>
      <c r="G115" s="101" t="s">
        <v>20</v>
      </c>
      <c r="H115" s="143" t="s">
        <v>21</v>
      </c>
      <c r="I115" s="25"/>
      <c r="J115" s="25">
        <v>340.4</v>
      </c>
      <c r="K115" s="31"/>
      <c r="L115" s="9">
        <f>ROW()</f>
        <v>115</v>
      </c>
    </row>
    <row r="116" spans="3:12" ht="15.75" thickBot="1" x14ac:dyDescent="0.3"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44" t="s">
        <v>167</v>
      </c>
      <c r="I116" s="136"/>
      <c r="J116" s="136"/>
      <c r="K116" s="137"/>
      <c r="L116" s="9">
        <f>ROW()</f>
        <v>116</v>
      </c>
    </row>
    <row r="117" spans="3:12" ht="15.75" thickBot="1" x14ac:dyDescent="0.3"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3:12" x14ac:dyDescent="0.25"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3:12" x14ac:dyDescent="0.25"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43" t="s">
        <v>15</v>
      </c>
      <c r="I119" s="25"/>
      <c r="J119" s="25">
        <v>3923.53</v>
      </c>
      <c r="K119" s="31"/>
      <c r="L119" s="9">
        <f>ROW()</f>
        <v>119</v>
      </c>
    </row>
    <row r="120" spans="3:12" ht="15.75" thickBot="1" x14ac:dyDescent="0.3"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44" t="s">
        <v>167</v>
      </c>
      <c r="I120" s="136"/>
      <c r="J120" s="136"/>
      <c r="K120" s="137"/>
      <c r="L120" s="9">
        <f>ROW()</f>
        <v>120</v>
      </c>
    </row>
    <row r="121" spans="3:12" ht="15.75" thickBot="1" x14ac:dyDescent="0.3"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3:12" x14ac:dyDescent="0.25">
      <c r="C122" s="9">
        <v>20</v>
      </c>
      <c r="D122" s="47">
        <v>45212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3:12" x14ac:dyDescent="0.25">
      <c r="C123" s="9">
        <v>20</v>
      </c>
      <c r="D123" s="52">
        <v>45212</v>
      </c>
      <c r="E123" s="53">
        <v>20</v>
      </c>
      <c r="F123" s="54" t="s">
        <v>156</v>
      </c>
      <c r="G123" s="109" t="s">
        <v>12</v>
      </c>
      <c r="H123" s="147" t="s">
        <v>13</v>
      </c>
      <c r="I123" s="55"/>
      <c r="J123" s="55">
        <v>5000</v>
      </c>
      <c r="K123" s="56"/>
      <c r="L123" s="9">
        <f>ROW()</f>
        <v>123</v>
      </c>
    </row>
    <row r="124" spans="3:12" ht="15.75" thickBot="1" x14ac:dyDescent="0.3">
      <c r="C124" s="9">
        <v>20</v>
      </c>
      <c r="D124" s="57">
        <v>45212</v>
      </c>
      <c r="E124" s="58">
        <v>20</v>
      </c>
      <c r="F124" s="59" t="s">
        <v>156</v>
      </c>
      <c r="G124" s="104"/>
      <c r="H124" s="144" t="s">
        <v>157</v>
      </c>
      <c r="I124" s="136"/>
      <c r="J124" s="136"/>
      <c r="K124" s="137"/>
      <c r="L124" s="9">
        <f>ROW()</f>
        <v>124</v>
      </c>
    </row>
    <row r="125" spans="3:12" ht="15.75" thickBot="1" x14ac:dyDescent="0.3">
      <c r="C125" s="9">
        <v>20</v>
      </c>
      <c r="D125" s="75">
        <v>45212</v>
      </c>
      <c r="E125" s="74">
        <v>20</v>
      </c>
      <c r="F125" s="77" t="s">
        <v>156</v>
      </c>
      <c r="L125" s="9">
        <f>ROW()</f>
        <v>125</v>
      </c>
    </row>
    <row r="126" spans="3:12" x14ac:dyDescent="0.25"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3:12" x14ac:dyDescent="0.25"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7" t="s">
        <v>13</v>
      </c>
      <c r="I127" s="55"/>
      <c r="J127" s="55">
        <v>5000</v>
      </c>
      <c r="K127" s="56"/>
      <c r="L127" s="9">
        <f>ROW()</f>
        <v>127</v>
      </c>
    </row>
    <row r="128" spans="3:12" ht="15.75" thickBot="1" x14ac:dyDescent="0.3"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44" t="s">
        <v>168</v>
      </c>
      <c r="I128" s="136"/>
      <c r="J128" s="136"/>
      <c r="K128" s="137"/>
      <c r="L128" s="9">
        <f>ROW()</f>
        <v>128</v>
      </c>
    </row>
    <row r="129" spans="3:12" ht="15.75" thickBot="1" x14ac:dyDescent="0.3">
      <c r="C129" s="9">
        <v>21</v>
      </c>
      <c r="D129" s="75">
        <v>45219</v>
      </c>
      <c r="E129" s="74">
        <v>21</v>
      </c>
      <c r="F129" s="77" t="s">
        <v>156</v>
      </c>
      <c r="L129" s="9">
        <f>ROW()</f>
        <v>129</v>
      </c>
    </row>
    <row r="130" spans="3:12" x14ac:dyDescent="0.25"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3:12" x14ac:dyDescent="0.25"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43" t="s">
        <v>13</v>
      </c>
      <c r="I131" s="25"/>
      <c r="J131" s="25">
        <v>25.99</v>
      </c>
      <c r="K131" s="31"/>
      <c r="L131" s="9">
        <f>ROW()</f>
        <v>131</v>
      </c>
    </row>
    <row r="132" spans="3:12" ht="15.75" thickBot="1" x14ac:dyDescent="0.3"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44" t="s">
        <v>170</v>
      </c>
      <c r="I132" s="136"/>
      <c r="J132" s="136"/>
      <c r="K132" s="137"/>
      <c r="L132" s="9">
        <f>ROW()</f>
        <v>132</v>
      </c>
    </row>
    <row r="133" spans="3:12" ht="15.75" thickBot="1" x14ac:dyDescent="0.3">
      <c r="C133" s="9">
        <v>22</v>
      </c>
      <c r="D133" s="75">
        <v>45230</v>
      </c>
      <c r="E133" s="74">
        <v>22</v>
      </c>
      <c r="F133" s="77" t="s">
        <v>169</v>
      </c>
      <c r="L133" s="9">
        <f>ROW()</f>
        <v>133</v>
      </c>
    </row>
    <row r="134" spans="3:12" x14ac:dyDescent="0.25"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3:12" x14ac:dyDescent="0.25"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7" t="s">
        <v>15</v>
      </c>
      <c r="I135" s="55"/>
      <c r="J135" s="55">
        <v>149.94999999999999</v>
      </c>
      <c r="K135" s="56"/>
      <c r="L135" s="9">
        <f>ROW()</f>
        <v>135</v>
      </c>
    </row>
    <row r="136" spans="3:12" x14ac:dyDescent="0.25"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7" t="s">
        <v>19</v>
      </c>
      <c r="I136" s="55">
        <v>10</v>
      </c>
      <c r="J136" s="55"/>
      <c r="K136" s="56"/>
      <c r="L136" s="9">
        <f>ROW()</f>
        <v>136</v>
      </c>
    </row>
    <row r="137" spans="3:12" x14ac:dyDescent="0.25"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7" t="s">
        <v>21</v>
      </c>
      <c r="I137" s="55"/>
      <c r="J137" s="55">
        <v>20</v>
      </c>
      <c r="K137" s="56"/>
      <c r="L137" s="9">
        <f>ROW()</f>
        <v>137</v>
      </c>
    </row>
    <row r="138" spans="3:12" ht="15.75" thickBot="1" x14ac:dyDescent="0.3"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44" t="s">
        <v>173</v>
      </c>
      <c r="I138" s="136"/>
      <c r="J138" s="136"/>
      <c r="K138" s="137"/>
      <c r="L138" s="9">
        <f>ROW()</f>
        <v>138</v>
      </c>
    </row>
    <row r="139" spans="3:12" ht="15.75" thickBot="1" x14ac:dyDescent="0.3">
      <c r="C139" s="9">
        <v>23</v>
      </c>
      <c r="D139" s="78">
        <v>45206</v>
      </c>
      <c r="E139" s="79">
        <v>23</v>
      </c>
      <c r="F139" s="80" t="s">
        <v>172</v>
      </c>
      <c r="L139" s="9">
        <f>ROW()</f>
        <v>139</v>
      </c>
    </row>
    <row r="140" spans="3:12" x14ac:dyDescent="0.25"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3:12" x14ac:dyDescent="0.25"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7" t="s">
        <v>107</v>
      </c>
      <c r="I141" s="55"/>
      <c r="J141" s="55">
        <v>15</v>
      </c>
      <c r="K141" s="56"/>
      <c r="L141" s="9">
        <f>ROW()</f>
        <v>141</v>
      </c>
    </row>
    <row r="142" spans="3:12" ht="15.75" thickBot="1" x14ac:dyDescent="0.3"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44" t="s">
        <v>174</v>
      </c>
      <c r="I142" s="136"/>
      <c r="J142" s="136"/>
      <c r="K142" s="137"/>
      <c r="L142" s="9">
        <f>ROW()</f>
        <v>142</v>
      </c>
    </row>
    <row r="143" spans="3:12" ht="15.75" thickBot="1" x14ac:dyDescent="0.3">
      <c r="C143" s="9">
        <v>24</v>
      </c>
      <c r="D143" s="78">
        <v>45179</v>
      </c>
      <c r="E143" s="79">
        <v>24</v>
      </c>
      <c r="F143" s="80" t="s">
        <v>172</v>
      </c>
      <c r="L143" s="9">
        <f>ROW()</f>
        <v>143</v>
      </c>
    </row>
    <row r="144" spans="3:12" x14ac:dyDescent="0.25"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3:12" x14ac:dyDescent="0.25"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7" t="s">
        <v>13</v>
      </c>
      <c r="I145" s="55"/>
      <c r="J145" s="55">
        <v>19.95</v>
      </c>
      <c r="K145" s="56"/>
      <c r="L145" s="9">
        <f>ROW()</f>
        <v>145</v>
      </c>
    </row>
    <row r="146" spans="3:12" ht="15.75" thickBot="1" x14ac:dyDescent="0.3"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44" t="s">
        <v>176</v>
      </c>
      <c r="I146" s="136"/>
      <c r="J146" s="136"/>
      <c r="K146" s="137"/>
      <c r="L146" s="9">
        <f>ROW()</f>
        <v>146</v>
      </c>
    </row>
    <row r="147" spans="3:12" ht="15.75" thickBot="1" x14ac:dyDescent="0.3">
      <c r="C147" s="9">
        <v>25</v>
      </c>
      <c r="D147" s="78">
        <v>45230</v>
      </c>
      <c r="E147" s="79">
        <v>25</v>
      </c>
      <c r="F147" s="80" t="s">
        <v>175</v>
      </c>
      <c r="L147" s="9">
        <f>ROW()</f>
        <v>147</v>
      </c>
    </row>
    <row r="148" spans="3:12" x14ac:dyDescent="0.25">
      <c r="C148" s="9">
        <v>26</v>
      </c>
      <c r="D148" s="47">
        <v>45148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3:12" x14ac:dyDescent="0.25">
      <c r="C149" s="9">
        <v>26</v>
      </c>
      <c r="D149" s="52">
        <v>45148</v>
      </c>
      <c r="E149" s="61">
        <v>26</v>
      </c>
      <c r="F149" s="62" t="s">
        <v>175</v>
      </c>
      <c r="G149" s="109" t="s">
        <v>12</v>
      </c>
      <c r="H149" s="147" t="s">
        <v>13</v>
      </c>
      <c r="I149" s="55"/>
      <c r="J149" s="55">
        <v>25</v>
      </c>
      <c r="K149" s="56"/>
      <c r="L149" s="9">
        <f>ROW()</f>
        <v>149</v>
      </c>
    </row>
    <row r="150" spans="3:12" ht="15.75" thickBot="1" x14ac:dyDescent="0.3">
      <c r="C150" s="9">
        <v>26</v>
      </c>
      <c r="D150" s="57">
        <v>45148</v>
      </c>
      <c r="E150" s="64">
        <v>26</v>
      </c>
      <c r="F150" s="65" t="s">
        <v>175</v>
      </c>
      <c r="G150" s="110"/>
      <c r="H150" s="144" t="s">
        <v>177</v>
      </c>
      <c r="I150" s="136"/>
      <c r="J150" s="136"/>
      <c r="K150" s="137"/>
      <c r="L150" s="9">
        <f>ROW()</f>
        <v>150</v>
      </c>
    </row>
    <row r="151" spans="3:12" ht="15.75" thickBot="1" x14ac:dyDescent="0.3">
      <c r="C151" s="9">
        <v>26</v>
      </c>
      <c r="D151" s="75">
        <v>45148</v>
      </c>
      <c r="E151" s="74">
        <v>26</v>
      </c>
      <c r="F151" s="77" t="s">
        <v>175</v>
      </c>
      <c r="L151" s="9">
        <f>ROW()</f>
        <v>151</v>
      </c>
    </row>
    <row r="152" spans="3:12" x14ac:dyDescent="0.25"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3:12" x14ac:dyDescent="0.25"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43" t="s">
        <v>13</v>
      </c>
      <c r="I153" s="25"/>
      <c r="J153" s="25">
        <v>25</v>
      </c>
      <c r="K153" s="31"/>
      <c r="L153" s="9">
        <f>ROW()</f>
        <v>153</v>
      </c>
    </row>
    <row r="154" spans="3:12" ht="15.75" thickBot="1" x14ac:dyDescent="0.3"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44" t="s">
        <v>177</v>
      </c>
      <c r="I154" s="136"/>
      <c r="J154" s="136"/>
      <c r="K154" s="137"/>
      <c r="L154" s="9">
        <f>ROW()</f>
        <v>154</v>
      </c>
    </row>
    <row r="155" spans="3:12" ht="15.75" thickBot="1" x14ac:dyDescent="0.3">
      <c r="C155" s="9">
        <v>27</v>
      </c>
      <c r="D155" s="78">
        <v>45148</v>
      </c>
      <c r="E155" s="79">
        <v>26</v>
      </c>
      <c r="F155" s="80" t="s">
        <v>175</v>
      </c>
      <c r="L155" s="9">
        <f>ROW()</f>
        <v>155</v>
      </c>
    </row>
    <row r="156" spans="3:12" x14ac:dyDescent="0.25">
      <c r="C156" s="9">
        <v>28</v>
      </c>
      <c r="D156" s="12">
        <v>45199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3:12" x14ac:dyDescent="0.25">
      <c r="C157" s="9">
        <v>28</v>
      </c>
      <c r="D157" s="68">
        <v>45199</v>
      </c>
      <c r="E157" s="69">
        <v>28</v>
      </c>
      <c r="F157" s="70" t="s">
        <v>178</v>
      </c>
      <c r="G157" s="101" t="s">
        <v>32</v>
      </c>
      <c r="H157" s="143" t="s">
        <v>33</v>
      </c>
      <c r="I157" s="25"/>
      <c r="J157" s="25">
        <v>795</v>
      </c>
      <c r="K157" s="31"/>
      <c r="L157" s="9">
        <f>ROW()</f>
        <v>157</v>
      </c>
    </row>
    <row r="158" spans="3:12" ht="15.75" thickBot="1" x14ac:dyDescent="0.3">
      <c r="C158" s="9">
        <v>28</v>
      </c>
      <c r="D158" s="71">
        <v>45199</v>
      </c>
      <c r="E158" s="72">
        <v>28</v>
      </c>
      <c r="F158" s="73" t="s">
        <v>178</v>
      </c>
      <c r="G158" s="106"/>
      <c r="H158" s="144" t="s">
        <v>179</v>
      </c>
      <c r="I158" s="136"/>
      <c r="J158" s="136"/>
      <c r="K158" s="137"/>
      <c r="L158" s="9">
        <f>ROW()</f>
        <v>158</v>
      </c>
    </row>
    <row r="159" spans="3:12" ht="15.75" thickBot="1" x14ac:dyDescent="0.3">
      <c r="C159" s="9">
        <v>28</v>
      </c>
      <c r="D159" s="78">
        <v>45199</v>
      </c>
      <c r="E159" s="79">
        <v>28</v>
      </c>
      <c r="F159" s="80" t="s">
        <v>178</v>
      </c>
      <c r="L159" s="9">
        <f>ROW()</f>
        <v>159</v>
      </c>
    </row>
    <row r="160" spans="3:12" x14ac:dyDescent="0.25"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3:12" x14ac:dyDescent="0.25"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8" t="s">
        <v>88</v>
      </c>
      <c r="I161" s="87"/>
      <c r="J161" s="87">
        <v>2275</v>
      </c>
      <c r="K161" s="88"/>
      <c r="L161" s="9">
        <f>ROW()</f>
        <v>161</v>
      </c>
    </row>
    <row r="162" spans="3:12" x14ac:dyDescent="0.25"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8" t="s">
        <v>121</v>
      </c>
      <c r="I162" s="87"/>
      <c r="J162" s="87">
        <v>11</v>
      </c>
      <c r="K162" s="88"/>
      <c r="L162" s="9">
        <f>ROW()</f>
        <v>162</v>
      </c>
    </row>
    <row r="163" spans="3:12" x14ac:dyDescent="0.25"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8" t="s">
        <v>119</v>
      </c>
      <c r="I163" s="87"/>
      <c r="J163" s="87">
        <v>12</v>
      </c>
      <c r="K163" s="88"/>
      <c r="L163" s="9">
        <f>ROW()</f>
        <v>163</v>
      </c>
    </row>
    <row r="164" spans="3:12" x14ac:dyDescent="0.25"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8" t="s">
        <v>127</v>
      </c>
      <c r="I164" s="87"/>
      <c r="J164" s="87">
        <v>13</v>
      </c>
      <c r="K164" s="88"/>
      <c r="L164" s="9">
        <f>ROW()</f>
        <v>164</v>
      </c>
    </row>
    <row r="165" spans="3:12" x14ac:dyDescent="0.25"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8" t="s">
        <v>23</v>
      </c>
      <c r="I165" s="87"/>
      <c r="J165" s="87">
        <v>115.55</v>
      </c>
      <c r="K165" s="88"/>
      <c r="L165" s="9">
        <f>ROW()</f>
        <v>165</v>
      </c>
    </row>
    <row r="166" spans="3:12" x14ac:dyDescent="0.25"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8" t="s">
        <v>25</v>
      </c>
      <c r="I166" s="87"/>
      <c r="J166" s="87">
        <v>230.52</v>
      </c>
      <c r="K166" s="88"/>
      <c r="L166" s="9">
        <f>ROW()</f>
        <v>166</v>
      </c>
    </row>
    <row r="167" spans="3:12" x14ac:dyDescent="0.25"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8" t="s">
        <v>33</v>
      </c>
      <c r="I167" s="87">
        <v>500</v>
      </c>
      <c r="J167" s="87"/>
      <c r="K167" s="88"/>
      <c r="L167" s="9">
        <f>ROW()</f>
        <v>167</v>
      </c>
    </row>
    <row r="168" spans="3:12" ht="15.75" thickBot="1" x14ac:dyDescent="0.3"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44" t="s">
        <v>149</v>
      </c>
      <c r="I168" s="136"/>
      <c r="J168" s="136"/>
      <c r="K168" s="137"/>
      <c r="L168" s="9">
        <f>ROW()</f>
        <v>168</v>
      </c>
    </row>
    <row r="169" spans="3:12" ht="15.75" thickBot="1" x14ac:dyDescent="0.3"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35"/>
      <c r="I169" s="99"/>
      <c r="J169" s="99"/>
      <c r="K169" s="98"/>
      <c r="L169" s="9">
        <f>ROW()</f>
        <v>169</v>
      </c>
    </row>
    <row r="170" spans="3:12" ht="15.75" thickBot="1" x14ac:dyDescent="0.3">
      <c r="C170" s="9">
        <v>30</v>
      </c>
      <c r="D170" s="81">
        <v>45211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3:12" x14ac:dyDescent="0.25">
      <c r="C171" s="9">
        <v>30</v>
      </c>
      <c r="D171" s="167">
        <v>45211</v>
      </c>
      <c r="E171" s="66">
        <v>30</v>
      </c>
      <c r="F171" s="67" t="s">
        <v>185</v>
      </c>
      <c r="G171" s="112" t="s">
        <v>87</v>
      </c>
      <c r="H171" s="148" t="s">
        <v>88</v>
      </c>
      <c r="I171" s="87"/>
      <c r="J171" s="87">
        <v>15750</v>
      </c>
      <c r="K171" s="88"/>
      <c r="L171" s="9">
        <f>ROW()</f>
        <v>171</v>
      </c>
    </row>
    <row r="172" spans="3:12" x14ac:dyDescent="0.25">
      <c r="C172" s="9">
        <v>30</v>
      </c>
      <c r="D172" s="89">
        <v>45211</v>
      </c>
      <c r="E172" s="66">
        <v>30</v>
      </c>
      <c r="F172" s="67" t="s">
        <v>185</v>
      </c>
      <c r="G172" s="112" t="s">
        <v>118</v>
      </c>
      <c r="H172" s="148" t="s">
        <v>119</v>
      </c>
      <c r="I172" s="87"/>
      <c r="J172" s="87">
        <v>111</v>
      </c>
      <c r="K172" s="88"/>
      <c r="L172" s="9">
        <f>ROW()</f>
        <v>172</v>
      </c>
    </row>
    <row r="173" spans="3:12" x14ac:dyDescent="0.25">
      <c r="C173" s="9">
        <v>30</v>
      </c>
      <c r="D173" s="89">
        <v>45211</v>
      </c>
      <c r="E173" s="66">
        <v>30</v>
      </c>
      <c r="F173" s="67" t="s">
        <v>185</v>
      </c>
      <c r="G173" s="112" t="s">
        <v>120</v>
      </c>
      <c r="H173" s="148" t="s">
        <v>121</v>
      </c>
      <c r="I173" s="87"/>
      <c r="J173" s="87">
        <v>222</v>
      </c>
      <c r="K173" s="88"/>
      <c r="L173" s="9">
        <f>ROW()</f>
        <v>173</v>
      </c>
    </row>
    <row r="174" spans="3:12" x14ac:dyDescent="0.25">
      <c r="C174" s="9">
        <v>30</v>
      </c>
      <c r="D174" s="89">
        <v>45211</v>
      </c>
      <c r="E174" s="66">
        <v>30</v>
      </c>
      <c r="F174" s="67" t="s">
        <v>185</v>
      </c>
      <c r="G174" s="112" t="s">
        <v>126</v>
      </c>
      <c r="H174" s="148" t="s">
        <v>127</v>
      </c>
      <c r="I174" s="87"/>
      <c r="J174" s="87">
        <v>333</v>
      </c>
      <c r="K174" s="88"/>
      <c r="L174" s="9">
        <f>ROW()</f>
        <v>174</v>
      </c>
    </row>
    <row r="175" spans="3:12" x14ac:dyDescent="0.25">
      <c r="C175" s="9">
        <v>30</v>
      </c>
      <c r="D175" s="89">
        <v>45211</v>
      </c>
      <c r="E175" s="66">
        <v>30</v>
      </c>
      <c r="F175" s="67" t="s">
        <v>185</v>
      </c>
      <c r="G175" s="112" t="s">
        <v>22</v>
      </c>
      <c r="H175" s="148" t="s">
        <v>23</v>
      </c>
      <c r="I175" s="87"/>
      <c r="J175" s="87">
        <v>820.8</v>
      </c>
      <c r="K175" s="88"/>
      <c r="L175" s="9">
        <f>ROW()</f>
        <v>175</v>
      </c>
    </row>
    <row r="176" spans="3:12" x14ac:dyDescent="0.25">
      <c r="C176" s="9">
        <v>30</v>
      </c>
      <c r="D176" s="89">
        <v>45211</v>
      </c>
      <c r="E176" s="66">
        <v>30</v>
      </c>
      <c r="F176" s="67" t="s">
        <v>185</v>
      </c>
      <c r="G176" s="112" t="s">
        <v>24</v>
      </c>
      <c r="H176" s="148" t="s">
        <v>25</v>
      </c>
      <c r="I176" s="87"/>
      <c r="J176" s="87">
        <v>1637.5</v>
      </c>
      <c r="K176" s="88"/>
      <c r="L176" s="9">
        <f>ROW()</f>
        <v>176</v>
      </c>
    </row>
    <row r="177" spans="3:12" x14ac:dyDescent="0.25">
      <c r="C177" s="9">
        <v>30</v>
      </c>
      <c r="D177" s="89">
        <v>45211</v>
      </c>
      <c r="E177" s="66">
        <v>30</v>
      </c>
      <c r="F177" s="67" t="s">
        <v>185</v>
      </c>
      <c r="G177" s="112" t="s">
        <v>32</v>
      </c>
      <c r="H177" s="148" t="s">
        <v>51</v>
      </c>
      <c r="I177" s="87">
        <v>2500</v>
      </c>
      <c r="J177" s="87"/>
      <c r="K177" s="88"/>
      <c r="L177" s="9">
        <f>ROW()</f>
        <v>177</v>
      </c>
    </row>
    <row r="178" spans="3:12" ht="15.75" thickBot="1" x14ac:dyDescent="0.3">
      <c r="C178" s="9">
        <v>30</v>
      </c>
      <c r="D178" s="168">
        <v>45211</v>
      </c>
      <c r="E178" s="138">
        <v>30</v>
      </c>
      <c r="F178" s="139" t="s">
        <v>185</v>
      </c>
      <c r="G178" s="113"/>
      <c r="H178" s="149" t="s">
        <v>149</v>
      </c>
      <c r="I178" s="140"/>
      <c r="J178" s="140"/>
      <c r="K178" s="141"/>
      <c r="L178" s="9">
        <f>ROW()</f>
        <v>178</v>
      </c>
    </row>
    <row r="179" spans="3:12" ht="15.75" thickBot="1" x14ac:dyDescent="0.3">
      <c r="C179" s="9">
        <v>30</v>
      </c>
      <c r="D179" s="169">
        <v>45211</v>
      </c>
      <c r="E179" s="79">
        <v>30</v>
      </c>
      <c r="F179" s="80" t="s">
        <v>185</v>
      </c>
      <c r="L179" s="9">
        <f>ROW()</f>
        <v>179</v>
      </c>
    </row>
    <row r="180" spans="3:12" x14ac:dyDescent="0.25"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51" t="s">
        <v>127</v>
      </c>
      <c r="I180" s="84">
        <v>15.91</v>
      </c>
      <c r="J180" s="84"/>
      <c r="K180" s="152"/>
      <c r="L180" s="9">
        <f>ROW()</f>
        <v>180</v>
      </c>
    </row>
    <row r="181" spans="3:12" x14ac:dyDescent="0.25">
      <c r="C181" s="9">
        <v>31</v>
      </c>
      <c r="D181" s="168">
        <v>45211</v>
      </c>
      <c r="E181" s="66">
        <v>31</v>
      </c>
      <c r="F181" s="67" t="s">
        <v>186</v>
      </c>
      <c r="G181" s="112" t="s">
        <v>12</v>
      </c>
      <c r="H181" s="153" t="s">
        <v>13</v>
      </c>
      <c r="I181" s="87"/>
      <c r="J181" s="87">
        <v>15.91</v>
      </c>
      <c r="K181" s="154"/>
      <c r="L181" s="9">
        <f>ROW()</f>
        <v>181</v>
      </c>
    </row>
    <row r="182" spans="3:12" ht="15.75" thickBot="1" x14ac:dyDescent="0.3">
      <c r="C182" s="9">
        <v>31</v>
      </c>
      <c r="D182" s="168">
        <v>45211</v>
      </c>
      <c r="E182" s="138">
        <v>31</v>
      </c>
      <c r="F182" s="139" t="s">
        <v>186</v>
      </c>
      <c r="G182" s="113"/>
      <c r="H182" s="149" t="s">
        <v>187</v>
      </c>
      <c r="I182" s="140"/>
      <c r="J182" s="140"/>
      <c r="K182" s="141"/>
      <c r="L182" s="9">
        <f>ROW()</f>
        <v>182</v>
      </c>
    </row>
    <row r="183" spans="3:12" ht="15.75" thickBot="1" x14ac:dyDescent="0.3">
      <c r="C183" s="9">
        <v>31</v>
      </c>
      <c r="D183" s="95">
        <v>45211</v>
      </c>
      <c r="E183" s="79">
        <v>31</v>
      </c>
      <c r="F183" s="80" t="s">
        <v>186</v>
      </c>
      <c r="H183" s="150"/>
      <c r="K183" s="28"/>
      <c r="L183" s="9">
        <f>ROW()</f>
        <v>183</v>
      </c>
    </row>
    <row r="184" spans="3:12" x14ac:dyDescent="0.25">
      <c r="C184" s="9">
        <v>32</v>
      </c>
      <c r="D184" s="158">
        <v>45210</v>
      </c>
      <c r="E184" s="159">
        <v>32</v>
      </c>
      <c r="F184" s="135" t="s">
        <v>172</v>
      </c>
      <c r="G184" s="114" t="s">
        <v>12</v>
      </c>
      <c r="H184" s="135" t="s">
        <v>127</v>
      </c>
      <c r="I184" s="99">
        <v>24.99</v>
      </c>
      <c r="J184" s="99"/>
      <c r="K184" s="160"/>
      <c r="L184" s="9">
        <f>ROW()</f>
        <v>184</v>
      </c>
    </row>
    <row r="185" spans="3:12" x14ac:dyDescent="0.25">
      <c r="C185" s="9">
        <v>32</v>
      </c>
      <c r="D185" s="161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62"/>
      <c r="L185" s="9">
        <f>ROW()</f>
        <v>185</v>
      </c>
    </row>
    <row r="186" spans="3:12" ht="15.75" thickBot="1" x14ac:dyDescent="0.3">
      <c r="C186" s="9">
        <v>32</v>
      </c>
      <c r="D186" s="163">
        <v>45210</v>
      </c>
      <c r="E186" s="164">
        <v>32</v>
      </c>
      <c r="F186" s="165" t="s">
        <v>172</v>
      </c>
      <c r="G186" s="166"/>
      <c r="H186" s="149" t="s">
        <v>188</v>
      </c>
      <c r="I186" s="140"/>
      <c r="J186" s="140"/>
      <c r="K186" s="141"/>
      <c r="L186" s="9">
        <f>ROW()</f>
        <v>186</v>
      </c>
    </row>
    <row r="187" spans="3:12" ht="15.75" thickBot="1" x14ac:dyDescent="0.3"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3:12" x14ac:dyDescent="0.25">
      <c r="C188" s="9">
        <v>33</v>
      </c>
      <c r="D188" s="170" t="s">
        <v>190</v>
      </c>
      <c r="E188" s="159">
        <v>33</v>
      </c>
      <c r="F188" s="135" t="s">
        <v>189</v>
      </c>
      <c r="G188" s="114" t="s">
        <v>12</v>
      </c>
      <c r="H188" s="135" t="s">
        <v>13</v>
      </c>
      <c r="I188" s="99">
        <v>5000</v>
      </c>
      <c r="J188" s="99"/>
      <c r="K188" s="160"/>
      <c r="L188" s="9">
        <f>ROW()</f>
        <v>188</v>
      </c>
    </row>
    <row r="189" spans="3:12" x14ac:dyDescent="0.25">
      <c r="C189" s="9">
        <v>33</v>
      </c>
      <c r="D189" s="171" t="s">
        <v>190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62" t="s">
        <v>191</v>
      </c>
      <c r="L189" s="9">
        <f>ROW()</f>
        <v>189</v>
      </c>
    </row>
    <row r="190" spans="3:12" ht="15.75" thickBot="1" x14ac:dyDescent="0.3">
      <c r="C190" s="9">
        <v>33</v>
      </c>
      <c r="D190" s="172" t="s">
        <v>190</v>
      </c>
      <c r="E190" s="164">
        <v>33</v>
      </c>
      <c r="F190" s="165" t="s">
        <v>189</v>
      </c>
      <c r="G190" s="166"/>
      <c r="H190" s="173" t="s">
        <v>192</v>
      </c>
      <c r="I190" s="174"/>
      <c r="J190" s="174"/>
      <c r="K190" s="175"/>
      <c r="L190" s="9">
        <f>ROW()</f>
        <v>190</v>
      </c>
    </row>
    <row r="191" spans="3:12" ht="15.75" thickBot="1" x14ac:dyDescent="0.3">
      <c r="C191" s="9">
        <v>33</v>
      </c>
      <c r="D191" s="79" t="s">
        <v>190</v>
      </c>
      <c r="E191" s="79">
        <v>33</v>
      </c>
      <c r="F191" s="80" t="s">
        <v>189</v>
      </c>
      <c r="L191" s="9">
        <f>ROW()</f>
        <v>191</v>
      </c>
    </row>
    <row r="192" spans="3:12" x14ac:dyDescent="0.25">
      <c r="C192" s="9">
        <v>34</v>
      </c>
      <c r="D192" s="170" t="s">
        <v>190</v>
      </c>
      <c r="E192" s="159">
        <v>34</v>
      </c>
      <c r="F192" s="135" t="s">
        <v>172</v>
      </c>
      <c r="G192" s="114" t="s">
        <v>12</v>
      </c>
      <c r="H192" s="135" t="s">
        <v>13</v>
      </c>
      <c r="I192" s="99">
        <v>2000</v>
      </c>
      <c r="J192" s="99"/>
      <c r="K192" s="160"/>
      <c r="L192" s="9">
        <f>ROW()</f>
        <v>192</v>
      </c>
    </row>
    <row r="193" spans="3:12" x14ac:dyDescent="0.25">
      <c r="C193" s="9">
        <v>34</v>
      </c>
      <c r="D193" s="171" t="s">
        <v>190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62"/>
      <c r="L193" s="9">
        <f>ROW()</f>
        <v>193</v>
      </c>
    </row>
    <row r="194" spans="3:12" ht="15.75" thickBot="1" x14ac:dyDescent="0.3">
      <c r="C194" s="9">
        <v>34</v>
      </c>
      <c r="D194" s="172" t="s">
        <v>190</v>
      </c>
      <c r="E194" s="164">
        <v>34</v>
      </c>
      <c r="F194" s="165" t="s">
        <v>172</v>
      </c>
      <c r="G194" s="166"/>
      <c r="H194" s="173" t="s">
        <v>172</v>
      </c>
      <c r="I194" s="174"/>
      <c r="J194" s="174"/>
      <c r="K194" s="175"/>
      <c r="L194" s="9">
        <f>ROW()</f>
        <v>194</v>
      </c>
    </row>
    <row r="195" spans="3:12" ht="15.75" thickBot="1" x14ac:dyDescent="0.3">
      <c r="C195" s="9">
        <v>34</v>
      </c>
      <c r="D195" s="79" t="s">
        <v>190</v>
      </c>
      <c r="E195" s="79">
        <v>34</v>
      </c>
      <c r="F195" s="80" t="s">
        <v>172</v>
      </c>
      <c r="L195" s="9">
        <f>ROW()</f>
        <v>195</v>
      </c>
    </row>
    <row r="196" spans="3:12" x14ac:dyDescent="0.25">
      <c r="C196" s="9">
        <v>35</v>
      </c>
      <c r="D196" s="170" t="s">
        <v>190</v>
      </c>
      <c r="E196" s="159">
        <v>35</v>
      </c>
      <c r="F196" s="135" t="s">
        <v>172</v>
      </c>
      <c r="G196" s="114" t="s">
        <v>12</v>
      </c>
      <c r="H196" s="135" t="s">
        <v>13</v>
      </c>
      <c r="I196" s="99">
        <v>25.99</v>
      </c>
      <c r="J196" s="99"/>
      <c r="K196" s="160"/>
      <c r="L196" s="9">
        <f>ROW()</f>
        <v>196</v>
      </c>
    </row>
    <row r="197" spans="3:12" x14ac:dyDescent="0.25">
      <c r="C197" s="9">
        <v>35</v>
      </c>
      <c r="D197" s="171" t="s">
        <v>190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62"/>
      <c r="L197" s="9">
        <f>ROW()</f>
        <v>197</v>
      </c>
    </row>
    <row r="198" spans="3:12" ht="15.75" thickBot="1" x14ac:dyDescent="0.3">
      <c r="C198" s="9">
        <v>35</v>
      </c>
      <c r="D198" s="172" t="s">
        <v>190</v>
      </c>
      <c r="E198" s="164">
        <v>35</v>
      </c>
      <c r="F198" s="165" t="s">
        <v>172</v>
      </c>
      <c r="G198" s="166"/>
      <c r="H198" s="173" t="s">
        <v>193</v>
      </c>
      <c r="I198" s="174"/>
      <c r="J198" s="174"/>
      <c r="K198" s="175"/>
      <c r="L198" s="9">
        <f>ROW()</f>
        <v>198</v>
      </c>
    </row>
    <row r="199" spans="3:12" ht="15.75" thickBot="1" x14ac:dyDescent="0.3">
      <c r="C199" s="9">
        <v>35</v>
      </c>
      <c r="D199" s="79" t="s">
        <v>190</v>
      </c>
      <c r="E199" s="79">
        <v>35</v>
      </c>
      <c r="F199" s="80" t="s">
        <v>172</v>
      </c>
      <c r="L199" s="9">
        <f>ROW()</f>
        <v>199</v>
      </c>
    </row>
    <row r="200" spans="3:12" x14ac:dyDescent="0.25">
      <c r="C200" s="9">
        <v>36</v>
      </c>
      <c r="D200" s="170" t="s">
        <v>190</v>
      </c>
      <c r="E200" s="159">
        <v>36</v>
      </c>
      <c r="F200" s="135"/>
      <c r="G200" s="114">
        <v>1000</v>
      </c>
      <c r="H200" s="135" t="s">
        <v>13</v>
      </c>
      <c r="I200" s="99">
        <v>1</v>
      </c>
      <c r="J200" s="99"/>
      <c r="K200" s="160"/>
      <c r="L200" s="9">
        <f>ROW()</f>
        <v>200</v>
      </c>
    </row>
    <row r="201" spans="3:12" x14ac:dyDescent="0.25">
      <c r="C201" s="9">
        <v>36</v>
      </c>
      <c r="D201" s="171" t="s">
        <v>190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62"/>
      <c r="L201" s="9">
        <f>ROW()</f>
        <v>201</v>
      </c>
    </row>
    <row r="202" spans="3:12" ht="15.75" thickBot="1" x14ac:dyDescent="0.3">
      <c r="C202" s="9">
        <v>36</v>
      </c>
      <c r="D202" s="172" t="s">
        <v>190</v>
      </c>
      <c r="E202" s="164">
        <v>36</v>
      </c>
      <c r="F202" s="165"/>
      <c r="G202" s="166"/>
      <c r="H202" s="173" t="s">
        <v>194</v>
      </c>
      <c r="I202" s="174"/>
      <c r="J202" s="174"/>
      <c r="K202" s="175"/>
      <c r="L202" s="9">
        <f>ROW()</f>
        <v>202</v>
      </c>
    </row>
    <row r="203" spans="3:12" x14ac:dyDescent="0.25">
      <c r="C203" s="9">
        <v>36</v>
      </c>
      <c r="D203" s="79" t="s">
        <v>190</v>
      </c>
      <c r="E203" s="79">
        <v>36</v>
      </c>
      <c r="F203" s="80"/>
      <c r="L203" s="9">
        <f>ROW()</f>
        <v>203</v>
      </c>
    </row>
  </sheetData>
  <autoFilter ref="C1:L187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C1:J66"/>
  <sheetViews>
    <sheetView workbookViewId="0">
      <pane ySplit="3" topLeftCell="A4" activePane="bottomLeft" state="frozen"/>
      <selection pane="bottomLeft" sqref="A1:XFD1"/>
    </sheetView>
  </sheetViews>
  <sheetFormatPr baseColWidth="10" defaultRowHeight="15" x14ac:dyDescent="0.25"/>
  <cols>
    <col min="3" max="3" width="5.7109375" style="126" customWidth="1"/>
    <col min="4" max="4" width="11.42578125" style="10"/>
    <col min="5" max="5" width="37.42578125" bestFit="1" customWidth="1"/>
    <col min="6" max="7" width="13.7109375" style="134" customWidth="1"/>
    <col min="8" max="8" width="5.7109375" style="126" customWidth="1"/>
    <col min="10" max="10" width="12.7109375" customWidth="1"/>
  </cols>
  <sheetData>
    <row r="1" spans="3:10" s="123" customFormat="1" ht="20.100000000000001" customHeight="1" x14ac:dyDescent="0.35">
      <c r="C1" s="222" t="s">
        <v>182</v>
      </c>
      <c r="D1" s="222"/>
      <c r="E1" s="222"/>
      <c r="F1" s="222"/>
      <c r="G1" s="222"/>
      <c r="H1" s="222"/>
    </row>
    <row r="2" spans="3:10" s="123" customFormat="1" ht="15" customHeight="1" x14ac:dyDescent="0.35">
      <c r="C2" s="122"/>
      <c r="D2" s="122"/>
      <c r="E2" s="122"/>
      <c r="F2" s="132"/>
      <c r="G2" s="132"/>
      <c r="H2" s="122"/>
      <c r="I2" s="124" t="s">
        <v>7</v>
      </c>
      <c r="J2" s="125">
        <v>45212</v>
      </c>
    </row>
    <row r="3" spans="3:10" ht="21" x14ac:dyDescent="0.35">
      <c r="C3" s="122"/>
      <c r="D3" s="121" t="s">
        <v>181</v>
      </c>
      <c r="E3" s="121" t="s">
        <v>10</v>
      </c>
      <c r="F3" s="133" t="s">
        <v>2</v>
      </c>
      <c r="G3" s="133" t="s">
        <v>3</v>
      </c>
      <c r="H3" s="122"/>
    </row>
    <row r="4" spans="3:10" x14ac:dyDescent="0.25">
      <c r="D4" s="10" t="s">
        <v>12</v>
      </c>
      <c r="E4" t="s">
        <v>13</v>
      </c>
      <c r="F4" s="156">
        <v>15445.94</v>
      </c>
      <c r="G4"/>
    </row>
    <row r="5" spans="3:10" x14ac:dyDescent="0.25">
      <c r="D5" s="10" t="s">
        <v>14</v>
      </c>
      <c r="E5" t="s">
        <v>15</v>
      </c>
      <c r="F5" s="156">
        <v>3665.95</v>
      </c>
      <c r="G5"/>
    </row>
    <row r="6" spans="3:10" x14ac:dyDescent="0.25">
      <c r="D6" s="10" t="s">
        <v>18</v>
      </c>
      <c r="E6" t="s">
        <v>19</v>
      </c>
      <c r="F6"/>
      <c r="G6" s="156">
        <v>941.28</v>
      </c>
    </row>
    <row r="7" spans="3:10" x14ac:dyDescent="0.25">
      <c r="D7" s="10" t="s">
        <v>20</v>
      </c>
      <c r="E7" t="s">
        <v>21</v>
      </c>
      <c r="F7"/>
      <c r="G7" s="156">
        <v>1711.04</v>
      </c>
    </row>
    <row r="8" spans="3:10" x14ac:dyDescent="0.25">
      <c r="D8" s="10" t="s">
        <v>22</v>
      </c>
      <c r="E8" t="s">
        <v>23</v>
      </c>
      <c r="F8" s="156">
        <v>885.21</v>
      </c>
      <c r="G8"/>
    </row>
    <row r="9" spans="3:10" x14ac:dyDescent="0.25">
      <c r="D9" s="10" t="s">
        <v>24</v>
      </c>
      <c r="E9" t="s">
        <v>25</v>
      </c>
      <c r="F9" s="156">
        <v>1766.52</v>
      </c>
      <c r="G9"/>
    </row>
    <row r="10" spans="3:10" x14ac:dyDescent="0.25">
      <c r="D10" s="10" t="s">
        <v>32</v>
      </c>
      <c r="E10" t="s">
        <v>33</v>
      </c>
      <c r="F10" s="156">
        <v>7055</v>
      </c>
      <c r="G10"/>
    </row>
    <row r="11" spans="3:10" x14ac:dyDescent="0.25">
      <c r="D11" s="10" t="s">
        <v>34</v>
      </c>
      <c r="E11" t="s">
        <v>35</v>
      </c>
      <c r="F11" s="156">
        <v>3995.99</v>
      </c>
      <c r="G11"/>
    </row>
    <row r="12" spans="3:10" x14ac:dyDescent="0.25">
      <c r="D12" s="10" t="s">
        <v>53</v>
      </c>
      <c r="E12" t="s">
        <v>54</v>
      </c>
      <c r="F12"/>
      <c r="G12" s="156">
        <v>4720.1499999999996</v>
      </c>
    </row>
    <row r="13" spans="3:10" x14ac:dyDescent="0.25">
      <c r="D13" s="10" t="s">
        <v>84</v>
      </c>
      <c r="E13" t="s">
        <v>85</v>
      </c>
      <c r="F13" s="156">
        <v>10000</v>
      </c>
      <c r="G13"/>
    </row>
    <row r="14" spans="3:10" x14ac:dyDescent="0.25">
      <c r="D14" s="10" t="s">
        <v>87</v>
      </c>
      <c r="E14" t="s">
        <v>88</v>
      </c>
      <c r="F14"/>
      <c r="G14" s="156">
        <v>30550</v>
      </c>
    </row>
    <row r="15" spans="3:10" x14ac:dyDescent="0.25">
      <c r="D15" s="10" t="s">
        <v>106</v>
      </c>
      <c r="E15" t="s">
        <v>107</v>
      </c>
      <c r="F15" s="156">
        <v>404.95</v>
      </c>
      <c r="G15"/>
    </row>
    <row r="16" spans="3:10" x14ac:dyDescent="0.25">
      <c r="D16" s="10" t="s">
        <v>118</v>
      </c>
      <c r="E16" t="s">
        <v>119</v>
      </c>
      <c r="F16"/>
      <c r="G16" s="156">
        <v>275</v>
      </c>
    </row>
    <row r="17" spans="4:7" x14ac:dyDescent="0.25">
      <c r="D17" s="10" t="s">
        <v>120</v>
      </c>
      <c r="E17" t="s">
        <v>121</v>
      </c>
      <c r="F17"/>
      <c r="G17" s="156">
        <v>355</v>
      </c>
    </row>
    <row r="18" spans="4:7" x14ac:dyDescent="0.25">
      <c r="D18" s="10" t="s">
        <v>122</v>
      </c>
      <c r="E18" t="s">
        <v>123</v>
      </c>
      <c r="F18"/>
      <c r="G18" s="156">
        <v>102</v>
      </c>
    </row>
    <row r="19" spans="4:7" x14ac:dyDescent="0.25">
      <c r="D19" s="10" t="s">
        <v>124</v>
      </c>
      <c r="E19" t="s">
        <v>125</v>
      </c>
      <c r="F19" s="156">
        <v>795</v>
      </c>
      <c r="G19"/>
    </row>
    <row r="20" spans="4:7" x14ac:dyDescent="0.25">
      <c r="D20" s="10" t="s">
        <v>126</v>
      </c>
      <c r="E20" t="s">
        <v>127</v>
      </c>
      <c r="F20"/>
      <c r="G20" s="156">
        <v>5360.09</v>
      </c>
    </row>
    <row r="21" spans="4:7" x14ac:dyDescent="0.25">
      <c r="F21"/>
      <c r="G21"/>
    </row>
    <row r="22" spans="4:7" ht="15.75" thickBot="1" x14ac:dyDescent="0.3">
      <c r="F22" s="157">
        <f>SUM(F4:F21)</f>
        <v>44014.559999999998</v>
      </c>
      <c r="G22" s="157">
        <f>SUM(G4:G21)</f>
        <v>44014.559999999998</v>
      </c>
    </row>
    <row r="23" spans="4:7" x14ac:dyDescent="0.25">
      <c r="F23"/>
      <c r="G23"/>
    </row>
    <row r="24" spans="4:7" x14ac:dyDescent="0.25">
      <c r="F24"/>
      <c r="G24"/>
    </row>
    <row r="25" spans="4:7" x14ac:dyDescent="0.25">
      <c r="F25"/>
      <c r="G25"/>
    </row>
    <row r="26" spans="4:7" x14ac:dyDescent="0.25">
      <c r="F26"/>
      <c r="G26"/>
    </row>
    <row r="27" spans="4:7" x14ac:dyDescent="0.25">
      <c r="F27"/>
      <c r="G27"/>
    </row>
    <row r="28" spans="4:7" x14ac:dyDescent="0.25">
      <c r="F28"/>
      <c r="G28"/>
    </row>
    <row r="29" spans="4:7" x14ac:dyDescent="0.25">
      <c r="F29"/>
      <c r="G29"/>
    </row>
    <row r="30" spans="4:7" x14ac:dyDescent="0.25">
      <c r="F30"/>
      <c r="G30"/>
    </row>
    <row r="31" spans="4:7" x14ac:dyDescent="0.25">
      <c r="F31"/>
      <c r="G31"/>
    </row>
    <row r="32" spans="4:7" x14ac:dyDescent="0.25">
      <c r="F32"/>
      <c r="G32"/>
    </row>
    <row r="33" spans="6:7" x14ac:dyDescent="0.25">
      <c r="F33"/>
      <c r="G33"/>
    </row>
    <row r="34" spans="6:7" x14ac:dyDescent="0.25">
      <c r="F34"/>
      <c r="G34"/>
    </row>
    <row r="35" spans="6:7" x14ac:dyDescent="0.25">
      <c r="F35"/>
      <c r="G35"/>
    </row>
    <row r="36" spans="6:7" x14ac:dyDescent="0.25">
      <c r="F36"/>
      <c r="G36"/>
    </row>
    <row r="37" spans="6:7" x14ac:dyDescent="0.25">
      <c r="F37"/>
      <c r="G37"/>
    </row>
    <row r="38" spans="6:7" x14ac:dyDescent="0.25">
      <c r="F38"/>
      <c r="G38"/>
    </row>
    <row r="39" spans="6:7" x14ac:dyDescent="0.25">
      <c r="F39"/>
      <c r="G39"/>
    </row>
    <row r="40" spans="6:7" x14ac:dyDescent="0.25">
      <c r="F40"/>
      <c r="G40"/>
    </row>
    <row r="41" spans="6:7" x14ac:dyDescent="0.25">
      <c r="F41"/>
      <c r="G41"/>
    </row>
    <row r="42" spans="6:7" x14ac:dyDescent="0.25">
      <c r="F42"/>
      <c r="G42"/>
    </row>
    <row r="43" spans="6:7" x14ac:dyDescent="0.25">
      <c r="F43"/>
      <c r="G43"/>
    </row>
    <row r="44" spans="6:7" x14ac:dyDescent="0.25">
      <c r="F44"/>
      <c r="G44"/>
    </row>
    <row r="45" spans="6:7" x14ac:dyDescent="0.25">
      <c r="F45"/>
      <c r="G45"/>
    </row>
    <row r="46" spans="6:7" x14ac:dyDescent="0.25">
      <c r="F46"/>
      <c r="G46"/>
    </row>
    <row r="47" spans="6:7" x14ac:dyDescent="0.25">
      <c r="F47"/>
      <c r="G47"/>
    </row>
    <row r="48" spans="6:7" x14ac:dyDescent="0.25">
      <c r="F48"/>
      <c r="G48"/>
    </row>
    <row r="49" spans="6:7" x14ac:dyDescent="0.25">
      <c r="F49"/>
      <c r="G49"/>
    </row>
    <row r="50" spans="6:7" x14ac:dyDescent="0.25">
      <c r="F50"/>
      <c r="G50"/>
    </row>
    <row r="51" spans="6:7" x14ac:dyDescent="0.25">
      <c r="F51"/>
      <c r="G51"/>
    </row>
    <row r="52" spans="6:7" x14ac:dyDescent="0.25">
      <c r="F52"/>
      <c r="G52"/>
    </row>
    <row r="53" spans="6:7" x14ac:dyDescent="0.25">
      <c r="F53"/>
      <c r="G53"/>
    </row>
    <row r="54" spans="6:7" x14ac:dyDescent="0.25">
      <c r="F54"/>
      <c r="G54"/>
    </row>
    <row r="55" spans="6:7" x14ac:dyDescent="0.25">
      <c r="F55"/>
      <c r="G55"/>
    </row>
    <row r="56" spans="6:7" x14ac:dyDescent="0.25">
      <c r="F56"/>
      <c r="G56"/>
    </row>
    <row r="57" spans="6:7" x14ac:dyDescent="0.25">
      <c r="F57"/>
      <c r="G57"/>
    </row>
    <row r="58" spans="6:7" x14ac:dyDescent="0.25">
      <c r="F58"/>
      <c r="G58"/>
    </row>
    <row r="59" spans="6:7" x14ac:dyDescent="0.25">
      <c r="F59"/>
      <c r="G59"/>
    </row>
    <row r="60" spans="6:7" x14ac:dyDescent="0.25">
      <c r="F60"/>
      <c r="G60"/>
    </row>
    <row r="61" spans="6:7" x14ac:dyDescent="0.25">
      <c r="F61"/>
      <c r="G61"/>
    </row>
    <row r="62" spans="6:7" x14ac:dyDescent="0.25">
      <c r="F62"/>
      <c r="G62"/>
    </row>
    <row r="63" spans="6:7" x14ac:dyDescent="0.25">
      <c r="F63"/>
      <c r="G63"/>
    </row>
    <row r="64" spans="6:7" x14ac:dyDescent="0.25">
      <c r="F64"/>
      <c r="G64"/>
    </row>
    <row r="65" spans="6:7" x14ac:dyDescent="0.25">
      <c r="F65"/>
      <c r="G65"/>
    </row>
    <row r="66" spans="6:7" x14ac:dyDescent="0.25">
      <c r="F66"/>
      <c r="G66"/>
    </row>
  </sheetData>
  <mergeCells count="1">
    <mergeCell ref="C1:H1"/>
  </mergeCells>
  <pageMargins left="0.70866141732283472" right="0.70866141732283472" top="0.74803149606299213" bottom="0.74803149606299213" header="0.31496062992125984" footer="0.31496062992125984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2"/>
  <sheetViews>
    <sheetView topLeftCell="A35" workbookViewId="0">
      <selection activeCell="B3" sqref="B3:B62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8" t="s">
        <v>136</v>
      </c>
      <c r="E1" s="128" t="s">
        <v>183</v>
      </c>
      <c r="F1" s="128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7" t="s">
        <v>11</v>
      </c>
      <c r="E3" s="5" t="s">
        <v>12</v>
      </c>
      <c r="F3" s="6" t="s">
        <v>13</v>
      </c>
    </row>
    <row r="4" spans="1:6" x14ac:dyDescent="0.25">
      <c r="A4" s="7" t="str">
        <f t="shared" ref="A4:A62" si="0">F4</f>
        <v>Comptes Clients</v>
      </c>
      <c r="B4" s="103" t="str">
        <f>PlanComptable[[#This Row],[Colonne1]]</f>
        <v>1100</v>
      </c>
      <c r="C4" s="6"/>
      <c r="D4" s="127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7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7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7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7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7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7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7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7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7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7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7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7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7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7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7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7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7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7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7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7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7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7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7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7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7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7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7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7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7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7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7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7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7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7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7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7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7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7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7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7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7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7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7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7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7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7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7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7" t="s">
        <v>99</v>
      </c>
      <c r="E52" s="5" t="s">
        <v>114</v>
      </c>
      <c r="F52" s="6" t="s">
        <v>115</v>
      </c>
    </row>
    <row r="53" spans="1:6" x14ac:dyDescent="0.25">
      <c r="A53" s="7" t="str">
        <f t="shared" si="0"/>
        <v>Loyer</v>
      </c>
      <c r="B53" s="103" t="str">
        <f>PlanComptable[[#This Row],[Colonne1]]</f>
        <v>5007</v>
      </c>
      <c r="D53" s="127" t="s">
        <v>99</v>
      </c>
      <c r="E53" s="5" t="s">
        <v>116</v>
      </c>
      <c r="F53" s="6" t="s">
        <v>117</v>
      </c>
    </row>
    <row r="54" spans="1:6" x14ac:dyDescent="0.25">
      <c r="A54" s="7" t="str">
        <f t="shared" si="0"/>
        <v>Frais de communications</v>
      </c>
      <c r="B54" s="103" t="str">
        <f>PlanComptable[[#This Row],[Colonne1]]</f>
        <v>5008</v>
      </c>
      <c r="D54" s="127" t="s">
        <v>99</v>
      </c>
      <c r="E54" s="5" t="s">
        <v>118</v>
      </c>
      <c r="F54" s="6" t="s">
        <v>119</v>
      </c>
    </row>
    <row r="55" spans="1:6" x14ac:dyDescent="0.25">
      <c r="A55" s="7" t="str">
        <f t="shared" si="0"/>
        <v>Frais de poste</v>
      </c>
      <c r="B55" s="103" t="str">
        <f>PlanComptable[[#This Row],[Colonne1]]</f>
        <v>5009</v>
      </c>
      <c r="D55" s="127" t="s">
        <v>99</v>
      </c>
      <c r="E55" s="5" t="s">
        <v>120</v>
      </c>
      <c r="F55" s="6" t="s">
        <v>121</v>
      </c>
    </row>
    <row r="56" spans="1:6" x14ac:dyDescent="0.25">
      <c r="A56" s="7" t="str">
        <f t="shared" si="0"/>
        <v>Salaires et Sous-traitance</v>
      </c>
      <c r="B56" s="103" t="str">
        <f>PlanComptable[[#This Row],[Colonne1]]</f>
        <v>5010</v>
      </c>
      <c r="D56" s="127" t="s">
        <v>99</v>
      </c>
      <c r="E56" s="5" t="s">
        <v>122</v>
      </c>
      <c r="F56" s="6" t="s">
        <v>123</v>
      </c>
    </row>
    <row r="57" spans="1:6" x14ac:dyDescent="0.25">
      <c r="A57" s="7" t="str">
        <f t="shared" si="0"/>
        <v>Assurance &amp; Cotisation professionnelle</v>
      </c>
      <c r="B57" s="103" t="str">
        <f>PlanComptable[[#This Row],[Colonne1]]</f>
        <v>5011</v>
      </c>
      <c r="D57" s="127" t="s">
        <v>99</v>
      </c>
      <c r="E57" s="5" t="s">
        <v>124</v>
      </c>
      <c r="F57" s="6" t="s">
        <v>125</v>
      </c>
    </row>
    <row r="58" spans="1:6" x14ac:dyDescent="0.25">
      <c r="A58" s="7" t="str">
        <f t="shared" si="0"/>
        <v>Frais financiers</v>
      </c>
      <c r="B58" s="103" t="str">
        <f>PlanComptable[[#This Row],[Colonne1]]</f>
        <v>5013</v>
      </c>
      <c r="D58" s="127" t="s">
        <v>99</v>
      </c>
      <c r="E58" s="5" t="s">
        <v>126</v>
      </c>
      <c r="F58" s="6" t="s">
        <v>127</v>
      </c>
    </row>
    <row r="59" spans="1:6" x14ac:dyDescent="0.25">
      <c r="A59" s="7" t="str">
        <f t="shared" si="0"/>
        <v>Amortissement</v>
      </c>
      <c r="B59" s="103" t="str">
        <f>PlanComptable[[#This Row],[Colonne1]]</f>
        <v>5015</v>
      </c>
      <c r="D59" s="127" t="s">
        <v>99</v>
      </c>
      <c r="E59" s="5" t="s">
        <v>128</v>
      </c>
      <c r="F59" s="6" t="s">
        <v>129</v>
      </c>
    </row>
    <row r="60" spans="1:6" x14ac:dyDescent="0.25">
      <c r="A60" s="7" t="str">
        <f t="shared" si="0"/>
        <v>Mauvaises créances</v>
      </c>
      <c r="B60" s="103" t="str">
        <f>PlanComptable[[#This Row],[Colonne1]]</f>
        <v>5016</v>
      </c>
      <c r="D60" s="127" t="s">
        <v>99</v>
      </c>
      <c r="E60" s="5" t="s">
        <v>130</v>
      </c>
      <c r="F60" s="6" t="s">
        <v>131</v>
      </c>
    </row>
    <row r="61" spans="1:6" x14ac:dyDescent="0.25">
      <c r="A61" s="7" t="str">
        <f t="shared" si="0"/>
        <v>Assurance - loyer</v>
      </c>
      <c r="B61" s="103" t="str">
        <f>PlanComptable[[#This Row],[Colonne1]]</f>
        <v>5020</v>
      </c>
      <c r="D61" s="127" t="s">
        <v>99</v>
      </c>
      <c r="E61" s="5" t="s">
        <v>132</v>
      </c>
      <c r="F61" s="6" t="s">
        <v>133</v>
      </c>
    </row>
    <row r="62" spans="1:6" x14ac:dyDescent="0.25">
      <c r="A62" s="7" t="str">
        <f t="shared" si="0"/>
        <v>Impôts exigibles</v>
      </c>
      <c r="B62" s="103" t="str">
        <f>PlanComptable[[#This Row],[Colonne1]]</f>
        <v>9000</v>
      </c>
      <c r="D62" s="129" t="s">
        <v>99</v>
      </c>
      <c r="E62" s="130" t="s">
        <v>134</v>
      </c>
      <c r="F62" s="131" t="s">
        <v>135</v>
      </c>
    </row>
  </sheetData>
  <conditionalFormatting sqref="D3:F22">
    <cfRule type="expression" dxfId="26" priority="7">
      <formula>#REF!=ROW()</formula>
    </cfRule>
  </conditionalFormatting>
  <conditionalFormatting sqref="D3:F9">
    <cfRule type="expression" dxfId="25" priority="8">
      <formula>AND($K1&lt;&gt;"",MOD(ROW(),2)=0)</formula>
    </cfRule>
  </conditionalFormatting>
  <conditionalFormatting sqref="D3:F62">
    <cfRule type="expression" dxfId="24" priority="6">
      <formula>MOD(ROW(),2)=0</formula>
    </cfRule>
  </conditionalFormatting>
  <conditionalFormatting sqref="D5:F42 D56:F57">
    <cfRule type="expression" dxfId="23" priority="9">
      <formula>AND($K1&lt;&gt;"",MOD(ROW(),2)=0)</formula>
    </cfRule>
  </conditionalFormatting>
  <conditionalFormatting sqref="D8:F9 D3:F3">
    <cfRule type="expression" dxfId="22" priority="5">
      <formula>AND($K1048576&lt;&gt;"",MOD(ROW(),2)=0)</formula>
    </cfRule>
  </conditionalFormatting>
  <conditionalFormatting sqref="D3:D62">
    <cfRule type="expression" dxfId="21" priority="10">
      <formula>AND($L1048564&lt;&gt;"",MOD(ROW(),2)=0)</formula>
    </cfRule>
  </conditionalFormatting>
  <conditionalFormatting sqref="D46:F46">
    <cfRule type="expression" dxfId="20" priority="11">
      <formula>AND(#REF!&lt;&gt;"",MOD(ROW(),2)=0)</formula>
    </cfRule>
  </conditionalFormatting>
  <conditionalFormatting sqref="D50:F62">
    <cfRule type="expression" dxfId="19" priority="12">
      <formula>AND($K84&lt;&gt;"",MOD(ROW(),2)=0)</formula>
    </cfRule>
  </conditionalFormatting>
  <conditionalFormatting sqref="D58:F58">
    <cfRule type="expression" dxfId="18" priority="13">
      <formula>AND(#REF!&lt;&gt;"",MOD(ROW(),2)=0)</formula>
    </cfRule>
  </conditionalFormatting>
  <conditionalFormatting sqref="D62:F62">
    <cfRule type="expression" dxfId="17" priority="14">
      <formula>AND($K84&lt;&gt;"",MOD(ROW(),2)=0)</formula>
    </cfRule>
  </conditionalFormatting>
  <conditionalFormatting sqref="D47:F49">
    <cfRule type="expression" dxfId="16" priority="15">
      <formula>AND($K79&lt;&gt;"",MOD(ROW(),2)=0)</formula>
    </cfRule>
  </conditionalFormatting>
  <conditionalFormatting sqref="D59:F61">
    <cfRule type="expression" dxfId="15" priority="16">
      <formula>AND($K79&lt;&gt;"",MOD(ROW(),2)=0)</formula>
    </cfRule>
  </conditionalFormatting>
  <conditionalFormatting sqref="D4:F4">
    <cfRule type="expression" dxfId="14" priority="17">
      <formula>AND(#REF!&lt;&gt;"",MOD(ROW(),2)=0)</formula>
    </cfRule>
  </conditionalFormatting>
  <conditionalFormatting sqref="D52:F54">
    <cfRule type="expression" dxfId="13" priority="18">
      <formula>AND($K36&lt;&gt;"",MOD(ROW(),2)=0)</formula>
    </cfRule>
  </conditionalFormatting>
  <conditionalFormatting sqref="D43:F43">
    <cfRule type="expression" dxfId="12" priority="24">
      <formula>AND($K50&lt;&gt;"",MOD(ROW(),2)=0)</formula>
    </cfRule>
  </conditionalFormatting>
  <conditionalFormatting sqref="D55:F55">
    <cfRule type="expression" dxfId="11" priority="25">
      <formula>AND($K50&lt;&gt;"",MOD(ROW(),2)=0)</formula>
    </cfRule>
  </conditionalFormatting>
  <conditionalFormatting sqref="D44:F45">
    <cfRule type="expression" dxfId="10" priority="26">
      <formula>AND($K52&lt;&gt;"",MOD(ROW(),2)=0)</formula>
    </cfRule>
  </conditionalFormatting>
  <conditionalFormatting sqref="C1:C10">
    <cfRule type="expression" dxfId="9" priority="2">
      <formula>#REF!=ROW()</formula>
    </cfRule>
  </conditionalFormatting>
  <conditionalFormatting sqref="C1:C10">
    <cfRule type="expression" dxfId="8" priority="3">
      <formula>AND($K1048575&lt;&gt;"",MOD(ROW(),2)=0)</formula>
    </cfRule>
  </conditionalFormatting>
  <conditionalFormatting sqref="C1:C10">
    <cfRule type="expression" dxfId="7" priority="1">
      <formula>MOD(ROW(),2)=0</formula>
    </cfRule>
  </conditionalFormatting>
  <conditionalFormatting sqref="C1:C10">
    <cfRule type="expression" dxfId="6" priority="4">
      <formula>AND(#REF!&lt;&gt;"",MOD(ROW(),2)=0)</formula>
    </cfRule>
  </conditionalFormatting>
  <dataValidations disablePrompts="1"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2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</vt:i4>
      </vt:variant>
    </vt:vector>
  </HeadingPairs>
  <TitlesOfParts>
    <vt:vector size="8" baseType="lpstr">
      <vt:lpstr>EJ</vt:lpstr>
      <vt:lpstr>Transactions</vt:lpstr>
      <vt:lpstr>BV</vt:lpstr>
      <vt:lpstr>PlanComptable</vt:lpstr>
      <vt:lpstr>BV!Impression_des_titres</vt:lpstr>
      <vt:lpstr>Transactions!Impression_des_titres</vt:lpstr>
      <vt:lpstr>BV!Zone_d_impression</vt:lpstr>
      <vt:lpstr>Transactions!Zone_d_impression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2023-10-13T11:29:40Z</cp:lastPrinted>
  <dcterms:created xsi:type="dcterms:W3CDTF">2023-10-05T16:17:00Z</dcterms:created>
  <dcterms:modified xsi:type="dcterms:W3CDTF">2023-10-13T12:25:48Z</dcterms:modified>
</cp:coreProperties>
</file>