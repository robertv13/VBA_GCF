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FB12AA1-8747-4A65-AE37-FFF9FBAE11E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Entries'!$A$3:$M$15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6" l="1"/>
  <c r="K3" i="3"/>
  <c r="I20" i="9"/>
  <c r="I19" i="9"/>
  <c r="I18" i="9"/>
  <c r="I17" i="9"/>
  <c r="I16" i="9"/>
  <c r="I15" i="9"/>
  <c r="I14" i="9"/>
  <c r="M14" i="6"/>
  <c r="M13" i="6"/>
  <c r="M12" i="6"/>
  <c r="M11" i="6"/>
  <c r="I13" i="9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O44" i="3" s="1"/>
  <c r="O48" i="3" s="1"/>
  <c r="Q3" i="6"/>
</calcChain>
</file>

<file path=xl/sharedStrings.xml><?xml version="1.0" encoding="utf-8"?>
<sst xmlns="http://schemas.openxmlformats.org/spreadsheetml/2006/main" count="444" uniqueCount="209">
  <si>
    <t>Project</t>
  </si>
  <si>
    <t>Hours</t>
  </si>
  <si>
    <t>Billed</t>
  </si>
  <si>
    <t>No</t>
  </si>
  <si>
    <t>Description</t>
  </si>
  <si>
    <t>Date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</si>
  <si>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</si>
  <si>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</si>
  <si>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</si>
  <si>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</si>
  <si>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</si>
  <si>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</si>
  <si>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</si>
  <si>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</si>
  <si>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</si>
  <si>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</si>
  <si>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</si>
  <si>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</si>
  <si>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</si>
  <si>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</si>
  <si>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</si>
  <si>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</si>
  <si>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</si>
  <si>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Dolores Richman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</si>
  <si>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</si>
  <si>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</si>
  <si>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</si>
  <si>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</si>
  <si>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</si>
  <si>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</si>
  <si>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</si>
  <si>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</si>
  <si>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</si>
  <si>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</si>
  <si>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</si>
  <si>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</si>
  <si>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</si>
  <si>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</si>
  <si>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</si>
  <si>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</si>
  <si>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</si>
  <si>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</si>
  <si>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</si>
  <si>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</si>
  <si>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</si>
  <si>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</si>
  <si>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</si>
  <si>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</si>
  <si>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</si>
  <si>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</si>
  <si>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</si>
  <si>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</si>
  <si>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</si>
  <si>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</si>
  <si>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</si>
  <si>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</si>
  <si>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</si>
  <si>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</si>
  <si>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</si>
  <si>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</si>
  <si>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</si>
  <si>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</si>
  <si>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</si>
  <si>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</si>
  <si>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</si>
  <si>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</si>
  <si>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</si>
  <si>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</si>
  <si>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</si>
  <si>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</si>
  <si>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</si>
  <si>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</si>
  <si>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</si>
  <si>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</si>
  <si>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</si>
  <si>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</si>
  <si>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</si>
  <si>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</si>
  <si>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</si>
  <si>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</si>
  <si>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</si>
  <si>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</si>
  <si>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</si>
  <si>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</si>
  <si>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</si>
  <si>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</si>
  <si>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</si>
  <si>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</si>
  <si>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</si>
  <si>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</si>
  <si>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</si>
  <si>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</si>
  <si>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</si>
  <si>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</si>
  <si>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</si>
  <si>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</si>
  <si>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</si>
  <si>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</si>
  <si>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</si>
  <si>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</si>
  <si>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</si>
  <si>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</si>
  <si>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</si>
  <si>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</si>
  <si>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</si>
  <si>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</si>
  <si>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</si>
  <si>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</si>
  <si>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</si>
  <si>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</si>
  <si>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</si>
  <si>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</si>
  <si>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</si>
  <si>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</si>
  <si>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</si>
  <si>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</si>
  <si>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</si>
  <si>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</si>
  <si>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</si>
  <si>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</si>
  <si>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</si>
  <si>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</si>
  <si>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</si>
  <si>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</si>
  <si>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</si>
  <si>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</si>
  <si>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</si>
  <si>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</si>
  <si>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</si>
  <si>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</si>
  <si>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</si>
  <si>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</si>
  <si>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</si>
  <si>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</si>
  <si>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</si>
  <si>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</si>
  <si>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</si>
  <si>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</si>
  <si>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</si>
  <si>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</si>
  <si>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</si>
  <si>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</si>
  <si>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</si>
  <si>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</si>
  <si>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</si>
  <si>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</si>
  <si>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</si>
  <si>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</si>
  <si>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</si>
  <si>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</si>
  <si>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</si>
  <si>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</si>
  <si>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</si>
  <si>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</si>
  <si>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</si>
  <si>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</si>
  <si>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</si>
  <si>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</si>
  <si>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Facture d'honoraires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</si>
  <si>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</si>
  <si>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</si>
  <si>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</si>
  <si>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</si>
  <si>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</si>
  <si>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</si>
  <si>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</si>
  <si>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</si>
  <si>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</si>
  <si>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</si>
  <si>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Sous-total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</si>
  <si>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</si>
  <si>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</si>
  <si>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</si>
  <si>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</si>
  <si>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</si>
  <si>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</si>
  <si>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</si>
  <si>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</si>
  <si>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</si>
  <si>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</si>
  <si>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</si>
  <si>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</si>
  <si>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</si>
  <si>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</si>
  <si>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</si>
  <si>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</si>
  <si>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</si>
  <si>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</si>
  <si>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</si>
  <si>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</si>
  <si>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</si>
  <si>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</si>
  <si>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</si>
  <si>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</si>
  <si>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</si>
  <si>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Projet pour test de facture</t>
  </si>
  <si>
    <t>Anytown, Louisiana, 57439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</si>
  <si>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</si>
  <si>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</si>
  <si>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</si>
  <si>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</si>
  <si>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Cust. 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</si>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</sst>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70" formatCode="[$-F800]dddd\,\ mmmm\ dd\,\ yyyy"/>
    <numFmt numFmtId="172" formatCode="#,##0.00\ &quot;$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7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70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1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2" fontId="0" fillId="0" borderId="0" xfId="1" applyNumberFormat="1" applyFont="1"/>
    <xf numFmtId="172" fontId="10" fillId="6" borderId="0" xfId="1" applyNumberFormat="1" applyFont="1" applyFill="1" applyBorder="1"/>
    <xf numFmtId="172" fontId="9" fillId="6" borderId="0" xfId="1" applyNumberFormat="1" applyFont="1" applyFill="1" applyBorder="1"/>
    <xf numFmtId="172" fontId="9" fillId="6" borderId="3" xfId="1" applyNumberFormat="1" applyFont="1" applyFill="1" applyBorder="1"/>
    <xf numFmtId="172" fontId="10" fillId="6" borderId="14" xfId="1" applyNumberFormat="1" applyFont="1" applyFill="1" applyBorder="1"/>
    <xf numFmtId="172" fontId="9" fillId="0" borderId="0" xfId="1" applyNumberFormat="1" applyFont="1"/>
    <xf numFmtId="172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14" fontId="4" fillId="9" borderId="0" xfId="0" applyNumberFormat="1" applyFont="1" applyFill="1" applyAlignment="1">
      <alignment horizontal="left"/>
    </xf>
  </cellXfs>
  <cellStyles count="3">
    <cellStyle name="Lien hypertexte" xfId="2" builtinId="8"/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243194</xdr:rowOff>
    </xdr:from>
    <xdr:to>
      <xdr:col>4</xdr:col>
      <xdr:colOff>770659</xdr:colOff>
      <xdr:row>2</xdr:row>
      <xdr:rowOff>112569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42194" y="702126"/>
          <a:ext cx="1265579" cy="1291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8</xdr:col>
      <xdr:colOff>165430</xdr:colOff>
      <xdr:row>19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5276850" y="388620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302203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81575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4758601" y="696857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466726" y="173874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4787128" y="293629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gmail.com" TargetMode="External"/><Relationship Id="rId2" Type="http://schemas.openxmlformats.org/officeDocument/2006/relationships/hyperlink" Target="mailto:robertv13@me.com" TargetMode="External"/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55"/>
  <sheetViews>
    <sheetView tabSelected="1" topLeftCell="C1" zoomScaleNormal="100" workbookViewId="0">
      <selection activeCell="J9" sqref="J9"/>
    </sheetView>
  </sheetViews>
  <sheetFormatPr baseColWidth="10" defaultColWidth="9.140625" defaultRowHeight="15" x14ac:dyDescent="0.25"/>
  <cols>
    <col min="1" max="1" width="17.85546875" hidden="1" customWidth="1"/>
    <col min="2" max="2" width="5.7109375" style="2" hidden="1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32"/>
      <c r="C1" s="83" t="s">
        <v>158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20"/>
    </row>
    <row r="2" spans="1:19" ht="20.45" customHeight="1" x14ac:dyDescent="0.25">
      <c r="A2" s="23" t="s">
        <v>99</v>
      </c>
      <c r="B2" s="33">
        <v>9</v>
      </c>
      <c r="C2" s="8"/>
      <c r="D2" s="8"/>
      <c r="E2" s="8"/>
      <c r="F2" s="8"/>
      <c r="G2" s="8"/>
      <c r="H2" s="8"/>
      <c r="I2" s="8"/>
      <c r="J2" s="84"/>
      <c r="K2" s="84"/>
      <c r="L2" s="84"/>
      <c r="M2" s="84"/>
      <c r="N2" s="84"/>
      <c r="O2" s="84"/>
      <c r="P2" s="8"/>
      <c r="Q2" s="50" t="s">
        <v>166</v>
      </c>
      <c r="R2" s="21"/>
      <c r="S2" s="8"/>
    </row>
    <row r="3" spans="1:19" x14ac:dyDescent="0.25">
      <c r="A3" s="23" t="s">
        <v>100</v>
      </c>
      <c r="B3" s="33">
        <f ca="1">IFERROR(MATCH(B2,BillEntry_ID,0)+3,"")</f>
        <v>12</v>
      </c>
      <c r="C3" s="9"/>
      <c r="D3" s="9"/>
      <c r="E3" s="9"/>
      <c r="F3" s="9"/>
      <c r="G3" s="9"/>
      <c r="H3" s="9"/>
      <c r="I3" s="9"/>
      <c r="J3" s="68"/>
      <c r="K3" s="67" t="str">
        <f>CONCATENATE("Le " &amp; TEXT(N4, "j mmmm aaaa"))</f>
        <v>Le 28 septembre 2023</v>
      </c>
      <c r="L3" s="68"/>
      <c r="M3" s="69" t="s">
        <v>123</v>
      </c>
      <c r="N3" s="70">
        <v>5</v>
      </c>
      <c r="O3" s="68"/>
      <c r="P3" s="9"/>
      <c r="Q3" s="9"/>
      <c r="R3" s="9"/>
      <c r="S3" s="9"/>
    </row>
    <row r="4" spans="1:19" x14ac:dyDescent="0.25">
      <c r="A4" s="23" t="s">
        <v>101</v>
      </c>
      <c r="B4" s="33">
        <f ca="1">IFERROR(MAX(BillEntry_ID)+1,1)</f>
        <v>13</v>
      </c>
      <c r="C4" s="9"/>
      <c r="D4" s="49" t="s">
        <v>159</v>
      </c>
      <c r="E4" s="86" t="s">
        <v>22</v>
      </c>
      <c r="F4" s="87"/>
      <c r="G4" s="49" t="s">
        <v>5</v>
      </c>
      <c r="H4" s="51">
        <v>45056</v>
      </c>
      <c r="I4" s="9"/>
      <c r="J4" s="69"/>
      <c r="K4" s="68" t="s">
        <v>24</v>
      </c>
      <c r="L4" s="68"/>
      <c r="M4" s="69"/>
      <c r="N4" s="71">
        <v>45197</v>
      </c>
      <c r="O4" s="68"/>
      <c r="P4" s="9"/>
      <c r="Q4" s="9"/>
      <c r="R4" s="9"/>
      <c r="S4" s="9"/>
    </row>
    <row r="5" spans="1:19" x14ac:dyDescent="0.25">
      <c r="A5" s="24" t="s">
        <v>97</v>
      </c>
      <c r="B5" s="34">
        <f ca="1">IFERROR(INDEX(Cust_ID,MATCH(E4,Cust_Name,0),1),"")</f>
        <v>14</v>
      </c>
      <c r="C5" s="9"/>
      <c r="D5" s="49" t="s">
        <v>160</v>
      </c>
      <c r="E5" s="86" t="s">
        <v>77</v>
      </c>
      <c r="F5" s="87"/>
      <c r="G5" s="49" t="s">
        <v>162</v>
      </c>
      <c r="H5" s="52"/>
      <c r="I5" s="9"/>
      <c r="J5" s="68"/>
      <c r="K5" s="68" t="s">
        <v>25</v>
      </c>
      <c r="L5" s="68"/>
      <c r="M5" s="69"/>
      <c r="N5" s="71"/>
      <c r="O5" s="68"/>
      <c r="P5" s="9"/>
      <c r="Q5" s="9"/>
      <c r="R5" s="9"/>
      <c r="S5" s="9"/>
    </row>
    <row r="6" spans="1:19" x14ac:dyDescent="0.25">
      <c r="A6" s="24" t="s">
        <v>98</v>
      </c>
      <c r="B6" s="34">
        <f ca="1">IFERROR(MATCH(E4,Cust_Name,0)+3,"")</f>
        <v>17</v>
      </c>
      <c r="C6" s="9"/>
      <c r="D6" s="49" t="s">
        <v>161</v>
      </c>
      <c r="E6" s="86" t="s">
        <v>130</v>
      </c>
      <c r="F6" s="87"/>
      <c r="G6" s="49" t="s">
        <v>163</v>
      </c>
      <c r="H6" s="79">
        <v>75</v>
      </c>
      <c r="I6" s="9"/>
      <c r="J6" s="68"/>
      <c r="K6" s="68" t="s">
        <v>196</v>
      </c>
      <c r="L6" s="68"/>
      <c r="M6" s="69" t="s">
        <v>165</v>
      </c>
      <c r="N6" s="85"/>
      <c r="O6" s="85"/>
      <c r="P6" s="9"/>
      <c r="Q6" s="9"/>
      <c r="R6" s="9"/>
      <c r="S6" s="9"/>
    </row>
    <row r="7" spans="1:19" ht="15.75" thickBot="1" x14ac:dyDescent="0.3">
      <c r="A7" s="24" t="s">
        <v>147</v>
      </c>
      <c r="B7" s="34">
        <f ca="1">IFERROR(MAX(Cust_ID)+1,1)</f>
        <v>15</v>
      </c>
      <c r="C7" s="9"/>
      <c r="D7" s="49" t="s">
        <v>4</v>
      </c>
      <c r="E7" s="86" t="s">
        <v>131</v>
      </c>
      <c r="F7" s="87"/>
      <c r="G7" s="49" t="s">
        <v>164</v>
      </c>
      <c r="H7" s="53" t="s">
        <v>157</v>
      </c>
      <c r="I7" s="9"/>
      <c r="J7" s="98">
        <v>45055</v>
      </c>
      <c r="K7" s="68" t="s">
        <v>132</v>
      </c>
      <c r="L7" s="68" t="s">
        <v>133</v>
      </c>
      <c r="M7" s="68">
        <v>20</v>
      </c>
      <c r="N7" s="99">
        <v>60</v>
      </c>
      <c r="O7" s="68"/>
      <c r="P7" s="9"/>
      <c r="Q7" s="9"/>
      <c r="R7" s="9"/>
      <c r="S7" s="9"/>
    </row>
    <row r="8" spans="1:19" x14ac:dyDescent="0.25">
      <c r="A8" s="25" t="s">
        <v>148</v>
      </c>
      <c r="B8" s="35">
        <f ca="1">IFERROR(INDEX(Proj_ID,MATCH(E5,Proj_Name,0),1),"")</f>
        <v>1</v>
      </c>
      <c r="C8" s="9"/>
      <c r="D8" s="9"/>
      <c r="E8" s="9"/>
      <c r="F8" s="9"/>
      <c r="G8" s="9"/>
      <c r="H8" s="9"/>
      <c r="I8" s="9"/>
      <c r="J8" s="120" t="s">
        <v>182</v>
      </c>
      <c r="K8" s="89"/>
      <c r="L8" s="89"/>
      <c r="M8" s="89"/>
      <c r="N8" s="89"/>
      <c r="O8" s="89"/>
      <c r="P8" s="9"/>
      <c r="Q8" s="9"/>
      <c r="R8" s="9"/>
      <c r="S8" s="9"/>
    </row>
    <row r="9" spans="1:19" x14ac:dyDescent="0.25">
      <c r="A9" s="25" t="s">
        <v>149</v>
      </c>
      <c r="B9" s="35">
        <f ca="1">IFERROR(MATCH(E5,Proj_Name,0)+3,"")</f>
        <v>4</v>
      </c>
      <c r="C9" s="9"/>
      <c r="D9" s="9"/>
      <c r="E9" s="9"/>
      <c r="F9" s="9" t="s">
        <v>9</v>
      </c>
      <c r="G9" s="9"/>
      <c r="H9" s="28" t="s">
        <v>7</v>
      </c>
      <c r="I9" s="9"/>
      <c r="J9" s="77"/>
      <c r="K9" s="72"/>
      <c r="L9" s="72"/>
      <c r="M9" s="73"/>
      <c r="N9" s="74"/>
      <c r="O9" s="55" t="str">
        <f>IF(AND(M9&lt;&gt;"",N9&lt;&gt;""),M9*N9,"")</f>
        <v/>
      </c>
      <c r="P9" s="31"/>
      <c r="Q9" s="9"/>
      <c r="R9" s="9"/>
      <c r="S9" s="9"/>
    </row>
    <row r="10" spans="1:19" x14ac:dyDescent="0.25">
      <c r="A10" s="25" t="s">
        <v>72</v>
      </c>
      <c r="B10" s="35">
        <f ca="1">IFERROR(MAX(Proj_ID)+1,1)</f>
        <v>6</v>
      </c>
      <c r="C10" s="9"/>
      <c r="D10" s="88" t="s">
        <v>197</v>
      </c>
      <c r="E10" s="88"/>
      <c r="F10" s="88"/>
      <c r="G10" s="88"/>
      <c r="H10" s="88"/>
      <c r="I10" s="9"/>
      <c r="J10" s="71"/>
      <c r="K10" s="72"/>
      <c r="L10" s="72"/>
      <c r="M10" s="73"/>
      <c r="N10" s="74"/>
      <c r="O10" s="55" t="str">
        <f t="shared" ref="O10:O36" si="0">IF(AND(M10&lt;&gt;"",N10&lt;&gt;""),M10*N10,"")</f>
        <v/>
      </c>
      <c r="P10" s="31"/>
      <c r="Q10" s="9"/>
      <c r="R10" s="9"/>
      <c r="S10" s="9"/>
    </row>
    <row r="11" spans="1:19" x14ac:dyDescent="0.25">
      <c r="A11" s="26" t="s">
        <v>150</v>
      </c>
      <c r="B11" s="36">
        <f ca="1">IFERROR(INDEX(ServItem_ID,MATCH(E6,ServItem_Name,0),1),"")</f>
        <v>4</v>
      </c>
      <c r="C11" s="9"/>
      <c r="D11" s="54" t="s">
        <v>167</v>
      </c>
      <c r="E11" s="54" t="s">
        <v>160</v>
      </c>
      <c r="F11" s="54" t="s">
        <v>8</v>
      </c>
      <c r="G11" s="54" t="s">
        <v>162</v>
      </c>
      <c r="H11" s="54" t="s">
        <v>168</v>
      </c>
      <c r="I11" s="9"/>
      <c r="J11" s="71"/>
      <c r="K11" s="72"/>
      <c r="L11" s="72"/>
      <c r="M11" s="73"/>
      <c r="N11" s="74"/>
      <c r="O11" s="55" t="str">
        <f t="shared" si="0"/>
        <v/>
      </c>
      <c r="P11" s="31"/>
      <c r="Q11" s="9"/>
      <c r="R11" s="9"/>
      <c r="S11" s="9"/>
    </row>
    <row r="12" spans="1:19" x14ac:dyDescent="0.25">
      <c r="A12" s="26" t="s">
        <v>151</v>
      </c>
      <c r="B12" s="36">
        <f ca="1">IFERROR(MATCH(E6,ServItem_Name,0)+3,"")</f>
        <v>7</v>
      </c>
      <c r="C12" s="31">
        <v>1</v>
      </c>
      <c r="D12" s="45">
        <v>45054</v>
      </c>
      <c r="E12" s="46" t="s">
        <v>78</v>
      </c>
      <c r="F12" s="46" t="s">
        <v>124</v>
      </c>
      <c r="G12" s="47">
        <v>5</v>
      </c>
      <c r="H12" s="48" t="s">
        <v>157</v>
      </c>
      <c r="I12" s="31">
        <v>4</v>
      </c>
      <c r="J12" s="71"/>
      <c r="K12" s="72"/>
      <c r="L12" s="72"/>
      <c r="M12" s="73"/>
      <c r="N12" s="74"/>
      <c r="O12" s="55" t="str">
        <f t="shared" si="0"/>
        <v/>
      </c>
      <c r="P12" s="31"/>
      <c r="Q12" s="9"/>
      <c r="R12" s="9"/>
      <c r="S12" s="9"/>
    </row>
    <row r="13" spans="1:19" x14ac:dyDescent="0.25">
      <c r="A13" s="26" t="s">
        <v>73</v>
      </c>
      <c r="B13" s="36">
        <f ca="1">IFERROR(MAX(ServItem_ID)+1,1)</f>
        <v>11</v>
      </c>
      <c r="C13" s="31">
        <v>2</v>
      </c>
      <c r="D13" s="45">
        <v>45054</v>
      </c>
      <c r="E13" s="46" t="s">
        <v>77</v>
      </c>
      <c r="F13" s="46" t="s">
        <v>126</v>
      </c>
      <c r="G13" s="47">
        <v>5</v>
      </c>
      <c r="H13" s="48" t="s">
        <v>157</v>
      </c>
      <c r="I13" s="31">
        <v>5</v>
      </c>
      <c r="J13" s="71"/>
      <c r="K13" s="72"/>
      <c r="L13" s="72"/>
      <c r="M13" s="73"/>
      <c r="N13" s="74"/>
      <c r="O13" s="55" t="str">
        <f t="shared" si="0"/>
        <v/>
      </c>
      <c r="P13" s="31"/>
      <c r="Q13" s="9"/>
      <c r="R13" s="9"/>
      <c r="S13" s="9"/>
    </row>
    <row r="14" spans="1:19" x14ac:dyDescent="0.25">
      <c r="A14" s="27" t="s">
        <v>152</v>
      </c>
      <c r="B14" s="37">
        <f>COUNTA(E4,E5,E6,H4)</f>
        <v>4</v>
      </c>
      <c r="C14" s="31">
        <v>3</v>
      </c>
      <c r="D14" s="45">
        <v>45055</v>
      </c>
      <c r="E14" s="46" t="s">
        <v>77</v>
      </c>
      <c r="F14" s="46" t="s">
        <v>124</v>
      </c>
      <c r="G14" s="47">
        <v>6</v>
      </c>
      <c r="H14" s="48" t="s">
        <v>157</v>
      </c>
      <c r="I14" s="31">
        <v>6</v>
      </c>
      <c r="J14" s="71"/>
      <c r="K14" s="72"/>
      <c r="L14" s="72"/>
      <c r="M14" s="73"/>
      <c r="N14" s="75"/>
      <c r="O14" s="55" t="str">
        <f t="shared" si="0"/>
        <v/>
      </c>
      <c r="P14" s="31"/>
      <c r="Q14" s="9"/>
      <c r="R14" s="9"/>
      <c r="S14" s="9"/>
    </row>
    <row r="15" spans="1:19" x14ac:dyDescent="0.25">
      <c r="A15" s="27" t="s">
        <v>153</v>
      </c>
      <c r="B15" s="37" t="b">
        <v>1</v>
      </c>
      <c r="C15" s="31">
        <v>4</v>
      </c>
      <c r="D15" s="45">
        <v>45055</v>
      </c>
      <c r="E15" s="46" t="s">
        <v>78</v>
      </c>
      <c r="F15" s="46" t="s">
        <v>130</v>
      </c>
      <c r="G15" s="47">
        <v>6</v>
      </c>
      <c r="H15" s="48" t="s">
        <v>3</v>
      </c>
      <c r="I15" s="31">
        <v>7</v>
      </c>
      <c r="J15" s="71"/>
      <c r="K15" s="72"/>
      <c r="L15" s="72"/>
      <c r="M15" s="73"/>
      <c r="N15" s="75"/>
      <c r="O15" s="55" t="str">
        <f t="shared" si="0"/>
        <v/>
      </c>
      <c r="P15" s="31"/>
      <c r="Q15" s="9"/>
      <c r="R15" s="9"/>
      <c r="S15" s="9"/>
    </row>
    <row r="16" spans="1:19" x14ac:dyDescent="0.25">
      <c r="A16" s="27" t="s">
        <v>7</v>
      </c>
      <c r="B16" s="37" t="b">
        <v>1</v>
      </c>
      <c r="C16" s="31">
        <v>5</v>
      </c>
      <c r="D16" s="45">
        <v>45055</v>
      </c>
      <c r="E16" s="46" t="s">
        <v>79</v>
      </c>
      <c r="F16" s="46" t="s">
        <v>132</v>
      </c>
      <c r="G16" s="47">
        <v>20</v>
      </c>
      <c r="H16" s="48" t="s">
        <v>157</v>
      </c>
      <c r="I16" s="31">
        <v>8</v>
      </c>
      <c r="J16" s="71"/>
      <c r="K16" s="72"/>
      <c r="L16" s="72"/>
      <c r="M16" s="73"/>
      <c r="N16" s="75"/>
      <c r="O16" s="55" t="str">
        <f t="shared" si="0"/>
        <v/>
      </c>
      <c r="P16" s="31"/>
      <c r="Q16" s="9"/>
      <c r="R16" s="9"/>
      <c r="S16" s="9"/>
    </row>
    <row r="17" spans="1:19" x14ac:dyDescent="0.25">
      <c r="A17" s="27" t="s">
        <v>114</v>
      </c>
      <c r="B17" s="37">
        <v>20</v>
      </c>
      <c r="C17" s="31">
        <v>6</v>
      </c>
      <c r="D17" s="45">
        <v>45055</v>
      </c>
      <c r="E17" s="46" t="s">
        <v>79</v>
      </c>
      <c r="F17" s="46" t="s">
        <v>134</v>
      </c>
      <c r="G17" s="47">
        <v>20</v>
      </c>
      <c r="H17" s="48" t="s">
        <v>157</v>
      </c>
      <c r="I17" s="31">
        <v>9</v>
      </c>
      <c r="J17" s="71"/>
      <c r="K17" s="72"/>
      <c r="L17" s="72"/>
      <c r="M17" s="73"/>
      <c r="N17" s="75"/>
      <c r="O17" s="55" t="str">
        <f t="shared" si="0"/>
        <v/>
      </c>
      <c r="P17" s="31"/>
      <c r="Q17" s="9"/>
      <c r="R17" s="9"/>
      <c r="S17" s="9"/>
    </row>
    <row r="18" spans="1:19" x14ac:dyDescent="0.25">
      <c r="A18" s="29" t="s">
        <v>154</v>
      </c>
      <c r="B18" s="38">
        <f ca="1">IFERROR(INDEX(Cust_ID,MATCH(K4,Cust_Name,0),1),"")</f>
        <v>3</v>
      </c>
      <c r="C18" s="31">
        <v>7</v>
      </c>
      <c r="D18" s="45">
        <v>45055</v>
      </c>
      <c r="E18" s="46" t="s">
        <v>155</v>
      </c>
      <c r="F18" s="46" t="s">
        <v>128</v>
      </c>
      <c r="G18" s="47">
        <v>12</v>
      </c>
      <c r="H18" s="48" t="s">
        <v>157</v>
      </c>
      <c r="I18" s="31">
        <v>10</v>
      </c>
      <c r="J18" s="71"/>
      <c r="K18" s="72"/>
      <c r="L18" s="72"/>
      <c r="M18" s="73"/>
      <c r="N18" s="75"/>
      <c r="O18" s="55" t="str">
        <f t="shared" si="0"/>
        <v/>
      </c>
      <c r="P18" s="31"/>
      <c r="Q18" s="9"/>
      <c r="R18" s="9"/>
      <c r="S18" s="9"/>
    </row>
    <row r="19" spans="1:19" x14ac:dyDescent="0.25">
      <c r="A19" s="29" t="s">
        <v>118</v>
      </c>
      <c r="B19" s="38">
        <f ca="1">IFERROR(MATCH(K4,Cust_Name,0)+3,"")</f>
        <v>6</v>
      </c>
      <c r="C19" s="31">
        <v>8</v>
      </c>
      <c r="D19" s="45">
        <v>45056</v>
      </c>
      <c r="E19" s="46" t="s">
        <v>77</v>
      </c>
      <c r="F19" s="46" t="s">
        <v>126</v>
      </c>
      <c r="G19" s="47">
        <v>2</v>
      </c>
      <c r="H19" s="48" t="s">
        <v>157</v>
      </c>
      <c r="I19" s="31">
        <v>11</v>
      </c>
      <c r="J19" s="76"/>
      <c r="K19" s="72"/>
      <c r="L19" s="72"/>
      <c r="M19" s="73"/>
      <c r="N19" s="75"/>
      <c r="O19" s="55" t="str">
        <f t="shared" si="0"/>
        <v/>
      </c>
      <c r="P19" s="31"/>
      <c r="Q19" s="9"/>
      <c r="R19" s="9"/>
      <c r="S19" s="9"/>
    </row>
    <row r="20" spans="1:19" x14ac:dyDescent="0.25">
      <c r="A20" s="29" t="s">
        <v>80</v>
      </c>
      <c r="B20" s="38">
        <f ca="1">IFERROR(MATCH(N3,Inv_ID,0)+3,"")</f>
        <v>8</v>
      </c>
      <c r="C20" s="31">
        <v>9</v>
      </c>
      <c r="D20" s="45">
        <v>45056</v>
      </c>
      <c r="E20" s="121" t="s">
        <v>77</v>
      </c>
      <c r="F20" s="121" t="s">
        <v>130</v>
      </c>
      <c r="G20" s="47"/>
      <c r="H20" s="45" t="s">
        <v>157</v>
      </c>
      <c r="I20" s="31">
        <v>12</v>
      </c>
      <c r="J20" s="76"/>
      <c r="K20" s="72"/>
      <c r="L20" s="72"/>
      <c r="M20" s="73"/>
      <c r="N20" s="75"/>
      <c r="O20" s="55" t="str">
        <f t="shared" si="0"/>
        <v/>
      </c>
      <c r="P20" s="31"/>
      <c r="Q20" s="9"/>
      <c r="R20" s="9"/>
      <c r="S20" s="9"/>
    </row>
    <row r="21" spans="1:19" x14ac:dyDescent="0.25">
      <c r="A21" s="29" t="s">
        <v>95</v>
      </c>
      <c r="B21" s="38">
        <f ca="1">IFERROR(MAX(Inv_ID)+1,1)</f>
        <v>6</v>
      </c>
      <c r="C21" s="31">
        <v>10</v>
      </c>
      <c r="D21" s="45">
        <v>45056</v>
      </c>
      <c r="E21" s="121" t="s">
        <v>77</v>
      </c>
      <c r="F21" s="121" t="s">
        <v>132</v>
      </c>
      <c r="G21" s="47"/>
      <c r="H21" s="45" t="s">
        <v>157</v>
      </c>
      <c r="I21" s="31">
        <v>13</v>
      </c>
      <c r="J21" s="76"/>
      <c r="K21" s="72"/>
      <c r="L21" s="72"/>
      <c r="M21" s="73"/>
      <c r="N21" s="75"/>
      <c r="O21" s="55" t="str">
        <f t="shared" si="0"/>
        <v/>
      </c>
      <c r="P21" s="31"/>
      <c r="Q21" s="9"/>
      <c r="R21" s="9"/>
      <c r="S21" s="9"/>
    </row>
    <row r="22" spans="1:19" x14ac:dyDescent="0.25">
      <c r="A22" s="29" t="s">
        <v>96</v>
      </c>
      <c r="B22" s="38" t="str">
        <f ca="1">IFERROR(MATCH(R2,Inv_ID,0)+3,"")</f>
        <v/>
      </c>
      <c r="C22" s="31">
        <v>11</v>
      </c>
      <c r="D22" s="45">
        <v>45056</v>
      </c>
      <c r="E22" s="121" t="s">
        <v>77</v>
      </c>
      <c r="F22" s="121" t="s">
        <v>138</v>
      </c>
      <c r="G22" s="47"/>
      <c r="H22" s="45" t="s">
        <v>157</v>
      </c>
      <c r="I22" s="31">
        <v>14</v>
      </c>
      <c r="J22" s="76"/>
      <c r="K22" s="72"/>
      <c r="L22" s="72"/>
      <c r="M22" s="73"/>
      <c r="N22" s="75"/>
      <c r="O22" s="55" t="str">
        <f t="shared" si="0"/>
        <v/>
      </c>
      <c r="P22" s="31"/>
      <c r="Q22" s="9"/>
      <c r="R22" s="9"/>
      <c r="S22" s="9"/>
    </row>
    <row r="23" spans="1:19" x14ac:dyDescent="0.25">
      <c r="A23" s="30" t="s">
        <v>86</v>
      </c>
      <c r="B23" s="39" t="b">
        <v>0</v>
      </c>
      <c r="C23" s="31">
        <v>12</v>
      </c>
      <c r="D23" s="45">
        <v>45197</v>
      </c>
      <c r="E23" s="45" t="s">
        <v>195</v>
      </c>
      <c r="F23" s="121" t="s">
        <v>132</v>
      </c>
      <c r="G23" s="47">
        <v>10</v>
      </c>
      <c r="H23" s="45" t="s">
        <v>3</v>
      </c>
      <c r="I23" s="31">
        <v>15</v>
      </c>
      <c r="J23" s="76"/>
      <c r="K23" s="72"/>
      <c r="L23" s="72"/>
      <c r="M23" s="73"/>
      <c r="N23" s="75"/>
      <c r="O23" s="55" t="str">
        <f t="shared" si="0"/>
        <v/>
      </c>
      <c r="P23" s="31"/>
      <c r="Q23" s="9"/>
      <c r="R23" s="9"/>
      <c r="S23" s="9"/>
    </row>
    <row r="24" spans="1:19" x14ac:dyDescent="0.25">
      <c r="A24" s="30" t="s">
        <v>119</v>
      </c>
      <c r="B24" s="39" t="b">
        <v>0</v>
      </c>
      <c r="C24" s="31"/>
      <c r="D24" s="16"/>
      <c r="E24" s="9"/>
      <c r="F24" s="9"/>
      <c r="G24" s="9"/>
      <c r="H24" s="9"/>
      <c r="I24" s="31"/>
      <c r="J24" s="76"/>
      <c r="K24" s="72"/>
      <c r="L24" s="72"/>
      <c r="M24" s="73"/>
      <c r="N24" s="75"/>
      <c r="O24" s="55" t="str">
        <f t="shared" si="0"/>
        <v/>
      </c>
      <c r="P24" s="31"/>
      <c r="Q24" s="9"/>
      <c r="R24" s="9"/>
      <c r="S24" s="9"/>
    </row>
    <row r="25" spans="1:19" x14ac:dyDescent="0.25">
      <c r="A25" s="30" t="s">
        <v>120</v>
      </c>
      <c r="B25" s="39" t="b">
        <v>0</v>
      </c>
      <c r="C25" s="31"/>
      <c r="D25" s="16"/>
      <c r="E25" s="9"/>
      <c r="F25" s="9"/>
      <c r="G25" s="9"/>
      <c r="H25" s="9"/>
      <c r="I25" s="31"/>
      <c r="J25" s="76"/>
      <c r="K25" s="72"/>
      <c r="L25" s="72"/>
      <c r="M25" s="73"/>
      <c r="N25" s="75"/>
      <c r="O25" s="55" t="str">
        <f t="shared" si="0"/>
        <v/>
      </c>
      <c r="P25" s="31"/>
      <c r="Q25" s="9"/>
      <c r="R25" s="9"/>
      <c r="S25" s="9"/>
    </row>
    <row r="26" spans="1:19" x14ac:dyDescent="0.25">
      <c r="A26" s="22"/>
      <c r="B26" s="32"/>
      <c r="C26" s="31"/>
      <c r="D26" s="16"/>
      <c r="E26" s="9"/>
      <c r="F26" s="9"/>
      <c r="G26" s="9"/>
      <c r="H26" s="9"/>
      <c r="I26" s="31"/>
      <c r="J26" s="76"/>
      <c r="K26" s="72"/>
      <c r="L26" s="72"/>
      <c r="M26" s="73"/>
      <c r="N26" s="75"/>
      <c r="O26" s="55"/>
      <c r="P26" s="31"/>
      <c r="Q26" s="9"/>
      <c r="R26" s="9"/>
      <c r="S26" s="9"/>
    </row>
    <row r="27" spans="1:19" x14ac:dyDescent="0.25">
      <c r="A27" s="22"/>
      <c r="B27" s="32"/>
      <c r="C27" s="31"/>
      <c r="D27" s="16"/>
      <c r="E27" s="9"/>
      <c r="F27" s="9"/>
      <c r="G27" s="9"/>
      <c r="H27" s="9"/>
      <c r="I27" s="31"/>
      <c r="J27" s="76"/>
      <c r="K27" s="72"/>
      <c r="L27" s="72"/>
      <c r="M27" s="73"/>
      <c r="N27" s="75"/>
      <c r="O27" s="55"/>
      <c r="P27" s="31"/>
      <c r="Q27" s="9"/>
      <c r="R27" s="9"/>
      <c r="S27" s="9"/>
    </row>
    <row r="28" spans="1:19" x14ac:dyDescent="0.25">
      <c r="A28" s="22"/>
      <c r="B28" s="32"/>
      <c r="C28" s="31"/>
      <c r="D28" s="16"/>
      <c r="E28" s="9"/>
      <c r="F28" s="9"/>
      <c r="G28" s="9"/>
      <c r="H28" s="9"/>
      <c r="I28" s="31"/>
      <c r="J28" s="76"/>
      <c r="K28" s="72"/>
      <c r="L28" s="72"/>
      <c r="M28" s="73"/>
      <c r="N28" s="75"/>
      <c r="O28" s="55"/>
      <c r="P28" s="31"/>
      <c r="Q28" s="9"/>
      <c r="R28" s="9"/>
      <c r="S28" s="9"/>
    </row>
    <row r="29" spans="1:19" x14ac:dyDescent="0.25">
      <c r="A29" s="22"/>
      <c r="B29" s="32"/>
      <c r="C29" s="31"/>
      <c r="D29" s="16"/>
      <c r="E29" s="9"/>
      <c r="F29" s="9"/>
      <c r="G29" s="9"/>
      <c r="H29" s="9"/>
      <c r="I29" s="31"/>
      <c r="J29" s="76"/>
      <c r="K29" s="72"/>
      <c r="L29" s="72"/>
      <c r="M29" s="73"/>
      <c r="N29" s="75"/>
      <c r="O29" s="55"/>
      <c r="P29" s="31"/>
      <c r="Q29" s="9"/>
      <c r="R29" s="9"/>
      <c r="S29" s="9"/>
    </row>
    <row r="30" spans="1:19" x14ac:dyDescent="0.25">
      <c r="A30" s="22"/>
      <c r="B30" s="32"/>
      <c r="C30" s="31"/>
      <c r="D30" s="16"/>
      <c r="E30" s="9"/>
      <c r="F30" s="9"/>
      <c r="G30" s="9"/>
      <c r="H30" s="9"/>
      <c r="I30" s="31"/>
      <c r="J30" s="76"/>
      <c r="K30" s="72"/>
      <c r="L30" s="72"/>
      <c r="M30" s="73"/>
      <c r="N30" s="75"/>
      <c r="O30" s="55"/>
      <c r="P30" s="31"/>
      <c r="Q30" s="9"/>
      <c r="R30" s="9"/>
      <c r="S30" s="9"/>
    </row>
    <row r="31" spans="1:19" x14ac:dyDescent="0.25">
      <c r="A31" s="22"/>
      <c r="B31" s="32"/>
      <c r="C31" s="31"/>
      <c r="D31" s="16"/>
      <c r="E31" s="9"/>
      <c r="F31" s="9"/>
      <c r="G31" s="9"/>
      <c r="H31" s="9"/>
      <c r="I31" s="31"/>
      <c r="J31" s="76"/>
      <c r="K31" s="72"/>
      <c r="L31" s="72"/>
      <c r="M31" s="73"/>
      <c r="N31" s="75"/>
      <c r="O31" s="55"/>
      <c r="P31" s="31"/>
      <c r="Q31" s="9"/>
      <c r="R31" s="9"/>
      <c r="S31" s="9"/>
    </row>
    <row r="32" spans="1:19" x14ac:dyDescent="0.25">
      <c r="A32" s="22"/>
      <c r="B32" s="32"/>
      <c r="C32" s="31"/>
      <c r="D32" s="16"/>
      <c r="E32" s="9"/>
      <c r="F32" s="9"/>
      <c r="G32" s="9"/>
      <c r="H32" s="9"/>
      <c r="I32" s="31"/>
      <c r="J32" s="76"/>
      <c r="K32" s="72"/>
      <c r="L32" s="72"/>
      <c r="M32" s="73"/>
      <c r="N32" s="75"/>
      <c r="O32" s="55" t="str">
        <f t="shared" si="0"/>
        <v/>
      </c>
      <c r="P32" s="31"/>
      <c r="Q32" s="9"/>
      <c r="R32" s="9"/>
      <c r="S32" s="9"/>
    </row>
    <row r="33" spans="1:19" x14ac:dyDescent="0.25">
      <c r="A33" s="22"/>
      <c r="B33" s="32"/>
      <c r="C33" s="31"/>
      <c r="D33" s="16"/>
      <c r="E33" s="9"/>
      <c r="F33" s="9"/>
      <c r="G33" s="9"/>
      <c r="H33" s="9"/>
      <c r="I33" s="31"/>
      <c r="J33" s="76"/>
      <c r="K33" s="72"/>
      <c r="L33" s="72"/>
      <c r="M33" s="73"/>
      <c r="N33" s="75"/>
      <c r="O33" s="55" t="str">
        <f t="shared" si="0"/>
        <v/>
      </c>
      <c r="P33" s="31"/>
      <c r="Q33" s="9"/>
      <c r="R33" s="9"/>
      <c r="S33" s="9"/>
    </row>
    <row r="34" spans="1:19" x14ac:dyDescent="0.25">
      <c r="A34" s="1"/>
      <c r="B34" s="32"/>
      <c r="C34" s="31"/>
      <c r="D34" s="16"/>
      <c r="E34" s="9"/>
      <c r="F34" s="9"/>
      <c r="G34" s="9"/>
      <c r="H34" s="9"/>
      <c r="I34" s="31"/>
      <c r="J34" s="76"/>
      <c r="K34" s="72"/>
      <c r="L34" s="72"/>
      <c r="M34" s="73"/>
      <c r="N34" s="75"/>
      <c r="O34" s="55" t="str">
        <f t="shared" si="0"/>
        <v/>
      </c>
      <c r="P34" s="31"/>
      <c r="Q34" s="9"/>
      <c r="R34" s="9"/>
      <c r="S34" s="9"/>
    </row>
    <row r="35" spans="1:19" x14ac:dyDescent="0.25">
      <c r="A35" s="1"/>
      <c r="B35" s="32"/>
      <c r="C35" s="31"/>
      <c r="D35" s="16"/>
      <c r="E35" s="9"/>
      <c r="F35" s="9"/>
      <c r="G35" s="9"/>
      <c r="H35" s="9"/>
      <c r="I35" s="31"/>
      <c r="J35" s="76"/>
      <c r="K35" s="72"/>
      <c r="L35" s="72"/>
      <c r="M35" s="73"/>
      <c r="N35" s="75"/>
      <c r="O35" s="55" t="str">
        <f t="shared" si="0"/>
        <v/>
      </c>
      <c r="P35" s="31"/>
      <c r="Q35" s="9"/>
      <c r="R35" s="9"/>
      <c r="S35" s="9"/>
    </row>
    <row r="36" spans="1:19" x14ac:dyDescent="0.25">
      <c r="A36" s="1"/>
      <c r="B36" s="32"/>
      <c r="C36" s="31"/>
      <c r="D36" s="16"/>
      <c r="E36" s="9"/>
      <c r="F36" s="9"/>
      <c r="G36" s="9"/>
      <c r="H36" s="9"/>
      <c r="I36" s="31"/>
      <c r="J36" s="76"/>
      <c r="K36" s="72"/>
      <c r="L36" s="72"/>
      <c r="M36" s="73"/>
      <c r="N36" s="75"/>
      <c r="O36" s="55" t="str">
        <f t="shared" si="0"/>
        <v/>
      </c>
      <c r="P36" s="31"/>
      <c r="Q36" s="9"/>
      <c r="R36" s="9"/>
      <c r="S36" s="9"/>
    </row>
    <row r="37" spans="1:19" x14ac:dyDescent="0.25">
      <c r="A37" s="1"/>
      <c r="B37" s="32"/>
      <c r="C37" s="31"/>
      <c r="D37" s="16"/>
      <c r="E37" s="9"/>
      <c r="F37" s="9"/>
      <c r="G37" s="9"/>
      <c r="H37" s="9"/>
      <c r="I37" s="31"/>
      <c r="J37" s="56"/>
      <c r="K37" s="57" t="s">
        <v>173</v>
      </c>
      <c r="L37" s="56"/>
      <c r="M37" s="56"/>
      <c r="N37" s="58" t="s">
        <v>169</v>
      </c>
      <c r="O37" s="113"/>
      <c r="P37" s="31"/>
      <c r="Q37" s="9"/>
      <c r="R37" s="9"/>
      <c r="S37" s="9"/>
    </row>
    <row r="38" spans="1:19" x14ac:dyDescent="0.25">
      <c r="A38" s="1"/>
      <c r="B38" s="32"/>
      <c r="C38" s="9"/>
      <c r="D38" s="16"/>
      <c r="E38" s="9"/>
      <c r="F38" s="9"/>
      <c r="G38" s="9"/>
      <c r="H38" s="9"/>
      <c r="I38" s="31"/>
      <c r="J38" s="56"/>
      <c r="K38" s="56"/>
      <c r="L38" s="56"/>
      <c r="M38" s="59" t="s">
        <v>177</v>
      </c>
      <c r="N38" s="58"/>
      <c r="O38" s="114">
        <v>0</v>
      </c>
      <c r="P38" s="31"/>
      <c r="Q38" s="9"/>
      <c r="R38" s="9"/>
      <c r="S38" s="9"/>
    </row>
    <row r="39" spans="1:19" x14ac:dyDescent="0.25">
      <c r="A39" s="1"/>
      <c r="B39" s="32"/>
      <c r="C39" s="9"/>
      <c r="D39" s="16"/>
      <c r="E39" s="9"/>
      <c r="F39" s="9"/>
      <c r="G39" s="9"/>
      <c r="H39" s="9"/>
      <c r="I39" s="9"/>
      <c r="J39" s="56"/>
      <c r="K39" s="56"/>
      <c r="L39" s="56"/>
      <c r="M39" s="59" t="s">
        <v>178</v>
      </c>
      <c r="N39" s="58"/>
      <c r="O39" s="114">
        <v>0</v>
      </c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56"/>
      <c r="K40" s="57" t="s">
        <v>174</v>
      </c>
      <c r="L40" s="56"/>
      <c r="M40" s="56"/>
      <c r="N40" s="60"/>
      <c r="O40" s="113">
        <f>O37+O38+O39</f>
        <v>0</v>
      </c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56"/>
      <c r="K41" s="61" t="s">
        <v>175</v>
      </c>
      <c r="L41" s="56"/>
      <c r="M41" s="62">
        <v>0.05</v>
      </c>
      <c r="N41" s="60"/>
      <c r="O41" s="114">
        <f>ROUND(O40*M41,2)</f>
        <v>0</v>
      </c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56"/>
      <c r="K42" s="61" t="s">
        <v>176</v>
      </c>
      <c r="L42" s="56"/>
      <c r="M42" s="63">
        <v>9.9750000000000005E-2</v>
      </c>
      <c r="N42" s="60"/>
      <c r="O42" s="115">
        <f>ROUND(O40*M42,2)</f>
        <v>0</v>
      </c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56"/>
      <c r="K43" s="56"/>
      <c r="L43" s="56"/>
      <c r="M43" s="56"/>
      <c r="N43" s="60"/>
      <c r="O43" s="113"/>
      <c r="P43" s="9"/>
      <c r="Q43" s="9"/>
      <c r="R43" s="9"/>
      <c r="S43" s="9"/>
    </row>
    <row r="44" spans="1:19" ht="15.75" thickBot="1" x14ac:dyDescent="0.3">
      <c r="C44" s="9"/>
      <c r="D44" s="9"/>
      <c r="E44" s="9"/>
      <c r="F44" s="9"/>
      <c r="G44" s="9"/>
      <c r="H44" s="9"/>
      <c r="I44" s="9"/>
      <c r="J44" s="56"/>
      <c r="K44" s="57" t="s">
        <v>179</v>
      </c>
      <c r="L44" s="56"/>
      <c r="M44" s="56"/>
      <c r="N44" s="60"/>
      <c r="O44" s="116">
        <f>SUM(O40:O42)</f>
        <v>0</v>
      </c>
      <c r="P44" s="9"/>
      <c r="Q44" s="9"/>
      <c r="R44" s="9"/>
      <c r="S44" s="9"/>
    </row>
    <row r="45" spans="1:19" ht="15.75" thickTop="1" x14ac:dyDescent="0.25">
      <c r="C45" s="9"/>
      <c r="D45" s="9"/>
      <c r="E45" s="9"/>
      <c r="F45" s="9"/>
      <c r="G45" s="9"/>
      <c r="H45" s="9"/>
      <c r="I45" s="9"/>
      <c r="J45" s="64"/>
      <c r="K45" s="64"/>
      <c r="L45" s="64"/>
      <c r="M45" s="64"/>
      <c r="N45" s="64"/>
      <c r="O45" s="117"/>
      <c r="P45" s="9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64"/>
      <c r="K46" s="64" t="s">
        <v>180</v>
      </c>
      <c r="L46" s="64"/>
      <c r="M46" s="64"/>
      <c r="N46" s="64"/>
      <c r="O46" s="114">
        <v>0</v>
      </c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64"/>
      <c r="K47" s="64"/>
      <c r="L47" s="64"/>
      <c r="M47" s="64"/>
      <c r="N47" s="64"/>
      <c r="O47" s="117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64"/>
      <c r="K48" s="65" t="s">
        <v>181</v>
      </c>
      <c r="L48" s="66"/>
      <c r="M48" s="66"/>
      <c r="N48" s="66"/>
      <c r="O48" s="118">
        <f>O44-O46</f>
        <v>0</v>
      </c>
      <c r="P48" s="9"/>
      <c r="Q48" s="9"/>
      <c r="R48" s="9"/>
      <c r="S48" s="9"/>
    </row>
    <row r="49" spans="3:19" x14ac:dyDescent="0.25">
      <c r="C49" s="9"/>
      <c r="D49" s="9"/>
      <c r="E49" s="9"/>
      <c r="F49" s="9"/>
      <c r="G49" s="9"/>
      <c r="H49" s="9"/>
      <c r="I49" s="9"/>
      <c r="J49" s="64"/>
      <c r="K49" s="64"/>
      <c r="L49" s="64"/>
      <c r="M49" s="64"/>
      <c r="N49" s="64"/>
      <c r="O49" s="64"/>
      <c r="P49" s="9"/>
      <c r="Q49" s="9"/>
      <c r="R49" s="9"/>
      <c r="S49" s="9"/>
    </row>
    <row r="50" spans="3:19" x14ac:dyDescent="0.25">
      <c r="C50" s="9"/>
      <c r="D50" s="9"/>
      <c r="E50" s="9"/>
      <c r="F50" s="9"/>
      <c r="G50" s="9"/>
      <c r="H50" s="9"/>
      <c r="I50" s="9"/>
      <c r="J50" s="80" t="s">
        <v>170</v>
      </c>
      <c r="K50" s="80"/>
      <c r="L50" s="80"/>
      <c r="M50" s="80"/>
      <c r="N50" s="80"/>
      <c r="O50" s="80"/>
      <c r="P50" s="9"/>
      <c r="Q50" s="9"/>
      <c r="R50" s="9"/>
      <c r="S50" s="9"/>
    </row>
    <row r="51" spans="3:19" x14ac:dyDescent="0.25">
      <c r="C51" s="9"/>
      <c r="D51" s="9"/>
      <c r="E51" s="9"/>
      <c r="F51" s="9"/>
      <c r="G51" s="9"/>
      <c r="H51" s="9"/>
      <c r="I51" s="9"/>
      <c r="J51" s="81" t="s">
        <v>171</v>
      </c>
      <c r="K51" s="81"/>
      <c r="L51" s="81"/>
      <c r="M51" s="81"/>
      <c r="N51" s="81"/>
      <c r="O51" s="81"/>
      <c r="P51" s="9"/>
      <c r="Q51" s="9"/>
      <c r="R51" s="9"/>
      <c r="S51" s="9"/>
    </row>
    <row r="52" spans="3:19" x14ac:dyDescent="0.25">
      <c r="C52" s="9"/>
      <c r="D52" s="9"/>
      <c r="E52" s="9"/>
      <c r="F52" s="9"/>
      <c r="G52" s="9"/>
      <c r="H52" s="9"/>
      <c r="I52" s="9"/>
      <c r="J52" s="64"/>
      <c r="K52" s="64"/>
      <c r="L52" s="64"/>
      <c r="M52" s="64"/>
      <c r="N52" s="64"/>
      <c r="O52" s="64"/>
      <c r="P52" s="9"/>
      <c r="Q52" s="9"/>
      <c r="R52" s="9"/>
      <c r="S52" s="9"/>
    </row>
    <row r="53" spans="3:19" x14ac:dyDescent="0.25">
      <c r="C53" s="9"/>
      <c r="D53" s="9"/>
      <c r="E53" s="9"/>
      <c r="F53" s="9"/>
      <c r="G53" s="9"/>
      <c r="H53" s="9"/>
      <c r="I53" s="9"/>
      <c r="J53" s="82" t="s">
        <v>172</v>
      </c>
      <c r="K53" s="82"/>
      <c r="L53" s="82"/>
      <c r="M53" s="82"/>
      <c r="N53" s="82"/>
      <c r="O53" s="82"/>
      <c r="P53" s="9"/>
      <c r="Q53" s="9"/>
      <c r="R53" s="9"/>
      <c r="S53" s="9"/>
    </row>
    <row r="54" spans="3:19" x14ac:dyDescent="0.25">
      <c r="C54" s="9"/>
      <c r="D54" s="9"/>
      <c r="E54" s="9"/>
      <c r="F54" s="9"/>
      <c r="G54" s="9"/>
      <c r="H54" s="9"/>
      <c r="I54" s="9"/>
      <c r="J54" s="64"/>
      <c r="K54" s="64"/>
      <c r="L54" s="64"/>
      <c r="M54" s="64"/>
      <c r="N54" s="64"/>
      <c r="O54" s="64"/>
      <c r="P54" s="9"/>
      <c r="Q54" s="9"/>
      <c r="R54" s="9"/>
      <c r="S54" s="9"/>
    </row>
    <row r="55" spans="3:19" x14ac:dyDescent="0.25"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2">
    <mergeCell ref="J50:O50"/>
    <mergeCell ref="J51:O51"/>
    <mergeCell ref="J53:O53"/>
    <mergeCell ref="C1:R1"/>
    <mergeCell ref="J2:O2"/>
    <mergeCell ref="N6:O6"/>
    <mergeCell ref="E7:F7"/>
    <mergeCell ref="E6:F6"/>
    <mergeCell ref="E5:F5"/>
    <mergeCell ref="E4:F4"/>
    <mergeCell ref="D10:H10"/>
    <mergeCell ref="J8:O8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43" customWidth="1"/>
  </cols>
  <sheetData>
    <row r="1" spans="1:8" ht="14.45" customHeight="1" x14ac:dyDescent="0.25">
      <c r="A1" s="10"/>
      <c r="B1" s="11" t="s">
        <v>104</v>
      </c>
      <c r="C1" s="11" t="s">
        <v>121</v>
      </c>
      <c r="D1" s="11" t="s">
        <v>105</v>
      </c>
      <c r="E1" s="11" t="s">
        <v>106</v>
      </c>
      <c r="F1" s="11" t="s">
        <v>122</v>
      </c>
      <c r="G1" s="41" t="s">
        <v>107</v>
      </c>
      <c r="H1" s="41" t="s">
        <v>108</v>
      </c>
    </row>
    <row r="2" spans="1:8" ht="14.45" customHeight="1" x14ac:dyDescent="0.25">
      <c r="A2" s="90" t="s">
        <v>87</v>
      </c>
      <c r="B2" s="90"/>
      <c r="C2" s="90"/>
      <c r="D2" s="90"/>
      <c r="E2" s="90"/>
      <c r="F2" s="90"/>
      <c r="G2" s="90"/>
      <c r="H2" s="90"/>
    </row>
    <row r="3" spans="1:8" x14ac:dyDescent="0.25">
      <c r="A3" s="5" t="s">
        <v>83</v>
      </c>
      <c r="B3" s="5" t="s">
        <v>84</v>
      </c>
      <c r="C3" s="5" t="s">
        <v>67</v>
      </c>
      <c r="D3" s="5" t="s">
        <v>15</v>
      </c>
      <c r="E3" s="5" t="s">
        <v>76</v>
      </c>
      <c r="F3" s="5" t="s">
        <v>0</v>
      </c>
      <c r="G3" s="42" t="s">
        <v>88</v>
      </c>
      <c r="H3" s="42" t="s">
        <v>75</v>
      </c>
    </row>
    <row r="4" spans="1:8" x14ac:dyDescent="0.25">
      <c r="A4" s="2">
        <v>1</v>
      </c>
      <c r="B4" s="40">
        <v>44927</v>
      </c>
      <c r="C4" s="2">
        <v>1</v>
      </c>
      <c r="D4" t="s">
        <v>22</v>
      </c>
      <c r="E4" s="40">
        <v>44957</v>
      </c>
      <c r="F4" s="12" t="s">
        <v>144</v>
      </c>
      <c r="G4" s="43">
        <v>50</v>
      </c>
      <c r="H4" s="43">
        <v>1440</v>
      </c>
    </row>
    <row r="5" spans="1:8" x14ac:dyDescent="0.25">
      <c r="A5" s="2">
        <v>2</v>
      </c>
      <c r="B5" s="40">
        <v>45055</v>
      </c>
      <c r="C5" s="2">
        <v>2</v>
      </c>
      <c r="D5" t="s">
        <v>23</v>
      </c>
      <c r="E5" s="40">
        <v>45061</v>
      </c>
      <c r="F5" t="s">
        <v>78</v>
      </c>
      <c r="H5" s="43">
        <v>900</v>
      </c>
    </row>
    <row r="6" spans="1:8" x14ac:dyDescent="0.25">
      <c r="A6" s="2">
        <v>3</v>
      </c>
      <c r="B6" s="40">
        <v>45055</v>
      </c>
      <c r="C6" s="2">
        <v>5</v>
      </c>
      <c r="D6" t="s">
        <v>34</v>
      </c>
      <c r="G6" s="43">
        <v>150</v>
      </c>
      <c r="H6" s="43">
        <v>590</v>
      </c>
    </row>
    <row r="7" spans="1:8" x14ac:dyDescent="0.25">
      <c r="A7" s="2">
        <v>4</v>
      </c>
      <c r="B7" s="40">
        <v>45056</v>
      </c>
      <c r="C7" s="2">
        <v>1</v>
      </c>
      <c r="D7" t="s">
        <v>22</v>
      </c>
      <c r="E7" s="40">
        <v>45105</v>
      </c>
      <c r="F7" t="s">
        <v>77</v>
      </c>
      <c r="H7" s="44"/>
    </row>
    <row r="8" spans="1:8" x14ac:dyDescent="0.25">
      <c r="A8" s="2">
        <v>5</v>
      </c>
      <c r="B8" s="40">
        <v>45197</v>
      </c>
      <c r="C8" s="2">
        <v>3</v>
      </c>
      <c r="D8" t="s">
        <v>24</v>
      </c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N3" sqref="N3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91" t="s">
        <v>82</v>
      </c>
      <c r="B1" s="91"/>
      <c r="C1" s="91"/>
      <c r="D1" s="91"/>
      <c r="E1" s="91"/>
      <c r="F1" s="91"/>
      <c r="G1" s="91"/>
      <c r="H1" s="91"/>
      <c r="I1" s="91"/>
      <c r="N1" s="17" t="s">
        <v>103</v>
      </c>
      <c r="P1" s="90" t="s">
        <v>103</v>
      </c>
      <c r="Q1" s="90"/>
      <c r="R1" s="90"/>
      <c r="S1" s="90"/>
      <c r="T1" s="90"/>
      <c r="U1" s="90"/>
      <c r="V1" s="90"/>
    </row>
    <row r="2" spans="1:22" ht="14.45" customHeight="1" x14ac:dyDescent="0.25">
      <c r="A2" s="90"/>
      <c r="B2" s="90"/>
      <c r="C2" s="90"/>
      <c r="D2" s="90"/>
      <c r="E2" s="90"/>
      <c r="F2" s="90"/>
      <c r="G2" s="90"/>
      <c r="H2" s="90"/>
      <c r="I2" s="90"/>
      <c r="N2" s="5" t="s">
        <v>83</v>
      </c>
      <c r="P2" s="5" t="s">
        <v>85</v>
      </c>
      <c r="Q2" s="5" t="s">
        <v>112</v>
      </c>
      <c r="R2" s="5" t="s">
        <v>113</v>
      </c>
      <c r="S2" s="5" t="s">
        <v>1</v>
      </c>
      <c r="T2" s="5" t="s">
        <v>74</v>
      </c>
      <c r="U2" s="5" t="s">
        <v>80</v>
      </c>
      <c r="V2" s="5" t="s">
        <v>81</v>
      </c>
    </row>
    <row r="3" spans="1:22" x14ac:dyDescent="0.25">
      <c r="A3" s="5" t="s">
        <v>83</v>
      </c>
      <c r="B3" s="5" t="s">
        <v>85</v>
      </c>
      <c r="C3" s="5" t="s">
        <v>112</v>
      </c>
      <c r="D3" s="5" t="s">
        <v>113</v>
      </c>
      <c r="E3" s="5" t="s">
        <v>1</v>
      </c>
      <c r="F3" s="5" t="s">
        <v>74</v>
      </c>
      <c r="G3" s="5" t="s">
        <v>75</v>
      </c>
      <c r="H3" s="5" t="s">
        <v>80</v>
      </c>
      <c r="I3" s="5" t="s">
        <v>81</v>
      </c>
      <c r="N3" s="15">
        <f>Invoice!N3</f>
        <v>5</v>
      </c>
      <c r="P3" s="12">
        <v>45055</v>
      </c>
      <c r="Q3" t="s">
        <v>124</v>
      </c>
      <c r="R3" t="s">
        <v>125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 s="2">
        <v>1</v>
      </c>
      <c r="B4" s="12">
        <v>44977</v>
      </c>
      <c r="C4" t="s">
        <v>124</v>
      </c>
      <c r="D4" t="s">
        <v>125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126</v>
      </c>
      <c r="R4" t="s">
        <v>127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 s="2">
        <v>1</v>
      </c>
      <c r="B5" s="12">
        <v>45055</v>
      </c>
      <c r="C5" t="s">
        <v>130</v>
      </c>
      <c r="D5" t="s">
        <v>156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45057</v>
      </c>
      <c r="Q5" t="s">
        <v>130</v>
      </c>
      <c r="R5" t="s">
        <v>131</v>
      </c>
      <c r="S5" s="2">
        <v>2</v>
      </c>
      <c r="T5" s="18">
        <v>75</v>
      </c>
      <c r="U5" s="2">
        <v>11</v>
      </c>
      <c r="V5" s="2">
        <v>16</v>
      </c>
    </row>
    <row r="6" spans="1:22" x14ac:dyDescent="0.25">
      <c r="A6" s="2">
        <v>1</v>
      </c>
      <c r="B6" s="12">
        <v>44941</v>
      </c>
      <c r="C6" s="2" t="s">
        <v>128</v>
      </c>
      <c r="D6" t="s">
        <v>129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45061</v>
      </c>
      <c r="Q6" t="s">
        <v>132</v>
      </c>
      <c r="R6" t="s">
        <v>133</v>
      </c>
      <c r="S6" s="2">
        <v>4</v>
      </c>
      <c r="T6" s="18">
        <v>30</v>
      </c>
      <c r="U6" s="2">
        <v>12</v>
      </c>
      <c r="V6" s="2">
        <v>17</v>
      </c>
    </row>
    <row r="7" spans="1:22" x14ac:dyDescent="0.25">
      <c r="A7" s="2">
        <v>1</v>
      </c>
      <c r="B7" s="12">
        <v>45054</v>
      </c>
      <c r="C7" t="s">
        <v>124</v>
      </c>
      <c r="D7" t="s">
        <v>125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 s="2">
        <v>2</v>
      </c>
      <c r="B8" s="12">
        <v>45055</v>
      </c>
      <c r="C8" t="s">
        <v>132</v>
      </c>
      <c r="D8" t="s">
        <v>133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 s="2">
        <v>2</v>
      </c>
      <c r="B9" s="12">
        <v>45055</v>
      </c>
      <c r="C9" t="s">
        <v>134</v>
      </c>
      <c r="D9" t="s">
        <v>135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 s="2">
        <v>2</v>
      </c>
      <c r="B10" s="12">
        <v>45055</v>
      </c>
      <c r="C10" t="s">
        <v>136</v>
      </c>
      <c r="D10" t="s">
        <v>137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 s="2">
        <v>1</v>
      </c>
      <c r="B11" s="12"/>
      <c r="C11" t="s">
        <v>126</v>
      </c>
      <c r="D11" t="s">
        <v>127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 s="2">
        <v>1</v>
      </c>
      <c r="C12" t="s">
        <v>138</v>
      </c>
      <c r="D12" t="s">
        <v>139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 s="2">
        <v>1</v>
      </c>
      <c r="B13" s="12">
        <v>45055</v>
      </c>
      <c r="C13" t="s">
        <v>128</v>
      </c>
      <c r="D13" t="s">
        <v>129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 s="2">
        <v>4</v>
      </c>
      <c r="B14" s="12">
        <v>45055</v>
      </c>
      <c r="C14" t="s">
        <v>124</v>
      </c>
      <c r="D14" t="s">
        <v>125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 s="2">
        <v>4</v>
      </c>
      <c r="B15" s="12">
        <v>45056</v>
      </c>
      <c r="C15" t="s">
        <v>126</v>
      </c>
      <c r="D15" t="s">
        <v>127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 s="2">
        <v>4</v>
      </c>
      <c r="B16" s="12">
        <v>45057</v>
      </c>
      <c r="C16" t="s">
        <v>130</v>
      </c>
      <c r="D16" t="s">
        <v>131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 s="2">
        <v>4</v>
      </c>
      <c r="B17" s="12">
        <v>45061</v>
      </c>
      <c r="C17" t="s">
        <v>132</v>
      </c>
      <c r="D17" t="s">
        <v>133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 s="2">
        <v>3</v>
      </c>
      <c r="B18" s="12">
        <v>44941</v>
      </c>
      <c r="C18" t="s">
        <v>128</v>
      </c>
      <c r="D18" t="s">
        <v>129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 s="2">
        <v>3</v>
      </c>
      <c r="C19" t="s">
        <v>132</v>
      </c>
      <c r="D19" t="s">
        <v>133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 s="2">
        <v>3</v>
      </c>
      <c r="C20" t="s">
        <v>134</v>
      </c>
      <c r="D20" t="s">
        <v>135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zoomScale="90" zoomScaleNormal="90" workbookViewId="0">
      <selection activeCell="G22" sqref="G22"/>
    </sheetView>
  </sheetViews>
  <sheetFormatPr baseColWidth="10" defaultColWidth="9.140625" defaultRowHeight="15" x14ac:dyDescent="0.25"/>
  <cols>
    <col min="1" max="2" width="8.7109375" customWidth="1"/>
    <col min="3" max="3" width="30.7109375" customWidth="1"/>
    <col min="4" max="4" width="8.7109375" customWidth="1"/>
    <col min="5" max="5" width="30.7109375" customWidth="1"/>
    <col min="6" max="6" width="7.140625" bestFit="1" customWidth="1"/>
    <col min="7" max="7" width="20.7109375" customWidth="1"/>
    <col min="8" max="8" width="12.7109375" style="2" customWidth="1"/>
    <col min="9" max="9" width="7.7109375" style="106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106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110" t="s">
        <v>89</v>
      </c>
      <c r="C1" s="110" t="s">
        <v>91</v>
      </c>
      <c r="D1" s="110" t="s">
        <v>92</v>
      </c>
      <c r="E1" s="110" t="s">
        <v>90</v>
      </c>
      <c r="F1" s="110" t="s">
        <v>102</v>
      </c>
      <c r="G1" s="110" t="s">
        <v>93</v>
      </c>
      <c r="H1" s="110" t="s">
        <v>109</v>
      </c>
      <c r="I1" s="111" t="s">
        <v>110</v>
      </c>
      <c r="J1" s="110" t="s">
        <v>94</v>
      </c>
      <c r="K1" s="110" t="s">
        <v>111</v>
      </c>
      <c r="L1" s="110" t="s">
        <v>115</v>
      </c>
      <c r="M1" s="110"/>
      <c r="Q1" s="94" t="s">
        <v>103</v>
      </c>
      <c r="R1" s="95"/>
      <c r="U1" s="92" t="s">
        <v>198</v>
      </c>
      <c r="V1" s="93"/>
      <c r="W1" s="93"/>
      <c r="X1" s="93"/>
      <c r="Y1" s="93"/>
      <c r="Z1" s="93"/>
      <c r="AA1" s="93"/>
    </row>
    <row r="2" spans="1:27" ht="25.5" x14ac:dyDescent="0.25">
      <c r="A2" s="91" t="s">
        <v>197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Q2" s="5" t="s">
        <v>200</v>
      </c>
      <c r="R2" s="5" t="s">
        <v>2</v>
      </c>
      <c r="U2" s="101" t="s">
        <v>199</v>
      </c>
      <c r="V2" s="107" t="s">
        <v>5</v>
      </c>
      <c r="W2" s="107" t="s">
        <v>66</v>
      </c>
      <c r="X2" s="107" t="s">
        <v>8</v>
      </c>
      <c r="Y2" s="109" t="s">
        <v>1</v>
      </c>
      <c r="Z2" s="107" t="s">
        <v>2</v>
      </c>
      <c r="AA2" s="107" t="s">
        <v>81</v>
      </c>
    </row>
    <row r="3" spans="1:27" ht="25.5" x14ac:dyDescent="0.25">
      <c r="A3" s="101" t="s">
        <v>199</v>
      </c>
      <c r="B3" s="101" t="s">
        <v>201</v>
      </c>
      <c r="C3" s="101" t="s">
        <v>15</v>
      </c>
      <c r="D3" s="101" t="s">
        <v>202</v>
      </c>
      <c r="E3" s="101" t="s">
        <v>66</v>
      </c>
      <c r="F3" s="101" t="s">
        <v>203</v>
      </c>
      <c r="G3" s="101" t="s">
        <v>8</v>
      </c>
      <c r="H3" s="101" t="s">
        <v>5</v>
      </c>
      <c r="I3" s="103" t="s">
        <v>1</v>
      </c>
      <c r="J3" s="101" t="s">
        <v>4</v>
      </c>
      <c r="K3" s="101" t="s">
        <v>74</v>
      </c>
      <c r="L3" s="101" t="s">
        <v>2</v>
      </c>
      <c r="M3" s="101" t="s">
        <v>81</v>
      </c>
      <c r="Q3" s="108">
        <f ca="1">IF(Invoice!B18="","&lt;&gt;",Invoice!B18)</f>
        <v>3</v>
      </c>
      <c r="R3" s="108" t="str">
        <f>IF(Invoice!B16=TRUE,"&lt;&gt;","No")</f>
        <v>&lt;&gt;</v>
      </c>
      <c r="U3" s="2">
        <v>1</v>
      </c>
      <c r="V3" s="40">
        <v>45054</v>
      </c>
      <c r="W3" s="102" t="s">
        <v>78</v>
      </c>
      <c r="X3" t="s">
        <v>124</v>
      </c>
      <c r="Y3" s="104">
        <v>5</v>
      </c>
      <c r="Z3" s="18" t="s">
        <v>157</v>
      </c>
      <c r="AA3" s="2">
        <v>4</v>
      </c>
    </row>
    <row r="4" spans="1:27" x14ac:dyDescent="0.25">
      <c r="A4" s="2">
        <v>1</v>
      </c>
      <c r="B4" s="2">
        <v>1</v>
      </c>
      <c r="C4" t="s">
        <v>183</v>
      </c>
      <c r="D4" s="2"/>
      <c r="E4" s="102" t="s">
        <v>78</v>
      </c>
      <c r="F4" s="2">
        <v>1</v>
      </c>
      <c r="G4" t="s">
        <v>124</v>
      </c>
      <c r="H4" s="40">
        <v>45054</v>
      </c>
      <c r="I4" s="104">
        <v>5</v>
      </c>
      <c r="J4" t="s">
        <v>125</v>
      </c>
      <c r="K4" s="13">
        <v>50</v>
      </c>
      <c r="L4" s="18" t="s">
        <v>157</v>
      </c>
      <c r="M4" s="2">
        <f>ROW()</f>
        <v>4</v>
      </c>
      <c r="U4" s="2">
        <v>2</v>
      </c>
      <c r="V4" s="40">
        <v>45054</v>
      </c>
      <c r="W4" t="s">
        <v>77</v>
      </c>
      <c r="X4" t="s">
        <v>126</v>
      </c>
      <c r="Y4" s="105">
        <v>5</v>
      </c>
      <c r="Z4" s="2" t="s">
        <v>157</v>
      </c>
      <c r="AA4" s="2">
        <v>5</v>
      </c>
    </row>
    <row r="5" spans="1:27" x14ac:dyDescent="0.25">
      <c r="A5" s="2">
        <v>2</v>
      </c>
      <c r="B5" s="2">
        <v>1</v>
      </c>
      <c r="C5" t="s">
        <v>22</v>
      </c>
      <c r="D5" s="2">
        <v>1</v>
      </c>
      <c r="E5" t="s">
        <v>77</v>
      </c>
      <c r="F5" s="2">
        <v>2</v>
      </c>
      <c r="G5" t="s">
        <v>126</v>
      </c>
      <c r="H5" s="40">
        <v>45054</v>
      </c>
      <c r="I5" s="105">
        <v>5</v>
      </c>
      <c r="J5" t="s">
        <v>127</v>
      </c>
      <c r="K5" s="13">
        <v>45</v>
      </c>
      <c r="L5" s="2" t="s">
        <v>157</v>
      </c>
      <c r="M5" s="2">
        <f>ROW()</f>
        <v>5</v>
      </c>
      <c r="U5" s="2">
        <v>3</v>
      </c>
      <c r="V5" s="40">
        <v>45055</v>
      </c>
      <c r="W5" t="s">
        <v>77</v>
      </c>
      <c r="X5" t="s">
        <v>124</v>
      </c>
      <c r="Y5" s="105">
        <v>6</v>
      </c>
      <c r="Z5" s="2" t="s">
        <v>157</v>
      </c>
      <c r="AA5" s="2">
        <v>6</v>
      </c>
    </row>
    <row r="6" spans="1:27" x14ac:dyDescent="0.25">
      <c r="A6" s="2">
        <v>3</v>
      </c>
      <c r="B6" s="2">
        <v>1</v>
      </c>
      <c r="C6" t="s">
        <v>22</v>
      </c>
      <c r="D6" s="2">
        <v>1</v>
      </c>
      <c r="E6" t="s">
        <v>77</v>
      </c>
      <c r="F6" s="2">
        <v>1</v>
      </c>
      <c r="G6" t="s">
        <v>124</v>
      </c>
      <c r="H6" s="40">
        <v>45055</v>
      </c>
      <c r="I6" s="105">
        <v>6</v>
      </c>
      <c r="J6" t="s">
        <v>125</v>
      </c>
      <c r="K6" s="13">
        <v>50</v>
      </c>
      <c r="L6" s="2" t="s">
        <v>157</v>
      </c>
      <c r="M6" s="2">
        <f>ROW()</f>
        <v>6</v>
      </c>
      <c r="U6" s="2">
        <v>4</v>
      </c>
      <c r="V6" s="40">
        <v>45055</v>
      </c>
      <c r="W6" t="s">
        <v>78</v>
      </c>
      <c r="X6" t="s">
        <v>130</v>
      </c>
      <c r="Y6" s="105">
        <v>6</v>
      </c>
      <c r="Z6" s="2" t="s">
        <v>3</v>
      </c>
      <c r="AA6" s="2">
        <v>7</v>
      </c>
    </row>
    <row r="7" spans="1:27" x14ac:dyDescent="0.25">
      <c r="A7" s="2">
        <v>4</v>
      </c>
      <c r="B7" s="2">
        <v>2</v>
      </c>
      <c r="C7" t="s">
        <v>23</v>
      </c>
      <c r="D7" s="2"/>
      <c r="E7" t="s">
        <v>78</v>
      </c>
      <c r="F7" s="2">
        <v>4</v>
      </c>
      <c r="G7" t="s">
        <v>130</v>
      </c>
      <c r="H7" s="40">
        <v>45055</v>
      </c>
      <c r="I7" s="105">
        <v>6</v>
      </c>
      <c r="J7" t="s">
        <v>156</v>
      </c>
      <c r="K7" s="13">
        <v>25</v>
      </c>
      <c r="L7" s="2" t="s">
        <v>3</v>
      </c>
      <c r="M7" s="2">
        <f>ROW()</f>
        <v>7</v>
      </c>
      <c r="U7" s="2">
        <v>5</v>
      </c>
      <c r="V7" s="40">
        <v>45055</v>
      </c>
      <c r="W7" t="s">
        <v>79</v>
      </c>
      <c r="X7" t="s">
        <v>132</v>
      </c>
      <c r="Y7" s="105">
        <v>20</v>
      </c>
      <c r="Z7" s="2" t="s">
        <v>157</v>
      </c>
      <c r="AA7" s="2">
        <v>8</v>
      </c>
    </row>
    <row r="8" spans="1:27" x14ac:dyDescent="0.25">
      <c r="A8" s="2">
        <v>5</v>
      </c>
      <c r="B8" s="2">
        <v>3</v>
      </c>
      <c r="C8" t="s">
        <v>24</v>
      </c>
      <c r="D8" s="2"/>
      <c r="E8" t="s">
        <v>79</v>
      </c>
      <c r="F8" s="2">
        <v>5</v>
      </c>
      <c r="G8" t="s">
        <v>132</v>
      </c>
      <c r="H8" s="40">
        <v>45055</v>
      </c>
      <c r="I8" s="105">
        <v>20</v>
      </c>
      <c r="J8" t="s">
        <v>133</v>
      </c>
      <c r="K8" s="13">
        <v>60</v>
      </c>
      <c r="L8" s="2" t="s">
        <v>157</v>
      </c>
      <c r="M8" s="2">
        <f>ROW()</f>
        <v>8</v>
      </c>
      <c r="U8" s="2">
        <v>6</v>
      </c>
      <c r="V8" s="40">
        <v>45055</v>
      </c>
      <c r="W8" t="s">
        <v>79</v>
      </c>
      <c r="X8" t="s">
        <v>134</v>
      </c>
      <c r="Y8" s="105">
        <v>20</v>
      </c>
      <c r="Z8" s="2" t="s">
        <v>157</v>
      </c>
      <c r="AA8" s="2">
        <v>9</v>
      </c>
    </row>
    <row r="9" spans="1:27" x14ac:dyDescent="0.25">
      <c r="A9" s="2">
        <v>6</v>
      </c>
      <c r="B9" s="2">
        <v>2</v>
      </c>
      <c r="C9" t="s">
        <v>24</v>
      </c>
      <c r="D9" s="2">
        <v>3</v>
      </c>
      <c r="E9" t="s">
        <v>79</v>
      </c>
      <c r="F9" s="2">
        <v>3</v>
      </c>
      <c r="G9" t="s">
        <v>134</v>
      </c>
      <c r="H9" s="40">
        <v>45055</v>
      </c>
      <c r="I9" s="105">
        <v>20</v>
      </c>
      <c r="J9" t="s">
        <v>135</v>
      </c>
      <c r="K9" s="13">
        <v>60</v>
      </c>
      <c r="L9" s="2" t="s">
        <v>157</v>
      </c>
      <c r="M9" s="2">
        <f>ROW()</f>
        <v>9</v>
      </c>
      <c r="U9" s="2">
        <v>7</v>
      </c>
      <c r="V9" s="40">
        <v>45055</v>
      </c>
      <c r="W9" t="s">
        <v>155</v>
      </c>
      <c r="X9" t="s">
        <v>128</v>
      </c>
      <c r="Y9" s="105">
        <v>12</v>
      </c>
      <c r="Z9" s="2" t="s">
        <v>157</v>
      </c>
      <c r="AA9" s="2">
        <v>10</v>
      </c>
    </row>
    <row r="10" spans="1:27" x14ac:dyDescent="0.25">
      <c r="A10" s="2">
        <v>7</v>
      </c>
      <c r="B10" s="2">
        <v>1</v>
      </c>
      <c r="C10" t="s">
        <v>22</v>
      </c>
      <c r="D10" s="2">
        <v>5</v>
      </c>
      <c r="E10" t="s">
        <v>155</v>
      </c>
      <c r="F10" s="2">
        <v>3</v>
      </c>
      <c r="G10" t="s">
        <v>128</v>
      </c>
      <c r="H10" s="40">
        <v>45055</v>
      </c>
      <c r="I10" s="105">
        <v>12</v>
      </c>
      <c r="J10" t="s">
        <v>129</v>
      </c>
      <c r="K10" s="13">
        <v>60</v>
      </c>
      <c r="L10" s="2" t="s">
        <v>157</v>
      </c>
      <c r="M10" s="2">
        <f>ROW()</f>
        <v>10</v>
      </c>
      <c r="U10" s="2">
        <v>8</v>
      </c>
      <c r="V10" s="40">
        <v>45056</v>
      </c>
      <c r="W10" t="s">
        <v>77</v>
      </c>
      <c r="X10" t="s">
        <v>126</v>
      </c>
      <c r="Y10" s="105">
        <v>2</v>
      </c>
      <c r="Z10" s="2" t="s">
        <v>157</v>
      </c>
      <c r="AA10" s="2">
        <v>11</v>
      </c>
    </row>
    <row r="11" spans="1:27" x14ac:dyDescent="0.25">
      <c r="A11" s="2">
        <v>8</v>
      </c>
      <c r="B11" s="2">
        <v>1</v>
      </c>
      <c r="C11" t="s">
        <v>22</v>
      </c>
      <c r="D11" s="2">
        <v>1</v>
      </c>
      <c r="E11" t="s">
        <v>77</v>
      </c>
      <c r="F11" s="2">
        <v>2</v>
      </c>
      <c r="G11" t="s">
        <v>126</v>
      </c>
      <c r="H11" s="40">
        <v>45056</v>
      </c>
      <c r="I11" s="105">
        <v>2</v>
      </c>
      <c r="J11" t="s">
        <v>127</v>
      </c>
      <c r="K11" s="13">
        <v>40</v>
      </c>
      <c r="L11" s="2" t="s">
        <v>157</v>
      </c>
      <c r="M11" s="2">
        <f>ROW()</f>
        <v>11</v>
      </c>
      <c r="U11" s="2">
        <v>9</v>
      </c>
      <c r="V11" s="40">
        <v>45056</v>
      </c>
      <c r="W11" t="s">
        <v>77</v>
      </c>
      <c r="X11" t="s">
        <v>130</v>
      </c>
      <c r="Y11" s="105"/>
      <c r="Z11" s="2" t="s">
        <v>157</v>
      </c>
      <c r="AA11" s="2">
        <v>12</v>
      </c>
    </row>
    <row r="12" spans="1:27" x14ac:dyDescent="0.25">
      <c r="A12" s="2">
        <v>9</v>
      </c>
      <c r="B12" s="2">
        <v>1</v>
      </c>
      <c r="C12" t="s">
        <v>22</v>
      </c>
      <c r="D12" s="2">
        <v>1</v>
      </c>
      <c r="E12" t="s">
        <v>77</v>
      </c>
      <c r="F12" s="2">
        <v>4</v>
      </c>
      <c r="G12" t="s">
        <v>130</v>
      </c>
      <c r="H12" s="40">
        <v>45056</v>
      </c>
      <c r="I12" s="105"/>
      <c r="J12" t="s">
        <v>131</v>
      </c>
      <c r="K12" s="13">
        <v>75</v>
      </c>
      <c r="L12" s="2" t="s">
        <v>157</v>
      </c>
      <c r="M12" s="2">
        <f>ROW()</f>
        <v>12</v>
      </c>
      <c r="U12" s="2">
        <v>10</v>
      </c>
      <c r="V12" s="40">
        <v>45056</v>
      </c>
      <c r="W12" t="s">
        <v>77</v>
      </c>
      <c r="X12" t="s">
        <v>132</v>
      </c>
      <c r="Y12" s="105"/>
      <c r="Z12" s="2" t="s">
        <v>157</v>
      </c>
      <c r="AA12" s="2">
        <v>13</v>
      </c>
    </row>
    <row r="13" spans="1:27" x14ac:dyDescent="0.25">
      <c r="A13" s="2">
        <v>10</v>
      </c>
      <c r="B13" s="2">
        <v>1</v>
      </c>
      <c r="C13" t="s">
        <v>22</v>
      </c>
      <c r="D13" s="2">
        <v>1</v>
      </c>
      <c r="E13" t="s">
        <v>77</v>
      </c>
      <c r="F13" s="2">
        <v>5</v>
      </c>
      <c r="G13" t="s">
        <v>132</v>
      </c>
      <c r="H13" s="40">
        <v>45056</v>
      </c>
      <c r="I13" s="105"/>
      <c r="J13" t="s">
        <v>133</v>
      </c>
      <c r="K13" s="13">
        <v>30</v>
      </c>
      <c r="L13" s="2" t="s">
        <v>157</v>
      </c>
      <c r="M13" s="2">
        <f>ROW()</f>
        <v>13</v>
      </c>
      <c r="U13" s="2">
        <v>11</v>
      </c>
      <c r="V13" s="40">
        <v>45056</v>
      </c>
      <c r="W13" t="s">
        <v>77</v>
      </c>
      <c r="X13" t="s">
        <v>138</v>
      </c>
      <c r="Y13" s="105"/>
      <c r="Z13" s="2" t="s">
        <v>157</v>
      </c>
      <c r="AA13" s="2">
        <v>14</v>
      </c>
    </row>
    <row r="14" spans="1:27" x14ac:dyDescent="0.25">
      <c r="A14" s="2">
        <v>11</v>
      </c>
      <c r="B14" s="2">
        <v>1</v>
      </c>
      <c r="C14" t="s">
        <v>22</v>
      </c>
      <c r="D14" s="2">
        <v>1</v>
      </c>
      <c r="E14" t="s">
        <v>77</v>
      </c>
      <c r="F14" s="2">
        <v>8</v>
      </c>
      <c r="G14" t="s">
        <v>138</v>
      </c>
      <c r="H14" s="40">
        <v>45056</v>
      </c>
      <c r="I14" s="105"/>
      <c r="J14" t="s">
        <v>139</v>
      </c>
      <c r="K14" s="13">
        <v>60</v>
      </c>
      <c r="L14" s="2" t="s">
        <v>157</v>
      </c>
      <c r="M14" s="2">
        <f>ROW()</f>
        <v>14</v>
      </c>
      <c r="U14" s="2">
        <v>12</v>
      </c>
      <c r="V14" s="40">
        <v>45197</v>
      </c>
      <c r="W14" t="s">
        <v>195</v>
      </c>
      <c r="X14" t="s">
        <v>132</v>
      </c>
      <c r="Y14" s="105">
        <v>10</v>
      </c>
      <c r="Z14" s="2" t="s">
        <v>3</v>
      </c>
      <c r="AA14" s="2">
        <v>15</v>
      </c>
    </row>
    <row r="15" spans="1:27" x14ac:dyDescent="0.25">
      <c r="A15" s="2">
        <v>12</v>
      </c>
      <c r="B15" s="2">
        <v>1</v>
      </c>
      <c r="C15" t="s">
        <v>183</v>
      </c>
      <c r="D15" s="2"/>
      <c r="E15" t="s">
        <v>195</v>
      </c>
      <c r="F15" s="2">
        <v>5</v>
      </c>
      <c r="G15" t="s">
        <v>132</v>
      </c>
      <c r="H15" s="40">
        <v>45197</v>
      </c>
      <c r="I15" s="105">
        <v>10</v>
      </c>
      <c r="J15" t="s">
        <v>133</v>
      </c>
      <c r="K15" s="44">
        <v>30</v>
      </c>
      <c r="L15" s="2" t="s">
        <v>3</v>
      </c>
      <c r="M15" s="2">
        <f>ROW()</f>
        <v>15</v>
      </c>
    </row>
    <row r="16" spans="1:27" x14ac:dyDescent="0.25">
      <c r="A16" s="2"/>
      <c r="B16" s="2"/>
      <c r="D16" s="2"/>
      <c r="F16" s="2"/>
      <c r="I16" s="105"/>
    </row>
    <row r="17" spans="1:12" x14ac:dyDescent="0.25">
      <c r="A17" s="2"/>
      <c r="B17" s="2"/>
      <c r="D17" s="2"/>
      <c r="F17" s="2"/>
      <c r="I17" s="105"/>
    </row>
    <row r="18" spans="1:12" x14ac:dyDescent="0.25">
      <c r="A18" s="2"/>
      <c r="B18" s="2"/>
      <c r="D18" s="2"/>
      <c r="F18" s="2"/>
      <c r="I18" s="105"/>
    </row>
    <row r="19" spans="1:12" x14ac:dyDescent="0.25">
      <c r="A19" s="2"/>
      <c r="B19" s="2"/>
      <c r="D19" s="2"/>
      <c r="F19" s="2"/>
      <c r="I19" s="105"/>
    </row>
    <row r="20" spans="1:12" x14ac:dyDescent="0.25">
      <c r="A20" s="2"/>
      <c r="B20" s="2"/>
      <c r="D20" s="2"/>
      <c r="F20" s="2"/>
      <c r="H20" s="40"/>
      <c r="I20" s="105"/>
      <c r="L20" s="18"/>
    </row>
    <row r="21" spans="1:12" x14ac:dyDescent="0.25">
      <c r="A21" s="2"/>
      <c r="B21" s="2"/>
      <c r="D21" s="2"/>
      <c r="F21" s="2"/>
      <c r="I21" s="105"/>
    </row>
    <row r="22" spans="1:12" x14ac:dyDescent="0.25">
      <c r="A22" s="2"/>
      <c r="B22" s="2"/>
      <c r="D22" s="2"/>
      <c r="F22" s="2"/>
      <c r="I22" s="105"/>
    </row>
    <row r="23" spans="1:12" x14ac:dyDescent="0.25">
      <c r="A23" s="2"/>
      <c r="B23" s="2"/>
      <c r="D23" s="2"/>
      <c r="F23" s="2"/>
      <c r="I23" s="105"/>
    </row>
    <row r="24" spans="1:12" x14ac:dyDescent="0.25">
      <c r="A24" s="2"/>
      <c r="B24" s="2"/>
      <c r="D24" s="2"/>
      <c r="F24" s="2"/>
      <c r="I24" s="105"/>
    </row>
    <row r="25" spans="1:12" x14ac:dyDescent="0.25">
      <c r="A25" s="2"/>
      <c r="B25" s="2"/>
      <c r="D25" s="2"/>
      <c r="F25" s="2"/>
      <c r="I25" s="105"/>
    </row>
    <row r="26" spans="1:12" x14ac:dyDescent="0.25">
      <c r="A26" s="2"/>
      <c r="B26" s="2"/>
      <c r="D26" s="2"/>
      <c r="F26" s="2"/>
      <c r="I26" s="105"/>
    </row>
    <row r="27" spans="1:12" x14ac:dyDescent="0.25">
      <c r="A27" s="2"/>
      <c r="B27" s="2"/>
      <c r="D27" s="2"/>
      <c r="F27" s="2"/>
      <c r="I27" s="105"/>
    </row>
    <row r="28" spans="1:12" x14ac:dyDescent="0.25">
      <c r="A28" s="2"/>
      <c r="B28" s="2"/>
      <c r="D28" s="2"/>
      <c r="F28" s="2"/>
      <c r="I28" s="105"/>
    </row>
    <row r="29" spans="1:12" x14ac:dyDescent="0.25">
      <c r="A29" s="2"/>
      <c r="B29" s="2"/>
      <c r="D29" s="2"/>
      <c r="F29" s="2"/>
      <c r="I29" s="105"/>
    </row>
    <row r="30" spans="1:12" x14ac:dyDescent="0.25">
      <c r="A30" s="2"/>
      <c r="B30" s="2"/>
      <c r="D30" s="2"/>
      <c r="F30" s="2"/>
      <c r="I30" s="105"/>
    </row>
    <row r="31" spans="1:12" x14ac:dyDescent="0.25">
      <c r="A31" s="2"/>
      <c r="B31" s="2"/>
      <c r="D31" s="2"/>
      <c r="F31" s="2"/>
      <c r="I31" s="105"/>
    </row>
    <row r="32" spans="1:12" x14ac:dyDescent="0.25">
      <c r="A32" s="2"/>
      <c r="B32" s="2"/>
      <c r="D32" s="2"/>
      <c r="F32" s="2"/>
      <c r="I32" s="105"/>
    </row>
    <row r="33" spans="1:9" x14ac:dyDescent="0.25">
      <c r="A33" s="2"/>
      <c r="B33" s="2"/>
      <c r="D33" s="2"/>
      <c r="F33" s="2"/>
      <c r="I33" s="105"/>
    </row>
    <row r="34" spans="1:9" x14ac:dyDescent="0.25">
      <c r="A34" s="2"/>
      <c r="B34" s="2"/>
      <c r="D34" s="2"/>
      <c r="F34" s="2"/>
      <c r="I34" s="105"/>
    </row>
    <row r="35" spans="1:9" x14ac:dyDescent="0.25">
      <c r="A35" s="2"/>
      <c r="B35" s="2"/>
      <c r="D35" s="2"/>
      <c r="F35" s="2"/>
      <c r="I35" s="105"/>
    </row>
    <row r="36" spans="1:9" x14ac:dyDescent="0.25">
      <c r="A36" s="2"/>
      <c r="B36" s="2"/>
      <c r="D36" s="2"/>
      <c r="F36" s="2"/>
      <c r="I36" s="105"/>
    </row>
    <row r="37" spans="1:9" x14ac:dyDescent="0.25">
      <c r="A37" s="2"/>
      <c r="B37" s="2"/>
      <c r="D37" s="2"/>
      <c r="F37" s="2"/>
      <c r="I37" s="105"/>
    </row>
    <row r="38" spans="1:9" x14ac:dyDescent="0.25">
      <c r="A38" s="2"/>
      <c r="B38" s="2"/>
      <c r="D38" s="2"/>
      <c r="F38" s="2"/>
      <c r="I38" s="105"/>
    </row>
    <row r="39" spans="1:9" x14ac:dyDescent="0.25">
      <c r="A39" s="2"/>
      <c r="B39" s="2"/>
      <c r="D39" s="2"/>
      <c r="F39" s="2"/>
      <c r="I39" s="105"/>
    </row>
    <row r="40" spans="1:9" x14ac:dyDescent="0.25">
      <c r="A40" s="2"/>
      <c r="B40" s="2"/>
      <c r="D40" s="2"/>
      <c r="F40" s="2"/>
      <c r="I40" s="105"/>
    </row>
    <row r="41" spans="1:9" x14ac:dyDescent="0.25">
      <c r="A41" s="2"/>
      <c r="B41" s="2"/>
      <c r="D41" s="2"/>
      <c r="F41" s="2"/>
      <c r="I41" s="105"/>
    </row>
    <row r="42" spans="1:9" x14ac:dyDescent="0.25">
      <c r="A42" s="2"/>
      <c r="B42" s="2"/>
      <c r="D42" s="2"/>
      <c r="F42" s="2"/>
      <c r="I42" s="105"/>
    </row>
    <row r="43" spans="1:9" x14ac:dyDescent="0.25">
      <c r="A43" s="2"/>
      <c r="B43" s="2"/>
      <c r="D43" s="2"/>
      <c r="F43" s="2"/>
      <c r="I43" s="105"/>
    </row>
    <row r="44" spans="1:9" x14ac:dyDescent="0.25">
      <c r="A44" s="2"/>
      <c r="B44" s="2"/>
      <c r="D44" s="2"/>
      <c r="F44" s="2"/>
      <c r="I44" s="105"/>
    </row>
    <row r="45" spans="1:9" x14ac:dyDescent="0.25">
      <c r="A45" s="2"/>
      <c r="B45" s="2"/>
      <c r="D45" s="2"/>
      <c r="F45" s="2"/>
      <c r="I45" s="105"/>
    </row>
    <row r="46" spans="1:9" x14ac:dyDescent="0.25">
      <c r="A46" s="2"/>
      <c r="B46" s="2"/>
      <c r="D46" s="2"/>
      <c r="F46" s="2"/>
      <c r="I46" s="105"/>
    </row>
    <row r="47" spans="1:9" x14ac:dyDescent="0.25">
      <c r="A47" s="2"/>
      <c r="B47" s="2"/>
      <c r="D47" s="2"/>
      <c r="F47" s="2"/>
      <c r="I47" s="105"/>
    </row>
    <row r="48" spans="1:9" x14ac:dyDescent="0.25">
      <c r="A48" s="2"/>
      <c r="B48" s="2"/>
      <c r="D48" s="2"/>
      <c r="F48" s="2"/>
      <c r="I48" s="105"/>
    </row>
    <row r="49" spans="1:9" x14ac:dyDescent="0.25">
      <c r="A49" s="2"/>
      <c r="B49" s="2"/>
      <c r="D49" s="2"/>
      <c r="F49" s="2"/>
      <c r="I49" s="105"/>
    </row>
    <row r="50" spans="1:9" x14ac:dyDescent="0.25">
      <c r="A50" s="2"/>
      <c r="B50" s="2"/>
      <c r="D50" s="2"/>
      <c r="F50" s="2"/>
      <c r="I50" s="105"/>
    </row>
    <row r="51" spans="1:9" x14ac:dyDescent="0.25">
      <c r="A51" s="2"/>
      <c r="B51" s="2"/>
      <c r="D51" s="2"/>
      <c r="F51" s="2"/>
      <c r="I51" s="105"/>
    </row>
    <row r="52" spans="1:9" x14ac:dyDescent="0.25">
      <c r="A52" s="2"/>
      <c r="B52" s="2"/>
      <c r="D52" s="2"/>
      <c r="F52" s="2"/>
      <c r="I52" s="105"/>
    </row>
    <row r="53" spans="1:9" x14ac:dyDescent="0.25">
      <c r="A53" s="2"/>
      <c r="B53" s="2"/>
      <c r="D53" s="2"/>
      <c r="F53" s="2"/>
      <c r="I53" s="105"/>
    </row>
    <row r="54" spans="1:9" x14ac:dyDescent="0.25">
      <c r="A54" s="2"/>
      <c r="B54" s="2"/>
      <c r="D54" s="2"/>
      <c r="F54" s="2"/>
      <c r="I54" s="105"/>
    </row>
    <row r="55" spans="1:9" x14ac:dyDescent="0.25">
      <c r="A55" s="2"/>
      <c r="B55" s="2"/>
      <c r="D55" s="2"/>
      <c r="F55" s="2"/>
      <c r="I55" s="105"/>
    </row>
    <row r="56" spans="1:9" x14ac:dyDescent="0.25">
      <c r="A56" s="2"/>
      <c r="B56" s="2"/>
      <c r="D56" s="2"/>
      <c r="F56" s="2"/>
      <c r="I56" s="105"/>
    </row>
    <row r="57" spans="1:9" x14ac:dyDescent="0.25">
      <c r="A57" s="2"/>
      <c r="B57" s="2"/>
      <c r="D57" s="2"/>
      <c r="F57" s="2"/>
      <c r="I57" s="105"/>
    </row>
    <row r="58" spans="1:9" x14ac:dyDescent="0.25">
      <c r="A58" s="2"/>
      <c r="B58" s="2"/>
      <c r="D58" s="2"/>
      <c r="I58" s="105"/>
    </row>
    <row r="59" spans="1:9" x14ac:dyDescent="0.25">
      <c r="A59" s="2"/>
      <c r="B59" s="2"/>
      <c r="D59" s="2"/>
      <c r="I59" s="105"/>
    </row>
    <row r="60" spans="1:9" x14ac:dyDescent="0.25">
      <c r="A60" s="2"/>
      <c r="B60" s="2"/>
      <c r="D60" s="2"/>
      <c r="I60" s="105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1.85546875" customWidth="1"/>
  </cols>
  <sheetData>
    <row r="1" spans="1:5" ht="14.45" customHeight="1" x14ac:dyDescent="0.25">
      <c r="A1" s="91" t="s">
        <v>13</v>
      </c>
      <c r="B1" s="91"/>
      <c r="C1" s="91"/>
      <c r="D1" s="96"/>
    </row>
    <row r="2" spans="1:5" ht="14.45" customHeight="1" x14ac:dyDescent="0.25">
      <c r="A2" s="90"/>
      <c r="B2" s="90"/>
      <c r="C2" s="90"/>
      <c r="D2" s="97"/>
    </row>
    <row r="3" spans="1:5" x14ac:dyDescent="0.25">
      <c r="A3" s="101" t="s">
        <v>204</v>
      </c>
      <c r="B3" s="107" t="s">
        <v>10</v>
      </c>
      <c r="C3" s="107" t="s">
        <v>11</v>
      </c>
      <c r="D3" s="107" t="s">
        <v>12</v>
      </c>
      <c r="E3" s="3"/>
    </row>
    <row r="4" spans="1:5" x14ac:dyDescent="0.25">
      <c r="A4" s="2">
        <v>1</v>
      </c>
      <c r="B4" t="s">
        <v>124</v>
      </c>
      <c r="C4" t="s">
        <v>125</v>
      </c>
      <c r="D4" s="112">
        <v>50</v>
      </c>
    </row>
    <row r="5" spans="1:5" x14ac:dyDescent="0.25">
      <c r="A5" s="2">
        <v>2</v>
      </c>
      <c r="B5" t="s">
        <v>126</v>
      </c>
      <c r="C5" t="s">
        <v>127</v>
      </c>
      <c r="D5" s="112">
        <v>40</v>
      </c>
    </row>
    <row r="6" spans="1:5" x14ac:dyDescent="0.25">
      <c r="A6" s="2">
        <v>3</v>
      </c>
      <c r="B6" t="s">
        <v>128</v>
      </c>
      <c r="C6" t="s">
        <v>129</v>
      </c>
      <c r="D6" s="112">
        <v>60</v>
      </c>
    </row>
    <row r="7" spans="1:5" x14ac:dyDescent="0.25">
      <c r="A7" s="2">
        <v>4</v>
      </c>
      <c r="B7" t="s">
        <v>130</v>
      </c>
      <c r="C7" t="s">
        <v>131</v>
      </c>
      <c r="D7" s="112">
        <v>75</v>
      </c>
    </row>
    <row r="8" spans="1:5" x14ac:dyDescent="0.25">
      <c r="A8" s="2">
        <v>5</v>
      </c>
      <c r="B8" t="s">
        <v>132</v>
      </c>
      <c r="C8" t="s">
        <v>133</v>
      </c>
      <c r="D8" s="112">
        <v>30</v>
      </c>
    </row>
    <row r="9" spans="1:5" x14ac:dyDescent="0.25">
      <c r="A9" s="2">
        <v>6</v>
      </c>
      <c r="B9" t="s">
        <v>134</v>
      </c>
      <c r="C9" t="s">
        <v>135</v>
      </c>
      <c r="D9" s="112">
        <v>80</v>
      </c>
    </row>
    <row r="10" spans="1:5" x14ac:dyDescent="0.25">
      <c r="A10" s="2">
        <v>7</v>
      </c>
      <c r="B10" t="s">
        <v>136</v>
      </c>
      <c r="C10" t="s">
        <v>137</v>
      </c>
      <c r="D10" s="112">
        <v>50</v>
      </c>
    </row>
    <row r="11" spans="1:5" x14ac:dyDescent="0.25">
      <c r="A11" s="2">
        <v>8</v>
      </c>
      <c r="B11" t="s">
        <v>138</v>
      </c>
      <c r="C11" t="s">
        <v>139</v>
      </c>
      <c r="D11" s="112">
        <v>60</v>
      </c>
    </row>
    <row r="12" spans="1:5" x14ac:dyDescent="0.25">
      <c r="A12" s="2">
        <v>9</v>
      </c>
      <c r="B12" t="s">
        <v>140</v>
      </c>
      <c r="C12" t="s">
        <v>141</v>
      </c>
      <c r="D12" s="112">
        <v>100</v>
      </c>
    </row>
    <row r="13" spans="1:5" x14ac:dyDescent="0.25">
      <c r="A13" s="2">
        <v>10</v>
      </c>
      <c r="B13" t="s">
        <v>142</v>
      </c>
      <c r="C13" t="s">
        <v>143</v>
      </c>
      <c r="D13" s="112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F15" sqref="F15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91" t="s">
        <v>65</v>
      </c>
      <c r="B1" s="91"/>
      <c r="C1" s="91"/>
      <c r="D1" s="91"/>
      <c r="E1" s="91"/>
      <c r="F1" s="91"/>
      <c r="G1" s="91"/>
      <c r="H1" s="91"/>
      <c r="K1" s="14" t="s">
        <v>103</v>
      </c>
      <c r="M1" s="119" t="s">
        <v>116</v>
      </c>
    </row>
    <row r="2" spans="1:13" ht="14.45" customHeight="1" x14ac:dyDescent="0.25">
      <c r="A2" s="90"/>
      <c r="B2" s="90"/>
      <c r="C2" s="90"/>
      <c r="D2" s="90"/>
      <c r="E2" s="90"/>
      <c r="F2" s="90"/>
      <c r="G2" s="90"/>
      <c r="H2" s="90"/>
      <c r="K2" s="5" t="s">
        <v>200</v>
      </c>
      <c r="M2" s="5" t="s">
        <v>66</v>
      </c>
    </row>
    <row r="3" spans="1:13" ht="25.5" x14ac:dyDescent="0.25">
      <c r="A3" s="101" t="s">
        <v>205</v>
      </c>
      <c r="B3" s="107" t="s">
        <v>66</v>
      </c>
      <c r="C3" s="101" t="s">
        <v>206</v>
      </c>
      <c r="D3" s="107" t="s">
        <v>15</v>
      </c>
      <c r="E3" s="101" t="s">
        <v>68</v>
      </c>
      <c r="F3" s="101" t="s">
        <v>69</v>
      </c>
      <c r="G3" s="101" t="s">
        <v>70</v>
      </c>
      <c r="H3" s="101" t="s">
        <v>71</v>
      </c>
      <c r="K3" s="15">
        <f ca="1">Invoice!B5</f>
        <v>14</v>
      </c>
      <c r="M3" t="s">
        <v>77</v>
      </c>
    </row>
    <row r="4" spans="1:13" x14ac:dyDescent="0.25">
      <c r="A4" s="2">
        <v>1</v>
      </c>
      <c r="B4" t="s">
        <v>77</v>
      </c>
      <c r="C4" s="2">
        <v>1</v>
      </c>
      <c r="D4" t="s">
        <v>22</v>
      </c>
      <c r="G4" s="7"/>
      <c r="H4" s="4"/>
      <c r="M4" t="s">
        <v>144</v>
      </c>
    </row>
    <row r="5" spans="1:13" x14ac:dyDescent="0.25">
      <c r="A5" s="2">
        <v>2</v>
      </c>
      <c r="B5" t="s">
        <v>144</v>
      </c>
      <c r="C5" s="2">
        <v>2</v>
      </c>
      <c r="D5" t="s">
        <v>23</v>
      </c>
      <c r="G5" s="7"/>
      <c r="H5" s="4"/>
      <c r="M5" t="s">
        <v>145</v>
      </c>
    </row>
    <row r="6" spans="1:13" x14ac:dyDescent="0.25">
      <c r="A6" s="2">
        <v>3</v>
      </c>
      <c r="B6" t="s">
        <v>145</v>
      </c>
      <c r="C6" s="2">
        <v>3</v>
      </c>
      <c r="D6" t="s">
        <v>24</v>
      </c>
      <c r="G6" s="7"/>
      <c r="H6" s="4"/>
      <c r="M6" t="s">
        <v>146</v>
      </c>
    </row>
    <row r="7" spans="1:13" x14ac:dyDescent="0.25">
      <c r="A7" s="2">
        <v>4</v>
      </c>
      <c r="B7" t="s">
        <v>146</v>
      </c>
      <c r="C7" s="2">
        <v>4</v>
      </c>
      <c r="D7" t="s">
        <v>29</v>
      </c>
      <c r="G7" s="7"/>
      <c r="H7" s="4"/>
      <c r="M7" t="s">
        <v>155</v>
      </c>
    </row>
    <row r="8" spans="1:13" x14ac:dyDescent="0.25">
      <c r="A8" s="2">
        <v>5</v>
      </c>
      <c r="B8" t="s">
        <v>155</v>
      </c>
      <c r="C8" s="2">
        <v>1</v>
      </c>
      <c r="D8" t="s">
        <v>22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H3" sqref="H1:H1048576"/>
    </sheetView>
  </sheetViews>
  <sheetFormatPr baseColWidth="10" defaultColWidth="9.140625" defaultRowHeight="15" x14ac:dyDescent="0.25"/>
  <cols>
    <col min="1" max="1" width="6.85546875" bestFit="1" customWidth="1"/>
    <col min="2" max="2" width="35.42578125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91" t="s">
        <v>14</v>
      </c>
      <c r="B1" s="91"/>
      <c r="C1" s="91"/>
      <c r="D1" s="91"/>
      <c r="E1" s="91"/>
      <c r="F1" s="91"/>
      <c r="G1" s="91"/>
      <c r="H1" s="91"/>
    </row>
    <row r="2" spans="1:8" x14ac:dyDescent="0.25">
      <c r="A2" s="90"/>
      <c r="B2" s="90"/>
      <c r="C2" s="90"/>
      <c r="D2" s="90"/>
      <c r="E2" s="90"/>
      <c r="F2" s="90"/>
      <c r="G2" s="90"/>
      <c r="H2" s="90"/>
    </row>
    <row r="3" spans="1:8" ht="26.25" x14ac:dyDescent="0.25">
      <c r="A3" s="100" t="s">
        <v>207</v>
      </c>
      <c r="B3" s="107" t="s">
        <v>15</v>
      </c>
      <c r="C3" s="107" t="s">
        <v>16</v>
      </c>
      <c r="D3" s="107" t="s">
        <v>17</v>
      </c>
      <c r="E3" s="107" t="s">
        <v>18</v>
      </c>
      <c r="F3" s="107" t="s">
        <v>19</v>
      </c>
      <c r="G3" s="107" t="s">
        <v>20</v>
      </c>
      <c r="H3" s="107" t="s">
        <v>21</v>
      </c>
    </row>
    <row r="4" spans="1:8" x14ac:dyDescent="0.25">
      <c r="A4" s="2">
        <v>1</v>
      </c>
      <c r="B4" t="s">
        <v>183</v>
      </c>
      <c r="C4" t="s">
        <v>184</v>
      </c>
      <c r="D4" t="s">
        <v>185</v>
      </c>
      <c r="E4" t="s">
        <v>186</v>
      </c>
      <c r="F4" s="2" t="s">
        <v>187</v>
      </c>
      <c r="G4" s="6" t="s">
        <v>188</v>
      </c>
      <c r="H4" s="78" t="s">
        <v>189</v>
      </c>
    </row>
    <row r="5" spans="1:8" x14ac:dyDescent="0.25">
      <c r="A5" s="2">
        <v>2</v>
      </c>
      <c r="B5" t="s">
        <v>190</v>
      </c>
      <c r="C5" t="s">
        <v>208</v>
      </c>
      <c r="D5" t="s">
        <v>191</v>
      </c>
      <c r="E5" t="s">
        <v>186</v>
      </c>
      <c r="F5" s="2" t="s">
        <v>192</v>
      </c>
      <c r="G5" t="s">
        <v>193</v>
      </c>
      <c r="H5" s="78" t="s">
        <v>194</v>
      </c>
    </row>
    <row r="6" spans="1:8" x14ac:dyDescent="0.25">
      <c r="A6" s="2">
        <v>3</v>
      </c>
      <c r="B6" t="s">
        <v>24</v>
      </c>
      <c r="C6" t="s">
        <v>25</v>
      </c>
      <c r="D6" t="s">
        <v>26</v>
      </c>
      <c r="E6" t="s">
        <v>27</v>
      </c>
      <c r="F6" s="2">
        <v>57439</v>
      </c>
      <c r="G6" s="6">
        <v>3488520913</v>
      </c>
      <c r="H6" t="s">
        <v>28</v>
      </c>
    </row>
    <row r="7" spans="1:8" x14ac:dyDescent="0.25">
      <c r="A7" s="2">
        <v>4</v>
      </c>
      <c r="B7" t="s">
        <v>29</v>
      </c>
      <c r="C7" t="s">
        <v>30</v>
      </c>
      <c r="D7" t="s">
        <v>31</v>
      </c>
      <c r="E7" t="s">
        <v>32</v>
      </c>
      <c r="F7" s="2">
        <v>95515</v>
      </c>
      <c r="G7" s="6">
        <v>3497730067</v>
      </c>
      <c r="H7" t="s">
        <v>33</v>
      </c>
    </row>
    <row r="8" spans="1:8" x14ac:dyDescent="0.25">
      <c r="A8" s="2">
        <v>5</v>
      </c>
      <c r="B8" t="s">
        <v>34</v>
      </c>
      <c r="C8" t="s">
        <v>35</v>
      </c>
      <c r="D8" t="s">
        <v>36</v>
      </c>
      <c r="E8" t="s">
        <v>37</v>
      </c>
      <c r="F8" s="2">
        <v>75119</v>
      </c>
      <c r="G8" s="6">
        <v>3617832508</v>
      </c>
      <c r="H8" t="s">
        <v>38</v>
      </c>
    </row>
    <row r="9" spans="1:8" x14ac:dyDescent="0.25">
      <c r="A9" s="2">
        <v>6</v>
      </c>
      <c r="B9" t="s">
        <v>39</v>
      </c>
      <c r="C9" t="s">
        <v>40</v>
      </c>
      <c r="D9" t="s">
        <v>41</v>
      </c>
      <c r="E9" t="s">
        <v>42</v>
      </c>
      <c r="F9" s="2">
        <v>18065</v>
      </c>
      <c r="G9" s="6">
        <v>3652218440</v>
      </c>
      <c r="H9" t="s">
        <v>43</v>
      </c>
    </row>
    <row r="10" spans="1:8" x14ac:dyDescent="0.25">
      <c r="A10" s="2">
        <v>7</v>
      </c>
      <c r="B10" t="s">
        <v>44</v>
      </c>
      <c r="C10" t="s">
        <v>45</v>
      </c>
      <c r="D10" t="s">
        <v>46</v>
      </c>
      <c r="E10" t="s">
        <v>47</v>
      </c>
      <c r="F10" s="2">
        <v>39456</v>
      </c>
      <c r="G10" s="6">
        <v>3656677181</v>
      </c>
      <c r="H10" t="s">
        <v>48</v>
      </c>
    </row>
    <row r="11" spans="1:8" x14ac:dyDescent="0.25">
      <c r="A11" s="2">
        <v>8</v>
      </c>
      <c r="B11" t="s">
        <v>49</v>
      </c>
      <c r="C11" t="s">
        <v>50</v>
      </c>
      <c r="D11" t="s">
        <v>51</v>
      </c>
      <c r="E11" t="s">
        <v>52</v>
      </c>
      <c r="F11" s="2">
        <v>78200</v>
      </c>
      <c r="G11" s="6">
        <v>3767682976</v>
      </c>
      <c r="H11" t="s">
        <v>53</v>
      </c>
    </row>
    <row r="12" spans="1:8" x14ac:dyDescent="0.25">
      <c r="A12" s="2">
        <v>9</v>
      </c>
      <c r="B12" t="s">
        <v>6</v>
      </c>
      <c r="C12" t="s">
        <v>54</v>
      </c>
      <c r="G12" s="6"/>
      <c r="H12" t="s">
        <v>55</v>
      </c>
    </row>
    <row r="13" spans="1:8" x14ac:dyDescent="0.25">
      <c r="A13" s="2">
        <v>10</v>
      </c>
      <c r="B13" t="s">
        <v>56</v>
      </c>
      <c r="C13" t="s">
        <v>54</v>
      </c>
      <c r="D13" t="s">
        <v>57</v>
      </c>
      <c r="E13" t="s">
        <v>58</v>
      </c>
      <c r="F13" s="2">
        <v>90232</v>
      </c>
      <c r="G13" s="6">
        <v>232323232</v>
      </c>
      <c r="H13" t="s">
        <v>59</v>
      </c>
    </row>
    <row r="14" spans="1:8" x14ac:dyDescent="0.25">
      <c r="A14" s="2">
        <v>11</v>
      </c>
      <c r="B14" t="s">
        <v>60</v>
      </c>
      <c r="C14" t="s">
        <v>61</v>
      </c>
      <c r="D14" t="s">
        <v>62</v>
      </c>
      <c r="E14" t="s">
        <v>58</v>
      </c>
      <c r="F14" s="2">
        <v>90232</v>
      </c>
      <c r="G14" s="6">
        <v>315151515</v>
      </c>
      <c r="H14" t="s">
        <v>63</v>
      </c>
    </row>
    <row r="15" spans="1:8" x14ac:dyDescent="0.25">
      <c r="A15" s="2">
        <v>12</v>
      </c>
      <c r="B15" t="s">
        <v>64</v>
      </c>
      <c r="G15" s="6"/>
    </row>
    <row r="16" spans="1:8" x14ac:dyDescent="0.25">
      <c r="A16" s="2">
        <v>13</v>
      </c>
      <c r="B16" t="s">
        <v>117</v>
      </c>
    </row>
    <row r="17" spans="1:2" x14ac:dyDescent="0.25">
      <c r="A17" s="2">
        <v>14</v>
      </c>
      <c r="B17" t="s">
        <v>22</v>
      </c>
    </row>
    <row r="18" spans="1:2" x14ac:dyDescent="0.25">
      <c r="A18" s="2"/>
    </row>
    <row r="19" spans="1:2" x14ac:dyDescent="0.25">
      <c r="A19" s="2"/>
    </row>
    <row r="20" spans="1:2" x14ac:dyDescent="0.25">
      <c r="A20" s="2"/>
    </row>
    <row r="21" spans="1:2" x14ac:dyDescent="0.25">
      <c r="A21" s="2"/>
    </row>
    <row r="22" spans="1:2" x14ac:dyDescent="0.25">
      <c r="A22" s="2"/>
    </row>
    <row r="23" spans="1:2" x14ac:dyDescent="0.25">
      <c r="A23" s="2"/>
    </row>
    <row r="24" spans="1:2" x14ac:dyDescent="0.25">
      <c r="A24" s="2"/>
    </row>
    <row r="25" spans="1:2" x14ac:dyDescent="0.25">
      <c r="A25" s="2"/>
    </row>
    <row r="26" spans="1:2" x14ac:dyDescent="0.25">
      <c r="A26" s="2"/>
    </row>
    <row r="27" spans="1:2" x14ac:dyDescent="0.25">
      <c r="A27" s="2"/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  <hyperlink ref="H4" r:id="rId2" xr:uid="{43479342-7CF1-44DB-8860-7945196E4ED1}"/>
    <hyperlink ref="H5" r:id="rId3" xr:uid="{E9917960-E388-4618-A27E-BCD098F6B6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2023-09-28T14:20:27Z</dcterms:modified>
</cp:coreProperties>
</file>