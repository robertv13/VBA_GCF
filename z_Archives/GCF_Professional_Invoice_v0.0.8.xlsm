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VBA\GC_FISCALITÉ\"/>
    </mc:Choice>
  </mc:AlternateContent>
  <xr:revisionPtr revIDLastSave="0" documentId="13_ncr:1_{BB5B60A6-FAD6-4EEA-9854-57F2CE9D475B}" xr6:coauthVersionLast="47" xr6:coauthVersionMax="47" xr10:uidLastSave="{00000000-0000-0000-0000-000000000000}"/>
  <bookViews>
    <workbookView xWindow="-120" yWindow="-120" windowWidth="29040" windowHeight="15840" tabRatio="601" xr2:uid="{A10FD859-42BA-47BF-8B93-91F89B89A8C1}"/>
  </bookViews>
  <sheets>
    <sheet name="Invoice" sheetId="3" r:id="rId1"/>
    <sheet name="Invoice List" sheetId="4" r:id="rId2"/>
    <sheet name="Invoice Items" sheetId="9" r:id="rId3"/>
    <sheet name="Billing Entries" sheetId="6" r:id="rId4"/>
    <sheet name="Service Items" sheetId="8" r:id="rId5"/>
    <sheet name="Projects" sheetId="2" r:id="rId6"/>
    <sheet name="Customers" sheetId="7" r:id="rId7"/>
  </sheets>
  <definedNames>
    <definedName name="_xlnm._FilterDatabase" localSheetId="3" hidden="1">'Billing Entries'!$A$3:$M$21</definedName>
    <definedName name="_xlnm._FilterDatabase" localSheetId="2" hidden="1">'Invoice Items'!$A$3:$J$20</definedName>
    <definedName name="_xlnm._FilterDatabase" localSheetId="5" hidden="1">Projects!$B$3:$C$6</definedName>
    <definedName name="BillEntry_ID">OFFSET('Billing Entries'!$A$3,1,,COUNTA('Billing Entries'!$A$3:$A$997)-1,1)</definedName>
    <definedName name="_xlnm.Criteria" localSheetId="3">'Billing Entries'!$Q$2:$R$3</definedName>
    <definedName name="_xlnm.Criteria" localSheetId="2">'Invoice Items'!$N$2:$N$3</definedName>
    <definedName name="_xlnm.Criteria" localSheetId="5">Projects!$K$2:$K$3</definedName>
    <definedName name="Cust_ID">OFFSET(Customers!$A$3,1,,COUNTA(Customers!$A$3:$A$9988)-1,1)</definedName>
    <definedName name="Cust_Name">OFFSET(Customers!$B$3,1,,COUNTA(Customers!$A$3:$A$9988)-1,1)</definedName>
    <definedName name="CustProjects">OFFSET(Projects!$M$2,1,,COUNTA(Projects!$M$2:$M$997)-1,1)</definedName>
    <definedName name="_xlnm.Extract" localSheetId="3">'Billing Entries'!$U$2:$AA$2</definedName>
    <definedName name="_xlnm.Extract" localSheetId="2">'Invoice Items'!$P$2:$W$2</definedName>
    <definedName name="_xlnm.Extract" localSheetId="5">Projects!$M$2</definedName>
    <definedName name="Inv_ID">OFFSET('Invoice List'!$A$3,1,,COUNTA('Invoice List'!$A$3:$A$9991)-1,1)</definedName>
    <definedName name="Proj_ID">OFFSET(Projects!$A$3,1,,COUNTA(Projects!$A$3:$A$997)-1,1)</definedName>
    <definedName name="Proj_Name">OFFSET(Projects!$B$3,1,,COUNTA(Projects!$A$3:$A$997)-1,1)</definedName>
    <definedName name="ServItem_ID">OFFSET('Service Items'!$A$3,1,,COUNTA('Service Items'!$A$3:$A$9999)-1,1)</definedName>
    <definedName name="ServItem_Name">OFFSET('Service Items'!$B$3,1,,COUNTA('Service Items'!$B$3:$B$9999)-1,1)</definedName>
    <definedName name="_xlnm.Print_Area" localSheetId="0">Invoice!$J$2:$O$53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21" i="6" l="1"/>
  <c r="M20" i="6"/>
  <c r="M19" i="6"/>
  <c r="M18" i="6"/>
  <c r="M17" i="6"/>
  <c r="M16" i="6"/>
  <c r="M15" i="6"/>
  <c r="K3" i="3"/>
  <c r="M14" i="6"/>
  <c r="M13" i="6"/>
  <c r="M12" i="6"/>
  <c r="M11" i="6"/>
  <c r="O36" i="3" l="1"/>
  <c r="O35" i="3"/>
  <c r="O34" i="3"/>
  <c r="O33" i="3"/>
  <c r="O32" i="3"/>
  <c r="O25" i="3"/>
  <c r="O24" i="3"/>
  <c r="O23" i="3"/>
  <c r="O22" i="3"/>
  <c r="O21" i="3"/>
  <c r="O20" i="3"/>
  <c r="O19" i="3"/>
  <c r="O18" i="3"/>
  <c r="O17" i="3"/>
  <c r="O16" i="3"/>
  <c r="O15" i="3"/>
  <c r="O14" i="3"/>
  <c r="O13" i="3"/>
  <c r="O12" i="3"/>
  <c r="O11" i="3"/>
  <c r="M10" i="6"/>
  <c r="B3" i="3"/>
  <c r="B12" i="3"/>
  <c r="O10" i="3"/>
  <c r="O9" i="3"/>
  <c r="B22" i="3"/>
  <c r="B19" i="3"/>
  <c r="B21" i="3"/>
  <c r="B20" i="3"/>
  <c r="B6" i="3"/>
  <c r="B18" i="3"/>
  <c r="B5" i="3"/>
  <c r="B13" i="3"/>
  <c r="B11" i="3"/>
  <c r="B10" i="3"/>
  <c r="B9" i="3"/>
  <c r="B8" i="3"/>
  <c r="B7" i="3"/>
  <c r="B4" i="3"/>
  <c r="B14" i="3"/>
  <c r="M9" i="6"/>
  <c r="M8" i="6"/>
  <c r="M7" i="6"/>
  <c r="M6" i="6"/>
  <c r="M5" i="6"/>
  <c r="M4" i="6"/>
  <c r="O40" i="3" l="1"/>
  <c r="N3" i="9"/>
  <c r="R3" i="6"/>
  <c r="O42" i="3" l="1"/>
  <c r="O41" i="3"/>
  <c r="Q3" i="6"/>
  <c r="O44" i="3" l="1"/>
  <c r="O48" i="3" s="1"/>
</calcChain>
</file>

<file path=xl/sharedStrings.xml><?xml version="1.0" encoding="utf-8"?>
<sst xmlns="http://schemas.openxmlformats.org/spreadsheetml/2006/main" count="510" uniqueCount="211">
  <si>
    <t>Project</t>
  </si>
  <si>
    <t>Hours</t>
  </si>
  <si>
    <t>Billed</t>
  </si>
  <si>
    <t>No</t>
  </si>
  <si>
    <t>Description</t>
  </si>
  <si>
    <t>Date</t>
  </si>
  <si>
    <t>Include Billed</t>
  </si>
  <si>
    <t>Service</t>
  </si>
  <si>
    <t>Total Like Service Items</t>
  </si>
  <si>
    <t>Hourly Rate</t>
  </si>
  <si>
    <t>CUSTOMERS</t>
  </si>
  <si>
    <t>Cust. Name</t>
  </si>
  <si>
    <t>Address</t>
  </si>
  <si>
    <t>City</t>
  </si>
  <si>
    <t>State</t>
  </si>
  <si>
    <t>ZIP</t>
  </si>
  <si>
    <t>Phone</t>
  </si>
  <si>
    <t>Email</t>
  </si>
  <si>
    <t>PROJECT LIST</t>
  </si>
  <si>
    <t>Proj. Name</t>
  </si>
  <si>
    <t>Total Hours</t>
  </si>
  <si>
    <t>Total Non-Billed</t>
  </si>
  <si>
    <t>Total Billed Hours</t>
  </si>
  <si>
    <t>Total Billed Amount</t>
  </si>
  <si>
    <t>Rate</t>
  </si>
  <si>
    <t>Total</t>
  </si>
  <si>
    <t>Due Date</t>
  </si>
  <si>
    <t>Inv. Row</t>
  </si>
  <si>
    <t>Row</t>
  </si>
  <si>
    <t>INVOICE ITEMS</t>
  </si>
  <si>
    <t>Inv. ID</t>
  </si>
  <si>
    <t>Inv. Date</t>
  </si>
  <si>
    <t>Serv. Date</t>
  </si>
  <si>
    <t>Entry Load</t>
  </si>
  <si>
    <t>INVOICE LIST</t>
  </si>
  <si>
    <t>Paid</t>
  </si>
  <si>
    <t>B5</t>
  </si>
  <si>
    <t>E5</t>
  </si>
  <si>
    <t>E4</t>
  </si>
  <si>
    <t>B8</t>
  </si>
  <si>
    <t>E6</t>
  </si>
  <si>
    <t>E7</t>
  </si>
  <si>
    <t>Inv. Search Row</t>
  </si>
  <si>
    <t>Bill Entry Cust Row</t>
  </si>
  <si>
    <t>Bill Entry Row</t>
  </si>
  <si>
    <t>Next Bill Entry #</t>
  </si>
  <si>
    <t>B11</t>
  </si>
  <si>
    <t>CRITERIA</t>
  </si>
  <si>
    <t>N4</t>
  </si>
  <si>
    <t>K4</t>
  </si>
  <si>
    <t>N5</t>
  </si>
  <si>
    <t>O37</t>
  </si>
  <si>
    <t>O36</t>
  </si>
  <si>
    <t>H4</t>
  </si>
  <si>
    <t>H5</t>
  </si>
  <si>
    <t>H6</t>
  </si>
  <si>
    <t>Serv. Item</t>
  </si>
  <si>
    <t xml:space="preserve">Serv. Desc. </t>
  </si>
  <si>
    <t>Sel. Bill Entry Row</t>
  </si>
  <si>
    <t>H7</t>
  </si>
  <si>
    <t>Customer Projects</t>
  </si>
  <si>
    <t>Inv. Cust Row</t>
  </si>
  <si>
    <t>Invoice Load</t>
  </si>
  <si>
    <t>Item Load</t>
  </si>
  <si>
    <t>B18</t>
  </si>
  <si>
    <t>N6</t>
  </si>
  <si>
    <t>Invoice #:</t>
  </si>
  <si>
    <t>Website Design</t>
  </si>
  <si>
    <t>Design of complete website</t>
  </si>
  <si>
    <t>Site Meeting</t>
  </si>
  <si>
    <t>Meeting with key management</t>
  </si>
  <si>
    <t>Website Development</t>
  </si>
  <si>
    <t>Complete site development</t>
  </si>
  <si>
    <t>Site Testing</t>
  </si>
  <si>
    <t>Site testing and checking</t>
  </si>
  <si>
    <t>Site Launch</t>
  </si>
  <si>
    <t>Site launch with alpha users</t>
  </si>
  <si>
    <t xml:space="preserve">Site Setup </t>
  </si>
  <si>
    <t>Setup site &amp; server</t>
  </si>
  <si>
    <t>Domain Setup</t>
  </si>
  <si>
    <t>Register &amp; setup domain</t>
  </si>
  <si>
    <t>Stress Testing</t>
  </si>
  <si>
    <t>Stress test website</t>
  </si>
  <si>
    <t>Picture Research</t>
  </si>
  <si>
    <t>Graphics &amp; Design</t>
  </si>
  <si>
    <t>Dolores Website</t>
  </si>
  <si>
    <t>Bill Entry Proj. Row</t>
  </si>
  <si>
    <t>Bill Entry Serv Row</t>
  </si>
  <si>
    <t>Bill Items Fields</t>
  </si>
  <si>
    <t>Total Service Items</t>
  </si>
  <si>
    <t>Test Stress test #3</t>
  </si>
  <si>
    <t>Client</t>
  </si>
  <si>
    <t>Projet</t>
  </si>
  <si>
    <t>Services</t>
  </si>
  <si>
    <t>Heures</t>
  </si>
  <si>
    <t>Taux</t>
  </si>
  <si>
    <t>Facturé ?</t>
  </si>
  <si>
    <t>Projet:</t>
  </si>
  <si>
    <t>Recherche facture</t>
  </si>
  <si>
    <t>Date service</t>
  </si>
  <si>
    <t>Facturé</t>
  </si>
  <si>
    <t>*** Veuillez faire votre chèque à l'ordre de GC Fiscalité Plus Inc. Payable en ligne dans les institutions financières participantes.***</t>
  </si>
  <si>
    <t>*** Payable sur réception.  Frais d’administration de 24 % par année sur note d’honoraires passée due. ***</t>
  </si>
  <si>
    <t>MERCI DE VOTRE CONFIANCE POUR VISER JUSTE ET BIEN</t>
  </si>
  <si>
    <t>Total - Honoraires professionnels</t>
  </si>
  <si>
    <t>Total avant taxes</t>
  </si>
  <si>
    <t>T.P.S. # 849759626RT0001</t>
  </si>
  <si>
    <t>T.V.Q. # 1214451162TQ0001</t>
  </si>
  <si>
    <t>Frais de poste</t>
  </si>
  <si>
    <t>Autres frais</t>
  </si>
  <si>
    <t>GRAND TOTAL</t>
  </si>
  <si>
    <t>Sommes perçues d'avance (dépôt)</t>
  </si>
  <si>
    <t>SOMME DUE</t>
  </si>
  <si>
    <t>NOTE D'HONORAIRES</t>
  </si>
  <si>
    <t>9299-2585 Québec inc.</t>
  </si>
  <si>
    <t>15 chemin des Mésanges</t>
  </si>
  <si>
    <t>Mansonville</t>
  </si>
  <si>
    <t>QC</t>
  </si>
  <si>
    <t>J0E 1X0</t>
  </si>
  <si>
    <t>(514) 831-9055</t>
  </si>
  <si>
    <t>robertv13@me.com</t>
  </si>
  <si>
    <t>CANPLEX INC.</t>
  </si>
  <si>
    <t>Mascouche</t>
  </si>
  <si>
    <t>J7K 3C1</t>
  </si>
  <si>
    <t>(450) 474-1191</t>
  </si>
  <si>
    <t>robertv13@gmail.com</t>
  </si>
  <si>
    <t>TEC</t>
  </si>
  <si>
    <t>TEC (filtrés)</t>
  </si>
  <si>
    <r>
      <t>Bill Entry</t>
    </r>
    <r>
      <rPr>
        <b/>
        <sz val="10"/>
        <color rgb="FFFF0000"/>
        <rFont val="Calibri"/>
        <family val="2"/>
        <scheme val="minor"/>
      </rPr>
      <t xml:space="preserve"> ID</t>
    </r>
  </si>
  <si>
    <r>
      <t xml:space="preserve">Cust. </t>
    </r>
    <r>
      <rPr>
        <b/>
        <sz val="11"/>
        <color rgb="FFFF0000"/>
        <rFont val="Calibri"/>
        <family val="2"/>
        <scheme val="minor"/>
      </rPr>
      <t>ID</t>
    </r>
  </si>
  <si>
    <r>
      <t xml:space="preserve">Cust. 
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</si>
  <si>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Proj.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</si>
  <si>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Proj. 
</t>
    </r>
    <r>
      <rPr>
        <b/>
        <sz val="10"/>
        <color rgb="FFFF0000"/>
        <rFont val="Calibri"/>
        <family val="2"/>
        <scheme val="minor"/>
      </rPr>
      <t>ID</t>
    </r>
  </si>
  <si>
    <r>
      <t>Cust.</t>
    </r>
    <r>
      <rPr>
        <b/>
        <sz val="10"/>
        <color rgb="FFFF0000"/>
        <rFont val="Calibri"/>
        <family val="2"/>
        <scheme val="minor"/>
      </rPr>
      <t xml:space="preserve"> 
ID</t>
    </r>
  </si>
  <si>
    <r>
      <t xml:space="preserve">Cust
</t>
    </r>
    <r>
      <rPr>
        <b/>
        <sz val="10"/>
        <color rgb="FFFF0000"/>
        <rFont val="Calibri"/>
        <family val="2"/>
        <scheme val="minor"/>
      </rPr>
      <t>ID</t>
    </r>
  </si>
  <si>
    <t>3175 de la Gare</t>
  </si>
  <si>
    <r>
      <t xml:space="preserve">Inv.
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</si>
  <si>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Item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</si>
  <si>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Inv.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</si>
  <si>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Cust.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</si>
  <si>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Bill Entry Serv.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</si>
  <si>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Bill Entry Cust </t>
    </r>
    <r>
      <rPr>
        <b/>
        <sz val="10"/>
        <color rgb="FFFF0000"/>
        <rFont val="Calibri"/>
        <family val="2"/>
        <scheme val="minor"/>
      </rPr>
      <t>ID</t>
    </r>
  </si>
  <si>
    <r>
      <t>Next Cust</t>
    </r>
    <r>
      <rPr>
        <sz val="10"/>
        <color rgb="FFFF0000"/>
        <rFont val="Calibri"/>
        <family val="2"/>
        <scheme val="minor"/>
      </rPr>
      <t xml:space="preserve">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</si>
  <si>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Bill Entry Proj. </t>
    </r>
    <r>
      <rPr>
        <b/>
        <sz val="10"/>
        <color rgb="FFFF0000"/>
        <rFont val="Calibri"/>
        <family val="2"/>
        <scheme val="minor"/>
      </rPr>
      <t>ID</t>
    </r>
  </si>
  <si>
    <r>
      <t>Next Proj.</t>
    </r>
    <r>
      <rPr>
        <sz val="10"/>
        <color rgb="FFFF0000"/>
        <rFont val="Calibri"/>
        <family val="2"/>
        <scheme val="minor"/>
      </rPr>
      <t xml:space="preserve">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</si>
  <si>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Next Serv.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</si>
  <si>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Inv. Cust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</si>
  <si>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Next Inv. </t>
    </r>
    <r>
      <rPr>
        <b/>
        <sz val="10"/>
        <color rgb="FFFF0000"/>
        <rFont val="Calibri"/>
        <family val="2"/>
        <scheme val="minor"/>
      </rPr>
      <t>ID</t>
    </r>
  </si>
  <si>
    <t>HUWIZ INC.</t>
  </si>
  <si>
    <t>298 Rue de Martigny O #200</t>
  </si>
  <si>
    <t>Saint-Jérôme</t>
  </si>
  <si>
    <t> J7Y 4C9</t>
  </si>
  <si>
    <t>(450) 327-9000</t>
  </si>
  <si>
    <t>robertv13@hotmail.com</t>
  </si>
  <si>
    <t>Projet: Betty Website Design</t>
  </si>
  <si>
    <t>Projet: Dolores Website</t>
  </si>
  <si>
    <t>Projet: Jackie Website</t>
  </si>
  <si>
    <t xml:space="preserve"> - Rencontre avec vous à nos bureaux;</t>
  </si>
  <si>
    <t xml:space="preserve"> - Rencontre avec vous aux bureaux des notaires et déplacement ;</t>
  </si>
  <si>
    <t xml:space="preserve"> - Rencontre avec vous à vos bureaux et déplacement;</t>
  </si>
  <si>
    <t xml:space="preserve"> - Rencontre avec vous par Vidéoconférence ;</t>
  </si>
  <si>
    <t xml:space="preserve"> - Préparation à la rencontre et rencontre avec vous à nos bureaux;</t>
  </si>
  <si>
    <t xml:space="preserve"> - Préparation à la rencontre, déplacement et rencontre avec vous aux bureaux des notaires ;</t>
  </si>
  <si>
    <t xml:space="preserve"> - Préparation à la rencontre, déplacement et rencontre avec vous à vos bureaux ;</t>
  </si>
  <si>
    <t xml:space="preserve"> - Préparation à la rencontre et rencontre avec vous par Vidéoconférence ;</t>
  </si>
  <si>
    <t xml:space="preserve"> - Recueullir les différentes informations pertinentes à l'élaboration de la planification fiscale ;</t>
  </si>
  <si>
    <t xml:space="preserve"> - Recueuillir les informations pour la création d'une société;</t>
  </si>
  <si>
    <t xml:space="preserve"> - Recueuillir les informations pour la création d'une fiducie;</t>
  </si>
  <si>
    <t xml:space="preserve"> - Prise de connaissance et analyse des documents soumis;</t>
  </si>
  <si>
    <t xml:space="preserve"> - Analyse des livres des minutes pour déterminer les caractéristiques fiscales des actions;</t>
  </si>
  <si>
    <t xml:space="preserve"> - Analyse, réflexions et recherches fiscales permettant de déterminer le plan d'action fiscal optimal ;</t>
  </si>
  <si>
    <t xml:space="preserve"> - Rédaction d'un mémorandum fiscal pour mettre en place la réorganisation fiscale déterminée ;</t>
  </si>
  <si>
    <t xml:space="preserve"> - Rédaction de directives aux juristes afin de mettre en place la planification fiscale ;</t>
  </si>
  <si>
    <t xml:space="preserve"> - Préparation d'organigrammes corporatifs avant et après opérations;</t>
  </si>
  <si>
    <t xml:space="preserve"> - Recherches et analyses fiscales requises pour la mise en place de la réorganisation;</t>
  </si>
  <si>
    <t xml:space="preserve"> - Analyse des risques fiscaux potentiels (règles générales anti-évitement générale et spécifiques);</t>
  </si>
  <si>
    <t xml:space="preserve"> - Estimation du calcul du Revenu Protégé année par année nécessaire pour les fins de la réorganisation;</t>
  </si>
  <si>
    <t xml:space="preserve"> - Révision de la documentation juridique afférente à la présente réorganisation;</t>
  </si>
  <si>
    <t xml:space="preserve"> - Discussion avec un expert en taxes à la consommation pour les différents aspects de la réorganisation;</t>
  </si>
  <si>
    <t xml:space="preserve"> - Analyses, calculs et préparation de tableaux en lien avec l'établissement d'une juste valeur marchande de la société ;</t>
  </si>
  <si>
    <t xml:space="preserve"> - Divers calculs effectués en lien avec la mise en place;</t>
  </si>
  <si>
    <t xml:space="preserve"> - Démarches d'obtention du numéro d'entreprise fédéral pour la nouvelle société ;</t>
  </si>
  <si>
    <t xml:space="preserve"> - Préparation des formulaires d'obtention des numéros de fiducie fédéral et provincial pour la nouvelle fiducie ;</t>
  </si>
  <si>
    <t xml:space="preserve"> - Préparation des formulaires de roulement T2057 et TP-518 requis;</t>
  </si>
  <si>
    <t xml:space="preserve"> - Préparation des formulaires de ventes de comptes clients T2022 et TP-184 requis;</t>
  </si>
  <si>
    <t xml:space="preserve"> - Préparation des formulaires de taxes FP-2044 requis pour le transfert de la totalité ou presque d'une entreprise;</t>
  </si>
  <si>
    <t xml:space="preserve"> - Préparation des différents formulaires et annexes requises afin de déclarer un CDC ;</t>
  </si>
  <si>
    <t xml:space="preserve"> - Préparation du formulaire T2027 - règlement de dette lors de la liquidation de filiale;</t>
  </si>
  <si>
    <t xml:space="preserve"> - Préparer un sommaire de chèques à faire pour la séance de clôture ;</t>
  </si>
  <si>
    <t xml:space="preserve"> - Validation de la conformité des chèques/virements effectués en concordance avec nos directives ;</t>
  </si>
  <si>
    <t xml:space="preserve"> - Préparation des formulaires de choix fiscaux de clauses de non-concurrence;</t>
  </si>
  <si>
    <t xml:space="preserve"> - Diverses discussions téléphoniques avec vous ;</t>
  </si>
  <si>
    <t xml:space="preserve"> - Diverses discussions téléphoniques avec vous et le juriste;</t>
  </si>
  <si>
    <t xml:space="preserve"> - Diverses discussions téléphoniques avec vous, le juriste et votre comptable;</t>
  </si>
  <si>
    <t xml:space="preserve"> - Lecture, analyse et rédaction de divers courriels avec les divers intervenants;</t>
  </si>
  <si>
    <t xml:space="preserve"> - Préparation à la rencontre et rencontre avec vous pour la signature des documents préparés;</t>
  </si>
  <si>
    <t xml:space="preserve"> - Préparation à la rencontre, déplacement et rencontre avec vous pour la signature des documents préparés;</t>
  </si>
  <si>
    <t>Description du service</t>
  </si>
  <si>
    <t>Liste des services</t>
  </si>
  <si>
    <t>Nom du service</t>
  </si>
  <si>
    <t>Description Service # 1</t>
  </si>
  <si>
    <t>Description Service # 2</t>
  </si>
  <si>
    <t>Description Service # 3</t>
  </si>
  <si>
    <t>Description Service # 4</t>
  </si>
  <si>
    <t>Description Service # 5</t>
  </si>
  <si>
    <t>Description Service # 6</t>
  </si>
  <si>
    <t>Description Service # 7</t>
  </si>
  <si>
    <t>Description Service # 8</t>
  </si>
  <si>
    <t>Description Service # 9</t>
  </si>
  <si>
    <t>Mansonville, QC, J0E 1X0</t>
  </si>
  <si>
    <t>Note d'honoraires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</si>
</sst>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7" formatCode="#,##0.00\ &quot;$&quot;_);\(#,##0.00\ &quot;$&quot;\)"/>
    <numFmt numFmtId="44" formatCode="_ * #,##0.00_)\ &quot;$&quot;_ ;_ * \(#,##0.00\)\ &quot;$&quot;_ ;_ * &quot;-&quot;??_)\ &quot;$&quot;_ ;_ @_ "/>
    <numFmt numFmtId="164" formatCode="&quot;$&quot;#,##0.00_);\(&quot;$&quot;#,##0.00\)"/>
    <numFmt numFmtId="165" formatCode="_(&quot;$&quot;* #,##0.00_);_(&quot;$&quot;* \(#,##0.00\);_(&quot;$&quot;* &quot;-&quot;??_);_(@_)"/>
    <numFmt numFmtId="166" formatCode="[&lt;=9999999]###\-####;\(###\)\ ###\-####"/>
    <numFmt numFmtId="167" formatCode=";;"/>
    <numFmt numFmtId="168" formatCode="0.000%"/>
    <numFmt numFmtId="169" formatCode="[$-F800]dddd\,\ mmmm\ dd\,\ yyyy"/>
    <numFmt numFmtId="170" formatCode="#,##0.00\ &quot;$&quot;"/>
  </numFmts>
  <fonts count="2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24"/>
      <color theme="5" tint="-0.499984740745262"/>
      <name val="Aharoni"/>
      <charset val="177"/>
    </font>
    <font>
      <b/>
      <sz val="10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8"/>
      <color theme="1"/>
      <name val="Verdana"/>
      <family val="2"/>
    </font>
    <font>
      <b/>
      <sz val="8"/>
      <color theme="1"/>
      <name val="Verdana"/>
      <family val="2"/>
    </font>
    <font>
      <b/>
      <i/>
      <sz val="8"/>
      <color theme="1"/>
      <name val="Verdana"/>
      <family val="2"/>
    </font>
    <font>
      <b/>
      <sz val="8"/>
      <color theme="0" tint="-0.499984740745262"/>
      <name val="Verdana"/>
      <family val="2"/>
    </font>
    <font>
      <sz val="8"/>
      <color theme="0"/>
      <name val="Verdana"/>
      <family val="2"/>
    </font>
    <font>
      <b/>
      <sz val="8"/>
      <color theme="0"/>
      <name val="Verdana"/>
      <family val="2"/>
    </font>
    <font>
      <u/>
      <sz val="11"/>
      <color theme="10"/>
      <name val="Calibri"/>
      <family val="2"/>
      <scheme val="minor"/>
    </font>
    <font>
      <b/>
      <i/>
      <sz val="8"/>
      <color theme="4" tint="-0.499984740745262"/>
      <name val="Verdana"/>
      <family val="2"/>
    </font>
    <font>
      <b/>
      <sz val="8"/>
      <color rgb="FFFF0000"/>
      <name val="Verdana"/>
      <family val="2"/>
    </font>
    <font>
      <i/>
      <sz val="8"/>
      <color theme="1"/>
      <name val="Verdana"/>
      <family val="2"/>
    </font>
    <font>
      <sz val="11"/>
      <color theme="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sz val="10"/>
      <name val="Verdana"/>
      <family val="2"/>
    </font>
    <font>
      <sz val="11"/>
      <color theme="0" tint="-0.34998626667073579"/>
      <name val="Calibri"/>
      <family val="2"/>
      <scheme val="minor"/>
    </font>
    <font>
      <sz val="8"/>
      <name val="Calibri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gradientFill degree="90">
        <stop position="0">
          <color theme="5" tint="0.40000610370189521"/>
        </stop>
        <stop position="1">
          <color theme="5" tint="0.59999389629810485"/>
        </stop>
      </gradientFill>
    </fill>
    <fill>
      <gradientFill degree="90">
        <stop position="0">
          <color theme="5" tint="0.59999389629810485"/>
        </stop>
        <stop position="1">
          <color theme="5" tint="0.80001220740379042"/>
        </stop>
      </gradient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  <fill>
      <gradientFill degree="90">
        <stop position="0">
          <color theme="4" tint="0.40000610370189521"/>
        </stop>
        <stop position="1">
          <color theme="4" tint="0.59999389629810485"/>
        </stop>
      </gradientFill>
    </fill>
    <fill>
      <gradientFill degree="90">
        <stop position="0">
          <color theme="4" tint="0.59999389629810485"/>
        </stop>
        <stop position="1">
          <color theme="4" tint="0.80001220740379042"/>
        </stop>
      </gradientFill>
    </fill>
    <fill>
      <patternFill patternType="solid">
        <fgColor theme="4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auto="1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B2B2B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9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4" tint="-0.499984740745262"/>
      </left>
      <right style="hair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 style="hair">
        <color theme="4" tint="-0.499984740745262"/>
      </left>
      <right style="thin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theme="4" tint="-0.499984740745262"/>
      </left>
      <right style="thin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 style="hair">
        <color theme="4" tint="-0.499984740745262"/>
      </left>
      <right style="hair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/>
      <right/>
      <top style="medium">
        <color theme="4" tint="-0.499984740745262"/>
      </top>
      <bottom/>
      <diagonal/>
    </border>
    <border>
      <left style="hair">
        <color theme="4" tint="-0.499984740745262"/>
      </left>
      <right style="hair">
        <color theme="4" tint="-0.499984740745262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</borders>
  <cellStyleXfs count="3">
    <xf numFmtId="0" fontId="0" fillId="0" borderId="0"/>
    <xf numFmtId="165" fontId="1" fillId="0" borderId="0" applyFont="0" applyFill="0" applyBorder="0" applyAlignment="0" applyProtection="0"/>
    <xf numFmtId="0" fontId="15" fillId="0" borderId="0" applyNumberFormat="0" applyFill="0" applyBorder="0" applyAlignment="0" applyProtection="0"/>
  </cellStyleXfs>
  <cellXfs count="142">
    <xf numFmtId="0" fontId="0" fillId="0" borderId="0" xfId="0"/>
    <xf numFmtId="0" fontId="0" fillId="2" borderId="0" xfId="0" applyFill="1"/>
    <xf numFmtId="0" fontId="0" fillId="0" borderId="0" xfId="0" applyAlignment="1">
      <alignment horizontal="center"/>
    </xf>
    <xf numFmtId="0" fontId="2" fillId="0" borderId="0" xfId="0" applyFont="1"/>
    <xf numFmtId="165" fontId="0" fillId="0" borderId="0" xfId="1" applyFont="1"/>
    <xf numFmtId="0" fontId="2" fillId="4" borderId="1" xfId="0" applyFont="1" applyFill="1" applyBorder="1" applyAlignment="1">
      <alignment horizontal="center"/>
    </xf>
    <xf numFmtId="166" fontId="0" fillId="0" borderId="0" xfId="0" applyNumberFormat="1" applyAlignment="1">
      <alignment horizontal="left"/>
    </xf>
    <xf numFmtId="0" fontId="0" fillId="0" borderId="0" xfId="1" applyNumberFormat="1" applyFont="1"/>
    <xf numFmtId="0" fontId="0" fillId="8" borderId="0" xfId="0" applyFill="1"/>
    <xf numFmtId="0" fontId="0" fillId="9" borderId="0" xfId="0" applyFill="1"/>
    <xf numFmtId="0" fontId="0" fillId="2" borderId="1" xfId="0" applyFill="1" applyBorder="1"/>
    <xf numFmtId="0" fontId="0" fillId="2" borderId="1" xfId="0" applyFill="1" applyBorder="1" applyAlignment="1">
      <alignment horizontal="center"/>
    </xf>
    <xf numFmtId="14" fontId="0" fillId="0" borderId="0" xfId="0" applyNumberFormat="1"/>
    <xf numFmtId="0" fontId="2" fillId="3" borderId="1" xfId="0" applyFont="1" applyFill="1" applyBorder="1"/>
    <xf numFmtId="14" fontId="0" fillId="9" borderId="0" xfId="0" applyNumberFormat="1" applyFill="1"/>
    <xf numFmtId="0" fontId="3" fillId="3" borderId="0" xfId="0" applyFont="1" applyFill="1" applyAlignment="1">
      <alignment vertical="center"/>
    </xf>
    <xf numFmtId="164" fontId="0" fillId="0" borderId="0" xfId="0" applyNumberFormat="1" applyAlignment="1">
      <alignment horizontal="center"/>
    </xf>
    <xf numFmtId="164" fontId="0" fillId="0" borderId="0" xfId="1" applyNumberFormat="1" applyFont="1" applyBorder="1" applyAlignment="1">
      <alignment horizontal="center"/>
    </xf>
    <xf numFmtId="0" fontId="0" fillId="7" borderId="0" xfId="0" applyFill="1"/>
    <xf numFmtId="0" fontId="0" fillId="12" borderId="6" xfId="0" applyFill="1" applyBorder="1" applyAlignment="1">
      <alignment horizontal="left" vertical="center"/>
    </xf>
    <xf numFmtId="0" fontId="0" fillId="2" borderId="0" xfId="0" applyFill="1" applyAlignment="1">
      <alignment horizontal="right"/>
    </xf>
    <xf numFmtId="0" fontId="0" fillId="9" borderId="0" xfId="0" applyFill="1" applyAlignment="1">
      <alignment horizontal="right"/>
    </xf>
    <xf numFmtId="167" fontId="0" fillId="9" borderId="0" xfId="0" applyNumberFormat="1" applyFill="1"/>
    <xf numFmtId="0" fontId="0" fillId="2" borderId="0" xfId="0" applyFill="1" applyAlignment="1">
      <alignment horizontal="center"/>
    </xf>
    <xf numFmtId="14" fontId="0" fillId="0" borderId="0" xfId="0" applyNumberFormat="1" applyAlignment="1">
      <alignment horizontal="center"/>
    </xf>
    <xf numFmtId="44" fontId="0" fillId="2" borderId="1" xfId="0" applyNumberFormat="1" applyFill="1" applyBorder="1" applyAlignment="1">
      <alignment horizontal="center"/>
    </xf>
    <xf numFmtId="44" fontId="0" fillId="0" borderId="0" xfId="0" applyNumberFormat="1"/>
    <xf numFmtId="14" fontId="4" fillId="9" borderId="0" xfId="0" applyNumberFormat="1" applyFont="1" applyFill="1" applyAlignment="1">
      <alignment horizontal="center"/>
    </xf>
    <xf numFmtId="0" fontId="4" fillId="9" borderId="0" xfId="0" applyFont="1" applyFill="1"/>
    <xf numFmtId="4" fontId="4" fillId="9" borderId="0" xfId="0" applyNumberFormat="1" applyFont="1" applyFill="1"/>
    <xf numFmtId="0" fontId="4" fillId="9" borderId="0" xfId="0" applyFont="1" applyFill="1" applyAlignment="1">
      <alignment horizontal="center"/>
    </xf>
    <xf numFmtId="0" fontId="5" fillId="9" borderId="5" xfId="0" applyFont="1" applyFill="1" applyBorder="1" applyAlignment="1">
      <alignment horizontal="right"/>
    </xf>
    <xf numFmtId="0" fontId="4" fillId="8" borderId="5" xfId="0" applyFont="1" applyFill="1" applyBorder="1" applyAlignment="1">
      <alignment horizontal="right" vertical="center"/>
    </xf>
    <xf numFmtId="14" fontId="4" fillId="6" borderId="6" xfId="0" applyNumberFormat="1" applyFont="1" applyFill="1" applyBorder="1" applyAlignment="1">
      <alignment horizontal="center"/>
    </xf>
    <xf numFmtId="4" fontId="4" fillId="6" borderId="6" xfId="0" applyNumberFormat="1" applyFont="1" applyFill="1" applyBorder="1" applyAlignment="1">
      <alignment horizontal="center"/>
    </xf>
    <xf numFmtId="0" fontId="4" fillId="6" borderId="6" xfId="0" applyFont="1" applyFill="1" applyBorder="1" applyAlignment="1">
      <alignment horizontal="center"/>
    </xf>
    <xf numFmtId="0" fontId="8" fillId="8" borderId="8" xfId="0" applyFont="1" applyFill="1" applyBorder="1" applyAlignment="1">
      <alignment horizontal="center"/>
    </xf>
    <xf numFmtId="44" fontId="9" fillId="6" borderId="0" xfId="1" applyNumberFormat="1" applyFont="1" applyFill="1" applyBorder="1"/>
    <xf numFmtId="0" fontId="11" fillId="6" borderId="0" xfId="0" applyFont="1" applyFill="1" applyAlignment="1">
      <alignment vertical="center"/>
    </xf>
    <xf numFmtId="0" fontId="10" fillId="6" borderId="0" xfId="0" applyFont="1" applyFill="1" applyAlignment="1">
      <alignment vertical="center"/>
    </xf>
    <xf numFmtId="44" fontId="9" fillId="6" borderId="0" xfId="0" applyNumberFormat="1" applyFont="1" applyFill="1" applyAlignment="1">
      <alignment horizontal="right"/>
    </xf>
    <xf numFmtId="0" fontId="9" fillId="6" borderId="0" xfId="0" applyFont="1" applyFill="1" applyAlignment="1">
      <alignment horizontal="right" vertical="center"/>
    </xf>
    <xf numFmtId="44" fontId="10" fillId="6" borderId="0" xfId="0" applyNumberFormat="1" applyFont="1" applyFill="1" applyAlignment="1">
      <alignment horizontal="right"/>
    </xf>
    <xf numFmtId="0" fontId="9" fillId="6" borderId="0" xfId="0" applyFont="1" applyFill="1" applyAlignment="1">
      <alignment vertical="center"/>
    </xf>
    <xf numFmtId="10" fontId="9" fillId="6" borderId="0" xfId="0" applyNumberFormat="1" applyFont="1" applyFill="1" applyAlignment="1">
      <alignment vertical="center"/>
    </xf>
    <xf numFmtId="168" fontId="9" fillId="6" borderId="0" xfId="0" applyNumberFormat="1" applyFont="1" applyFill="1" applyAlignment="1">
      <alignment vertical="center"/>
    </xf>
    <xf numFmtId="0" fontId="9" fillId="0" borderId="0" xfId="0" applyFont="1"/>
    <xf numFmtId="0" fontId="14" fillId="17" borderId="0" xfId="0" applyFont="1" applyFill="1"/>
    <xf numFmtId="0" fontId="13" fillId="17" borderId="0" xfId="0" applyFont="1" applyFill="1"/>
    <xf numFmtId="169" fontId="10" fillId="6" borderId="0" xfId="0" applyNumberFormat="1" applyFont="1" applyFill="1"/>
    <xf numFmtId="0" fontId="9" fillId="6" borderId="0" xfId="0" applyFont="1" applyFill="1"/>
    <xf numFmtId="0" fontId="9" fillId="6" borderId="0" xfId="0" applyFont="1" applyFill="1" applyAlignment="1">
      <alignment horizontal="right"/>
    </xf>
    <xf numFmtId="0" fontId="17" fillId="6" borderId="0" xfId="0" applyFont="1" applyFill="1" applyAlignment="1">
      <alignment horizontal="center"/>
    </xf>
    <xf numFmtId="14" fontId="9" fillId="6" borderId="0" xfId="0" applyNumberFormat="1" applyFont="1" applyFill="1" applyAlignment="1">
      <alignment horizontal="center"/>
    </xf>
    <xf numFmtId="0" fontId="9" fillId="6" borderId="11" xfId="0" applyFont="1" applyFill="1" applyBorder="1"/>
    <xf numFmtId="4" fontId="9" fillId="6" borderId="11" xfId="0" applyNumberFormat="1" applyFont="1" applyFill="1" applyBorder="1"/>
    <xf numFmtId="7" fontId="9" fillId="6" borderId="11" xfId="0" applyNumberFormat="1" applyFont="1" applyFill="1" applyBorder="1"/>
    <xf numFmtId="44" fontId="9" fillId="6" borderId="11" xfId="0" applyNumberFormat="1" applyFont="1" applyFill="1" applyBorder="1"/>
    <xf numFmtId="0" fontId="9" fillId="6" borderId="0" xfId="0" applyFont="1" applyFill="1" applyAlignment="1">
      <alignment horizontal="center"/>
    </xf>
    <xf numFmtId="14" fontId="18" fillId="6" borderId="0" xfId="0" applyNumberFormat="1" applyFont="1" applyFill="1" applyAlignment="1">
      <alignment horizontal="center"/>
    </xf>
    <xf numFmtId="0" fontId="15" fillId="0" borderId="0" xfId="2"/>
    <xf numFmtId="7" fontId="4" fillId="6" borderId="6" xfId="1" applyNumberFormat="1" applyFont="1" applyFill="1" applyBorder="1" applyAlignment="1">
      <alignment horizontal="right"/>
    </xf>
    <xf numFmtId="14" fontId="9" fillId="6" borderId="0" xfId="0" applyNumberFormat="1" applyFont="1" applyFill="1"/>
    <xf numFmtId="7" fontId="9" fillId="6" borderId="0" xfId="0" applyNumberFormat="1" applyFont="1" applyFill="1"/>
    <xf numFmtId="0" fontId="7" fillId="4" borderId="1" xfId="0" applyFont="1" applyFill="1" applyBorder="1" applyAlignment="1">
      <alignment horizontal="center"/>
    </xf>
    <xf numFmtId="0" fontId="7" fillId="4" borderId="1" xfId="0" applyFont="1" applyFill="1" applyBorder="1" applyAlignment="1">
      <alignment horizontal="center" wrapText="1"/>
    </xf>
    <xf numFmtId="0" fontId="7" fillId="4" borderId="1" xfId="0" applyFont="1" applyFill="1" applyBorder="1" applyAlignment="1">
      <alignment horizontal="center" vertical="center" wrapText="1"/>
    </xf>
    <xf numFmtId="4" fontId="7" fillId="4" borderId="1" xfId="0" applyNumberFormat="1" applyFont="1" applyFill="1" applyBorder="1" applyAlignment="1">
      <alignment horizontal="center" vertical="center" wrapText="1"/>
    </xf>
    <xf numFmtId="4" fontId="0" fillId="0" borderId="0" xfId="0" applyNumberFormat="1" applyAlignment="1">
      <alignment horizontal="center"/>
    </xf>
    <xf numFmtId="4" fontId="0" fillId="0" borderId="0" xfId="0" applyNumberFormat="1"/>
    <xf numFmtId="0" fontId="7" fillId="4" borderId="1" xfId="0" applyFont="1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4" fontId="7" fillId="4" borderId="1" xfId="0" applyNumberFormat="1" applyFont="1" applyFill="1" applyBorder="1" applyAlignment="1">
      <alignment horizontal="center" vertical="center"/>
    </xf>
    <xf numFmtId="0" fontId="19" fillId="18" borderId="1" xfId="0" applyFont="1" applyFill="1" applyBorder="1" applyAlignment="1">
      <alignment horizontal="center"/>
    </xf>
    <xf numFmtId="4" fontId="19" fillId="18" borderId="1" xfId="0" applyNumberFormat="1" applyFont="1" applyFill="1" applyBorder="1" applyAlignment="1">
      <alignment horizontal="center"/>
    </xf>
    <xf numFmtId="170" fontId="0" fillId="0" borderId="0" xfId="1" applyNumberFormat="1" applyFont="1"/>
    <xf numFmtId="170" fontId="10" fillId="6" borderId="0" xfId="1" applyNumberFormat="1" applyFont="1" applyFill="1" applyBorder="1"/>
    <xf numFmtId="170" fontId="9" fillId="6" borderId="0" xfId="1" applyNumberFormat="1" applyFont="1" applyFill="1" applyBorder="1"/>
    <xf numFmtId="170" fontId="9" fillId="6" borderId="3" xfId="1" applyNumberFormat="1" applyFont="1" applyFill="1" applyBorder="1"/>
    <xf numFmtId="170" fontId="10" fillId="6" borderId="14" xfId="1" applyNumberFormat="1" applyFont="1" applyFill="1" applyBorder="1"/>
    <xf numFmtId="170" fontId="9" fillId="0" borderId="0" xfId="1" applyNumberFormat="1" applyFont="1"/>
    <xf numFmtId="170" fontId="14" fillId="17" borderId="0" xfId="1" applyNumberFormat="1" applyFont="1" applyFill="1"/>
    <xf numFmtId="0" fontId="2" fillId="3" borderId="1" xfId="0" applyFont="1" applyFill="1" applyBorder="1" applyAlignment="1">
      <alignment horizontal="center"/>
    </xf>
    <xf numFmtId="14" fontId="4" fillId="9" borderId="0" xfId="0" applyNumberFormat="1" applyFont="1" applyFill="1" applyAlignment="1">
      <alignment horizontal="left"/>
    </xf>
    <xf numFmtId="0" fontId="0" fillId="13" borderId="8" xfId="0" applyFill="1" applyBorder="1" applyAlignment="1">
      <alignment horizontal="center" vertical="center"/>
    </xf>
    <xf numFmtId="0" fontId="0" fillId="5" borderId="8" xfId="0" applyFill="1" applyBorder="1" applyAlignment="1">
      <alignment horizontal="center" vertical="center"/>
    </xf>
    <xf numFmtId="0" fontId="0" fillId="14" borderId="8" xfId="0" applyFill="1" applyBorder="1" applyAlignment="1">
      <alignment horizontal="center" vertical="center"/>
    </xf>
    <xf numFmtId="0" fontId="0" fillId="15" borderId="8" xfId="0" applyFill="1" applyBorder="1" applyAlignment="1">
      <alignment horizontal="center" vertical="center"/>
    </xf>
    <xf numFmtId="0" fontId="0" fillId="16" borderId="8" xfId="0" applyFill="1" applyBorder="1" applyAlignment="1">
      <alignment horizontal="center" vertical="center"/>
    </xf>
    <xf numFmtId="0" fontId="0" fillId="10" borderId="8" xfId="0" applyFill="1" applyBorder="1" applyAlignment="1">
      <alignment horizontal="center" vertical="center"/>
    </xf>
    <xf numFmtId="0" fontId="0" fillId="11" borderId="8" xfId="0" applyFill="1" applyBorder="1" applyAlignment="1">
      <alignment horizontal="center" vertical="center"/>
    </xf>
    <xf numFmtId="0" fontId="22" fillId="13" borderId="8" xfId="0" applyFont="1" applyFill="1" applyBorder="1" applyAlignment="1">
      <alignment horizontal="right" vertical="center"/>
    </xf>
    <xf numFmtId="0" fontId="22" fillId="5" borderId="8" xfId="0" applyFont="1" applyFill="1" applyBorder="1" applyAlignment="1">
      <alignment horizontal="right" vertical="center"/>
    </xf>
    <xf numFmtId="0" fontId="22" fillId="14" borderId="8" xfId="0" applyFont="1" applyFill="1" applyBorder="1" applyAlignment="1">
      <alignment horizontal="right" vertical="center"/>
    </xf>
    <xf numFmtId="0" fontId="22" fillId="15" borderId="8" xfId="0" applyFont="1" applyFill="1" applyBorder="1" applyAlignment="1">
      <alignment horizontal="right" vertical="center"/>
    </xf>
    <xf numFmtId="0" fontId="22" fillId="16" borderId="8" xfId="0" applyFont="1" applyFill="1" applyBorder="1" applyAlignment="1">
      <alignment horizontal="right" vertical="center"/>
    </xf>
    <xf numFmtId="0" fontId="22" fillId="10" borderId="8" xfId="0" applyFont="1" applyFill="1" applyBorder="1" applyAlignment="1">
      <alignment horizontal="right" vertical="center"/>
    </xf>
    <xf numFmtId="0" fontId="22" fillId="11" borderId="8" xfId="0" applyFont="1" applyFill="1" applyBorder="1" applyAlignment="1">
      <alignment horizontal="right" vertical="center"/>
    </xf>
    <xf numFmtId="0" fontId="23" fillId="5" borderId="1" xfId="0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4" fontId="0" fillId="0" borderId="0" xfId="1" applyNumberFormat="1" applyFont="1" applyAlignment="1">
      <alignment horizontal="right"/>
    </xf>
    <xf numFmtId="4" fontId="0" fillId="0" borderId="0" xfId="0" applyNumberFormat="1" applyAlignment="1">
      <alignment horizontal="right"/>
    </xf>
    <xf numFmtId="44" fontId="7" fillId="4" borderId="1" xfId="0" applyNumberFormat="1" applyFont="1" applyFill="1" applyBorder="1" applyAlignment="1">
      <alignment horizontal="center"/>
    </xf>
    <xf numFmtId="0" fontId="21" fillId="13" borderId="8" xfId="0" applyFont="1" applyFill="1" applyBorder="1" applyAlignment="1">
      <alignment horizontal="center" vertical="center"/>
    </xf>
    <xf numFmtId="0" fontId="21" fillId="5" borderId="8" xfId="0" applyFont="1" applyFill="1" applyBorder="1" applyAlignment="1">
      <alignment horizontal="center" vertical="center"/>
    </xf>
    <xf numFmtId="0" fontId="21" fillId="14" borderId="8" xfId="0" applyFont="1" applyFill="1" applyBorder="1" applyAlignment="1">
      <alignment horizontal="center" vertical="center"/>
    </xf>
    <xf numFmtId="0" fontId="21" fillId="15" borderId="8" xfId="0" applyFont="1" applyFill="1" applyBorder="1" applyAlignment="1">
      <alignment horizontal="center" vertical="center"/>
    </xf>
    <xf numFmtId="0" fontId="21" fillId="10" borderId="8" xfId="0" applyFont="1" applyFill="1" applyBorder="1" applyAlignment="1">
      <alignment horizontal="center" vertical="center"/>
    </xf>
    <xf numFmtId="0" fontId="0" fillId="0" borderId="15" xfId="0" applyBorder="1" applyAlignment="1">
      <alignment horizontal="center"/>
    </xf>
    <xf numFmtId="0" fontId="25" fillId="19" borderId="16" xfId="0" applyFont="1" applyFill="1" applyBorder="1" applyAlignment="1">
      <alignment horizontal="left" wrapText="1" shrinkToFit="1"/>
    </xf>
    <xf numFmtId="170" fontId="0" fillId="0" borderId="17" xfId="1" applyNumberFormat="1" applyFont="1" applyBorder="1"/>
    <xf numFmtId="0" fontId="0" fillId="0" borderId="18" xfId="0" applyBorder="1" applyAlignment="1">
      <alignment horizontal="center"/>
    </xf>
    <xf numFmtId="0" fontId="25" fillId="19" borderId="0" xfId="0" applyFont="1" applyFill="1" applyAlignment="1">
      <alignment horizontal="left" wrapText="1" shrinkToFit="1"/>
    </xf>
    <xf numFmtId="170" fontId="0" fillId="0" borderId="2" xfId="1" applyNumberFormat="1" applyFont="1" applyBorder="1"/>
    <xf numFmtId="49" fontId="25" fillId="19" borderId="0" xfId="0" applyNumberFormat="1" applyFont="1" applyFill="1"/>
    <xf numFmtId="0" fontId="0" fillId="0" borderId="7" xfId="0" applyBorder="1" applyAlignment="1">
      <alignment horizontal="center"/>
    </xf>
    <xf numFmtId="0" fontId="25" fillId="19" borderId="3" xfId="0" applyFont="1" applyFill="1" applyBorder="1" applyAlignment="1">
      <alignment horizontal="left" wrapText="1" shrinkToFit="1"/>
    </xf>
    <xf numFmtId="170" fontId="0" fillId="0" borderId="4" xfId="1" applyNumberFormat="1" applyFont="1" applyBorder="1"/>
    <xf numFmtId="0" fontId="26" fillId="0" borderId="16" xfId="0" applyFont="1" applyBorder="1"/>
    <xf numFmtId="0" fontId="26" fillId="0" borderId="0" xfId="0" applyFont="1"/>
    <xf numFmtId="0" fontId="26" fillId="0" borderId="3" xfId="0" applyFont="1" applyBorder="1"/>
    <xf numFmtId="0" fontId="10" fillId="0" borderId="0" xfId="0" applyFont="1" applyAlignment="1">
      <alignment horizontal="center"/>
    </xf>
    <xf numFmtId="0" fontId="9" fillId="0" borderId="0" xfId="0" applyFont="1" applyAlignment="1">
      <alignment horizontal="center"/>
    </xf>
    <xf numFmtId="0" fontId="12" fillId="0" borderId="0" xfId="0" applyFont="1" applyAlignment="1">
      <alignment horizontal="center"/>
    </xf>
    <xf numFmtId="0" fontId="6" fillId="7" borderId="0" xfId="0" applyFont="1" applyFill="1" applyAlignment="1">
      <alignment horizontal="center"/>
    </xf>
    <xf numFmtId="0" fontId="16" fillId="12" borderId="0" xfId="0" applyFont="1" applyFill="1" applyAlignment="1">
      <alignment horizontal="center" vertical="center"/>
    </xf>
    <xf numFmtId="0" fontId="9" fillId="6" borderId="0" xfId="0" applyFont="1" applyFill="1" applyAlignment="1">
      <alignment horizontal="left"/>
    </xf>
    <xf numFmtId="0" fontId="4" fillId="6" borderId="9" xfId="0" applyFont="1" applyFill="1" applyBorder="1" applyAlignment="1">
      <alignment horizontal="left"/>
    </xf>
    <xf numFmtId="0" fontId="4" fillId="6" borderId="6" xfId="0" applyFont="1" applyFill="1" applyBorder="1" applyAlignment="1">
      <alignment horizontal="left"/>
    </xf>
    <xf numFmtId="0" fontId="7" fillId="7" borderId="8" xfId="0" applyFont="1" applyFill="1" applyBorder="1" applyAlignment="1">
      <alignment horizontal="center"/>
    </xf>
    <xf numFmtId="14" fontId="10" fillId="0" borderId="10" xfId="0" applyNumberFormat="1" applyFont="1" applyBorder="1" applyAlignment="1">
      <alignment horizontal="center"/>
    </xf>
    <xf numFmtId="0" fontId="10" fillId="0" borderId="10" xfId="0" applyFont="1" applyBorder="1" applyAlignment="1">
      <alignment horizontal="center"/>
    </xf>
    <xf numFmtId="0" fontId="3" fillId="3" borderId="3" xfId="0" applyFont="1" applyFill="1" applyBorder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2" fillId="3" borderId="7" xfId="0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2" fillId="3" borderId="12" xfId="0" applyFont="1" applyFill="1" applyBorder="1" applyAlignment="1">
      <alignment horizontal="center"/>
    </xf>
    <xf numFmtId="0" fontId="2" fillId="3" borderId="13" xfId="0" applyFont="1" applyFill="1" applyBorder="1" applyAlignment="1">
      <alignment horizontal="center"/>
    </xf>
    <xf numFmtId="0" fontId="3" fillId="3" borderId="2" xfId="0" applyFont="1" applyFill="1" applyBorder="1" applyAlignment="1">
      <alignment horizontal="center" vertical="center"/>
    </xf>
    <xf numFmtId="0" fontId="3" fillId="3" borderId="4" xfId="0" applyFont="1" applyFill="1" applyBorder="1" applyAlignment="1">
      <alignment horizontal="center" vertical="center"/>
    </xf>
    <xf numFmtId="7" fontId="0" fillId="0" borderId="0" xfId="0" applyNumberFormat="1"/>
    <xf numFmtId="0" fontId="6" fillId="7" borderId="0" xfId="0" applyFont="1" applyFill="1" applyAlignment="1"/>
  </cellXfs>
  <cellStyles count="3">
    <cellStyle name="Lien hypertexte" xfId="2" builtinId="8"/>
    <cellStyle name="Monétaire" xfId="1" builtinId="4"/>
    <cellStyle name="Normal" xfId="0" builtinId="0"/>
  </cellStyles>
  <dxfs count="43">
    <dxf>
      <fill>
        <gradientFill degree="90">
          <stop position="0">
            <color rgb="FFEDF9FD"/>
          </stop>
          <stop position="1">
            <color rgb="FFEDF9FD"/>
          </stop>
        </gradientFill>
      </fill>
      <border>
        <left style="hair">
          <color theme="4" tint="-0.499984740745262"/>
        </left>
        <right style="hair">
          <color theme="4" tint="-0.499984740745262"/>
        </right>
        <bottom style="hair">
          <color theme="4" tint="-0.499984740745262"/>
        </bottom>
        <vertical/>
        <horizontal/>
      </border>
    </dxf>
    <dxf>
      <fill>
        <patternFill>
          <bgColor theme="0"/>
        </patternFill>
      </fill>
      <border>
        <left style="hair">
          <color theme="4" tint="-0.499984740745262"/>
        </left>
        <right style="hair">
          <color theme="4" tint="-0.499984740745262"/>
        </right>
        <bottom style="hair">
          <color theme="4" tint="-0.499984740745262"/>
        </bottom>
        <vertical/>
        <horizontal/>
      </border>
    </dxf>
    <dxf>
      <font>
        <b/>
        <i val="0"/>
        <color theme="0"/>
      </font>
      <fill>
        <gradientFill degree="90">
          <stop position="0">
            <color theme="4" tint="-0.25098422193060094"/>
          </stop>
          <stop position="1">
            <color theme="4" tint="-0.49803155613879818"/>
          </stop>
        </gradientFill>
      </fill>
    </dxf>
    <dxf>
      <fill>
        <gradientFill degree="90">
          <stop position="0">
            <color rgb="FFEDF9FD"/>
          </stop>
          <stop position="1">
            <color rgb="FFEDF9FD"/>
          </stop>
        </gradientFill>
      </fill>
      <border>
        <left style="hair">
          <color theme="4" tint="-0.499984740745262"/>
        </left>
        <right style="hair">
          <color theme="4" tint="-0.499984740745262"/>
        </right>
        <bottom style="hair">
          <color theme="4" tint="-0.499984740745262"/>
        </bottom>
        <vertical/>
        <horizontal/>
      </border>
    </dxf>
    <dxf>
      <fill>
        <patternFill>
          <bgColor theme="0"/>
        </patternFill>
      </fill>
      <border>
        <left style="hair">
          <color theme="4" tint="-0.499984740745262"/>
        </left>
        <right style="hair">
          <color theme="4" tint="-0.499984740745262"/>
        </right>
        <bottom style="hair">
          <color theme="4" tint="-0.499984740745262"/>
        </bottom>
        <vertical/>
        <horizontal/>
      </border>
    </dxf>
    <dxf>
      <font>
        <b/>
        <i val="0"/>
        <color theme="0"/>
      </font>
      <fill>
        <gradientFill degree="90">
          <stop position="0">
            <color theme="4" tint="-0.25098422193060094"/>
          </stop>
          <stop position="1">
            <color theme="4" tint="-0.49803155613879818"/>
          </stop>
        </gradientFill>
      </fill>
    </dxf>
    <dxf>
      <fill>
        <gradientFill degree="90">
          <stop position="0">
            <color rgb="FFEDF9FD"/>
          </stop>
          <stop position="1">
            <color rgb="FFEDF9FD"/>
          </stop>
        </gradientFill>
      </fill>
      <border>
        <left style="hair">
          <color theme="4" tint="-0.499984740745262"/>
        </left>
        <right style="hair">
          <color theme="4" tint="-0.499984740745262"/>
        </right>
        <bottom style="hair">
          <color theme="4" tint="-0.499984740745262"/>
        </bottom>
        <vertical/>
        <horizontal/>
      </border>
    </dxf>
    <dxf>
      <fill>
        <patternFill>
          <bgColor theme="0"/>
        </patternFill>
      </fill>
      <border>
        <left style="hair">
          <color theme="4" tint="-0.499984740745262"/>
        </left>
        <right style="hair">
          <color theme="4" tint="-0.499984740745262"/>
        </right>
        <bottom style="hair">
          <color theme="4" tint="-0.499984740745262"/>
        </bottom>
        <vertical/>
        <horizontal/>
      </border>
    </dxf>
    <dxf>
      <font>
        <b/>
        <i val="0"/>
        <color theme="0"/>
      </font>
      <fill>
        <gradientFill degree="90">
          <stop position="0">
            <color theme="4" tint="-0.25098422193060094"/>
          </stop>
          <stop position="1">
            <color theme="4" tint="-0.49803155613879818"/>
          </stop>
        </gradientFill>
      </fill>
    </dxf>
    <dxf>
      <fill>
        <gradientFill degree="90">
          <stop position="0">
            <color rgb="FFEDF9FD"/>
          </stop>
          <stop position="1">
            <color rgb="FFEDF9FD"/>
          </stop>
        </gradientFill>
      </fill>
      <border>
        <left style="hair">
          <color theme="4" tint="-0.499984740745262"/>
        </left>
        <right style="hair">
          <color theme="4" tint="-0.499984740745262"/>
        </right>
        <bottom style="hair">
          <color theme="4" tint="-0.499984740745262"/>
        </bottom>
        <vertical/>
        <horizontal/>
      </border>
    </dxf>
    <dxf>
      <fill>
        <patternFill>
          <bgColor theme="0"/>
        </patternFill>
      </fill>
      <border>
        <left style="hair">
          <color theme="4" tint="-0.499984740745262"/>
        </left>
        <right style="hair">
          <color theme="4" tint="-0.499984740745262"/>
        </right>
        <bottom style="hair">
          <color theme="4" tint="-0.499984740745262"/>
        </bottom>
        <vertical/>
        <horizontal/>
      </border>
    </dxf>
    <dxf>
      <font>
        <b/>
        <i val="0"/>
        <color theme="0"/>
      </font>
      <fill>
        <gradientFill degree="90">
          <stop position="0">
            <color theme="4" tint="-0.25098422193060094"/>
          </stop>
          <stop position="1">
            <color theme="4" tint="-0.49803155613879818"/>
          </stop>
        </gradient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gradientFill degree="90">
          <stop position="0">
            <color rgb="FFEDF9FD"/>
          </stop>
          <stop position="1">
            <color rgb="FFEDF9FD"/>
          </stop>
        </gradientFill>
      </fill>
      <border>
        <left style="hair">
          <color theme="4" tint="-0.499984740745262"/>
        </left>
        <right style="hair">
          <color theme="4" tint="-0.499984740745262"/>
        </right>
        <bottom style="hair">
          <color theme="4" tint="-0.499984740745262"/>
        </bottom>
        <vertical/>
        <horizontal/>
      </border>
    </dxf>
    <dxf>
      <fill>
        <patternFill>
          <bgColor theme="0"/>
        </patternFill>
      </fill>
      <border>
        <left style="hair">
          <color theme="4" tint="-0.499984740745262"/>
        </left>
        <right style="hair">
          <color theme="4" tint="-0.499984740745262"/>
        </right>
        <bottom style="hair">
          <color theme="4" tint="-0.499984740745262"/>
        </bottom>
        <vertical/>
        <horizontal/>
      </border>
    </dxf>
    <dxf>
      <font>
        <b/>
        <i val="0"/>
        <color theme="0"/>
      </font>
      <fill>
        <gradientFill degree="90">
          <stop position="0">
            <color theme="4" tint="-0.25098422193060094"/>
          </stop>
          <stop position="1">
            <color theme="4" tint="-0.49803155613879818"/>
          </stop>
        </gradientFill>
      </fill>
    </dxf>
  </dxfs>
  <tableStyles count="0" defaultTableStyle="TableStyleMedium2" defaultPivotStyle="PivotStyleLight16"/>
  <colors>
    <mruColors>
      <color rgb="FFB2B2B2"/>
      <color rgb="FFEDF9FD"/>
      <color rgb="FFFFFFCC"/>
      <color rgb="FF99FFCC"/>
      <color rgb="FFE2F0F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CheckBox" checked="Checked" fmlaLink="$B$15" lockText="1" noThreeD="1"/>
</file>

<file path=xl/ctrlProps/ctrlProp2.xml><?xml version="1.0" encoding="utf-8"?>
<formControlPr xmlns="http://schemas.microsoft.com/office/spreadsheetml/2009/9/main" objectType="CheckBox" checked="Checked" fmlaLink="$B$16" lockText="1" noThreeD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hyperlink" Target="https://youtu.be/YC-SZlIwj5c" TargetMode="External"/><Relationship Id="rId5" Type="http://schemas.openxmlformats.org/officeDocument/2006/relationships/image" Target="../media/image5.png"/><Relationship Id="rId10" Type="http://schemas.openxmlformats.org/officeDocument/2006/relationships/image" Target="../media/image10.svg"/><Relationship Id="rId4" Type="http://schemas.openxmlformats.org/officeDocument/2006/relationships/image" Target="../media/image4.svg"/><Relationship Id="rId9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195904</xdr:colOff>
      <xdr:row>2</xdr:row>
      <xdr:rowOff>81064</xdr:rowOff>
    </xdr:from>
    <xdr:to>
      <xdr:col>8</xdr:col>
      <xdr:colOff>128351</xdr:colOff>
      <xdr:row>7</xdr:row>
      <xdr:rowOff>121596</xdr:rowOff>
    </xdr:to>
    <xdr:sp macro="" textlink="">
      <xdr:nvSpPr>
        <xdr:cNvPr id="15" name="Rectangle: Rounded Corners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/>
      </xdr:nvSpPr>
      <xdr:spPr>
        <a:xfrm>
          <a:off x="1945532" y="797128"/>
          <a:ext cx="5296170" cy="952500"/>
        </a:xfrm>
        <a:prstGeom prst="roundRect">
          <a:avLst>
            <a:gd name="adj" fmla="val 10284"/>
          </a:avLst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170099</xdr:colOff>
      <xdr:row>2</xdr:row>
      <xdr:rowOff>24119</xdr:rowOff>
    </xdr:from>
    <xdr:to>
      <xdr:col>4</xdr:col>
      <xdr:colOff>751609</xdr:colOff>
      <xdr:row>2</xdr:row>
      <xdr:rowOff>141144</xdr:rowOff>
    </xdr:to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 txBox="1"/>
      </xdr:nvSpPr>
      <xdr:spPr>
        <a:xfrm>
          <a:off x="2017949" y="652769"/>
          <a:ext cx="1314935" cy="117025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050"/>
            <a:t>Facturation du temps</a:t>
          </a:r>
        </a:p>
      </xdr:txBody>
    </xdr:sp>
    <xdr:clientData/>
  </xdr:twoCellAnchor>
  <xdr:twoCellAnchor>
    <xdr:from>
      <xdr:col>31</xdr:col>
      <xdr:colOff>255756</xdr:colOff>
      <xdr:row>7</xdr:row>
      <xdr:rowOff>146552</xdr:rowOff>
    </xdr:from>
    <xdr:to>
      <xdr:col>33</xdr:col>
      <xdr:colOff>141357</xdr:colOff>
      <xdr:row>9</xdr:row>
      <xdr:rowOff>19861</xdr:rowOff>
    </xdr:to>
    <xdr:sp macro="" textlink="">
      <xdr:nvSpPr>
        <xdr:cNvPr id="37" name="Rectangle 36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SpPr/>
      </xdr:nvSpPr>
      <xdr:spPr>
        <a:xfrm>
          <a:off x="27069321" y="1775465"/>
          <a:ext cx="1100384" cy="237744"/>
        </a:xfrm>
        <a:prstGeom prst="rect">
          <a:avLst/>
        </a:prstGeom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100" b="1"/>
            <a:t>New Invoice</a:t>
          </a:r>
        </a:p>
      </xdr:txBody>
    </xdr:sp>
    <xdr:clientData/>
  </xdr:twoCellAnchor>
  <xdr:twoCellAnchor>
    <xdr:from>
      <xdr:col>8</xdr:col>
      <xdr:colOff>0</xdr:colOff>
      <xdr:row>25</xdr:row>
      <xdr:rowOff>0</xdr:rowOff>
    </xdr:from>
    <xdr:to>
      <xdr:col>8</xdr:col>
      <xdr:colOff>165430</xdr:colOff>
      <xdr:row>25</xdr:row>
      <xdr:rowOff>164747</xdr:rowOff>
    </xdr:to>
    <xdr:grpSp>
      <xdr:nvGrpSpPr>
        <xdr:cNvPr id="59" name="AddItemBtn" hidden="1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GrpSpPr/>
      </xdr:nvGrpSpPr>
      <xdr:grpSpPr>
        <a:xfrm>
          <a:off x="6848475" y="5010150"/>
          <a:ext cx="165430" cy="164747"/>
          <a:chOff x="6845682" y="2489085"/>
          <a:chExt cx="164592" cy="164592"/>
        </a:xfrm>
      </xdr:grpSpPr>
      <xdr:sp macro="[0]!BillingEntry_AddToInvoice" textlink="">
        <xdr:nvSpPr>
          <xdr:cNvPr id="58" name="Rectangle 57" hidden="1">
            <a:extLst>
              <a:ext uri="{FF2B5EF4-FFF2-40B4-BE49-F238E27FC236}">
                <a16:creationId xmlns:a16="http://schemas.microsoft.com/office/drawing/2014/main" id="{00000000-0008-0000-0000-00003A000000}"/>
              </a:ext>
            </a:extLst>
          </xdr:cNvPr>
          <xdr:cNvSpPr/>
        </xdr:nvSpPr>
        <xdr:spPr>
          <a:xfrm>
            <a:off x="6845682" y="2489085"/>
            <a:ext cx="164592" cy="164592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US" sz="1100" b="1"/>
          </a:p>
        </xdr:txBody>
      </xdr:sp>
      <xdr:pic macro="[0]!BillingEntry_AddToInvoice">
        <xdr:nvPicPr>
          <xdr:cNvPr id="57" name="Graphic 56" descr="Arrow: Slight curve with solid fill" hidden="1">
            <a:extLst>
              <a:ext uri="{FF2B5EF4-FFF2-40B4-BE49-F238E27FC236}">
                <a16:creationId xmlns:a16="http://schemas.microsoft.com/office/drawing/2014/main" id="{00000000-0008-0000-0000-00003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6848420" y="2493763"/>
            <a:ext cx="149868" cy="151199"/>
          </a:xfrm>
          <a:prstGeom prst="rect">
            <a:avLst/>
          </a:prstGeom>
        </xdr:spPr>
      </xdr:pic>
    </xdr:grpSp>
    <xdr:clientData/>
  </xdr:twoCellAnchor>
  <xdr:twoCellAnchor editAs="oneCell">
    <xdr:from>
      <xdr:col>3</xdr:col>
      <xdr:colOff>25978</xdr:colOff>
      <xdr:row>0</xdr:row>
      <xdr:rowOff>386898</xdr:rowOff>
    </xdr:from>
    <xdr:to>
      <xdr:col>7</xdr:col>
      <xdr:colOff>587952</xdr:colOff>
      <xdr:row>1</xdr:row>
      <xdr:rowOff>234745</xdr:rowOff>
    </xdr:to>
    <xdr:grpSp>
      <xdr:nvGrpSpPr>
        <xdr:cNvPr id="3076" name="Group 3075">
          <a:extLst>
            <a:ext uri="{FF2B5EF4-FFF2-40B4-BE49-F238E27FC236}">
              <a16:creationId xmlns:a16="http://schemas.microsoft.com/office/drawing/2014/main" id="{00000000-0008-0000-0000-0000040C0000}"/>
            </a:ext>
          </a:extLst>
        </xdr:cNvPr>
        <xdr:cNvGrpSpPr/>
      </xdr:nvGrpSpPr>
      <xdr:grpSpPr>
        <a:xfrm>
          <a:off x="1873828" y="377373"/>
          <a:ext cx="4838699" cy="238372"/>
          <a:chOff x="2688595" y="421535"/>
          <a:chExt cx="3424922" cy="234888"/>
        </a:xfrm>
      </xdr:grpSpPr>
      <xdr:grpSp>
        <xdr:nvGrpSpPr>
          <xdr:cNvPr id="63" name="Group 62">
            <a:extLst>
              <a:ext uri="{FF2B5EF4-FFF2-40B4-BE49-F238E27FC236}">
                <a16:creationId xmlns:a16="http://schemas.microsoft.com/office/drawing/2014/main" id="{00000000-0008-0000-0000-00003F000000}"/>
              </a:ext>
            </a:extLst>
          </xdr:cNvPr>
          <xdr:cNvGrpSpPr/>
        </xdr:nvGrpSpPr>
        <xdr:grpSpPr>
          <a:xfrm>
            <a:off x="2688595" y="421535"/>
            <a:ext cx="915578" cy="234888"/>
            <a:chOff x="2688595" y="421535"/>
            <a:chExt cx="915578" cy="234888"/>
          </a:xfrm>
        </xdr:grpSpPr>
        <xdr:sp macro="[0]!BillingEntry_New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00000000-0008-0000-0000-000015000000}"/>
                </a:ext>
              </a:extLst>
            </xdr:cNvPr>
            <xdr:cNvSpPr/>
          </xdr:nvSpPr>
          <xdr:spPr>
            <a:xfrm>
              <a:off x="2688595" y="421535"/>
              <a:ext cx="915578" cy="234888"/>
            </a:xfrm>
            <a:prstGeom prst="rect">
              <a:avLst/>
            </a:prstGeom>
            <a:ln>
              <a:noFill/>
            </a:ln>
          </xdr:spPr>
          <xdr:style>
            <a:lnRef idx="3">
              <a:schemeClr val="lt1"/>
            </a:lnRef>
            <a:fillRef idx="1">
              <a:schemeClr val="accent2"/>
            </a:fillRef>
            <a:effectRef idx="1">
              <a:schemeClr val="accent2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r"/>
              <a:r>
                <a:rPr lang="en-US" sz="1000" b="1"/>
                <a:t>Add Entry</a:t>
              </a:r>
            </a:p>
          </xdr:txBody>
        </xdr:sp>
        <xdr:pic macro="[0]!BillingEntry_New">
          <xdr:nvPicPr>
            <xdr:cNvPr id="60" name="Graphic 59" descr="Badge Follow with solid fill">
              <a:extLst>
                <a:ext uri="{FF2B5EF4-FFF2-40B4-BE49-F238E27FC236}">
                  <a16:creationId xmlns:a16="http://schemas.microsoft.com/office/drawing/2014/main" id="{00000000-0008-0000-0000-00003C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4"/>
                </a:ext>
              </a:extLst>
            </a:blip>
            <a:stretch>
              <a:fillRect/>
            </a:stretch>
          </xdr:blipFill>
          <xdr:spPr>
            <a:xfrm>
              <a:off x="2731514" y="446288"/>
              <a:ext cx="183593" cy="185382"/>
            </a:xfrm>
            <a:prstGeom prst="rect">
              <a:avLst/>
            </a:prstGeom>
          </xdr:spPr>
        </xdr:pic>
      </xdr:grpSp>
      <xdr:grpSp>
        <xdr:nvGrpSpPr>
          <xdr:cNvPr id="3074" name="Group 3073">
            <a:extLst>
              <a:ext uri="{FF2B5EF4-FFF2-40B4-BE49-F238E27FC236}">
                <a16:creationId xmlns:a16="http://schemas.microsoft.com/office/drawing/2014/main" id="{00000000-0008-0000-0000-0000020C0000}"/>
              </a:ext>
            </a:extLst>
          </xdr:cNvPr>
          <xdr:cNvGrpSpPr/>
        </xdr:nvGrpSpPr>
        <xdr:grpSpPr>
          <a:xfrm>
            <a:off x="5101938" y="421535"/>
            <a:ext cx="1011579" cy="234888"/>
            <a:chOff x="5101938" y="421535"/>
            <a:chExt cx="1011579" cy="234888"/>
          </a:xfrm>
        </xdr:grpSpPr>
        <xdr:sp macro="[0]!BillingEntry_Delete" textlink="">
          <xdr:nvSpPr>
            <xdr:cNvPr id="33" name="Rectangle 32">
              <a:extLst>
                <a:ext uri="{FF2B5EF4-FFF2-40B4-BE49-F238E27FC236}">
                  <a16:creationId xmlns:a16="http://schemas.microsoft.com/office/drawing/2014/main" id="{00000000-0008-0000-0000-000021000000}"/>
                </a:ext>
              </a:extLst>
            </xdr:cNvPr>
            <xdr:cNvSpPr/>
          </xdr:nvSpPr>
          <xdr:spPr>
            <a:xfrm>
              <a:off x="5101938" y="421535"/>
              <a:ext cx="1011579" cy="234888"/>
            </a:xfrm>
            <a:prstGeom prst="rect">
              <a:avLst/>
            </a:prstGeom>
            <a:ln>
              <a:noFill/>
            </a:ln>
          </xdr:spPr>
          <xdr:style>
            <a:lnRef idx="3">
              <a:schemeClr val="lt1"/>
            </a:lnRef>
            <a:fillRef idx="1">
              <a:schemeClr val="accent2"/>
            </a:fillRef>
            <a:effectRef idx="1">
              <a:schemeClr val="accent2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r"/>
              <a:r>
                <a:rPr lang="en-US" sz="1000" b="1"/>
                <a:t>Delete Entry</a:t>
              </a:r>
            </a:p>
          </xdr:txBody>
        </xdr:sp>
        <xdr:pic macro="[0]!BillingEntry_Delete">
          <xdr:nvPicPr>
            <xdr:cNvPr id="61" name="Graphic 60" descr="Garbage with solid fill">
              <a:extLst>
                <a:ext uri="{FF2B5EF4-FFF2-40B4-BE49-F238E27FC236}">
                  <a16:creationId xmlns:a16="http://schemas.microsoft.com/office/drawing/2014/main" id="{00000000-0008-0000-0000-00003D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5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6"/>
                </a:ext>
              </a:extLst>
            </a:blip>
            <a:stretch>
              <a:fillRect/>
            </a:stretch>
          </xdr:blipFill>
          <xdr:spPr>
            <a:xfrm>
              <a:off x="5122917" y="446288"/>
              <a:ext cx="183751" cy="185382"/>
            </a:xfrm>
            <a:prstGeom prst="rect">
              <a:avLst/>
            </a:prstGeom>
          </xdr:spPr>
        </xdr:pic>
      </xdr:grpSp>
      <xdr:grpSp>
        <xdr:nvGrpSpPr>
          <xdr:cNvPr id="3072" name="Group 3071">
            <a:extLst>
              <a:ext uri="{FF2B5EF4-FFF2-40B4-BE49-F238E27FC236}">
                <a16:creationId xmlns:a16="http://schemas.microsoft.com/office/drawing/2014/main" id="{00000000-0008-0000-0000-0000000C0000}"/>
              </a:ext>
            </a:extLst>
          </xdr:cNvPr>
          <xdr:cNvGrpSpPr/>
        </xdr:nvGrpSpPr>
        <xdr:grpSpPr>
          <a:xfrm>
            <a:off x="3885880" y="421535"/>
            <a:ext cx="934351" cy="234888"/>
            <a:chOff x="3896028" y="421535"/>
            <a:chExt cx="934351" cy="234888"/>
          </a:xfrm>
        </xdr:grpSpPr>
        <xdr:sp macro="[0]!BillingEntry_SaveUpdate" textlink="">
          <xdr:nvSpPr>
            <xdr:cNvPr id="31" name="Rectangle 30">
              <a:extLst>
                <a:ext uri="{FF2B5EF4-FFF2-40B4-BE49-F238E27FC236}">
                  <a16:creationId xmlns:a16="http://schemas.microsoft.com/office/drawing/2014/main" id="{00000000-0008-0000-0000-00001F000000}"/>
                </a:ext>
              </a:extLst>
            </xdr:cNvPr>
            <xdr:cNvSpPr/>
          </xdr:nvSpPr>
          <xdr:spPr>
            <a:xfrm>
              <a:off x="3896028" y="421535"/>
              <a:ext cx="934351" cy="234888"/>
            </a:xfrm>
            <a:prstGeom prst="rect">
              <a:avLst/>
            </a:prstGeom>
            <a:ln>
              <a:noFill/>
            </a:ln>
          </xdr:spPr>
          <xdr:style>
            <a:lnRef idx="3">
              <a:schemeClr val="lt1"/>
            </a:lnRef>
            <a:fillRef idx="1">
              <a:schemeClr val="accent2"/>
            </a:fillRef>
            <a:effectRef idx="1">
              <a:schemeClr val="accent2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r"/>
              <a:r>
                <a:rPr lang="en-US" sz="1000" b="1"/>
                <a:t>Save Entry</a:t>
              </a:r>
            </a:p>
          </xdr:txBody>
        </xdr:sp>
        <xdr:pic macro="[0]!BillingEntry_SaveUpdate">
          <xdr:nvPicPr>
            <xdr:cNvPr id="62" name="Graphic 61" descr="Checkmark with solid fill">
              <a:extLst>
                <a:ext uri="{FF2B5EF4-FFF2-40B4-BE49-F238E27FC236}">
                  <a16:creationId xmlns:a16="http://schemas.microsoft.com/office/drawing/2014/main" id="{00000000-0008-0000-0000-00003E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7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8"/>
                </a:ext>
              </a:extLst>
            </a:blip>
            <a:stretch>
              <a:fillRect/>
            </a:stretch>
          </xdr:blipFill>
          <xdr:spPr>
            <a:xfrm>
              <a:off x="3944883" y="446288"/>
              <a:ext cx="183751" cy="185382"/>
            </a:xfrm>
            <a:prstGeom prst="rect">
              <a:avLst/>
            </a:prstGeom>
          </xdr:spPr>
        </xdr:pic>
      </xdr:grpSp>
    </xdr:grpSp>
    <xdr:clientData/>
  </xdr:twoCellAnchor>
  <xdr:twoCellAnchor editAs="oneCell">
    <xdr:from>
      <xdr:col>16</xdr:col>
      <xdr:colOff>80576</xdr:colOff>
      <xdr:row>2</xdr:row>
      <xdr:rowOff>58682</xdr:rowOff>
    </xdr:from>
    <xdr:to>
      <xdr:col>17</xdr:col>
      <xdr:colOff>736022</xdr:colOff>
      <xdr:row>13</xdr:row>
      <xdr:rowOff>91100</xdr:rowOff>
    </xdr:to>
    <xdr:grpSp>
      <xdr:nvGrpSpPr>
        <xdr:cNvPr id="3085" name="Group 3084">
          <a:extLst>
            <a:ext uri="{FF2B5EF4-FFF2-40B4-BE49-F238E27FC236}">
              <a16:creationId xmlns:a16="http://schemas.microsoft.com/office/drawing/2014/main" id="{00000000-0008-0000-0000-00000D0C0000}"/>
            </a:ext>
          </a:extLst>
        </xdr:cNvPr>
        <xdr:cNvGrpSpPr/>
      </xdr:nvGrpSpPr>
      <xdr:grpSpPr>
        <a:xfrm>
          <a:off x="16330226" y="687332"/>
          <a:ext cx="1779396" cy="2127918"/>
          <a:chOff x="14897539" y="772510"/>
          <a:chExt cx="1132589" cy="1784912"/>
        </a:xfrm>
      </xdr:grpSpPr>
      <xdr:grpSp>
        <xdr:nvGrpSpPr>
          <xdr:cNvPr id="3081" name="Group 3080">
            <a:extLst>
              <a:ext uri="{FF2B5EF4-FFF2-40B4-BE49-F238E27FC236}">
                <a16:creationId xmlns:a16="http://schemas.microsoft.com/office/drawing/2014/main" id="{00000000-0008-0000-0000-0000090C0000}"/>
              </a:ext>
            </a:extLst>
          </xdr:cNvPr>
          <xdr:cNvGrpSpPr/>
        </xdr:nvGrpSpPr>
        <xdr:grpSpPr>
          <a:xfrm>
            <a:off x="14916390" y="1173550"/>
            <a:ext cx="1087360" cy="1383872"/>
            <a:chOff x="14968942" y="972102"/>
            <a:chExt cx="1087360" cy="1383872"/>
          </a:xfrm>
        </xdr:grpSpPr>
        <xdr:grpSp>
          <xdr:nvGrpSpPr>
            <xdr:cNvPr id="3077" name="Group 3076">
              <a:extLst>
                <a:ext uri="{FF2B5EF4-FFF2-40B4-BE49-F238E27FC236}">
                  <a16:creationId xmlns:a16="http://schemas.microsoft.com/office/drawing/2014/main" id="{00000000-0008-0000-0000-0000050C0000}"/>
                </a:ext>
              </a:extLst>
            </xdr:cNvPr>
            <xdr:cNvGrpSpPr/>
          </xdr:nvGrpSpPr>
          <xdr:grpSpPr>
            <a:xfrm>
              <a:off x="14968942" y="972102"/>
              <a:ext cx="1087360" cy="271773"/>
              <a:chOff x="14944647" y="972102"/>
              <a:chExt cx="1087360" cy="271773"/>
            </a:xfrm>
          </xdr:grpSpPr>
          <xdr:sp macro="[0]!Invoice_New" textlink="">
            <xdr:nvSpPr>
              <xdr:cNvPr id="36" name="Rectangle 35">
                <a:extLst>
                  <a:ext uri="{FF2B5EF4-FFF2-40B4-BE49-F238E27FC236}">
                    <a16:creationId xmlns:a16="http://schemas.microsoft.com/office/drawing/2014/main" id="{00000000-0008-0000-0000-000024000000}"/>
                  </a:ext>
                </a:extLst>
              </xdr:cNvPr>
              <xdr:cNvSpPr/>
            </xdr:nvSpPr>
            <xdr:spPr>
              <a:xfrm>
                <a:off x="14944647" y="972102"/>
                <a:ext cx="1087360" cy="271773"/>
              </a:xfrm>
              <a:prstGeom prst="rect">
                <a:avLst/>
              </a:prstGeom>
              <a:ln>
                <a:noFill/>
              </a:ln>
            </xdr:spPr>
            <xdr:style>
              <a:lnRef idx="3">
                <a:schemeClr val="lt1"/>
              </a:lnRef>
              <a:fillRef idx="1">
                <a:schemeClr val="accent2"/>
              </a:fillRef>
              <a:effectRef idx="1">
                <a:schemeClr val="accent2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r"/>
                <a:r>
                  <a:rPr lang="en-US" sz="1000" b="1"/>
                  <a:t>Nouvelle facture</a:t>
                </a:r>
              </a:p>
            </xdr:txBody>
          </xdr:sp>
          <xdr:pic macro="[0]!Invoice_New">
            <xdr:nvPicPr>
              <xdr:cNvPr id="49" name="Graphic 48" descr="Badge Follow with solid fill">
                <a:extLst>
                  <a:ext uri="{FF2B5EF4-FFF2-40B4-BE49-F238E27FC236}">
                    <a16:creationId xmlns:a16="http://schemas.microsoft.com/office/drawing/2014/main" id="{00000000-0008-0000-0000-000031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3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4"/>
                  </a:ext>
                </a:extLst>
              </a:blip>
              <a:stretch>
                <a:fillRect/>
              </a:stretch>
            </xdr:blipFill>
            <xdr:spPr>
              <a:xfrm>
                <a:off x="14976814" y="1015546"/>
                <a:ext cx="183593" cy="185382"/>
              </a:xfrm>
              <a:prstGeom prst="rect">
                <a:avLst/>
              </a:prstGeom>
            </xdr:spPr>
          </xdr:pic>
        </xdr:grpSp>
        <xdr:grpSp>
          <xdr:nvGrpSpPr>
            <xdr:cNvPr id="3078" name="Group 3077">
              <a:extLst>
                <a:ext uri="{FF2B5EF4-FFF2-40B4-BE49-F238E27FC236}">
                  <a16:creationId xmlns:a16="http://schemas.microsoft.com/office/drawing/2014/main" id="{00000000-0008-0000-0000-0000060C0000}"/>
                </a:ext>
              </a:extLst>
            </xdr:cNvPr>
            <xdr:cNvGrpSpPr/>
          </xdr:nvGrpSpPr>
          <xdr:grpSpPr>
            <a:xfrm>
              <a:off x="14968942" y="1342230"/>
              <a:ext cx="1087360" cy="271773"/>
              <a:chOff x="14964525" y="1342230"/>
              <a:chExt cx="1087360" cy="271773"/>
            </a:xfrm>
          </xdr:grpSpPr>
          <xdr:sp macro="[0]!Invoice_SaveUpdate" textlink="">
            <xdr:nvSpPr>
              <xdr:cNvPr id="38" name="Rectangle 37">
                <a:extLst>
                  <a:ext uri="{FF2B5EF4-FFF2-40B4-BE49-F238E27FC236}">
                    <a16:creationId xmlns:a16="http://schemas.microsoft.com/office/drawing/2014/main" id="{00000000-0008-0000-0000-000026000000}"/>
                  </a:ext>
                </a:extLst>
              </xdr:cNvPr>
              <xdr:cNvSpPr/>
            </xdr:nvSpPr>
            <xdr:spPr>
              <a:xfrm>
                <a:off x="14964525" y="1342230"/>
                <a:ext cx="1087360" cy="271773"/>
              </a:xfrm>
              <a:prstGeom prst="rect">
                <a:avLst/>
              </a:prstGeom>
              <a:ln>
                <a:noFill/>
              </a:ln>
            </xdr:spPr>
            <xdr:style>
              <a:lnRef idx="3">
                <a:schemeClr val="lt1"/>
              </a:lnRef>
              <a:fillRef idx="1">
                <a:schemeClr val="accent2"/>
              </a:fillRef>
              <a:effectRef idx="1">
                <a:schemeClr val="accent2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r"/>
                <a:r>
                  <a:rPr lang="en-US" sz="1000" b="1"/>
                  <a:t>Sauvegarder facture</a:t>
                </a:r>
              </a:p>
            </xdr:txBody>
          </xdr:sp>
          <xdr:pic macro="[0]!Invoice_SaveUpdate">
            <xdr:nvPicPr>
              <xdr:cNvPr id="51" name="Graphic 50" descr="Checkmark with solid fill">
                <a:extLst>
                  <a:ext uri="{FF2B5EF4-FFF2-40B4-BE49-F238E27FC236}">
                    <a16:creationId xmlns:a16="http://schemas.microsoft.com/office/drawing/2014/main" id="{00000000-0008-0000-0000-000033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7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8"/>
                  </a:ext>
                </a:extLst>
              </a:blip>
              <a:stretch>
                <a:fillRect/>
              </a:stretch>
            </xdr:blipFill>
            <xdr:spPr>
              <a:xfrm>
                <a:off x="15000137" y="1385675"/>
                <a:ext cx="183751" cy="185382"/>
              </a:xfrm>
              <a:prstGeom prst="rect">
                <a:avLst/>
              </a:prstGeom>
            </xdr:spPr>
          </xdr:pic>
        </xdr:grpSp>
        <xdr:grpSp>
          <xdr:nvGrpSpPr>
            <xdr:cNvPr id="3080" name="Group 3079">
              <a:extLst>
                <a:ext uri="{FF2B5EF4-FFF2-40B4-BE49-F238E27FC236}">
                  <a16:creationId xmlns:a16="http://schemas.microsoft.com/office/drawing/2014/main" id="{00000000-0008-0000-0000-0000080C0000}"/>
                </a:ext>
              </a:extLst>
            </xdr:cNvPr>
            <xdr:cNvGrpSpPr/>
          </xdr:nvGrpSpPr>
          <xdr:grpSpPr>
            <a:xfrm>
              <a:off x="14968942" y="2084201"/>
              <a:ext cx="1087360" cy="271773"/>
              <a:chOff x="14993238" y="2084201"/>
              <a:chExt cx="1087360" cy="271773"/>
            </a:xfrm>
          </xdr:grpSpPr>
          <xdr:sp macro="[0]!Invoice_Delete" textlink="">
            <xdr:nvSpPr>
              <xdr:cNvPr id="47" name="Rectangle 46">
                <a:extLst>
                  <a:ext uri="{FF2B5EF4-FFF2-40B4-BE49-F238E27FC236}">
                    <a16:creationId xmlns:a16="http://schemas.microsoft.com/office/drawing/2014/main" id="{00000000-0008-0000-0000-00002F000000}"/>
                  </a:ext>
                </a:extLst>
              </xdr:cNvPr>
              <xdr:cNvSpPr/>
            </xdr:nvSpPr>
            <xdr:spPr>
              <a:xfrm>
                <a:off x="14993238" y="2084201"/>
                <a:ext cx="1087360" cy="271773"/>
              </a:xfrm>
              <a:prstGeom prst="rect">
                <a:avLst/>
              </a:prstGeom>
              <a:ln>
                <a:noFill/>
              </a:ln>
            </xdr:spPr>
            <xdr:style>
              <a:lnRef idx="3">
                <a:schemeClr val="lt1"/>
              </a:lnRef>
              <a:fillRef idx="1">
                <a:schemeClr val="accent2"/>
              </a:fillRef>
              <a:effectRef idx="1">
                <a:schemeClr val="accent2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r"/>
                <a:r>
                  <a:rPr lang="en-US" sz="1000" b="1"/>
                  <a:t>Détruire</a:t>
                </a:r>
                <a:r>
                  <a:rPr lang="en-US" sz="1000" b="1" baseline="0"/>
                  <a:t> facture</a:t>
                </a:r>
                <a:endParaRPr lang="en-US" sz="1000" b="1"/>
              </a:p>
            </xdr:txBody>
          </xdr:sp>
          <xdr:pic macro="[0]!Invoice_Delete">
            <xdr:nvPicPr>
              <xdr:cNvPr id="53" name="Graphic 52" descr="Garbage with solid fill">
                <a:extLst>
                  <a:ext uri="{FF2B5EF4-FFF2-40B4-BE49-F238E27FC236}">
                    <a16:creationId xmlns:a16="http://schemas.microsoft.com/office/drawing/2014/main" id="{00000000-0008-0000-0000-000035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5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6"/>
                  </a:ext>
                </a:extLst>
              </a:blip>
              <a:stretch>
                <a:fillRect/>
              </a:stretch>
            </xdr:blipFill>
            <xdr:spPr>
              <a:xfrm>
                <a:off x="15027794" y="2127643"/>
                <a:ext cx="183751" cy="185382"/>
              </a:xfrm>
              <a:prstGeom prst="rect">
                <a:avLst/>
              </a:prstGeom>
            </xdr:spPr>
          </xdr:pic>
        </xdr:grpSp>
        <xdr:grpSp>
          <xdr:nvGrpSpPr>
            <xdr:cNvPr id="3079" name="Group 3078">
              <a:extLst>
                <a:ext uri="{FF2B5EF4-FFF2-40B4-BE49-F238E27FC236}">
                  <a16:creationId xmlns:a16="http://schemas.microsoft.com/office/drawing/2014/main" id="{00000000-0008-0000-0000-0000070C0000}"/>
                </a:ext>
              </a:extLst>
            </xdr:cNvPr>
            <xdr:cNvGrpSpPr/>
          </xdr:nvGrpSpPr>
          <xdr:grpSpPr>
            <a:xfrm>
              <a:off x="14968942" y="1712359"/>
              <a:ext cx="1087360" cy="271773"/>
              <a:chOff x="14984403" y="1712359"/>
              <a:chExt cx="1087360" cy="271773"/>
            </a:xfrm>
          </xdr:grpSpPr>
          <xdr:sp macro="[0]!Invoice_Print" textlink="">
            <xdr:nvSpPr>
              <xdr:cNvPr id="46" name="Rectangle 45">
                <a:extLst>
                  <a:ext uri="{FF2B5EF4-FFF2-40B4-BE49-F238E27FC236}">
                    <a16:creationId xmlns:a16="http://schemas.microsoft.com/office/drawing/2014/main" id="{00000000-0008-0000-0000-00002E000000}"/>
                  </a:ext>
                </a:extLst>
              </xdr:cNvPr>
              <xdr:cNvSpPr/>
            </xdr:nvSpPr>
            <xdr:spPr>
              <a:xfrm>
                <a:off x="14984403" y="1712359"/>
                <a:ext cx="1087360" cy="271773"/>
              </a:xfrm>
              <a:prstGeom prst="rect">
                <a:avLst/>
              </a:prstGeom>
              <a:ln>
                <a:noFill/>
              </a:ln>
            </xdr:spPr>
            <xdr:style>
              <a:lnRef idx="3">
                <a:schemeClr val="lt1"/>
              </a:lnRef>
              <a:fillRef idx="1">
                <a:schemeClr val="accent2"/>
              </a:fillRef>
              <a:effectRef idx="1">
                <a:schemeClr val="accent2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r"/>
                <a:r>
                  <a:rPr lang="en-US" sz="1000" b="1"/>
                  <a:t>Impression facture</a:t>
                </a:r>
              </a:p>
            </xdr:txBody>
          </xdr:sp>
          <xdr:pic macro="[0]!Invoice_Print">
            <xdr:nvPicPr>
              <xdr:cNvPr id="55" name="Graphic 54" descr="Fax with solid fill">
                <a:extLst>
                  <a:ext uri="{FF2B5EF4-FFF2-40B4-BE49-F238E27FC236}">
                    <a16:creationId xmlns:a16="http://schemas.microsoft.com/office/drawing/2014/main" id="{00000000-0008-0000-0000-000037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9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10"/>
                  </a:ext>
                </a:extLst>
              </a:blip>
              <a:stretch>
                <a:fillRect/>
              </a:stretch>
            </xdr:blipFill>
            <xdr:spPr>
              <a:xfrm>
                <a:off x="15021034" y="1756661"/>
                <a:ext cx="183751" cy="185382"/>
              </a:xfrm>
              <a:prstGeom prst="rect">
                <a:avLst/>
              </a:prstGeom>
            </xdr:spPr>
          </xdr:pic>
        </xdr:grpSp>
      </xdr:grpSp>
      <xdr:grpSp>
        <xdr:nvGrpSpPr>
          <xdr:cNvPr id="3084" name="Group 3083">
            <a:extLst>
              <a:ext uri="{FF2B5EF4-FFF2-40B4-BE49-F238E27FC236}">
                <a16:creationId xmlns:a16="http://schemas.microsoft.com/office/drawing/2014/main" id="{00000000-0008-0000-0000-00000C0C0000}"/>
              </a:ext>
            </a:extLst>
          </xdr:cNvPr>
          <xdr:cNvGrpSpPr/>
        </xdr:nvGrpSpPr>
        <xdr:grpSpPr>
          <a:xfrm>
            <a:off x="14897539" y="772510"/>
            <a:ext cx="1132589" cy="347890"/>
            <a:chOff x="14897539" y="772510"/>
            <a:chExt cx="1132589" cy="347890"/>
          </a:xfrm>
        </xdr:grpSpPr>
        <xdr:sp macro="[0]!Next_Invoice" textlink="">
          <xdr:nvSpPr>
            <xdr:cNvPr id="3082" name="Arrow: Right 3081">
              <a:extLst>
                <a:ext uri="{FF2B5EF4-FFF2-40B4-BE49-F238E27FC236}">
                  <a16:creationId xmlns:a16="http://schemas.microsoft.com/office/drawing/2014/main" id="{00000000-0008-0000-0000-00000A0C0000}"/>
                </a:ext>
              </a:extLst>
            </xdr:cNvPr>
            <xdr:cNvSpPr/>
          </xdr:nvSpPr>
          <xdr:spPr>
            <a:xfrm>
              <a:off x="15599105" y="772510"/>
              <a:ext cx="431023" cy="347890"/>
            </a:xfrm>
            <a:prstGeom prst="rightArrow">
              <a:avLst/>
            </a:prstGeom>
            <a:ln>
              <a:noFill/>
            </a:ln>
          </xdr:spPr>
          <xdr:style>
            <a:lnRef idx="2">
              <a:schemeClr val="accent2">
                <a:shade val="50000"/>
              </a:schemeClr>
            </a:lnRef>
            <a:fillRef idx="1">
              <a:schemeClr val="accent2"/>
            </a:fillRef>
            <a:effectRef idx="0">
              <a:schemeClr val="accent2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[0]!Prev_Invoice" textlink="">
          <xdr:nvSpPr>
            <xdr:cNvPr id="3083" name="Arrow: Right 3082">
              <a:extLst>
                <a:ext uri="{FF2B5EF4-FFF2-40B4-BE49-F238E27FC236}">
                  <a16:creationId xmlns:a16="http://schemas.microsoft.com/office/drawing/2014/main" id="{00000000-0008-0000-0000-00000B0C0000}"/>
                </a:ext>
              </a:extLst>
            </xdr:cNvPr>
            <xdr:cNvSpPr/>
          </xdr:nvSpPr>
          <xdr:spPr>
            <a:xfrm flipH="1">
              <a:off x="14897539" y="772510"/>
              <a:ext cx="431023" cy="347890"/>
            </a:xfrm>
            <a:prstGeom prst="rightArrow">
              <a:avLst/>
            </a:prstGeom>
            <a:ln>
              <a:noFill/>
            </a:ln>
          </xdr:spPr>
          <xdr:style>
            <a:lnRef idx="2">
              <a:schemeClr val="accent2">
                <a:shade val="50000"/>
              </a:schemeClr>
            </a:lnRef>
            <a:fillRef idx="1">
              <a:schemeClr val="accent2"/>
            </a:fillRef>
            <a:effectRef idx="0">
              <a:schemeClr val="accent2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</xdr:grp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1171575</xdr:colOff>
          <xdr:row>7</xdr:row>
          <xdr:rowOff>161925</xdr:rowOff>
        </xdr:from>
        <xdr:to>
          <xdr:col>5</xdr:col>
          <xdr:colOff>1238250</xdr:colOff>
          <xdr:row>9</xdr:row>
          <xdr:rowOff>19050</xdr:rowOff>
        </xdr:to>
        <xdr:sp macro="" textlink="">
          <xdr:nvSpPr>
            <xdr:cNvPr id="2" name="Check Box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495300</xdr:colOff>
          <xdr:row>7</xdr:row>
          <xdr:rowOff>161925</xdr:rowOff>
        </xdr:from>
        <xdr:to>
          <xdr:col>8</xdr:col>
          <xdr:colOff>28575</xdr:colOff>
          <xdr:row>9</xdr:row>
          <xdr:rowOff>9525</xdr:rowOff>
        </xdr:to>
        <xdr:sp macro="" textlink="">
          <xdr:nvSpPr>
            <xdr:cNvPr id="3" name="Check Box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000-000003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190501</xdr:colOff>
      <xdr:row>7</xdr:row>
      <xdr:rowOff>138546</xdr:rowOff>
    </xdr:from>
    <xdr:to>
      <xdr:col>4</xdr:col>
      <xdr:colOff>640772</xdr:colOff>
      <xdr:row>9</xdr:row>
      <xdr:rowOff>4577</xdr:rowOff>
    </xdr:to>
    <xdr:grpSp>
      <xdr:nvGrpSpPr>
        <xdr:cNvPr id="3092" name="Group 3091">
          <a:extLst>
            <a:ext uri="{FF2B5EF4-FFF2-40B4-BE49-F238E27FC236}">
              <a16:creationId xmlns:a16="http://schemas.microsoft.com/office/drawing/2014/main" id="{00000000-0008-0000-0000-0000140C0000}"/>
            </a:ext>
          </a:extLst>
        </xdr:cNvPr>
        <xdr:cNvGrpSpPr/>
      </xdr:nvGrpSpPr>
      <xdr:grpSpPr>
        <a:xfrm>
          <a:off x="2038351" y="1719696"/>
          <a:ext cx="1183696" cy="247031"/>
          <a:chOff x="2234046" y="1778001"/>
          <a:chExt cx="1166090" cy="235485"/>
        </a:xfrm>
      </xdr:grpSpPr>
      <xdr:sp macro="" textlink="">
        <xdr:nvSpPr>
          <xdr:cNvPr id="3088" name="Rectangle 3087">
            <a:extLst>
              <a:ext uri="{FF2B5EF4-FFF2-40B4-BE49-F238E27FC236}">
                <a16:creationId xmlns:a16="http://schemas.microsoft.com/office/drawing/2014/main" id="{00000000-0008-0000-0000-0000100C0000}"/>
              </a:ext>
            </a:extLst>
          </xdr:cNvPr>
          <xdr:cNvSpPr/>
        </xdr:nvSpPr>
        <xdr:spPr>
          <a:xfrm>
            <a:off x="2234046" y="1778001"/>
            <a:ext cx="1166090" cy="23548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100" b="1"/>
              <a:t>Add All </a:t>
            </a:r>
            <a:r>
              <a:rPr lang="en-US" sz="1000" b="1"/>
              <a:t>Items</a:t>
            </a:r>
            <a:endParaRPr lang="en-US" sz="1100" b="1"/>
          </a:p>
        </xdr:txBody>
      </xdr:sp>
      <xdr:pic>
        <xdr:nvPicPr>
          <xdr:cNvPr id="3089" name="Graphic 3088" descr="Checkmark with solid fill">
            <a:extLst>
              <a:ext uri="{FF2B5EF4-FFF2-40B4-BE49-F238E27FC236}">
                <a16:creationId xmlns:a16="http://schemas.microsoft.com/office/drawing/2014/main" id="{00000000-0008-0000-0000-000011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282943" y="1802817"/>
            <a:ext cx="183911" cy="185853"/>
          </a:xfrm>
          <a:prstGeom prst="rect">
            <a:avLst/>
          </a:prstGeom>
        </xdr:spPr>
      </xdr:pic>
      <xdr:pic>
        <xdr:nvPicPr>
          <xdr:cNvPr id="3091" name="Graphic 3090" descr="Checkmark with solid fill">
            <a:extLst>
              <a:ext uri="{FF2B5EF4-FFF2-40B4-BE49-F238E27FC236}">
                <a16:creationId xmlns:a16="http://schemas.microsoft.com/office/drawing/2014/main" id="{00000000-0008-0000-0000-000013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325661" y="1802817"/>
            <a:ext cx="183911" cy="185853"/>
          </a:xfrm>
          <a:prstGeom prst="rect">
            <a:avLst/>
          </a:prstGeom>
        </xdr:spPr>
      </xdr:pic>
    </xdr:grpSp>
    <xdr:clientData/>
  </xdr:twoCellAnchor>
  <xdr:twoCellAnchor>
    <xdr:from>
      <xdr:col>16</xdr:col>
      <xdr:colOff>109103</xdr:colOff>
      <xdr:row>14</xdr:row>
      <xdr:rowOff>2598</xdr:rowOff>
    </xdr:from>
    <xdr:to>
      <xdr:col>17</xdr:col>
      <xdr:colOff>704850</xdr:colOff>
      <xdr:row>15</xdr:row>
      <xdr:rowOff>126423</xdr:rowOff>
    </xdr:to>
    <xdr:grpSp>
      <xdr:nvGrpSpPr>
        <xdr:cNvPr id="7" name="Group 6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pSpPr/>
      </xdr:nvGrpSpPr>
      <xdr:grpSpPr>
        <a:xfrm>
          <a:off x="16358753" y="2917248"/>
          <a:ext cx="1719697" cy="314325"/>
          <a:chOff x="11809686" y="152400"/>
          <a:chExt cx="1621878" cy="314325"/>
        </a:xfrm>
      </xdr:grpSpPr>
      <xdr:sp macro="" textlink="">
        <xdr:nvSpPr>
          <xdr:cNvPr id="8" name="Rounded Rectangle 1">
            <a:hlinkClick xmlns:r="http://schemas.openxmlformats.org/officeDocument/2006/relationships" r:id="rId11"/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SpPr/>
        </xdr:nvSpPr>
        <xdr:spPr>
          <a:xfrm>
            <a:off x="11809686" y="152400"/>
            <a:ext cx="1621878" cy="314325"/>
          </a:xfrm>
          <a:prstGeom prst="roundRect">
            <a:avLst/>
          </a:prstGeom>
          <a:solidFill>
            <a:srgbClr val="EA0000"/>
          </a:soli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xdr:spPr>
        <xdr:txBody>
          <a:bodyPr vertOverflow="clip" horzOverflow="clip" rtlCol="0" anchor="ctr"/>
          <a:lstStyle/>
          <a:p>
            <a:pPr marL="0" marR="0" lvl="0" indent="0" algn="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1100" b="1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Watch Training Video</a:t>
            </a:r>
          </a:p>
        </xdr:txBody>
      </xdr:sp>
      <xdr:sp macro="" textlink="">
        <xdr:nvSpPr>
          <xdr:cNvPr id="9" name="Isosceles Triangle 8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SpPr/>
        </xdr:nvSpPr>
        <xdr:spPr>
          <a:xfrm rot="5400000">
            <a:off x="11871724" y="227266"/>
            <a:ext cx="164592" cy="164592"/>
          </a:xfrm>
          <a:prstGeom prst="triangle">
            <a:avLst/>
          </a:prstGeom>
          <a:solidFill>
            <a:sysClr val="window" lastClr="FFFFFF"/>
          </a:solidFill>
          <a:ln w="25400" cap="flat" cmpd="sng" algn="ctr">
            <a:noFill/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  <xdr:oneCellAnchor>
    <xdr:from>
      <xdr:col>17</xdr:col>
      <xdr:colOff>432954</xdr:colOff>
      <xdr:row>20</xdr:row>
      <xdr:rowOff>173181</xdr:rowOff>
    </xdr:from>
    <xdr:ext cx="184731" cy="264560"/>
    <xdr:sp macro="" textlink="">
      <xdr:nvSpPr>
        <xdr:cNvPr id="3073" name="ZoneTexte 3072">
          <a:extLst>
            <a:ext uri="{FF2B5EF4-FFF2-40B4-BE49-F238E27FC236}">
              <a16:creationId xmlns:a16="http://schemas.microsoft.com/office/drawing/2014/main" id="{00000000-0008-0000-0000-0000010C0000}"/>
            </a:ext>
          </a:extLst>
        </xdr:cNvPr>
        <xdr:cNvSpPr txBox="1"/>
      </xdr:nvSpPr>
      <xdr:spPr>
        <a:xfrm>
          <a:off x="15179386" y="432088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  <xdr:twoCellAnchor>
    <xdr:from>
      <xdr:col>16</xdr:col>
      <xdr:colOff>807412</xdr:colOff>
      <xdr:row>17</xdr:row>
      <xdr:rowOff>190499</xdr:rowOff>
    </xdr:from>
    <xdr:to>
      <xdr:col>16</xdr:col>
      <xdr:colOff>1024496</xdr:colOff>
      <xdr:row>19</xdr:row>
      <xdr:rowOff>26240</xdr:rowOff>
    </xdr:to>
    <xdr:pic macro="[0]!BillingEntry_New">
      <xdr:nvPicPr>
        <xdr:cNvPr id="3075" name="Graphic 59" descr="Badge Follow with solid fill">
          <a:extLst>
            <a:ext uri="{FF2B5EF4-FFF2-40B4-BE49-F238E27FC236}">
              <a16:creationId xmlns:a16="http://schemas.microsoft.com/office/drawing/2014/main" id="{00000000-0008-0000-0000-0000030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4506094" y="3766704"/>
          <a:ext cx="217084" cy="21674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Blue II">
      <a:dk1>
        <a:sysClr val="windowText" lastClr="000000"/>
      </a:dk1>
      <a:lt1>
        <a:sysClr val="window" lastClr="FFFFFF"/>
      </a:lt1>
      <a:dk2>
        <a:srgbClr val="335B74"/>
      </a:dk2>
      <a:lt2>
        <a:srgbClr val="DFE3E5"/>
      </a:lt2>
      <a:accent1>
        <a:srgbClr val="1CADE4"/>
      </a:accent1>
      <a:accent2>
        <a:srgbClr val="2683C6"/>
      </a:accent2>
      <a:accent3>
        <a:srgbClr val="27CED7"/>
      </a:accent3>
      <a:accent4>
        <a:srgbClr val="42BA97"/>
      </a:accent4>
      <a:accent5>
        <a:srgbClr val="3E8853"/>
      </a:accent5>
      <a:accent6>
        <a:srgbClr val="62A39F"/>
      </a:accent6>
      <a:hlink>
        <a:srgbClr val="6EAC1C"/>
      </a:hlink>
      <a:folHlink>
        <a:srgbClr val="B26B0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hyperlink" Target="mailto:robertv13@hotmail.com" TargetMode="External"/><Relationship Id="rId2" Type="http://schemas.openxmlformats.org/officeDocument/2006/relationships/hyperlink" Target="mailto:robertv13@gmail.com" TargetMode="External"/><Relationship Id="rId1" Type="http://schemas.openxmlformats.org/officeDocument/2006/relationships/hyperlink" Target="mailto:robertv13@me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BEEA73-2D4D-4EDE-B96D-E2EE5A823ADA}">
  <sheetPr codeName="shInvoice">
    <pageSetUpPr autoPageBreaks="0" fitToPage="1"/>
  </sheetPr>
  <dimension ref="A1:S55"/>
  <sheetViews>
    <sheetView tabSelected="1" zoomScaleNormal="100" workbookViewId="0">
      <selection activeCell="D15" sqref="D15"/>
    </sheetView>
  </sheetViews>
  <sheetFormatPr baseColWidth="10" defaultColWidth="9.140625" defaultRowHeight="15" x14ac:dyDescent="0.25"/>
  <cols>
    <col min="1" max="1" width="17.85546875" customWidth="1"/>
    <col min="2" max="2" width="5.7109375" style="2" customWidth="1"/>
    <col min="3" max="3" width="4.140625" customWidth="1"/>
    <col min="4" max="4" width="11" bestFit="1" customWidth="1"/>
    <col min="5" max="5" width="21.7109375" customWidth="1"/>
    <col min="6" max="6" width="20.42578125" customWidth="1"/>
    <col min="7" max="7" width="11" bestFit="1" customWidth="1"/>
    <col min="8" max="8" width="10.85546875" customWidth="1"/>
    <col min="9" max="9" width="5.7109375" customWidth="1"/>
    <col min="10" max="10" width="10.7109375" customWidth="1"/>
    <col min="11" max="11" width="20.28515625" bestFit="1" customWidth="1"/>
    <col min="12" max="12" width="62.140625" customWidth="1"/>
    <col min="13" max="13" width="10.7109375" customWidth="1"/>
    <col min="14" max="14" width="11.5703125" bestFit="1" customWidth="1"/>
    <col min="15" max="15" width="17.140625" bestFit="1" customWidth="1"/>
    <col min="16" max="16" width="2.7109375" customWidth="1"/>
    <col min="17" max="17" width="16.85546875" customWidth="1"/>
    <col min="18" max="18" width="11.5703125" customWidth="1"/>
    <col min="19" max="19" width="47" customWidth="1"/>
  </cols>
  <sheetData>
    <row r="1" spans="1:19" ht="30" customHeight="1" x14ac:dyDescent="0.45">
      <c r="A1" s="1"/>
      <c r="B1" s="23"/>
      <c r="C1" s="124" t="s">
        <v>126</v>
      </c>
      <c r="D1" s="124"/>
      <c r="E1" s="124"/>
      <c r="F1" s="124"/>
      <c r="G1" s="124"/>
      <c r="H1" s="124"/>
      <c r="I1" s="124"/>
      <c r="J1" s="124" t="s">
        <v>210</v>
      </c>
      <c r="K1" s="124"/>
      <c r="L1" s="124"/>
      <c r="M1" s="124"/>
      <c r="N1" s="124"/>
      <c r="O1" s="124"/>
      <c r="P1" s="141"/>
      <c r="Q1" s="141"/>
      <c r="R1" s="141"/>
      <c r="S1" s="18"/>
    </row>
    <row r="2" spans="1:19" ht="20.100000000000001" customHeight="1" x14ac:dyDescent="0.25">
      <c r="A2" s="91" t="s">
        <v>128</v>
      </c>
      <c r="B2" s="103">
        <v>4</v>
      </c>
      <c r="C2" s="8"/>
      <c r="D2" s="8"/>
      <c r="E2" s="8"/>
      <c r="F2" s="8"/>
      <c r="G2" s="8"/>
      <c r="H2" s="8"/>
      <c r="I2" s="8"/>
      <c r="J2" s="125"/>
      <c r="K2" s="125"/>
      <c r="L2" s="125"/>
      <c r="M2" s="125"/>
      <c r="N2" s="125"/>
      <c r="O2" s="125"/>
      <c r="P2" s="8"/>
      <c r="Q2" s="32" t="s">
        <v>98</v>
      </c>
      <c r="R2" s="19"/>
      <c r="S2" s="8"/>
    </row>
    <row r="3" spans="1:19" ht="15" customHeight="1" x14ac:dyDescent="0.25">
      <c r="A3" s="91" t="s">
        <v>44</v>
      </c>
      <c r="B3" s="84">
        <f ca="1">IFERROR(MATCH(B2,BillEntry_ID,0)+3,"")</f>
        <v>7</v>
      </c>
      <c r="C3" s="9"/>
      <c r="D3" s="9"/>
      <c r="E3" s="9"/>
      <c r="F3" s="9"/>
      <c r="G3" s="9"/>
      <c r="H3" s="9"/>
      <c r="I3" s="9"/>
      <c r="J3" s="50"/>
      <c r="K3" s="49" t="str">
        <f>CONCATENATE("Le " &amp; TEXT(N4, "j mmmm aaaa"))</f>
        <v>Le 1 janvier 2023</v>
      </c>
      <c r="L3" s="50"/>
      <c r="M3" s="51" t="s">
        <v>66</v>
      </c>
      <c r="N3" s="52">
        <v>1</v>
      </c>
      <c r="O3" s="50"/>
      <c r="P3" s="9"/>
      <c r="Q3" s="9"/>
      <c r="R3" s="9"/>
      <c r="S3" s="9"/>
    </row>
    <row r="4" spans="1:19" ht="15" customHeight="1" x14ac:dyDescent="0.25">
      <c r="A4" s="91" t="s">
        <v>45</v>
      </c>
      <c r="B4" s="84">
        <f ca="1">IFERROR(MAX(BillEntry_ID)+1,1)</f>
        <v>19</v>
      </c>
      <c r="C4" s="9"/>
      <c r="D4" s="31" t="s">
        <v>91</v>
      </c>
      <c r="E4" s="127" t="s">
        <v>121</v>
      </c>
      <c r="F4" s="128"/>
      <c r="G4" s="31" t="s">
        <v>5</v>
      </c>
      <c r="H4" s="33">
        <v>45175</v>
      </c>
      <c r="I4" s="9"/>
      <c r="J4" s="51"/>
      <c r="K4" s="50" t="s">
        <v>114</v>
      </c>
      <c r="L4" s="50"/>
      <c r="M4" s="51"/>
      <c r="N4" s="53">
        <v>44927</v>
      </c>
      <c r="O4" s="50"/>
      <c r="P4" s="9"/>
      <c r="Q4" s="9"/>
      <c r="R4" s="9"/>
      <c r="S4" s="9"/>
    </row>
    <row r="5" spans="1:19" ht="15" customHeight="1" x14ac:dyDescent="0.25">
      <c r="A5" s="92" t="s">
        <v>141</v>
      </c>
      <c r="B5" s="104">
        <f ca="1">IFERROR(INDEX(Cust_ID,MATCH(E4,Cust_Name,0),1),"")</f>
        <v>2</v>
      </c>
      <c r="C5" s="9"/>
      <c r="D5" s="31" t="s">
        <v>92</v>
      </c>
      <c r="E5" s="127" t="s">
        <v>155</v>
      </c>
      <c r="F5" s="128"/>
      <c r="G5" s="31" t="s">
        <v>94</v>
      </c>
      <c r="H5" s="34">
        <v>10</v>
      </c>
      <c r="I5" s="9"/>
      <c r="J5" s="50"/>
      <c r="K5" s="50" t="s">
        <v>115</v>
      </c>
      <c r="L5" s="50"/>
      <c r="M5" s="51"/>
      <c r="N5" s="53">
        <v>44957</v>
      </c>
      <c r="O5" s="50"/>
      <c r="P5" s="9"/>
      <c r="Q5" s="9"/>
      <c r="R5" s="9"/>
      <c r="S5" s="9"/>
    </row>
    <row r="6" spans="1:19" ht="15" customHeight="1" x14ac:dyDescent="0.25">
      <c r="A6" s="92" t="s">
        <v>43</v>
      </c>
      <c r="B6" s="85">
        <f ca="1">IFERROR(MATCH(E4,Cust_Name,0)+3,"")</f>
        <v>5</v>
      </c>
      <c r="C6" s="9"/>
      <c r="D6" s="31" t="s">
        <v>93</v>
      </c>
      <c r="E6" s="127" t="s">
        <v>159</v>
      </c>
      <c r="F6" s="128"/>
      <c r="G6" s="31" t="s">
        <v>95</v>
      </c>
      <c r="H6" s="61">
        <v>30</v>
      </c>
      <c r="I6" s="9"/>
      <c r="J6" s="50"/>
      <c r="K6" s="50" t="s">
        <v>209</v>
      </c>
      <c r="L6" s="50"/>
      <c r="M6" s="51" t="s">
        <v>97</v>
      </c>
      <c r="N6" s="126" t="s">
        <v>85</v>
      </c>
      <c r="O6" s="126"/>
      <c r="P6" s="9"/>
      <c r="Q6" s="9"/>
      <c r="R6" s="9"/>
      <c r="S6" s="9"/>
    </row>
    <row r="7" spans="1:19" ht="15" customHeight="1" thickBot="1" x14ac:dyDescent="0.3">
      <c r="A7" s="92" t="s">
        <v>142</v>
      </c>
      <c r="B7" s="104">
        <f ca="1">IFERROR(MAX(Cust_ID)+1,1)</f>
        <v>4</v>
      </c>
      <c r="C7" s="9"/>
      <c r="D7" s="31" t="s">
        <v>4</v>
      </c>
      <c r="E7" s="127" t="s">
        <v>202</v>
      </c>
      <c r="F7" s="128"/>
      <c r="G7" s="31" t="s">
        <v>96</v>
      </c>
      <c r="H7" s="35" t="s">
        <v>3</v>
      </c>
      <c r="I7" s="9"/>
      <c r="J7" s="62"/>
      <c r="K7" s="50"/>
      <c r="L7" s="50"/>
      <c r="M7" s="50"/>
      <c r="N7" s="63"/>
      <c r="O7" s="50"/>
      <c r="P7" s="9"/>
      <c r="Q7" s="9"/>
      <c r="R7" s="9"/>
      <c r="S7" s="9"/>
    </row>
    <row r="8" spans="1:19" ht="15" customHeight="1" x14ac:dyDescent="0.25">
      <c r="A8" s="93" t="s">
        <v>143</v>
      </c>
      <c r="B8" s="105">
        <f ca="1">IFERROR(INDEX(Proj_ID,MATCH(E5,Proj_Name,0),1),"")</f>
        <v>2</v>
      </c>
      <c r="C8" s="9"/>
      <c r="D8" s="9"/>
      <c r="E8" s="9"/>
      <c r="F8" s="9"/>
      <c r="G8" s="9"/>
      <c r="H8" s="9"/>
      <c r="I8" s="9"/>
      <c r="J8" s="130" t="s">
        <v>113</v>
      </c>
      <c r="K8" s="131"/>
      <c r="L8" s="131"/>
      <c r="M8" s="131"/>
      <c r="N8" s="131"/>
      <c r="O8" s="131"/>
      <c r="P8" s="9"/>
      <c r="Q8" s="9"/>
      <c r="R8" s="9"/>
      <c r="S8" s="9"/>
    </row>
    <row r="9" spans="1:19" ht="15" customHeight="1" x14ac:dyDescent="0.25">
      <c r="A9" s="93" t="s">
        <v>86</v>
      </c>
      <c r="B9" s="86">
        <f ca="1">IFERROR(MATCH(E5,Proj_Name,0)+3,"")</f>
        <v>5</v>
      </c>
      <c r="C9" s="9"/>
      <c r="D9" s="9"/>
      <c r="E9" s="9"/>
      <c r="F9" s="9" t="s">
        <v>8</v>
      </c>
      <c r="G9" s="9"/>
      <c r="H9" s="21" t="s">
        <v>6</v>
      </c>
      <c r="I9" s="9"/>
      <c r="J9" s="59"/>
      <c r="K9" s="54"/>
      <c r="L9" s="54"/>
      <c r="M9" s="55"/>
      <c r="N9" s="56"/>
      <c r="O9" s="37" t="str">
        <f>IF(AND(M9&lt;&gt;"",N9&lt;&gt;""),M9*N9,"")</f>
        <v/>
      </c>
      <c r="P9" s="22"/>
      <c r="Q9" s="9"/>
      <c r="R9" s="9"/>
      <c r="S9" s="9"/>
    </row>
    <row r="10" spans="1:19" ht="15" customHeight="1" x14ac:dyDescent="0.25">
      <c r="A10" s="93" t="s">
        <v>144</v>
      </c>
      <c r="B10" s="105">
        <f ca="1">IFERROR(MAX(Proj_ID)+1,1)</f>
        <v>4</v>
      </c>
      <c r="C10" s="9"/>
      <c r="D10" s="129" t="s">
        <v>126</v>
      </c>
      <c r="E10" s="129"/>
      <c r="F10" s="129"/>
      <c r="G10" s="129"/>
      <c r="H10" s="129"/>
      <c r="I10" s="9"/>
      <c r="J10" s="53"/>
      <c r="K10" s="54"/>
      <c r="L10" s="54"/>
      <c r="M10" s="55"/>
      <c r="N10" s="56"/>
      <c r="O10" s="37" t="str">
        <f t="shared" ref="O10:O36" si="0">IF(AND(M10&lt;&gt;"",N10&lt;&gt;""),M10*N10,"")</f>
        <v/>
      </c>
      <c r="P10" s="22"/>
      <c r="Q10" s="9"/>
      <c r="R10" s="9"/>
      <c r="S10" s="9"/>
    </row>
    <row r="11" spans="1:19" ht="15" customHeight="1" x14ac:dyDescent="0.25">
      <c r="A11" s="94" t="s">
        <v>140</v>
      </c>
      <c r="B11" s="106" t="str">
        <f ca="1">IFERROR(INDEX(ServItem_ID,MATCH(E6,ServItem_Name,0),1),"")</f>
        <v/>
      </c>
      <c r="C11" s="9"/>
      <c r="D11" s="36" t="s">
        <v>99</v>
      </c>
      <c r="E11" s="36" t="s">
        <v>92</v>
      </c>
      <c r="F11" s="36" t="s">
        <v>7</v>
      </c>
      <c r="G11" s="36" t="s">
        <v>94</v>
      </c>
      <c r="H11" s="36" t="s">
        <v>100</v>
      </c>
      <c r="I11" s="9"/>
      <c r="J11" s="53"/>
      <c r="K11" s="54"/>
      <c r="L11" s="54"/>
      <c r="M11" s="55"/>
      <c r="N11" s="56"/>
      <c r="O11" s="37" t="str">
        <f t="shared" si="0"/>
        <v/>
      </c>
      <c r="P11" s="22"/>
      <c r="Q11" s="9"/>
      <c r="R11" s="9"/>
      <c r="S11" s="9"/>
    </row>
    <row r="12" spans="1:19" ht="15" customHeight="1" x14ac:dyDescent="0.25">
      <c r="A12" s="94" t="s">
        <v>87</v>
      </c>
      <c r="B12" s="87" t="str">
        <f ca="1">IFERROR(MATCH(E6,ServItem_Name,0)+3,"")</f>
        <v/>
      </c>
      <c r="C12" s="22">
        <v>1</v>
      </c>
      <c r="D12" s="27">
        <v>45170</v>
      </c>
      <c r="E12" s="28" t="s">
        <v>154</v>
      </c>
      <c r="F12" s="28" t="s">
        <v>157</v>
      </c>
      <c r="G12" s="29">
        <v>5</v>
      </c>
      <c r="H12" s="30" t="s">
        <v>3</v>
      </c>
      <c r="I12" s="22">
        <v>4</v>
      </c>
      <c r="J12" s="53"/>
      <c r="K12" s="54"/>
      <c r="L12" s="54"/>
      <c r="M12" s="55"/>
      <c r="N12" s="56"/>
      <c r="O12" s="37" t="str">
        <f t="shared" si="0"/>
        <v/>
      </c>
      <c r="P12" s="22"/>
      <c r="Q12" s="9"/>
      <c r="R12" s="9"/>
      <c r="S12" s="9"/>
    </row>
    <row r="13" spans="1:19" ht="15" customHeight="1" x14ac:dyDescent="0.25">
      <c r="A13" s="94" t="s">
        <v>145</v>
      </c>
      <c r="B13" s="106">
        <f ca="1">IFERROR(MAX(ServItem_ID)+1,1)</f>
        <v>41</v>
      </c>
      <c r="C13" s="22">
        <v>2</v>
      </c>
      <c r="D13" s="27">
        <v>45171</v>
      </c>
      <c r="E13" s="28" t="s">
        <v>154</v>
      </c>
      <c r="F13" s="28" t="s">
        <v>158</v>
      </c>
      <c r="G13" s="29">
        <v>5</v>
      </c>
      <c r="H13" s="30" t="s">
        <v>3</v>
      </c>
      <c r="I13" s="22">
        <v>5</v>
      </c>
      <c r="J13" s="53"/>
      <c r="K13" s="54"/>
      <c r="L13" s="54"/>
      <c r="M13" s="55"/>
      <c r="N13" s="56"/>
      <c r="O13" s="37" t="str">
        <f t="shared" si="0"/>
        <v/>
      </c>
      <c r="P13" s="22"/>
      <c r="Q13" s="9"/>
      <c r="R13" s="9"/>
      <c r="S13" s="9"/>
    </row>
    <row r="14" spans="1:19" ht="15" customHeight="1" x14ac:dyDescent="0.25">
      <c r="A14" s="95" t="s">
        <v>88</v>
      </c>
      <c r="B14" s="88">
        <f>COUNTA(E4,E5,E6,H4)</f>
        <v>4</v>
      </c>
      <c r="C14" s="22">
        <v>3</v>
      </c>
      <c r="D14" s="27">
        <v>45172</v>
      </c>
      <c r="E14" s="28" t="s">
        <v>154</v>
      </c>
      <c r="F14" s="28" t="s">
        <v>159</v>
      </c>
      <c r="G14" s="29">
        <v>6</v>
      </c>
      <c r="H14" s="30" t="s">
        <v>3</v>
      </c>
      <c r="I14" s="22">
        <v>6</v>
      </c>
      <c r="J14" s="53"/>
      <c r="K14" s="54"/>
      <c r="L14" s="54"/>
      <c r="M14" s="55"/>
      <c r="N14" s="57"/>
      <c r="O14" s="37" t="str">
        <f t="shared" si="0"/>
        <v/>
      </c>
      <c r="P14" s="22"/>
      <c r="Q14" s="9"/>
      <c r="R14" s="9"/>
      <c r="S14" s="9"/>
    </row>
    <row r="15" spans="1:19" ht="15" customHeight="1" x14ac:dyDescent="0.25">
      <c r="A15" s="95" t="s">
        <v>89</v>
      </c>
      <c r="B15" s="88" t="b">
        <v>1</v>
      </c>
      <c r="C15" s="22">
        <v>4</v>
      </c>
      <c r="D15" s="27">
        <v>45173</v>
      </c>
      <c r="E15" s="28" t="s">
        <v>155</v>
      </c>
      <c r="F15" s="28" t="s">
        <v>160</v>
      </c>
      <c r="G15" s="29">
        <v>6</v>
      </c>
      <c r="H15" s="30" t="s">
        <v>3</v>
      </c>
      <c r="I15" s="22">
        <v>7</v>
      </c>
      <c r="J15" s="53"/>
      <c r="K15" s="54"/>
      <c r="L15" s="54"/>
      <c r="M15" s="55"/>
      <c r="N15" s="57"/>
      <c r="O15" s="37" t="str">
        <f t="shared" si="0"/>
        <v/>
      </c>
      <c r="P15" s="22"/>
      <c r="Q15" s="9"/>
      <c r="R15" s="9"/>
      <c r="S15" s="9"/>
    </row>
    <row r="16" spans="1:19" ht="15" customHeight="1" x14ac:dyDescent="0.25">
      <c r="A16" s="95" t="s">
        <v>6</v>
      </c>
      <c r="B16" s="88" t="b">
        <v>1</v>
      </c>
      <c r="C16" s="22">
        <v>5</v>
      </c>
      <c r="D16" s="27">
        <v>45174</v>
      </c>
      <c r="E16" s="28" t="s">
        <v>156</v>
      </c>
      <c r="F16" s="28" t="s">
        <v>161</v>
      </c>
      <c r="G16" s="29">
        <v>20</v>
      </c>
      <c r="H16" s="30" t="s">
        <v>3</v>
      </c>
      <c r="I16" s="22">
        <v>8</v>
      </c>
      <c r="J16" s="53"/>
      <c r="K16" s="54"/>
      <c r="L16" s="54"/>
      <c r="M16" s="55"/>
      <c r="N16" s="57"/>
      <c r="O16" s="37" t="str">
        <f t="shared" si="0"/>
        <v/>
      </c>
      <c r="P16" s="22"/>
      <c r="Q16" s="9"/>
      <c r="R16" s="9"/>
      <c r="S16" s="9"/>
    </row>
    <row r="17" spans="1:19" ht="15" customHeight="1" x14ac:dyDescent="0.25">
      <c r="A17" s="95" t="s">
        <v>58</v>
      </c>
      <c r="B17" s="88">
        <v>15</v>
      </c>
      <c r="C17" s="22">
        <v>6</v>
      </c>
      <c r="D17" s="27">
        <v>45175</v>
      </c>
      <c r="E17" s="28" t="s">
        <v>155</v>
      </c>
      <c r="F17" s="28" t="s">
        <v>159</v>
      </c>
      <c r="G17" s="29">
        <v>20</v>
      </c>
      <c r="H17" s="30" t="s">
        <v>3</v>
      </c>
      <c r="I17" s="22">
        <v>9</v>
      </c>
      <c r="J17" s="53"/>
      <c r="K17" s="54"/>
      <c r="L17" s="54"/>
      <c r="M17" s="55"/>
      <c r="N17" s="57"/>
      <c r="O17" s="37" t="str">
        <f t="shared" si="0"/>
        <v/>
      </c>
      <c r="P17" s="22"/>
      <c r="Q17" s="9"/>
      <c r="R17" s="9"/>
      <c r="S17" s="9"/>
    </row>
    <row r="18" spans="1:19" ht="15" customHeight="1" x14ac:dyDescent="0.25">
      <c r="A18" s="96" t="s">
        <v>146</v>
      </c>
      <c r="B18" s="107">
        <f ca="1">IFERROR(INDEX(Cust_ID,MATCH(K4,Cust_Name,0),1),"")</f>
        <v>1</v>
      </c>
      <c r="C18" s="22">
        <v>7</v>
      </c>
      <c r="D18" s="27">
        <v>45176</v>
      </c>
      <c r="E18" s="28" t="s">
        <v>154</v>
      </c>
      <c r="F18" s="28" t="s">
        <v>160</v>
      </c>
      <c r="G18" s="29">
        <v>12</v>
      </c>
      <c r="H18" s="30" t="s">
        <v>3</v>
      </c>
      <c r="I18" s="22">
        <v>10</v>
      </c>
      <c r="J18" s="53"/>
      <c r="K18" s="54"/>
      <c r="L18" s="54"/>
      <c r="M18" s="55"/>
      <c r="N18" s="57"/>
      <c r="O18" s="37" t="str">
        <f t="shared" si="0"/>
        <v/>
      </c>
      <c r="P18" s="22"/>
      <c r="Q18" s="9"/>
      <c r="R18" s="9"/>
      <c r="S18" s="9"/>
    </row>
    <row r="19" spans="1:19" ht="15" customHeight="1" x14ac:dyDescent="0.25">
      <c r="A19" s="96" t="s">
        <v>61</v>
      </c>
      <c r="B19" s="89">
        <f ca="1">IFERROR(MATCH(K4,Cust_Name,0)+3,"")</f>
        <v>4</v>
      </c>
      <c r="C19" s="22">
        <v>8</v>
      </c>
      <c r="D19" s="27">
        <v>45177</v>
      </c>
      <c r="E19" s="28" t="s">
        <v>154</v>
      </c>
      <c r="F19" s="28" t="s">
        <v>161</v>
      </c>
      <c r="G19" s="29">
        <v>2</v>
      </c>
      <c r="H19" s="30" t="s">
        <v>3</v>
      </c>
      <c r="I19" s="22">
        <v>11</v>
      </c>
      <c r="J19" s="58"/>
      <c r="K19" s="54"/>
      <c r="L19" s="54"/>
      <c r="M19" s="55"/>
      <c r="N19" s="57"/>
      <c r="O19" s="37" t="str">
        <f t="shared" si="0"/>
        <v/>
      </c>
      <c r="P19" s="22"/>
      <c r="Q19" s="9"/>
      <c r="R19" s="9"/>
      <c r="S19" s="9"/>
    </row>
    <row r="20" spans="1:19" ht="15" customHeight="1" x14ac:dyDescent="0.25">
      <c r="A20" s="96" t="s">
        <v>27</v>
      </c>
      <c r="B20" s="89">
        <f ca="1">IFERROR(MATCH(N3,Inv_ID,0)+3,"")</f>
        <v>4</v>
      </c>
      <c r="C20" s="22">
        <v>9</v>
      </c>
      <c r="D20" s="27">
        <v>45178</v>
      </c>
      <c r="E20" s="83" t="s">
        <v>154</v>
      </c>
      <c r="F20" s="83" t="s">
        <v>162</v>
      </c>
      <c r="G20" s="29">
        <v>8</v>
      </c>
      <c r="H20" s="27" t="s">
        <v>3</v>
      </c>
      <c r="I20" s="22">
        <v>12</v>
      </c>
      <c r="J20" s="58"/>
      <c r="K20" s="54"/>
      <c r="L20" s="54"/>
      <c r="M20" s="55"/>
      <c r="N20" s="57"/>
      <c r="O20" s="37" t="str">
        <f t="shared" si="0"/>
        <v/>
      </c>
      <c r="P20" s="22"/>
      <c r="Q20" s="9"/>
      <c r="R20" s="9"/>
      <c r="S20" s="9"/>
    </row>
    <row r="21" spans="1:19" ht="15" customHeight="1" x14ac:dyDescent="0.25">
      <c r="A21" s="96" t="s">
        <v>147</v>
      </c>
      <c r="B21" s="107">
        <f ca="1">IFERROR(MAX(Inv_ID)+1,1)</f>
        <v>2</v>
      </c>
      <c r="C21" s="22">
        <v>10</v>
      </c>
      <c r="D21" s="27">
        <v>45179</v>
      </c>
      <c r="E21" s="83" t="s">
        <v>154</v>
      </c>
      <c r="F21" s="83" t="s">
        <v>163</v>
      </c>
      <c r="G21" s="29">
        <v>7</v>
      </c>
      <c r="H21" s="27" t="s">
        <v>3</v>
      </c>
      <c r="I21" s="22">
        <v>13</v>
      </c>
      <c r="J21" s="58"/>
      <c r="K21" s="54"/>
      <c r="L21" s="54"/>
      <c r="M21" s="55"/>
      <c r="N21" s="57"/>
      <c r="O21" s="37" t="str">
        <f t="shared" si="0"/>
        <v/>
      </c>
      <c r="P21" s="22"/>
      <c r="Q21" s="9"/>
      <c r="R21" s="9"/>
      <c r="S21" s="9"/>
    </row>
    <row r="22" spans="1:19" ht="15" customHeight="1" x14ac:dyDescent="0.25">
      <c r="A22" s="96" t="s">
        <v>42</v>
      </c>
      <c r="B22" s="89" t="str">
        <f ca="1">IFERROR(MATCH(R2,Inv_ID,0)+3,"")</f>
        <v/>
      </c>
      <c r="C22" s="22">
        <v>11</v>
      </c>
      <c r="D22" s="27">
        <v>45180</v>
      </c>
      <c r="E22" s="83" t="s">
        <v>154</v>
      </c>
      <c r="F22" s="83" t="s">
        <v>164</v>
      </c>
      <c r="G22" s="29">
        <v>6</v>
      </c>
      <c r="H22" s="27" t="s">
        <v>3</v>
      </c>
      <c r="I22" s="22">
        <v>14</v>
      </c>
      <c r="J22" s="58"/>
      <c r="K22" s="54"/>
      <c r="L22" s="54"/>
      <c r="M22" s="55"/>
      <c r="N22" s="57"/>
      <c r="O22" s="37" t="str">
        <f t="shared" si="0"/>
        <v/>
      </c>
      <c r="P22" s="22"/>
      <c r="Q22" s="9"/>
      <c r="R22" s="9"/>
      <c r="S22" s="9"/>
    </row>
    <row r="23" spans="1:19" ht="15" customHeight="1" x14ac:dyDescent="0.25">
      <c r="A23" s="97" t="s">
        <v>33</v>
      </c>
      <c r="B23" s="90" t="b">
        <v>0</v>
      </c>
      <c r="C23" s="22">
        <v>12</v>
      </c>
      <c r="D23" s="27">
        <v>45181</v>
      </c>
      <c r="E23" s="27" t="s">
        <v>154</v>
      </c>
      <c r="F23" s="83" t="s">
        <v>165</v>
      </c>
      <c r="G23" s="29">
        <v>10</v>
      </c>
      <c r="H23" s="27" t="s">
        <v>3</v>
      </c>
      <c r="I23" s="22">
        <v>15</v>
      </c>
      <c r="J23" s="58"/>
      <c r="K23" s="54"/>
      <c r="L23" s="54"/>
      <c r="M23" s="55"/>
      <c r="N23" s="57"/>
      <c r="O23" s="37" t="str">
        <f t="shared" si="0"/>
        <v/>
      </c>
      <c r="P23" s="22"/>
      <c r="Q23" s="9"/>
      <c r="R23" s="9"/>
      <c r="S23" s="9"/>
    </row>
    <row r="24" spans="1:19" ht="15" customHeight="1" x14ac:dyDescent="0.25">
      <c r="A24" s="97" t="s">
        <v>62</v>
      </c>
      <c r="B24" s="90" t="b">
        <v>1</v>
      </c>
      <c r="C24" s="22">
        <v>13</v>
      </c>
      <c r="D24" s="27">
        <v>45173</v>
      </c>
      <c r="E24" s="83" t="s">
        <v>155</v>
      </c>
      <c r="F24" s="83" t="s">
        <v>160</v>
      </c>
      <c r="G24" s="29">
        <v>16</v>
      </c>
      <c r="H24" s="27" t="s">
        <v>3</v>
      </c>
      <c r="I24" s="22">
        <v>16</v>
      </c>
      <c r="J24" s="58"/>
      <c r="K24" s="54"/>
      <c r="L24" s="54"/>
      <c r="M24" s="55"/>
      <c r="N24" s="57"/>
      <c r="O24" s="37" t="str">
        <f t="shared" si="0"/>
        <v/>
      </c>
      <c r="P24" s="22"/>
      <c r="Q24" s="9"/>
      <c r="R24" s="9"/>
      <c r="S24" s="9"/>
    </row>
    <row r="25" spans="1:19" ht="15" customHeight="1" x14ac:dyDescent="0.25">
      <c r="A25" s="97" t="s">
        <v>63</v>
      </c>
      <c r="B25" s="90" t="b">
        <v>0</v>
      </c>
      <c r="C25" s="22">
        <v>14</v>
      </c>
      <c r="D25" s="27">
        <v>45174</v>
      </c>
      <c r="E25" s="83" t="s">
        <v>156</v>
      </c>
      <c r="F25" s="83" t="s">
        <v>161</v>
      </c>
      <c r="G25" s="29">
        <v>8</v>
      </c>
      <c r="H25" s="27" t="s">
        <v>3</v>
      </c>
      <c r="I25" s="22">
        <v>17</v>
      </c>
      <c r="J25" s="58"/>
      <c r="K25" s="54"/>
      <c r="L25" s="54"/>
      <c r="M25" s="55"/>
      <c r="N25" s="57"/>
      <c r="O25" s="37" t="str">
        <f t="shared" si="0"/>
        <v/>
      </c>
      <c r="P25" s="22"/>
      <c r="Q25" s="9"/>
      <c r="R25" s="9"/>
      <c r="S25" s="9"/>
    </row>
    <row r="26" spans="1:19" ht="15" customHeight="1" x14ac:dyDescent="0.25">
      <c r="A26" s="20"/>
      <c r="B26" s="23"/>
      <c r="C26" s="22">
        <v>15</v>
      </c>
      <c r="D26" s="27">
        <v>45175</v>
      </c>
      <c r="E26" s="83" t="s">
        <v>155</v>
      </c>
      <c r="F26" s="83" t="s">
        <v>159</v>
      </c>
      <c r="G26" s="29">
        <v>10</v>
      </c>
      <c r="H26" s="27" t="s">
        <v>3</v>
      </c>
      <c r="I26" s="22">
        <v>18</v>
      </c>
      <c r="J26" s="58"/>
      <c r="K26" s="54"/>
      <c r="L26" s="54"/>
      <c r="M26" s="55"/>
      <c r="N26" s="57"/>
      <c r="O26" s="37"/>
      <c r="P26" s="22"/>
      <c r="Q26" s="9"/>
      <c r="R26" s="9"/>
      <c r="S26" s="9"/>
    </row>
    <row r="27" spans="1:19" ht="15" customHeight="1" x14ac:dyDescent="0.25">
      <c r="A27" s="20"/>
      <c r="B27" s="23"/>
      <c r="C27" s="22">
        <v>16</v>
      </c>
      <c r="D27" s="27">
        <v>45173</v>
      </c>
      <c r="E27" s="83" t="s">
        <v>155</v>
      </c>
      <c r="F27" s="83" t="s">
        <v>160</v>
      </c>
      <c r="G27" s="29">
        <v>26</v>
      </c>
      <c r="H27" s="27" t="s">
        <v>3</v>
      </c>
      <c r="I27" s="22">
        <v>19</v>
      </c>
      <c r="J27" s="58"/>
      <c r="K27" s="54"/>
      <c r="L27" s="54"/>
      <c r="M27" s="55"/>
      <c r="N27" s="57"/>
      <c r="O27" s="37"/>
      <c r="P27" s="22"/>
      <c r="Q27" s="9"/>
      <c r="R27" s="9"/>
      <c r="S27" s="9"/>
    </row>
    <row r="28" spans="1:19" ht="15" customHeight="1" x14ac:dyDescent="0.25">
      <c r="A28" s="20"/>
      <c r="B28" s="23"/>
      <c r="C28" s="22">
        <v>17</v>
      </c>
      <c r="D28" s="27">
        <v>45174</v>
      </c>
      <c r="E28" s="83" t="s">
        <v>156</v>
      </c>
      <c r="F28" s="83" t="s">
        <v>161</v>
      </c>
      <c r="G28" s="29">
        <v>14</v>
      </c>
      <c r="H28" s="27" t="s">
        <v>3</v>
      </c>
      <c r="I28" s="22">
        <v>20</v>
      </c>
      <c r="J28" s="58"/>
      <c r="K28" s="54"/>
      <c r="L28" s="54"/>
      <c r="M28" s="55"/>
      <c r="N28" s="57"/>
      <c r="O28" s="37"/>
      <c r="P28" s="22"/>
      <c r="Q28" s="9"/>
      <c r="R28" s="9"/>
      <c r="S28" s="9"/>
    </row>
    <row r="29" spans="1:19" ht="15" customHeight="1" x14ac:dyDescent="0.25">
      <c r="A29" s="20"/>
      <c r="B29" s="23"/>
      <c r="C29" s="22">
        <v>18</v>
      </c>
      <c r="D29" s="27">
        <v>45175</v>
      </c>
      <c r="E29" s="83" t="s">
        <v>155</v>
      </c>
      <c r="F29" s="83" t="s">
        <v>159</v>
      </c>
      <c r="G29" s="29">
        <v>5</v>
      </c>
      <c r="H29" s="27" t="s">
        <v>3</v>
      </c>
      <c r="I29" s="22">
        <v>21</v>
      </c>
      <c r="J29" s="58"/>
      <c r="K29" s="54"/>
      <c r="L29" s="54"/>
      <c r="M29" s="55"/>
      <c r="N29" s="57"/>
      <c r="O29" s="37"/>
      <c r="P29" s="22"/>
      <c r="Q29" s="9"/>
      <c r="R29" s="9"/>
      <c r="S29" s="9"/>
    </row>
    <row r="30" spans="1:19" ht="15" customHeight="1" x14ac:dyDescent="0.25">
      <c r="A30" s="20"/>
      <c r="B30" s="23"/>
      <c r="C30" s="22"/>
      <c r="D30" s="14"/>
      <c r="E30" s="9"/>
      <c r="F30" s="9"/>
      <c r="G30" s="9"/>
      <c r="H30" s="9"/>
      <c r="I30" s="22"/>
      <c r="J30" s="58"/>
      <c r="K30" s="54"/>
      <c r="L30" s="54"/>
      <c r="M30" s="55"/>
      <c r="N30" s="57"/>
      <c r="O30" s="37"/>
      <c r="P30" s="22"/>
      <c r="Q30" s="9"/>
      <c r="R30" s="9"/>
      <c r="S30" s="9"/>
    </row>
    <row r="31" spans="1:19" ht="15" customHeight="1" x14ac:dyDescent="0.25">
      <c r="A31" s="20"/>
      <c r="B31" s="23"/>
      <c r="C31" s="22"/>
      <c r="D31" s="14"/>
      <c r="E31" s="9"/>
      <c r="F31" s="9"/>
      <c r="G31" s="9"/>
      <c r="H31" s="9"/>
      <c r="I31" s="22"/>
      <c r="J31" s="58"/>
      <c r="K31" s="54"/>
      <c r="L31" s="54"/>
      <c r="M31" s="55"/>
      <c r="N31" s="57"/>
      <c r="O31" s="37"/>
      <c r="P31" s="22"/>
      <c r="Q31" s="9"/>
      <c r="R31" s="9"/>
      <c r="S31" s="9"/>
    </row>
    <row r="32" spans="1:19" ht="15" customHeight="1" x14ac:dyDescent="0.25">
      <c r="A32" s="20"/>
      <c r="B32" s="23"/>
      <c r="C32" s="22"/>
      <c r="D32" s="14"/>
      <c r="E32" s="9"/>
      <c r="F32" s="9"/>
      <c r="G32" s="9"/>
      <c r="H32" s="9"/>
      <c r="I32" s="22"/>
      <c r="J32" s="58"/>
      <c r="K32" s="54"/>
      <c r="L32" s="54"/>
      <c r="M32" s="55"/>
      <c r="N32" s="57"/>
      <c r="O32" s="37" t="str">
        <f t="shared" si="0"/>
        <v/>
      </c>
      <c r="P32" s="22"/>
      <c r="Q32" s="9"/>
      <c r="R32" s="9"/>
      <c r="S32" s="9"/>
    </row>
    <row r="33" spans="1:19" ht="15" customHeight="1" x14ac:dyDescent="0.25">
      <c r="A33" s="20"/>
      <c r="B33" s="23"/>
      <c r="C33" s="22"/>
      <c r="D33" s="14"/>
      <c r="E33" s="9"/>
      <c r="F33" s="9"/>
      <c r="G33" s="9"/>
      <c r="H33" s="9"/>
      <c r="I33" s="22"/>
      <c r="J33" s="58"/>
      <c r="K33" s="54"/>
      <c r="L33" s="54"/>
      <c r="M33" s="55"/>
      <c r="N33" s="57"/>
      <c r="O33" s="37" t="str">
        <f t="shared" si="0"/>
        <v/>
      </c>
      <c r="P33" s="22"/>
      <c r="Q33" s="9"/>
      <c r="R33" s="9"/>
      <c r="S33" s="9"/>
    </row>
    <row r="34" spans="1:19" ht="15" customHeight="1" x14ac:dyDescent="0.25">
      <c r="A34" s="1"/>
      <c r="B34" s="23"/>
      <c r="C34" s="22"/>
      <c r="D34" s="14"/>
      <c r="E34" s="9"/>
      <c r="F34" s="9"/>
      <c r="G34" s="9"/>
      <c r="H34" s="9"/>
      <c r="I34" s="22"/>
      <c r="J34" s="58"/>
      <c r="K34" s="54"/>
      <c r="L34" s="54"/>
      <c r="M34" s="55"/>
      <c r="N34" s="57"/>
      <c r="O34" s="37" t="str">
        <f t="shared" si="0"/>
        <v/>
      </c>
      <c r="P34" s="22"/>
      <c r="Q34" s="9"/>
      <c r="R34" s="9"/>
      <c r="S34" s="9"/>
    </row>
    <row r="35" spans="1:19" ht="15" customHeight="1" x14ac:dyDescent="0.25">
      <c r="A35" s="1"/>
      <c r="B35" s="23"/>
      <c r="C35" s="22"/>
      <c r="D35" s="14"/>
      <c r="E35" s="9"/>
      <c r="F35" s="9"/>
      <c r="G35" s="9"/>
      <c r="H35" s="9"/>
      <c r="I35" s="22"/>
      <c r="J35" s="58"/>
      <c r="K35" s="54"/>
      <c r="L35" s="54"/>
      <c r="M35" s="55"/>
      <c r="N35" s="57"/>
      <c r="O35" s="37" t="str">
        <f t="shared" si="0"/>
        <v/>
      </c>
      <c r="P35" s="22"/>
      <c r="Q35" s="9"/>
      <c r="R35" s="9"/>
      <c r="S35" s="9"/>
    </row>
    <row r="36" spans="1:19" ht="15" customHeight="1" x14ac:dyDescent="0.25">
      <c r="A36" s="1"/>
      <c r="B36" s="23"/>
      <c r="C36" s="22"/>
      <c r="D36" s="14"/>
      <c r="E36" s="9"/>
      <c r="F36" s="9"/>
      <c r="G36" s="9"/>
      <c r="H36" s="9"/>
      <c r="I36" s="22"/>
      <c r="J36" s="58"/>
      <c r="K36" s="54"/>
      <c r="L36" s="54"/>
      <c r="M36" s="55"/>
      <c r="N36" s="57"/>
      <c r="O36" s="37" t="str">
        <f t="shared" si="0"/>
        <v/>
      </c>
      <c r="P36" s="22"/>
      <c r="Q36" s="9"/>
      <c r="R36" s="9"/>
      <c r="S36" s="9"/>
    </row>
    <row r="37" spans="1:19" ht="15" customHeight="1" x14ac:dyDescent="0.25">
      <c r="A37" s="1"/>
      <c r="B37" s="23"/>
      <c r="C37" s="22"/>
      <c r="D37" s="14"/>
      <c r="E37" s="9"/>
      <c r="F37" s="9"/>
      <c r="G37" s="9"/>
      <c r="H37" s="9"/>
      <c r="I37" s="22"/>
      <c r="J37" s="38"/>
      <c r="K37" s="39" t="s">
        <v>104</v>
      </c>
      <c r="L37" s="38"/>
      <c r="M37" s="38"/>
      <c r="N37" s="40"/>
      <c r="O37" s="76">
        <v>50</v>
      </c>
      <c r="P37" s="22"/>
      <c r="Q37" s="9"/>
      <c r="R37" s="9"/>
      <c r="S37" s="9"/>
    </row>
    <row r="38" spans="1:19" ht="15" customHeight="1" x14ac:dyDescent="0.25">
      <c r="A38" s="1"/>
      <c r="B38" s="23"/>
      <c r="C38" s="9"/>
      <c r="D38" s="14"/>
      <c r="E38" s="9"/>
      <c r="F38" s="9"/>
      <c r="G38" s="9"/>
      <c r="H38" s="9"/>
      <c r="I38" s="22"/>
      <c r="J38" s="38"/>
      <c r="K38" s="38"/>
      <c r="L38" s="38"/>
      <c r="M38" s="41" t="s">
        <v>108</v>
      </c>
      <c r="N38" s="40"/>
      <c r="O38" s="77">
        <v>0</v>
      </c>
      <c r="P38" s="22"/>
      <c r="Q38" s="9"/>
      <c r="R38" s="9"/>
      <c r="S38" s="9"/>
    </row>
    <row r="39" spans="1:19" ht="15" customHeight="1" x14ac:dyDescent="0.25">
      <c r="A39" s="1"/>
      <c r="B39" s="23"/>
      <c r="C39" s="9"/>
      <c r="D39" s="14"/>
      <c r="E39" s="9"/>
      <c r="F39" s="9"/>
      <c r="G39" s="9"/>
      <c r="H39" s="9"/>
      <c r="I39" s="9"/>
      <c r="J39" s="38"/>
      <c r="K39" s="38"/>
      <c r="L39" s="38"/>
      <c r="M39" s="41" t="s">
        <v>109</v>
      </c>
      <c r="N39" s="40"/>
      <c r="O39" s="77">
        <v>0</v>
      </c>
      <c r="P39" s="9"/>
      <c r="Q39" s="9"/>
      <c r="R39" s="9"/>
      <c r="S39" s="9"/>
    </row>
    <row r="40" spans="1:19" ht="15" customHeight="1" x14ac:dyDescent="0.25">
      <c r="A40" s="1"/>
      <c r="B40" s="23"/>
      <c r="C40" s="9"/>
      <c r="D40" s="14"/>
      <c r="E40" s="9"/>
      <c r="F40" s="9"/>
      <c r="G40" s="9"/>
      <c r="H40" s="9"/>
      <c r="I40" s="9"/>
      <c r="J40" s="38"/>
      <c r="K40" s="39" t="s">
        <v>105</v>
      </c>
      <c r="L40" s="38"/>
      <c r="M40" s="38"/>
      <c r="N40" s="42"/>
      <c r="O40" s="76">
        <f>O37+O38+O39</f>
        <v>50</v>
      </c>
      <c r="P40" s="9"/>
      <c r="Q40" s="9"/>
      <c r="R40" s="9"/>
      <c r="S40" s="9"/>
    </row>
    <row r="41" spans="1:19" ht="15" customHeight="1" x14ac:dyDescent="0.25">
      <c r="A41" s="1"/>
      <c r="B41" s="23"/>
      <c r="C41" s="9"/>
      <c r="D41" s="9"/>
      <c r="E41" s="9"/>
      <c r="F41" s="9"/>
      <c r="G41" s="9"/>
      <c r="H41" s="9"/>
      <c r="I41" s="9"/>
      <c r="J41" s="38"/>
      <c r="K41" s="43" t="s">
        <v>106</v>
      </c>
      <c r="L41" s="38"/>
      <c r="M41" s="44">
        <v>0.05</v>
      </c>
      <c r="N41" s="42"/>
      <c r="O41" s="77">
        <f>ROUND(O40*M41,2)</f>
        <v>2.5</v>
      </c>
      <c r="P41" s="9"/>
      <c r="Q41" s="9"/>
      <c r="R41" s="9"/>
      <c r="S41" s="9"/>
    </row>
    <row r="42" spans="1:19" ht="15" customHeight="1" x14ac:dyDescent="0.25">
      <c r="A42" s="1"/>
      <c r="B42" s="23"/>
      <c r="C42" s="9"/>
      <c r="D42" s="9"/>
      <c r="E42" s="9"/>
      <c r="F42" s="9"/>
      <c r="G42" s="9"/>
      <c r="H42" s="9"/>
      <c r="I42" s="9"/>
      <c r="J42" s="38"/>
      <c r="K42" s="43" t="s">
        <v>107</v>
      </c>
      <c r="L42" s="38"/>
      <c r="M42" s="45">
        <v>9.9750000000000005E-2</v>
      </c>
      <c r="N42" s="42"/>
      <c r="O42" s="78">
        <f>ROUND(O40*M42,2)</f>
        <v>4.99</v>
      </c>
      <c r="P42" s="9"/>
      <c r="Q42" s="9"/>
      <c r="R42" s="9"/>
      <c r="S42" s="9"/>
    </row>
    <row r="43" spans="1:19" ht="15" customHeight="1" x14ac:dyDescent="0.25">
      <c r="A43" s="1"/>
      <c r="B43" s="23"/>
      <c r="C43" s="9"/>
      <c r="D43" s="9"/>
      <c r="E43" s="9"/>
      <c r="F43" s="9"/>
      <c r="G43" s="9"/>
      <c r="H43" s="9"/>
      <c r="I43" s="9"/>
      <c r="J43" s="38"/>
      <c r="K43" s="38"/>
      <c r="L43" s="38"/>
      <c r="M43" s="38"/>
      <c r="N43" s="42"/>
      <c r="O43" s="76"/>
      <c r="P43" s="9"/>
      <c r="Q43" s="9"/>
      <c r="R43" s="9"/>
      <c r="S43" s="9"/>
    </row>
    <row r="44" spans="1:19" ht="15" customHeight="1" thickBot="1" x14ac:dyDescent="0.3">
      <c r="A44" s="1"/>
      <c r="B44" s="23"/>
      <c r="C44" s="9"/>
      <c r="D44" s="9"/>
      <c r="E44" s="9"/>
      <c r="F44" s="9"/>
      <c r="G44" s="9"/>
      <c r="H44" s="9"/>
      <c r="I44" s="9"/>
      <c r="J44" s="38"/>
      <c r="K44" s="39" t="s">
        <v>110</v>
      </c>
      <c r="L44" s="38"/>
      <c r="M44" s="38"/>
      <c r="N44" s="42"/>
      <c r="O44" s="79">
        <f>SUM(O40:O42)</f>
        <v>57.49</v>
      </c>
      <c r="P44" s="9"/>
      <c r="Q44" s="9"/>
      <c r="R44" s="9"/>
      <c r="S44" s="9"/>
    </row>
    <row r="45" spans="1:19" ht="15" customHeight="1" thickTop="1" x14ac:dyDescent="0.25">
      <c r="A45" s="1"/>
      <c r="B45" s="23"/>
      <c r="C45" s="9"/>
      <c r="D45" s="9"/>
      <c r="E45" s="9"/>
      <c r="F45" s="9"/>
      <c r="G45" s="9"/>
      <c r="H45" s="9"/>
      <c r="I45" s="9"/>
      <c r="J45" s="46"/>
      <c r="K45" s="46"/>
      <c r="L45" s="46"/>
      <c r="M45" s="46"/>
      <c r="N45" s="46"/>
      <c r="O45" s="80"/>
      <c r="P45" s="9"/>
      <c r="Q45" s="9"/>
      <c r="R45" s="9"/>
      <c r="S45" s="9"/>
    </row>
    <row r="46" spans="1:19" ht="15" customHeight="1" x14ac:dyDescent="0.25">
      <c r="A46" s="1"/>
      <c r="B46" s="23"/>
      <c r="C46" s="9"/>
      <c r="D46" s="9"/>
      <c r="E46" s="9"/>
      <c r="F46" s="9"/>
      <c r="G46" s="9"/>
      <c r="H46" s="9"/>
      <c r="I46" s="9"/>
      <c r="J46" s="46"/>
      <c r="K46" s="46" t="s">
        <v>111</v>
      </c>
      <c r="L46" s="46"/>
      <c r="M46" s="46"/>
      <c r="N46" s="46"/>
      <c r="O46" s="77">
        <v>0</v>
      </c>
      <c r="P46" s="9"/>
      <c r="Q46" s="9"/>
      <c r="R46" s="9"/>
      <c r="S46" s="9"/>
    </row>
    <row r="47" spans="1:19" ht="15" customHeight="1" x14ac:dyDescent="0.25">
      <c r="A47" s="1"/>
      <c r="B47" s="23"/>
      <c r="C47" s="9"/>
      <c r="D47" s="9"/>
      <c r="E47" s="9"/>
      <c r="F47" s="9"/>
      <c r="G47" s="9"/>
      <c r="H47" s="9"/>
      <c r="I47" s="9"/>
      <c r="J47" s="46"/>
      <c r="K47" s="46"/>
      <c r="L47" s="46"/>
      <c r="M47" s="46"/>
      <c r="N47" s="46"/>
      <c r="O47" s="80"/>
      <c r="P47" s="9"/>
      <c r="Q47" s="9"/>
      <c r="R47" s="9"/>
      <c r="S47" s="9"/>
    </row>
    <row r="48" spans="1:19" ht="15" customHeight="1" x14ac:dyDescent="0.25">
      <c r="A48" s="1"/>
      <c r="B48" s="23"/>
      <c r="C48" s="9"/>
      <c r="D48" s="9"/>
      <c r="E48" s="9"/>
      <c r="F48" s="9"/>
      <c r="G48" s="9"/>
      <c r="H48" s="9"/>
      <c r="I48" s="9"/>
      <c r="J48" s="46"/>
      <c r="K48" s="47" t="s">
        <v>112</v>
      </c>
      <c r="L48" s="48"/>
      <c r="M48" s="48"/>
      <c r="N48" s="48"/>
      <c r="O48" s="81">
        <f>O44-O46</f>
        <v>57.49</v>
      </c>
      <c r="P48" s="9"/>
      <c r="Q48" s="9"/>
      <c r="R48" s="9"/>
      <c r="S48" s="9"/>
    </row>
    <row r="49" spans="1:19" ht="15" customHeight="1" x14ac:dyDescent="0.25">
      <c r="A49" s="1"/>
      <c r="B49" s="23"/>
      <c r="C49" s="9"/>
      <c r="D49" s="9"/>
      <c r="E49" s="9"/>
      <c r="F49" s="9"/>
      <c r="G49" s="9"/>
      <c r="H49" s="9"/>
      <c r="I49" s="9"/>
      <c r="J49" s="46"/>
      <c r="K49" s="46"/>
      <c r="L49" s="46"/>
      <c r="M49" s="46"/>
      <c r="N49" s="46"/>
      <c r="O49" s="46"/>
      <c r="P49" s="9"/>
      <c r="Q49" s="9"/>
      <c r="R49" s="9"/>
      <c r="S49" s="9"/>
    </row>
    <row r="50" spans="1:19" ht="15" customHeight="1" x14ac:dyDescent="0.25">
      <c r="A50" s="1"/>
      <c r="B50" s="23"/>
      <c r="C50" s="9"/>
      <c r="D50" s="9"/>
      <c r="E50" s="9"/>
      <c r="F50" s="9"/>
      <c r="G50" s="9"/>
      <c r="H50" s="9"/>
      <c r="I50" s="9"/>
      <c r="J50" s="121" t="s">
        <v>101</v>
      </c>
      <c r="K50" s="121"/>
      <c r="L50" s="121"/>
      <c r="M50" s="121"/>
      <c r="N50" s="121"/>
      <c r="O50" s="121"/>
      <c r="P50" s="9"/>
      <c r="Q50" s="9"/>
      <c r="R50" s="9"/>
      <c r="S50" s="9"/>
    </row>
    <row r="51" spans="1:19" ht="15" customHeight="1" x14ac:dyDescent="0.25">
      <c r="A51" s="1"/>
      <c r="B51" s="23"/>
      <c r="C51" s="9"/>
      <c r="D51" s="9"/>
      <c r="E51" s="9"/>
      <c r="F51" s="9"/>
      <c r="G51" s="9"/>
      <c r="H51" s="9"/>
      <c r="I51" s="9"/>
      <c r="J51" s="122" t="s">
        <v>102</v>
      </c>
      <c r="K51" s="122"/>
      <c r="L51" s="122"/>
      <c r="M51" s="122"/>
      <c r="N51" s="122"/>
      <c r="O51" s="122"/>
      <c r="P51" s="9"/>
      <c r="Q51" s="9"/>
      <c r="R51" s="9"/>
      <c r="S51" s="9"/>
    </row>
    <row r="52" spans="1:19" ht="15" customHeight="1" x14ac:dyDescent="0.25">
      <c r="A52" s="1"/>
      <c r="B52" s="23"/>
      <c r="C52" s="9"/>
      <c r="D52" s="9"/>
      <c r="E52" s="9"/>
      <c r="F52" s="9"/>
      <c r="G52" s="9"/>
      <c r="H52" s="9"/>
      <c r="I52" s="9"/>
      <c r="J52" s="46"/>
      <c r="K52" s="46"/>
      <c r="L52" s="46"/>
      <c r="M52" s="46"/>
      <c r="N52" s="46"/>
      <c r="O52" s="46"/>
      <c r="P52" s="9"/>
      <c r="Q52" s="9"/>
      <c r="R52" s="9"/>
      <c r="S52" s="9"/>
    </row>
    <row r="53" spans="1:19" ht="15" customHeight="1" x14ac:dyDescent="0.25">
      <c r="A53" s="1"/>
      <c r="B53" s="23"/>
      <c r="C53" s="9"/>
      <c r="D53" s="9"/>
      <c r="E53" s="9"/>
      <c r="F53" s="9"/>
      <c r="G53" s="9"/>
      <c r="H53" s="9"/>
      <c r="I53" s="9"/>
      <c r="J53" s="123" t="s">
        <v>103</v>
      </c>
      <c r="K53" s="123"/>
      <c r="L53" s="123"/>
      <c r="M53" s="123"/>
      <c r="N53" s="123"/>
      <c r="O53" s="123"/>
      <c r="P53" s="9"/>
      <c r="Q53" s="9"/>
      <c r="R53" s="9"/>
      <c r="S53" s="9"/>
    </row>
    <row r="54" spans="1:19" ht="15" customHeight="1" x14ac:dyDescent="0.25">
      <c r="A54" s="1"/>
      <c r="B54" s="23"/>
      <c r="C54" s="9"/>
      <c r="D54" s="9"/>
      <c r="E54" s="9"/>
      <c r="F54" s="9"/>
      <c r="G54" s="9"/>
      <c r="H54" s="9"/>
      <c r="I54" s="9"/>
      <c r="J54" s="46"/>
      <c r="K54" s="46"/>
      <c r="L54" s="46"/>
      <c r="M54" s="46"/>
      <c r="N54" s="46"/>
      <c r="O54" s="46"/>
      <c r="P54" s="9"/>
      <c r="Q54" s="9"/>
      <c r="R54" s="9"/>
      <c r="S54" s="9"/>
    </row>
    <row r="55" spans="1:19" x14ac:dyDescent="0.25">
      <c r="A55" s="1"/>
      <c r="B55" s="23"/>
      <c r="C55" s="9"/>
      <c r="D55" s="9"/>
      <c r="E55" s="9"/>
      <c r="F55" s="9"/>
      <c r="G55" s="9"/>
      <c r="H55" s="9"/>
      <c r="I55" s="9"/>
      <c r="J55" s="9"/>
      <c r="K55" s="9"/>
      <c r="L55" s="9"/>
      <c r="M55" s="9"/>
      <c r="N55" s="9"/>
      <c r="O55" s="9"/>
      <c r="P55" s="9"/>
      <c r="Q55" s="9"/>
      <c r="R55" s="9"/>
      <c r="S55" s="9"/>
    </row>
  </sheetData>
  <mergeCells count="13">
    <mergeCell ref="J50:O50"/>
    <mergeCell ref="J51:O51"/>
    <mergeCell ref="J53:O53"/>
    <mergeCell ref="J2:O2"/>
    <mergeCell ref="N6:O6"/>
    <mergeCell ref="E7:F7"/>
    <mergeCell ref="E6:F6"/>
    <mergeCell ref="E5:F5"/>
    <mergeCell ref="E4:F4"/>
    <mergeCell ref="D10:H10"/>
    <mergeCell ref="J8:O8"/>
    <mergeCell ref="J1:O1"/>
    <mergeCell ref="C1:I1"/>
  </mergeCells>
  <conditionalFormatting sqref="D12:H23">
    <cfRule type="expression" dxfId="42" priority="13">
      <formula>$B$17=ROW()</formula>
    </cfRule>
    <cfRule type="expression" dxfId="41" priority="14">
      <formula>AND($D12&lt;&gt;"",MOD(ROW(),2)=1)</formula>
    </cfRule>
    <cfRule type="expression" dxfId="40" priority="15">
      <formula>AND($D12&lt;&gt;"",MOD(ROW(),2)=0)</formula>
    </cfRule>
  </conditionalFormatting>
  <conditionalFormatting sqref="D24:H29">
    <cfRule type="expression" dxfId="2" priority="1">
      <formula>$B$17=ROW()</formula>
    </cfRule>
    <cfRule type="expression" dxfId="1" priority="2">
      <formula>AND($D24&lt;&gt;"",MOD(ROW(),2)=1)</formula>
    </cfRule>
    <cfRule type="expression" dxfId="0" priority="3">
      <formula>AND($D24&lt;&gt;"",MOD(ROW(),2)=0)</formula>
    </cfRule>
  </conditionalFormatting>
  <dataValidations count="7">
    <dataValidation type="list" allowBlank="1" showInputMessage="1" sqref="E4:F4" xr:uid="{3E4FCA8F-009F-440B-86D5-426C396609EB}">
      <formula1>Cust_Name</formula1>
    </dataValidation>
    <dataValidation type="list" allowBlank="1" showInputMessage="1" sqref="E5:F5" xr:uid="{A809F33E-870F-4E8C-B542-83CE7843A9D6}">
      <formula1>CustProjects</formula1>
    </dataValidation>
    <dataValidation type="list" allowBlank="1" showInputMessage="1" sqref="E6:F6" xr:uid="{73061E4B-5D38-4B0E-ACD1-8BA6BAC064DF}">
      <formula1>ServItem_Name</formula1>
    </dataValidation>
    <dataValidation type="list" allowBlank="1" showInputMessage="1" showErrorMessage="1" sqref="H7" xr:uid="{3DF366BB-E3F1-41B0-AF3C-C1970FADC6D8}">
      <formula1>"Yes,No"</formula1>
    </dataValidation>
    <dataValidation type="list" allowBlank="1" showInputMessage="1" showErrorMessage="1" sqref="K4" xr:uid="{C6A46840-E05F-41CF-ABBE-32F639FAE6EE}">
      <formula1>Cust_Name</formula1>
    </dataValidation>
    <dataValidation type="list" allowBlank="1" showInputMessage="1" showErrorMessage="1" sqref="N6:O6" xr:uid="{75154C70-BE6E-429C-B87B-D50EFFC78392}">
      <formula1>Proj_Name</formula1>
    </dataValidation>
    <dataValidation type="list" allowBlank="1" showInputMessage="1" showErrorMessage="1" sqref="K9:K36" xr:uid="{F6481CD3-F549-4578-965E-6C9AC1F2FB88}">
      <formula1>ServItem_Name</formula1>
    </dataValidation>
  </dataValidations>
  <pageMargins left="0.26" right="0.25" top="0.75" bottom="0.75" header="0.3" footer="0.3"/>
  <pageSetup scale="76" orientation="portrait" horizontalDpi="4294967293" verticalDpi="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" r:id="rId4" name="Check Box 7">
              <controlPr defaultSize="0" autoFill="0" autoLine="0" autoPict="0">
                <anchor moveWithCells="1">
                  <from>
                    <xdr:col>4</xdr:col>
                    <xdr:colOff>1171575</xdr:colOff>
                    <xdr:row>7</xdr:row>
                    <xdr:rowOff>161925</xdr:rowOff>
                  </from>
                  <to>
                    <xdr:col>5</xdr:col>
                    <xdr:colOff>1238250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" r:id="rId5" name="Check Box 8">
              <controlPr defaultSize="0" autoFill="0" autoLine="0" autoPict="0" macro="[0]!BillingEntry_LoadList">
                <anchor moveWithCells="1">
                  <from>
                    <xdr:col>6</xdr:col>
                    <xdr:colOff>495300</xdr:colOff>
                    <xdr:row>7</xdr:row>
                    <xdr:rowOff>161925</xdr:rowOff>
                  </from>
                  <to>
                    <xdr:col>8</xdr:col>
                    <xdr:colOff>28575</xdr:colOff>
                    <xdr:row>9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8D7DDF-C33A-4555-AC49-4DA8A4878912}">
  <sheetPr codeName="InvList"/>
  <dimension ref="A1:H35"/>
  <sheetViews>
    <sheetView zoomScaleNormal="100" workbookViewId="0">
      <selection activeCell="D7" sqref="D7"/>
    </sheetView>
  </sheetViews>
  <sheetFormatPr baseColWidth="10" defaultColWidth="9.140625" defaultRowHeight="15" x14ac:dyDescent="0.25"/>
  <cols>
    <col min="1" max="1" width="6.140625" bestFit="1" customWidth="1"/>
    <col min="2" max="2" width="12.7109375" style="2" customWidth="1"/>
    <col min="3" max="3" width="7.42578125" bestFit="1" customWidth="1"/>
    <col min="4" max="4" width="33.140625" customWidth="1"/>
    <col min="5" max="5" width="12.7109375" style="2" customWidth="1"/>
    <col min="6" max="6" width="35.85546875" customWidth="1"/>
    <col min="7" max="8" width="12.7109375" style="26" customWidth="1"/>
  </cols>
  <sheetData>
    <row r="1" spans="1:8" ht="14.45" customHeight="1" x14ac:dyDescent="0.25">
      <c r="A1" s="10"/>
      <c r="B1" s="11" t="s">
        <v>48</v>
      </c>
      <c r="C1" s="11" t="s">
        <v>64</v>
      </c>
      <c r="D1" s="11" t="s">
        <v>49</v>
      </c>
      <c r="E1" s="11" t="s">
        <v>50</v>
      </c>
      <c r="F1" s="11" t="s">
        <v>65</v>
      </c>
      <c r="G1" s="25" t="s">
        <v>51</v>
      </c>
      <c r="H1" s="25" t="s">
        <v>52</v>
      </c>
    </row>
    <row r="2" spans="1:8" ht="14.45" customHeight="1" x14ac:dyDescent="0.25">
      <c r="A2" s="132" t="s">
        <v>34</v>
      </c>
      <c r="B2" s="132"/>
      <c r="C2" s="132"/>
      <c r="D2" s="132"/>
      <c r="E2" s="132"/>
      <c r="F2" s="132"/>
      <c r="G2" s="132"/>
      <c r="H2" s="132"/>
    </row>
    <row r="3" spans="1:8" x14ac:dyDescent="0.25">
      <c r="A3" s="64" t="s">
        <v>138</v>
      </c>
      <c r="B3" s="64" t="s">
        <v>31</v>
      </c>
      <c r="C3" s="64" t="s">
        <v>139</v>
      </c>
      <c r="D3" s="64" t="s">
        <v>11</v>
      </c>
      <c r="E3" s="64" t="s">
        <v>26</v>
      </c>
      <c r="F3" s="64" t="s">
        <v>0</v>
      </c>
      <c r="G3" s="102" t="s">
        <v>35</v>
      </c>
      <c r="H3" s="102" t="s">
        <v>25</v>
      </c>
    </row>
    <row r="4" spans="1:8" x14ac:dyDescent="0.25">
      <c r="A4" s="2">
        <v>1</v>
      </c>
      <c r="B4" s="24">
        <v>44927</v>
      </c>
      <c r="C4" s="2">
        <v>1</v>
      </c>
      <c r="D4" t="s">
        <v>114</v>
      </c>
      <c r="E4" s="24">
        <v>44957</v>
      </c>
      <c r="F4" t="s">
        <v>85</v>
      </c>
      <c r="G4" s="140">
        <v>50</v>
      </c>
    </row>
    <row r="5" spans="1:8" x14ac:dyDescent="0.25">
      <c r="A5" s="2"/>
      <c r="C5" s="2"/>
    </row>
    <row r="6" spans="1:8" x14ac:dyDescent="0.25">
      <c r="A6" s="2"/>
      <c r="C6" s="2"/>
    </row>
    <row r="7" spans="1:8" x14ac:dyDescent="0.25">
      <c r="A7" s="2"/>
      <c r="C7" s="2"/>
    </row>
    <row r="8" spans="1:8" x14ac:dyDescent="0.25">
      <c r="A8" s="2"/>
      <c r="C8" s="2"/>
    </row>
    <row r="9" spans="1:8" x14ac:dyDescent="0.25">
      <c r="A9" s="2"/>
      <c r="C9" s="2"/>
    </row>
    <row r="10" spans="1:8" x14ac:dyDescent="0.25">
      <c r="A10" s="2"/>
      <c r="C10" s="2"/>
    </row>
    <row r="11" spans="1:8" x14ac:dyDescent="0.25">
      <c r="A11" s="2"/>
      <c r="C11" s="2"/>
    </row>
    <row r="12" spans="1:8" x14ac:dyDescent="0.25">
      <c r="A12" s="2"/>
      <c r="C12" s="2"/>
    </row>
    <row r="13" spans="1:8" x14ac:dyDescent="0.25">
      <c r="A13" s="2"/>
      <c r="C13" s="2"/>
    </row>
    <row r="14" spans="1:8" x14ac:dyDescent="0.25">
      <c r="A14" s="2"/>
      <c r="C14" s="2"/>
    </row>
    <row r="15" spans="1:8" x14ac:dyDescent="0.25">
      <c r="A15" s="2"/>
      <c r="C15" s="2"/>
    </row>
    <row r="16" spans="1:8" x14ac:dyDescent="0.25">
      <c r="A16" s="2"/>
      <c r="C16" s="2"/>
    </row>
    <row r="17" spans="1:3" x14ac:dyDescent="0.25">
      <c r="A17" s="2"/>
      <c r="C17" s="2"/>
    </row>
    <row r="18" spans="1:3" x14ac:dyDescent="0.25">
      <c r="A18" s="2"/>
      <c r="C18" s="2"/>
    </row>
    <row r="19" spans="1:3" x14ac:dyDescent="0.25">
      <c r="A19" s="2"/>
      <c r="C19" s="2"/>
    </row>
    <row r="20" spans="1:3" x14ac:dyDescent="0.25">
      <c r="A20" s="2"/>
      <c r="C20" s="2"/>
    </row>
    <row r="21" spans="1:3" x14ac:dyDescent="0.25">
      <c r="A21" s="2"/>
      <c r="C21" s="2"/>
    </row>
    <row r="22" spans="1:3" x14ac:dyDescent="0.25">
      <c r="A22" s="2"/>
      <c r="C22" s="2"/>
    </row>
    <row r="23" spans="1:3" x14ac:dyDescent="0.25">
      <c r="A23" s="2"/>
      <c r="C23" s="2"/>
    </row>
    <row r="24" spans="1:3" x14ac:dyDescent="0.25">
      <c r="A24" s="2"/>
      <c r="C24" s="2"/>
    </row>
    <row r="25" spans="1:3" x14ac:dyDescent="0.25">
      <c r="A25" s="2"/>
      <c r="C25" s="2"/>
    </row>
    <row r="26" spans="1:3" x14ac:dyDescent="0.25">
      <c r="A26" s="2"/>
      <c r="C26" s="2"/>
    </row>
    <row r="27" spans="1:3" x14ac:dyDescent="0.25">
      <c r="A27" s="2"/>
      <c r="C27" s="2"/>
    </row>
    <row r="28" spans="1:3" x14ac:dyDescent="0.25">
      <c r="A28" s="2"/>
      <c r="C28" s="2"/>
    </row>
    <row r="29" spans="1:3" x14ac:dyDescent="0.25">
      <c r="A29" s="2"/>
      <c r="C29" s="2"/>
    </row>
    <row r="30" spans="1:3" x14ac:dyDescent="0.25">
      <c r="A30" s="2"/>
      <c r="C30" s="2"/>
    </row>
    <row r="31" spans="1:3" x14ac:dyDescent="0.25">
      <c r="A31" s="2"/>
      <c r="C31" s="2"/>
    </row>
    <row r="32" spans="1:3" x14ac:dyDescent="0.25">
      <c r="A32" s="2"/>
      <c r="C32" s="2"/>
    </row>
    <row r="33" spans="1:3" x14ac:dyDescent="0.25">
      <c r="A33" s="2"/>
      <c r="C33" s="2"/>
    </row>
    <row r="34" spans="1:3" x14ac:dyDescent="0.25">
      <c r="A34" s="2"/>
      <c r="C34" s="2"/>
    </row>
    <row r="35" spans="1:3" x14ac:dyDescent="0.25">
      <c r="A35" s="2"/>
      <c r="C35" s="2"/>
    </row>
  </sheetData>
  <mergeCells count="1">
    <mergeCell ref="A2:H2"/>
  </mergeCells>
  <conditionalFormatting sqref="A4:H35">
    <cfRule type="expression" dxfId="39" priority="1">
      <formula>AND($A4&lt;&gt;"",MOD(ROW(),2)=0)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E3E513-9EBD-4CD9-B4A7-8E37B5983B4F}">
  <sheetPr codeName="InvItems"/>
  <dimension ref="A1:V309"/>
  <sheetViews>
    <sheetView workbookViewId="0">
      <selection activeCell="C11" sqref="C11"/>
    </sheetView>
  </sheetViews>
  <sheetFormatPr baseColWidth="10" defaultColWidth="9.140625" defaultRowHeight="15" x14ac:dyDescent="0.25"/>
  <cols>
    <col min="1" max="1" width="6.140625" style="2" bestFit="1" customWidth="1"/>
    <col min="2" max="2" width="11.28515625" customWidth="1"/>
    <col min="3" max="3" width="20.85546875" bestFit="1" customWidth="1"/>
    <col min="4" max="4" width="26.85546875" bestFit="1" customWidth="1"/>
    <col min="5" max="5" width="5.85546875" bestFit="1" customWidth="1"/>
    <col min="6" max="6" width="7" bestFit="1" customWidth="1"/>
    <col min="7" max="8" width="8" bestFit="1" customWidth="1"/>
    <col min="9" max="9" width="4.42578125" bestFit="1" customWidth="1"/>
    <col min="10" max="13" width="2.7109375" customWidth="1"/>
    <col min="14" max="14" width="10.5703125" bestFit="1" customWidth="1"/>
    <col min="15" max="15" width="2.7109375" customWidth="1"/>
    <col min="16" max="16" width="10.7109375" bestFit="1" customWidth="1"/>
    <col min="17" max="17" width="21.5703125" bestFit="1" customWidth="1"/>
    <col min="18" max="18" width="26.85546875" bestFit="1" customWidth="1"/>
    <col min="19" max="19" width="5.85546875" bestFit="1" customWidth="1"/>
    <col min="20" max="20" width="7" bestFit="1" customWidth="1"/>
    <col min="21" max="21" width="8" bestFit="1" customWidth="1"/>
    <col min="22" max="22" width="4.42578125" bestFit="1" customWidth="1"/>
  </cols>
  <sheetData>
    <row r="1" spans="1:22" ht="14.45" customHeight="1" x14ac:dyDescent="0.25">
      <c r="A1" s="133" t="s">
        <v>29</v>
      </c>
      <c r="B1" s="133"/>
      <c r="C1" s="133"/>
      <c r="D1" s="133"/>
      <c r="E1" s="133"/>
      <c r="F1" s="133"/>
      <c r="G1" s="133"/>
      <c r="H1" s="133"/>
      <c r="I1" s="133"/>
      <c r="N1" s="15" t="s">
        <v>47</v>
      </c>
      <c r="P1" s="132" t="s">
        <v>47</v>
      </c>
      <c r="Q1" s="132"/>
      <c r="R1" s="132"/>
      <c r="S1" s="132"/>
      <c r="T1" s="132"/>
      <c r="U1" s="132"/>
      <c r="V1" s="132"/>
    </row>
    <row r="2" spans="1:22" ht="14.45" customHeight="1" x14ac:dyDescent="0.25">
      <c r="A2" s="132"/>
      <c r="B2" s="132"/>
      <c r="C2" s="132"/>
      <c r="D2" s="132"/>
      <c r="E2" s="132"/>
      <c r="F2" s="132"/>
      <c r="G2" s="132"/>
      <c r="H2" s="132"/>
      <c r="I2" s="132"/>
      <c r="N2" s="5" t="s">
        <v>30</v>
      </c>
      <c r="P2" s="5" t="s">
        <v>32</v>
      </c>
      <c r="Q2" s="5" t="s">
        <v>56</v>
      </c>
      <c r="R2" s="5" t="s">
        <v>57</v>
      </c>
      <c r="S2" s="5" t="s">
        <v>1</v>
      </c>
      <c r="T2" s="5" t="s">
        <v>24</v>
      </c>
      <c r="U2" s="5" t="s">
        <v>27</v>
      </c>
      <c r="V2" s="5" t="s">
        <v>28</v>
      </c>
    </row>
    <row r="3" spans="1:22" ht="26.25" x14ac:dyDescent="0.25">
      <c r="A3" s="65" t="s">
        <v>136</v>
      </c>
      <c r="B3" s="64" t="s">
        <v>32</v>
      </c>
      <c r="C3" s="64" t="s">
        <v>56</v>
      </c>
      <c r="D3" s="64" t="s">
        <v>57</v>
      </c>
      <c r="E3" s="64" t="s">
        <v>1</v>
      </c>
      <c r="F3" s="64" t="s">
        <v>24</v>
      </c>
      <c r="G3" s="64" t="s">
        <v>25</v>
      </c>
      <c r="H3" s="64" t="s">
        <v>27</v>
      </c>
      <c r="I3" s="64" t="s">
        <v>28</v>
      </c>
      <c r="N3" s="99">
        <f>Invoice!N3</f>
        <v>1</v>
      </c>
      <c r="P3" s="12">
        <v>44977</v>
      </c>
      <c r="Q3" t="s">
        <v>67</v>
      </c>
      <c r="R3" t="s">
        <v>68</v>
      </c>
      <c r="S3" s="2">
        <v>2</v>
      </c>
      <c r="T3" s="16">
        <v>80</v>
      </c>
      <c r="U3" s="2">
        <v>10</v>
      </c>
      <c r="V3" s="2">
        <v>4</v>
      </c>
    </row>
    <row r="4" spans="1:22" x14ac:dyDescent="0.25">
      <c r="B4" s="12"/>
      <c r="E4" s="2"/>
      <c r="F4" s="16"/>
      <c r="G4" s="16"/>
      <c r="H4" s="2"/>
      <c r="I4" s="2"/>
      <c r="P4" s="12">
        <v>45055</v>
      </c>
      <c r="Q4" t="s">
        <v>73</v>
      </c>
      <c r="R4" t="s">
        <v>90</v>
      </c>
      <c r="S4" s="2">
        <v>12</v>
      </c>
      <c r="T4" s="16">
        <v>25</v>
      </c>
      <c r="U4" s="2">
        <v>11</v>
      </c>
      <c r="V4" s="2">
        <v>5</v>
      </c>
    </row>
    <row r="5" spans="1:22" x14ac:dyDescent="0.25">
      <c r="B5" s="12"/>
      <c r="E5" s="2"/>
      <c r="F5" s="16"/>
      <c r="G5" s="16"/>
      <c r="H5" s="2"/>
      <c r="I5" s="2"/>
      <c r="P5" s="12">
        <v>44941</v>
      </c>
      <c r="Q5" s="2" t="s">
        <v>71</v>
      </c>
      <c r="R5" t="s">
        <v>72</v>
      </c>
      <c r="S5" s="2">
        <v>2</v>
      </c>
      <c r="T5" s="16">
        <v>60</v>
      </c>
      <c r="U5" s="2">
        <v>9</v>
      </c>
      <c r="V5" s="2">
        <v>6</v>
      </c>
    </row>
    <row r="6" spans="1:22" x14ac:dyDescent="0.25">
      <c r="B6" s="12"/>
      <c r="C6" s="2"/>
      <c r="E6" s="2"/>
      <c r="F6" s="16"/>
      <c r="G6" s="17"/>
      <c r="H6" s="2"/>
      <c r="I6" s="2"/>
      <c r="P6" s="12">
        <v>45054</v>
      </c>
      <c r="Q6" t="s">
        <v>67</v>
      </c>
      <c r="R6" t="s">
        <v>68</v>
      </c>
      <c r="S6" s="2">
        <v>5</v>
      </c>
      <c r="T6" s="16">
        <v>50</v>
      </c>
      <c r="U6" s="2">
        <v>12</v>
      </c>
      <c r="V6" s="2">
        <v>7</v>
      </c>
    </row>
    <row r="7" spans="1:22" x14ac:dyDescent="0.25">
      <c r="B7" s="12"/>
      <c r="E7" s="2"/>
      <c r="F7" s="16"/>
      <c r="G7" s="16"/>
      <c r="H7" s="2"/>
      <c r="I7" s="2"/>
      <c r="P7" s="12">
        <v>45055</v>
      </c>
      <c r="Q7" t="s">
        <v>75</v>
      </c>
      <c r="R7" t="s">
        <v>76</v>
      </c>
      <c r="S7" s="2">
        <v>6</v>
      </c>
      <c r="T7" s="16">
        <v>25</v>
      </c>
      <c r="U7" s="2">
        <v>9</v>
      </c>
      <c r="V7" s="2">
        <v>8</v>
      </c>
    </row>
    <row r="8" spans="1:22" x14ac:dyDescent="0.25">
      <c r="B8" s="12"/>
      <c r="E8" s="2"/>
      <c r="F8" s="16"/>
      <c r="G8" s="16"/>
      <c r="H8" s="2"/>
      <c r="I8" s="2"/>
      <c r="P8" s="12">
        <v>45055</v>
      </c>
      <c r="Q8" t="s">
        <v>77</v>
      </c>
      <c r="R8" t="s">
        <v>78</v>
      </c>
      <c r="S8" s="2">
        <v>6</v>
      </c>
      <c r="T8" s="16">
        <v>25</v>
      </c>
      <c r="U8" s="2">
        <v>10</v>
      </c>
      <c r="V8" s="2">
        <v>9</v>
      </c>
    </row>
    <row r="9" spans="1:22" x14ac:dyDescent="0.25">
      <c r="B9" s="12"/>
      <c r="E9" s="2"/>
      <c r="F9" s="16"/>
      <c r="G9" s="16"/>
      <c r="H9" s="2"/>
      <c r="I9" s="2"/>
      <c r="P9" s="12">
        <v>45055</v>
      </c>
      <c r="Q9" t="s">
        <v>79</v>
      </c>
      <c r="R9" t="s">
        <v>80</v>
      </c>
      <c r="S9" s="2">
        <v>10</v>
      </c>
      <c r="T9" s="16">
        <v>60</v>
      </c>
      <c r="U9" s="2">
        <v>11</v>
      </c>
      <c r="V9" s="2">
        <v>10</v>
      </c>
    </row>
    <row r="10" spans="1:22" x14ac:dyDescent="0.25">
      <c r="B10" s="12"/>
      <c r="E10" s="2"/>
      <c r="F10" s="16"/>
      <c r="G10" s="16"/>
      <c r="H10" s="2"/>
      <c r="I10" s="2"/>
      <c r="P10" s="12"/>
      <c r="Q10" t="s">
        <v>69</v>
      </c>
      <c r="R10" t="s">
        <v>70</v>
      </c>
      <c r="S10" s="2">
        <v>8</v>
      </c>
      <c r="T10" s="16">
        <v>40</v>
      </c>
      <c r="U10" s="2">
        <v>9</v>
      </c>
      <c r="V10" s="2">
        <v>11</v>
      </c>
    </row>
    <row r="11" spans="1:22" x14ac:dyDescent="0.25">
      <c r="B11" s="12"/>
      <c r="E11" s="2"/>
      <c r="F11" s="16"/>
      <c r="G11" s="16"/>
      <c r="H11" s="2"/>
      <c r="I11" s="2"/>
      <c r="Q11" t="s">
        <v>81</v>
      </c>
      <c r="R11" t="s">
        <v>82</v>
      </c>
      <c r="S11" s="2">
        <v>2</v>
      </c>
      <c r="T11" s="16">
        <v>60</v>
      </c>
      <c r="U11" s="2">
        <v>10</v>
      </c>
      <c r="V11" s="2">
        <v>12</v>
      </c>
    </row>
    <row r="12" spans="1:22" x14ac:dyDescent="0.25">
      <c r="E12" s="2"/>
      <c r="F12" s="16"/>
      <c r="G12" s="16"/>
      <c r="H12" s="2"/>
      <c r="I12" s="2"/>
      <c r="P12" s="12">
        <v>45055</v>
      </c>
      <c r="Q12" t="s">
        <v>71</v>
      </c>
      <c r="R12" t="s">
        <v>72</v>
      </c>
      <c r="S12" s="2">
        <v>18</v>
      </c>
      <c r="T12" s="16">
        <v>25</v>
      </c>
      <c r="U12" s="2">
        <v>13</v>
      </c>
      <c r="V12" s="2">
        <v>13</v>
      </c>
    </row>
    <row r="13" spans="1:22" x14ac:dyDescent="0.25">
      <c r="B13" s="12"/>
      <c r="E13" s="2"/>
      <c r="F13" s="16"/>
      <c r="G13" s="16"/>
      <c r="H13" s="2"/>
      <c r="I13" s="2"/>
      <c r="P13" s="12">
        <v>45055</v>
      </c>
      <c r="Q13" t="s">
        <v>67</v>
      </c>
      <c r="R13" t="s">
        <v>68</v>
      </c>
      <c r="S13" s="2">
        <v>6</v>
      </c>
      <c r="T13" s="16">
        <v>50</v>
      </c>
      <c r="U13" s="2">
        <v>9</v>
      </c>
      <c r="V13" s="2">
        <v>14</v>
      </c>
    </row>
    <row r="14" spans="1:22" x14ac:dyDescent="0.25">
      <c r="B14" s="12"/>
      <c r="E14" s="2"/>
      <c r="F14" s="16"/>
      <c r="G14" s="16"/>
      <c r="H14" s="2"/>
      <c r="I14" s="2"/>
      <c r="P14" s="12">
        <v>45056</v>
      </c>
      <c r="Q14" t="s">
        <v>69</v>
      </c>
      <c r="R14" t="s">
        <v>70</v>
      </c>
      <c r="S14" s="2">
        <v>2</v>
      </c>
      <c r="T14" s="16">
        <v>40</v>
      </c>
      <c r="U14" s="2">
        <v>10</v>
      </c>
      <c r="V14" s="2">
        <v>15</v>
      </c>
    </row>
    <row r="15" spans="1:22" x14ac:dyDescent="0.25">
      <c r="B15" s="12"/>
      <c r="E15" s="2"/>
      <c r="F15" s="16"/>
      <c r="G15" s="16"/>
      <c r="H15" s="2"/>
      <c r="I15" s="2"/>
      <c r="P15" s="12">
        <v>45057</v>
      </c>
      <c r="Q15" t="s">
        <v>73</v>
      </c>
      <c r="R15" t="s">
        <v>74</v>
      </c>
      <c r="S15" s="2">
        <v>2</v>
      </c>
      <c r="T15" s="16">
        <v>75</v>
      </c>
      <c r="U15" s="2">
        <v>11</v>
      </c>
      <c r="V15" s="2">
        <v>16</v>
      </c>
    </row>
    <row r="16" spans="1:22" x14ac:dyDescent="0.25">
      <c r="B16" s="12"/>
      <c r="E16" s="2"/>
      <c r="F16" s="16"/>
      <c r="G16" s="16"/>
      <c r="H16" s="2"/>
      <c r="I16" s="2"/>
      <c r="P16" s="12">
        <v>45061</v>
      </c>
      <c r="Q16" t="s">
        <v>75</v>
      </c>
      <c r="R16" t="s">
        <v>76</v>
      </c>
      <c r="S16" s="2">
        <v>4</v>
      </c>
      <c r="T16" s="16">
        <v>30</v>
      </c>
      <c r="U16" s="2">
        <v>12</v>
      </c>
      <c r="V16" s="2">
        <v>17</v>
      </c>
    </row>
    <row r="17" spans="2:22" x14ac:dyDescent="0.25">
      <c r="B17" s="12"/>
      <c r="E17" s="2"/>
      <c r="F17" s="16"/>
      <c r="G17" s="16"/>
      <c r="H17" s="2"/>
      <c r="I17" s="2"/>
      <c r="P17" s="12">
        <v>44941</v>
      </c>
      <c r="Q17" t="s">
        <v>71</v>
      </c>
      <c r="R17" t="s">
        <v>72</v>
      </c>
      <c r="S17" s="2">
        <v>2</v>
      </c>
      <c r="T17" s="16">
        <v>60</v>
      </c>
      <c r="U17" s="2">
        <v>9</v>
      </c>
      <c r="V17" s="2">
        <v>18</v>
      </c>
    </row>
    <row r="18" spans="2:22" x14ac:dyDescent="0.25">
      <c r="B18" s="12"/>
      <c r="E18" s="2"/>
      <c r="F18" s="16"/>
      <c r="G18" s="16"/>
      <c r="H18" s="2"/>
      <c r="I18" s="2"/>
      <c r="Q18" t="s">
        <v>75</v>
      </c>
      <c r="R18" t="s">
        <v>76</v>
      </c>
      <c r="S18" s="2">
        <v>5</v>
      </c>
      <c r="T18" s="16">
        <v>30</v>
      </c>
      <c r="U18" s="2">
        <v>10</v>
      </c>
      <c r="V18" s="2">
        <v>19</v>
      </c>
    </row>
    <row r="19" spans="2:22" x14ac:dyDescent="0.25">
      <c r="E19" s="2"/>
      <c r="F19" s="16"/>
      <c r="G19" s="16"/>
      <c r="H19" s="2"/>
      <c r="I19" s="2"/>
      <c r="Q19" t="s">
        <v>77</v>
      </c>
      <c r="R19" t="s">
        <v>78</v>
      </c>
      <c r="S19" s="2">
        <v>4</v>
      </c>
      <c r="T19" s="16">
        <v>80</v>
      </c>
      <c r="U19" s="2">
        <v>11</v>
      </c>
      <c r="V19" s="2">
        <v>20</v>
      </c>
    </row>
    <row r="20" spans="2:22" x14ac:dyDescent="0.25">
      <c r="E20" s="2"/>
      <c r="F20" s="16"/>
      <c r="G20" s="16"/>
      <c r="H20" s="2"/>
      <c r="I20" s="2"/>
      <c r="S20" s="2"/>
      <c r="T20" s="2"/>
      <c r="U20" s="2"/>
      <c r="V20" s="2"/>
    </row>
    <row r="21" spans="2:22" x14ac:dyDescent="0.25">
      <c r="E21" s="2"/>
      <c r="F21" s="2"/>
      <c r="G21" s="2"/>
      <c r="H21" s="2"/>
      <c r="I21" s="2"/>
      <c r="S21" s="2"/>
      <c r="T21" s="2"/>
      <c r="U21" s="2"/>
      <c r="V21" s="2"/>
    </row>
    <row r="22" spans="2:22" x14ac:dyDescent="0.25">
      <c r="E22" s="2"/>
      <c r="F22" s="2"/>
      <c r="G22" s="2"/>
      <c r="H22" s="2"/>
      <c r="I22" s="2"/>
      <c r="S22" s="2"/>
      <c r="T22" s="2"/>
      <c r="U22" s="2"/>
      <c r="V22" s="2"/>
    </row>
    <row r="23" spans="2:22" x14ac:dyDescent="0.25">
      <c r="E23" s="2"/>
      <c r="F23" s="2"/>
      <c r="G23" s="2"/>
      <c r="H23" s="2"/>
      <c r="I23" s="2"/>
      <c r="S23" s="2"/>
      <c r="T23" s="2"/>
      <c r="U23" s="2"/>
      <c r="V23" s="2"/>
    </row>
    <row r="24" spans="2:22" x14ac:dyDescent="0.25">
      <c r="E24" s="2"/>
      <c r="F24" s="2"/>
      <c r="G24" s="2"/>
      <c r="H24" s="2"/>
      <c r="I24" s="2"/>
      <c r="S24" s="2"/>
      <c r="T24" s="2"/>
      <c r="U24" s="2"/>
      <c r="V24" s="2"/>
    </row>
    <row r="25" spans="2:22" x14ac:dyDescent="0.25">
      <c r="E25" s="2"/>
      <c r="F25" s="2"/>
      <c r="G25" s="2"/>
      <c r="H25" s="2"/>
      <c r="I25" s="2"/>
      <c r="S25" s="2"/>
      <c r="T25" s="2"/>
      <c r="U25" s="2"/>
      <c r="V25" s="2"/>
    </row>
    <row r="26" spans="2:22" x14ac:dyDescent="0.25">
      <c r="E26" s="2"/>
      <c r="F26" s="2"/>
      <c r="G26" s="2"/>
      <c r="H26" s="2"/>
      <c r="I26" s="2"/>
      <c r="S26" s="2"/>
      <c r="T26" s="2"/>
      <c r="U26" s="2"/>
      <c r="V26" s="2"/>
    </row>
    <row r="27" spans="2:22" x14ac:dyDescent="0.25">
      <c r="E27" s="2"/>
      <c r="F27" s="2"/>
      <c r="G27" s="2"/>
      <c r="H27" s="2"/>
      <c r="I27" s="2"/>
      <c r="S27" s="2"/>
      <c r="T27" s="2"/>
      <c r="U27" s="2"/>
      <c r="V27" s="2"/>
    </row>
    <row r="28" spans="2:22" x14ac:dyDescent="0.25">
      <c r="E28" s="2"/>
      <c r="F28" s="2"/>
      <c r="G28" s="2"/>
      <c r="H28" s="2"/>
      <c r="I28" s="2"/>
      <c r="S28" s="2"/>
      <c r="T28" s="2"/>
      <c r="U28" s="2"/>
      <c r="V28" s="2"/>
    </row>
    <row r="29" spans="2:22" x14ac:dyDescent="0.25">
      <c r="E29" s="2"/>
      <c r="F29" s="2"/>
      <c r="G29" s="2"/>
      <c r="H29" s="2"/>
      <c r="I29" s="2"/>
      <c r="S29" s="2"/>
      <c r="T29" s="2"/>
      <c r="U29" s="2"/>
      <c r="V29" s="2"/>
    </row>
    <row r="30" spans="2:22" x14ac:dyDescent="0.25">
      <c r="E30" s="2"/>
      <c r="F30" s="2"/>
      <c r="G30" s="2"/>
      <c r="H30" s="2"/>
      <c r="I30" s="2"/>
      <c r="S30" s="2"/>
      <c r="T30" s="2"/>
      <c r="U30" s="2"/>
      <c r="V30" s="2"/>
    </row>
    <row r="31" spans="2:22" x14ac:dyDescent="0.25">
      <c r="E31" s="2"/>
      <c r="F31" s="2"/>
      <c r="G31" s="2"/>
      <c r="H31" s="2"/>
      <c r="I31" s="2"/>
      <c r="S31" s="2"/>
      <c r="T31" s="2"/>
      <c r="U31" s="2"/>
      <c r="V31" s="2"/>
    </row>
    <row r="32" spans="2:22" x14ac:dyDescent="0.25">
      <c r="E32" s="2"/>
      <c r="F32" s="2"/>
      <c r="G32" s="2"/>
      <c r="H32" s="2"/>
      <c r="I32" s="2"/>
      <c r="S32" s="2"/>
      <c r="T32" s="2"/>
      <c r="U32" s="2"/>
      <c r="V32" s="2"/>
    </row>
    <row r="33" spans="5:22" x14ac:dyDescent="0.25">
      <c r="E33" s="2"/>
      <c r="F33" s="2"/>
      <c r="G33" s="2"/>
      <c r="H33" s="2"/>
      <c r="I33" s="2"/>
      <c r="S33" s="2"/>
      <c r="T33" s="2"/>
      <c r="U33" s="2"/>
      <c r="V33" s="2"/>
    </row>
    <row r="34" spans="5:22" x14ac:dyDescent="0.25">
      <c r="E34" s="2"/>
      <c r="F34" s="2"/>
      <c r="G34" s="2"/>
      <c r="H34" s="2"/>
      <c r="I34" s="2"/>
      <c r="S34" s="2"/>
      <c r="T34" s="2"/>
      <c r="U34" s="2"/>
      <c r="V34" s="2"/>
    </row>
    <row r="35" spans="5:22" x14ac:dyDescent="0.25">
      <c r="E35" s="2"/>
      <c r="F35" s="2"/>
      <c r="G35" s="2"/>
      <c r="H35" s="2"/>
      <c r="I35" s="2"/>
      <c r="S35" s="2"/>
      <c r="T35" s="2"/>
      <c r="U35" s="2"/>
      <c r="V35" s="2"/>
    </row>
    <row r="36" spans="5:22" x14ac:dyDescent="0.25">
      <c r="E36" s="2"/>
      <c r="F36" s="2"/>
      <c r="G36" s="2"/>
      <c r="H36" s="2"/>
      <c r="I36" s="2"/>
      <c r="S36" s="2"/>
      <c r="T36" s="2"/>
      <c r="U36" s="2"/>
      <c r="V36" s="2"/>
    </row>
    <row r="37" spans="5:22" x14ac:dyDescent="0.25">
      <c r="E37" s="2"/>
      <c r="F37" s="2"/>
      <c r="G37" s="2"/>
      <c r="H37" s="2"/>
      <c r="I37" s="2"/>
      <c r="S37" s="2"/>
      <c r="T37" s="2"/>
      <c r="U37" s="2"/>
      <c r="V37" s="2"/>
    </row>
    <row r="38" spans="5:22" x14ac:dyDescent="0.25">
      <c r="E38" s="2"/>
      <c r="F38" s="2"/>
      <c r="G38" s="2"/>
      <c r="H38" s="2"/>
      <c r="I38" s="2"/>
      <c r="S38" s="2"/>
      <c r="T38" s="2"/>
      <c r="U38" s="2"/>
      <c r="V38" s="2"/>
    </row>
    <row r="39" spans="5:22" x14ac:dyDescent="0.25">
      <c r="E39" s="2"/>
      <c r="F39" s="2"/>
      <c r="G39" s="2"/>
      <c r="H39" s="2"/>
      <c r="I39" s="2"/>
      <c r="S39" s="2"/>
      <c r="T39" s="2"/>
      <c r="U39" s="2"/>
      <c r="V39" s="2"/>
    </row>
    <row r="40" spans="5:22" x14ac:dyDescent="0.25">
      <c r="E40" s="2"/>
      <c r="F40" s="2"/>
      <c r="G40" s="2"/>
      <c r="H40" s="2"/>
      <c r="I40" s="2"/>
      <c r="S40" s="2"/>
      <c r="T40" s="2"/>
      <c r="U40" s="2"/>
      <c r="V40" s="2"/>
    </row>
    <row r="41" spans="5:22" x14ac:dyDescent="0.25">
      <c r="E41" s="2"/>
      <c r="F41" s="2"/>
      <c r="G41" s="2"/>
      <c r="H41" s="2"/>
      <c r="I41" s="2"/>
      <c r="S41" s="2"/>
      <c r="T41" s="2"/>
      <c r="U41" s="2"/>
      <c r="V41" s="2"/>
    </row>
    <row r="42" spans="5:22" x14ac:dyDescent="0.25">
      <c r="E42" s="2"/>
      <c r="F42" s="2"/>
      <c r="G42" s="2"/>
      <c r="H42" s="2"/>
      <c r="I42" s="2"/>
      <c r="S42" s="2"/>
      <c r="T42" s="2"/>
      <c r="U42" s="2"/>
      <c r="V42" s="2"/>
    </row>
    <row r="43" spans="5:22" x14ac:dyDescent="0.25">
      <c r="E43" s="2"/>
      <c r="F43" s="2"/>
      <c r="G43" s="2"/>
      <c r="H43" s="2"/>
      <c r="I43" s="2"/>
      <c r="S43" s="2"/>
      <c r="T43" s="2"/>
      <c r="U43" s="2"/>
      <c r="V43" s="2"/>
    </row>
    <row r="44" spans="5:22" x14ac:dyDescent="0.25">
      <c r="E44" s="2"/>
      <c r="F44" s="2"/>
      <c r="G44" s="2"/>
      <c r="H44" s="2"/>
      <c r="I44" s="2"/>
      <c r="S44" s="2"/>
      <c r="T44" s="2"/>
      <c r="U44" s="2"/>
      <c r="V44" s="2"/>
    </row>
    <row r="45" spans="5:22" x14ac:dyDescent="0.25">
      <c r="E45" s="2"/>
      <c r="F45" s="2"/>
      <c r="G45" s="2"/>
      <c r="H45" s="2"/>
      <c r="I45" s="2"/>
      <c r="S45" s="2"/>
      <c r="T45" s="2"/>
      <c r="U45" s="2"/>
      <c r="V45" s="2"/>
    </row>
    <row r="46" spans="5:22" x14ac:dyDescent="0.25">
      <c r="E46" s="2"/>
      <c r="F46" s="2"/>
      <c r="G46" s="2"/>
      <c r="H46" s="2"/>
      <c r="I46" s="2"/>
      <c r="S46" s="2"/>
      <c r="T46" s="2"/>
      <c r="U46" s="2"/>
      <c r="V46" s="2"/>
    </row>
    <row r="47" spans="5:22" x14ac:dyDescent="0.25">
      <c r="E47" s="2"/>
      <c r="F47" s="2"/>
      <c r="G47" s="2"/>
      <c r="H47" s="2"/>
      <c r="I47" s="2"/>
      <c r="S47" s="2"/>
      <c r="T47" s="2"/>
      <c r="U47" s="2"/>
      <c r="V47" s="2"/>
    </row>
    <row r="48" spans="5:22" x14ac:dyDescent="0.25">
      <c r="E48" s="2"/>
      <c r="F48" s="2"/>
      <c r="G48" s="2"/>
      <c r="H48" s="2"/>
      <c r="I48" s="2"/>
      <c r="S48" s="2"/>
      <c r="T48" s="2"/>
      <c r="U48" s="2"/>
      <c r="V48" s="2"/>
    </row>
    <row r="49" spans="5:22" x14ac:dyDescent="0.25">
      <c r="E49" s="2"/>
      <c r="F49" s="2"/>
      <c r="G49" s="2"/>
      <c r="H49" s="2"/>
      <c r="I49" s="2"/>
      <c r="S49" s="2"/>
      <c r="T49" s="2"/>
      <c r="U49" s="2"/>
      <c r="V49" s="2"/>
    </row>
    <row r="50" spans="5:22" x14ac:dyDescent="0.25">
      <c r="E50" s="2"/>
      <c r="F50" s="2"/>
      <c r="G50" s="2"/>
      <c r="H50" s="2"/>
      <c r="I50" s="2"/>
      <c r="S50" s="2"/>
      <c r="T50" s="2"/>
      <c r="U50" s="2"/>
      <c r="V50" s="2"/>
    </row>
    <row r="51" spans="5:22" x14ac:dyDescent="0.25">
      <c r="E51" s="2"/>
      <c r="F51" s="2"/>
      <c r="G51" s="2"/>
      <c r="H51" s="2"/>
      <c r="I51" s="2"/>
      <c r="S51" s="2"/>
      <c r="T51" s="2"/>
      <c r="U51" s="2"/>
      <c r="V51" s="2"/>
    </row>
    <row r="52" spans="5:22" x14ac:dyDescent="0.25">
      <c r="E52" s="2"/>
      <c r="F52" s="2"/>
      <c r="G52" s="2"/>
      <c r="H52" s="2"/>
      <c r="I52" s="2"/>
      <c r="S52" s="2"/>
      <c r="T52" s="2"/>
      <c r="U52" s="2"/>
      <c r="V52" s="2"/>
    </row>
    <row r="53" spans="5:22" x14ac:dyDescent="0.25">
      <c r="E53" s="2"/>
      <c r="F53" s="2"/>
      <c r="G53" s="2"/>
      <c r="H53" s="2"/>
      <c r="I53" s="2"/>
      <c r="S53" s="2"/>
      <c r="T53" s="2"/>
      <c r="U53" s="2"/>
      <c r="V53" s="2"/>
    </row>
    <row r="54" spans="5:22" x14ac:dyDescent="0.25">
      <c r="E54" s="2"/>
      <c r="F54" s="2"/>
      <c r="G54" s="2"/>
      <c r="H54" s="2"/>
      <c r="I54" s="2"/>
      <c r="S54" s="2"/>
      <c r="T54" s="2"/>
      <c r="U54" s="2"/>
      <c r="V54" s="2"/>
    </row>
    <row r="55" spans="5:22" x14ac:dyDescent="0.25">
      <c r="E55" s="2"/>
      <c r="F55" s="2"/>
      <c r="G55" s="2"/>
      <c r="H55" s="2"/>
      <c r="I55" s="2"/>
      <c r="S55" s="2"/>
      <c r="T55" s="2"/>
      <c r="U55" s="2"/>
      <c r="V55" s="2"/>
    </row>
    <row r="56" spans="5:22" x14ac:dyDescent="0.25">
      <c r="E56" s="2"/>
      <c r="F56" s="2"/>
      <c r="G56" s="2"/>
      <c r="H56" s="2"/>
      <c r="I56" s="2"/>
      <c r="S56" s="2"/>
      <c r="T56" s="2"/>
      <c r="U56" s="2"/>
      <c r="V56" s="2"/>
    </row>
    <row r="57" spans="5:22" x14ac:dyDescent="0.25">
      <c r="E57" s="2"/>
      <c r="F57" s="2"/>
      <c r="G57" s="2"/>
      <c r="H57" s="2"/>
      <c r="I57" s="2"/>
      <c r="S57" s="2"/>
      <c r="T57" s="2"/>
      <c r="U57" s="2"/>
      <c r="V57" s="2"/>
    </row>
    <row r="58" spans="5:22" x14ac:dyDescent="0.25">
      <c r="E58" s="2"/>
      <c r="F58" s="2"/>
      <c r="G58" s="2"/>
      <c r="H58" s="2"/>
      <c r="I58" s="2"/>
      <c r="S58" s="2"/>
      <c r="T58" s="2"/>
      <c r="U58" s="2"/>
      <c r="V58" s="2"/>
    </row>
    <row r="59" spans="5:22" x14ac:dyDescent="0.25">
      <c r="E59" s="2"/>
      <c r="F59" s="2"/>
      <c r="G59" s="2"/>
      <c r="H59" s="2"/>
      <c r="I59" s="2"/>
      <c r="S59" s="2"/>
      <c r="T59" s="2"/>
      <c r="U59" s="2"/>
      <c r="V59" s="2"/>
    </row>
    <row r="60" spans="5:22" x14ac:dyDescent="0.25">
      <c r="E60" s="2"/>
      <c r="F60" s="2"/>
      <c r="G60" s="2"/>
      <c r="H60" s="2"/>
      <c r="I60" s="2"/>
      <c r="S60" s="2"/>
      <c r="T60" s="2"/>
      <c r="U60" s="2"/>
      <c r="V60" s="2"/>
    </row>
    <row r="61" spans="5:22" x14ac:dyDescent="0.25">
      <c r="E61" s="2"/>
      <c r="F61" s="2"/>
      <c r="G61" s="2"/>
      <c r="H61" s="2"/>
      <c r="I61" s="2"/>
      <c r="S61" s="2"/>
      <c r="T61" s="2"/>
      <c r="U61" s="2"/>
      <c r="V61" s="2"/>
    </row>
    <row r="62" spans="5:22" x14ac:dyDescent="0.25">
      <c r="E62" s="2"/>
      <c r="F62" s="2"/>
      <c r="G62" s="2"/>
      <c r="H62" s="2"/>
      <c r="I62" s="2"/>
      <c r="S62" s="2"/>
      <c r="T62" s="2"/>
      <c r="U62" s="2"/>
      <c r="V62" s="2"/>
    </row>
    <row r="63" spans="5:22" x14ac:dyDescent="0.25">
      <c r="E63" s="2"/>
      <c r="F63" s="2"/>
      <c r="G63" s="2"/>
      <c r="H63" s="2"/>
      <c r="I63" s="2"/>
      <c r="S63" s="2"/>
      <c r="T63" s="2"/>
      <c r="U63" s="2"/>
      <c r="V63" s="2"/>
    </row>
    <row r="64" spans="5:22" x14ac:dyDescent="0.25">
      <c r="E64" s="2"/>
      <c r="F64" s="2"/>
      <c r="G64" s="2"/>
      <c r="H64" s="2"/>
      <c r="I64" s="2"/>
      <c r="S64" s="2"/>
      <c r="T64" s="2"/>
      <c r="U64" s="2"/>
      <c r="V64" s="2"/>
    </row>
    <row r="65" spans="5:22" x14ac:dyDescent="0.25">
      <c r="E65" s="2"/>
      <c r="F65" s="2"/>
      <c r="G65" s="2"/>
      <c r="H65" s="2"/>
      <c r="I65" s="2"/>
      <c r="S65" s="2"/>
      <c r="T65" s="2"/>
      <c r="U65" s="2"/>
      <c r="V65" s="2"/>
    </row>
    <row r="66" spans="5:22" x14ac:dyDescent="0.25">
      <c r="E66" s="2"/>
      <c r="F66" s="2"/>
      <c r="G66" s="2"/>
      <c r="H66" s="2"/>
      <c r="I66" s="2"/>
      <c r="S66" s="2"/>
      <c r="T66" s="2"/>
      <c r="U66" s="2"/>
      <c r="V66" s="2"/>
    </row>
    <row r="67" spans="5:22" x14ac:dyDescent="0.25">
      <c r="E67" s="2"/>
      <c r="F67" s="2"/>
      <c r="G67" s="2"/>
      <c r="H67" s="2"/>
      <c r="I67" s="2"/>
      <c r="S67" s="2"/>
      <c r="T67" s="2"/>
      <c r="U67" s="2"/>
      <c r="V67" s="2"/>
    </row>
    <row r="68" spans="5:22" x14ac:dyDescent="0.25">
      <c r="E68" s="2"/>
      <c r="F68" s="2"/>
      <c r="G68" s="2"/>
      <c r="H68" s="2"/>
      <c r="I68" s="2"/>
      <c r="S68" s="2"/>
      <c r="T68" s="2"/>
      <c r="U68" s="2"/>
      <c r="V68" s="2"/>
    </row>
    <row r="69" spans="5:22" x14ac:dyDescent="0.25">
      <c r="E69" s="2"/>
      <c r="F69" s="2"/>
      <c r="G69" s="2"/>
      <c r="H69" s="2"/>
      <c r="I69" s="2"/>
      <c r="S69" s="2"/>
      <c r="T69" s="2"/>
      <c r="U69" s="2"/>
      <c r="V69" s="2"/>
    </row>
    <row r="70" spans="5:22" x14ac:dyDescent="0.25">
      <c r="E70" s="2"/>
      <c r="F70" s="2"/>
      <c r="G70" s="2"/>
      <c r="H70" s="2"/>
      <c r="I70" s="2"/>
      <c r="S70" s="2"/>
      <c r="T70" s="2"/>
      <c r="U70" s="2"/>
      <c r="V70" s="2"/>
    </row>
    <row r="71" spans="5:22" x14ac:dyDescent="0.25">
      <c r="E71" s="2"/>
      <c r="F71" s="2"/>
      <c r="G71" s="2"/>
      <c r="H71" s="2"/>
      <c r="I71" s="2"/>
      <c r="S71" s="2"/>
      <c r="T71" s="2"/>
      <c r="U71" s="2"/>
      <c r="V71" s="2"/>
    </row>
    <row r="72" spans="5:22" x14ac:dyDescent="0.25">
      <c r="E72" s="2"/>
      <c r="F72" s="2"/>
      <c r="G72" s="2"/>
      <c r="H72" s="2"/>
      <c r="I72" s="2"/>
      <c r="S72" s="2"/>
      <c r="T72" s="2"/>
      <c r="U72" s="2"/>
      <c r="V72" s="2"/>
    </row>
    <row r="73" spans="5:22" x14ac:dyDescent="0.25">
      <c r="E73" s="2"/>
      <c r="F73" s="2"/>
      <c r="G73" s="2"/>
      <c r="H73" s="2"/>
      <c r="I73" s="2"/>
      <c r="S73" s="2"/>
      <c r="T73" s="2"/>
      <c r="U73" s="2"/>
      <c r="V73" s="2"/>
    </row>
    <row r="74" spans="5:22" x14ac:dyDescent="0.25">
      <c r="E74" s="2"/>
      <c r="F74" s="2"/>
      <c r="G74" s="2"/>
      <c r="H74" s="2"/>
      <c r="I74" s="2"/>
      <c r="S74" s="2"/>
      <c r="T74" s="2"/>
      <c r="U74" s="2"/>
      <c r="V74" s="2"/>
    </row>
    <row r="75" spans="5:22" x14ac:dyDescent="0.25">
      <c r="E75" s="2"/>
      <c r="F75" s="2"/>
      <c r="G75" s="2"/>
      <c r="H75" s="2"/>
      <c r="I75" s="2"/>
      <c r="S75" s="2"/>
      <c r="T75" s="2"/>
      <c r="U75" s="2"/>
      <c r="V75" s="2"/>
    </row>
    <row r="76" spans="5:22" x14ac:dyDescent="0.25">
      <c r="E76" s="2"/>
      <c r="F76" s="2"/>
      <c r="G76" s="2"/>
      <c r="H76" s="2"/>
      <c r="I76" s="2"/>
    </row>
    <row r="77" spans="5:22" x14ac:dyDescent="0.25">
      <c r="E77" s="2"/>
      <c r="F77" s="2"/>
      <c r="G77" s="2"/>
      <c r="H77" s="2"/>
      <c r="I77" s="2"/>
    </row>
    <row r="78" spans="5:22" x14ac:dyDescent="0.25">
      <c r="E78" s="2"/>
      <c r="F78" s="2"/>
      <c r="G78" s="2"/>
      <c r="H78" s="2"/>
      <c r="I78" s="2"/>
    </row>
    <row r="79" spans="5:22" x14ac:dyDescent="0.25">
      <c r="E79" s="2"/>
      <c r="F79" s="2"/>
      <c r="G79" s="2"/>
      <c r="H79" s="2"/>
      <c r="I79" s="2"/>
    </row>
    <row r="80" spans="5:22" x14ac:dyDescent="0.25">
      <c r="E80" s="2"/>
      <c r="F80" s="2"/>
      <c r="G80" s="2"/>
      <c r="H80" s="2"/>
      <c r="I80" s="2"/>
    </row>
    <row r="81" spans="5:9" x14ac:dyDescent="0.25">
      <c r="E81" s="2"/>
      <c r="F81" s="2"/>
      <c r="G81" s="2"/>
      <c r="H81" s="2"/>
      <c r="I81" s="2"/>
    </row>
    <row r="82" spans="5:9" x14ac:dyDescent="0.25">
      <c r="E82" s="2"/>
      <c r="F82" s="2"/>
      <c r="G82" s="2"/>
      <c r="H82" s="2"/>
      <c r="I82" s="2"/>
    </row>
    <row r="83" spans="5:9" x14ac:dyDescent="0.25">
      <c r="E83" s="2"/>
      <c r="F83" s="2"/>
      <c r="G83" s="2"/>
      <c r="H83" s="2"/>
      <c r="I83" s="2"/>
    </row>
    <row r="84" spans="5:9" x14ac:dyDescent="0.25">
      <c r="E84" s="2"/>
      <c r="F84" s="2"/>
      <c r="G84" s="2"/>
      <c r="H84" s="2"/>
      <c r="I84" s="2"/>
    </row>
    <row r="85" spans="5:9" x14ac:dyDescent="0.25">
      <c r="E85" s="2"/>
      <c r="F85" s="2"/>
      <c r="G85" s="2"/>
      <c r="H85" s="2"/>
      <c r="I85" s="2"/>
    </row>
    <row r="86" spans="5:9" x14ac:dyDescent="0.25">
      <c r="E86" s="2"/>
      <c r="F86" s="2"/>
      <c r="G86" s="2"/>
      <c r="H86" s="2"/>
      <c r="I86" s="2"/>
    </row>
    <row r="87" spans="5:9" x14ac:dyDescent="0.25">
      <c r="E87" s="2"/>
      <c r="F87" s="2"/>
      <c r="G87" s="2"/>
      <c r="H87" s="2"/>
      <c r="I87" s="2"/>
    </row>
    <row r="88" spans="5:9" x14ac:dyDescent="0.25">
      <c r="E88" s="2"/>
      <c r="F88" s="2"/>
      <c r="G88" s="2"/>
      <c r="H88" s="2"/>
      <c r="I88" s="2"/>
    </row>
    <row r="89" spans="5:9" x14ac:dyDescent="0.25">
      <c r="E89" s="2"/>
      <c r="F89" s="2"/>
      <c r="G89" s="2"/>
      <c r="H89" s="2"/>
      <c r="I89" s="2"/>
    </row>
    <row r="90" spans="5:9" x14ac:dyDescent="0.25">
      <c r="E90" s="2"/>
      <c r="F90" s="2"/>
      <c r="G90" s="2"/>
      <c r="H90" s="2"/>
      <c r="I90" s="2"/>
    </row>
    <row r="91" spans="5:9" x14ac:dyDescent="0.25">
      <c r="E91" s="2"/>
      <c r="F91" s="2"/>
      <c r="G91" s="2"/>
      <c r="H91" s="2"/>
      <c r="I91" s="2"/>
    </row>
    <row r="92" spans="5:9" x14ac:dyDescent="0.25">
      <c r="E92" s="2"/>
      <c r="F92" s="2"/>
      <c r="G92" s="2"/>
      <c r="H92" s="2"/>
      <c r="I92" s="2"/>
    </row>
    <row r="93" spans="5:9" x14ac:dyDescent="0.25">
      <c r="E93" s="2"/>
      <c r="F93" s="2"/>
      <c r="G93" s="2"/>
      <c r="H93" s="2"/>
      <c r="I93" s="2"/>
    </row>
    <row r="94" spans="5:9" x14ac:dyDescent="0.25">
      <c r="E94" s="2"/>
      <c r="F94" s="2"/>
      <c r="G94" s="2"/>
      <c r="H94" s="2"/>
      <c r="I94" s="2"/>
    </row>
    <row r="95" spans="5:9" x14ac:dyDescent="0.25">
      <c r="E95" s="2"/>
      <c r="F95" s="2"/>
      <c r="G95" s="2"/>
      <c r="H95" s="2"/>
      <c r="I95" s="2"/>
    </row>
    <row r="96" spans="5:9" x14ac:dyDescent="0.25">
      <c r="E96" s="2"/>
      <c r="F96" s="2"/>
      <c r="G96" s="2"/>
      <c r="H96" s="2"/>
      <c r="I96" s="2"/>
    </row>
    <row r="97" spans="5:9" x14ac:dyDescent="0.25">
      <c r="E97" s="2"/>
      <c r="F97" s="2"/>
      <c r="G97" s="2"/>
      <c r="H97" s="2"/>
      <c r="I97" s="2"/>
    </row>
    <row r="98" spans="5:9" x14ac:dyDescent="0.25">
      <c r="E98" s="2"/>
      <c r="F98" s="2"/>
      <c r="G98" s="2"/>
      <c r="H98" s="2"/>
      <c r="I98" s="2"/>
    </row>
    <row r="99" spans="5:9" x14ac:dyDescent="0.25">
      <c r="E99" s="2"/>
      <c r="F99" s="2"/>
      <c r="G99" s="2"/>
      <c r="H99" s="2"/>
      <c r="I99" s="2"/>
    </row>
    <row r="100" spans="5:9" x14ac:dyDescent="0.25">
      <c r="E100" s="2"/>
      <c r="F100" s="2"/>
      <c r="G100" s="2"/>
      <c r="H100" s="2"/>
      <c r="I100" s="2"/>
    </row>
    <row r="101" spans="5:9" x14ac:dyDescent="0.25">
      <c r="E101" s="2"/>
      <c r="F101" s="2"/>
      <c r="G101" s="2"/>
      <c r="H101" s="2"/>
      <c r="I101" s="2"/>
    </row>
    <row r="102" spans="5:9" x14ac:dyDescent="0.25">
      <c r="E102" s="2"/>
      <c r="F102" s="2"/>
      <c r="G102" s="2"/>
      <c r="H102" s="2"/>
      <c r="I102" s="2"/>
    </row>
    <row r="103" spans="5:9" x14ac:dyDescent="0.25">
      <c r="E103" s="2"/>
      <c r="F103" s="2"/>
      <c r="G103" s="2"/>
      <c r="H103" s="2"/>
      <c r="I103" s="2"/>
    </row>
    <row r="104" spans="5:9" x14ac:dyDescent="0.25">
      <c r="E104" s="2"/>
      <c r="F104" s="2"/>
      <c r="G104" s="2"/>
      <c r="H104" s="2"/>
      <c r="I104" s="2"/>
    </row>
    <row r="105" spans="5:9" x14ac:dyDescent="0.25">
      <c r="E105" s="2"/>
      <c r="F105" s="2"/>
      <c r="G105" s="2"/>
      <c r="H105" s="2"/>
      <c r="I105" s="2"/>
    </row>
    <row r="106" spans="5:9" x14ac:dyDescent="0.25">
      <c r="E106" s="2"/>
      <c r="F106" s="2"/>
      <c r="G106" s="2"/>
      <c r="H106" s="2"/>
      <c r="I106" s="2"/>
    </row>
    <row r="107" spans="5:9" x14ac:dyDescent="0.25">
      <c r="E107" s="2"/>
      <c r="F107" s="2"/>
      <c r="G107" s="2"/>
      <c r="H107" s="2"/>
      <c r="I107" s="2"/>
    </row>
    <row r="108" spans="5:9" x14ac:dyDescent="0.25">
      <c r="E108" s="2"/>
      <c r="F108" s="2"/>
      <c r="G108" s="2"/>
      <c r="H108" s="2"/>
      <c r="I108" s="2"/>
    </row>
    <row r="109" spans="5:9" x14ac:dyDescent="0.25">
      <c r="E109" s="2"/>
      <c r="F109" s="2"/>
      <c r="G109" s="2"/>
      <c r="H109" s="2"/>
      <c r="I109" s="2"/>
    </row>
    <row r="110" spans="5:9" x14ac:dyDescent="0.25">
      <c r="E110" s="2"/>
      <c r="F110" s="2"/>
      <c r="G110" s="2"/>
      <c r="H110" s="2"/>
      <c r="I110" s="2"/>
    </row>
    <row r="111" spans="5:9" x14ac:dyDescent="0.25">
      <c r="E111" s="2"/>
      <c r="F111" s="2"/>
      <c r="G111" s="2"/>
      <c r="H111" s="2"/>
      <c r="I111" s="2"/>
    </row>
    <row r="112" spans="5:9" x14ac:dyDescent="0.25">
      <c r="E112" s="2"/>
      <c r="F112" s="2"/>
      <c r="G112" s="2"/>
      <c r="H112" s="2"/>
      <c r="I112" s="2"/>
    </row>
    <row r="113" spans="5:9" x14ac:dyDescent="0.25">
      <c r="E113" s="2"/>
      <c r="F113" s="2"/>
      <c r="G113" s="2"/>
      <c r="H113" s="2"/>
      <c r="I113" s="2"/>
    </row>
    <row r="114" spans="5:9" x14ac:dyDescent="0.25">
      <c r="E114" s="2"/>
      <c r="F114" s="2"/>
      <c r="G114" s="2"/>
      <c r="H114" s="2"/>
      <c r="I114" s="2"/>
    </row>
    <row r="115" spans="5:9" x14ac:dyDescent="0.25">
      <c r="E115" s="2"/>
      <c r="F115" s="2"/>
      <c r="G115" s="2"/>
      <c r="H115" s="2"/>
      <c r="I115" s="2"/>
    </row>
    <row r="116" spans="5:9" x14ac:dyDescent="0.25">
      <c r="E116" s="2"/>
      <c r="F116" s="2"/>
      <c r="G116" s="2"/>
      <c r="H116" s="2"/>
      <c r="I116" s="2"/>
    </row>
    <row r="117" spans="5:9" x14ac:dyDescent="0.25">
      <c r="E117" s="2"/>
      <c r="F117" s="2"/>
      <c r="G117" s="2"/>
      <c r="H117" s="2"/>
      <c r="I117" s="2"/>
    </row>
    <row r="118" spans="5:9" x14ac:dyDescent="0.25">
      <c r="E118" s="2"/>
      <c r="F118" s="2"/>
      <c r="G118" s="2"/>
      <c r="H118" s="2"/>
      <c r="I118" s="2"/>
    </row>
    <row r="119" spans="5:9" x14ac:dyDescent="0.25">
      <c r="E119" s="2"/>
      <c r="F119" s="2"/>
      <c r="G119" s="2"/>
      <c r="H119" s="2"/>
      <c r="I119" s="2"/>
    </row>
    <row r="120" spans="5:9" x14ac:dyDescent="0.25">
      <c r="E120" s="2"/>
      <c r="F120" s="2"/>
      <c r="G120" s="2"/>
      <c r="H120" s="2"/>
      <c r="I120" s="2"/>
    </row>
    <row r="121" spans="5:9" x14ac:dyDescent="0.25">
      <c r="E121" s="2"/>
      <c r="F121" s="2"/>
      <c r="G121" s="2"/>
      <c r="H121" s="2"/>
      <c r="I121" s="2"/>
    </row>
    <row r="122" spans="5:9" x14ac:dyDescent="0.25">
      <c r="E122" s="2"/>
      <c r="F122" s="2"/>
      <c r="G122" s="2"/>
      <c r="H122" s="2"/>
      <c r="I122" s="2"/>
    </row>
    <row r="123" spans="5:9" x14ac:dyDescent="0.25">
      <c r="E123" s="2"/>
      <c r="F123" s="2"/>
      <c r="G123" s="2"/>
      <c r="H123" s="2"/>
      <c r="I123" s="2"/>
    </row>
    <row r="124" spans="5:9" x14ac:dyDescent="0.25">
      <c r="E124" s="2"/>
      <c r="F124" s="2"/>
      <c r="G124" s="2"/>
      <c r="H124" s="2"/>
      <c r="I124" s="2"/>
    </row>
    <row r="125" spans="5:9" x14ac:dyDescent="0.25">
      <c r="E125" s="2"/>
      <c r="F125" s="2"/>
      <c r="G125" s="2"/>
      <c r="H125" s="2"/>
      <c r="I125" s="2"/>
    </row>
    <row r="126" spans="5:9" x14ac:dyDescent="0.25">
      <c r="E126" s="2"/>
      <c r="F126" s="2"/>
      <c r="G126" s="2"/>
      <c r="H126" s="2"/>
      <c r="I126" s="2"/>
    </row>
    <row r="127" spans="5:9" x14ac:dyDescent="0.25">
      <c r="E127" s="2"/>
      <c r="F127" s="2"/>
      <c r="G127" s="2"/>
      <c r="H127" s="2"/>
      <c r="I127" s="2"/>
    </row>
    <row r="128" spans="5:9" x14ac:dyDescent="0.25">
      <c r="E128" s="2"/>
      <c r="F128" s="2"/>
      <c r="G128" s="2"/>
      <c r="H128" s="2"/>
      <c r="I128" s="2"/>
    </row>
    <row r="129" spans="5:9" x14ac:dyDescent="0.25">
      <c r="E129" s="2"/>
      <c r="F129" s="2"/>
      <c r="G129" s="2"/>
      <c r="H129" s="2"/>
      <c r="I129" s="2"/>
    </row>
    <row r="130" spans="5:9" x14ac:dyDescent="0.25">
      <c r="E130" s="2"/>
      <c r="F130" s="2"/>
      <c r="G130" s="2"/>
      <c r="H130" s="2"/>
      <c r="I130" s="2"/>
    </row>
    <row r="131" spans="5:9" x14ac:dyDescent="0.25">
      <c r="E131" s="2"/>
      <c r="F131" s="2"/>
      <c r="G131" s="2"/>
      <c r="H131" s="2"/>
      <c r="I131" s="2"/>
    </row>
    <row r="132" spans="5:9" x14ac:dyDescent="0.25">
      <c r="E132" s="2"/>
      <c r="F132" s="2"/>
      <c r="G132" s="2"/>
      <c r="H132" s="2"/>
      <c r="I132" s="2"/>
    </row>
    <row r="133" spans="5:9" x14ac:dyDescent="0.25">
      <c r="E133" s="2"/>
      <c r="F133" s="2"/>
      <c r="G133" s="2"/>
      <c r="H133" s="2"/>
      <c r="I133" s="2"/>
    </row>
    <row r="134" spans="5:9" x14ac:dyDescent="0.25">
      <c r="E134" s="2"/>
      <c r="F134" s="2"/>
      <c r="G134" s="2"/>
      <c r="H134" s="2"/>
      <c r="I134" s="2"/>
    </row>
    <row r="135" spans="5:9" x14ac:dyDescent="0.25">
      <c r="E135" s="2"/>
      <c r="F135" s="2"/>
      <c r="G135" s="2"/>
      <c r="H135" s="2"/>
      <c r="I135" s="2"/>
    </row>
    <row r="136" spans="5:9" x14ac:dyDescent="0.25">
      <c r="E136" s="2"/>
      <c r="F136" s="2"/>
      <c r="G136" s="2"/>
      <c r="H136" s="2"/>
      <c r="I136" s="2"/>
    </row>
    <row r="137" spans="5:9" x14ac:dyDescent="0.25">
      <c r="E137" s="2"/>
      <c r="F137" s="2"/>
      <c r="G137" s="2"/>
      <c r="H137" s="2"/>
      <c r="I137" s="2"/>
    </row>
    <row r="138" spans="5:9" x14ac:dyDescent="0.25">
      <c r="E138" s="2"/>
      <c r="F138" s="2"/>
      <c r="G138" s="2"/>
      <c r="H138" s="2"/>
      <c r="I138" s="2"/>
    </row>
    <row r="139" spans="5:9" x14ac:dyDescent="0.25">
      <c r="E139" s="2"/>
      <c r="F139" s="2"/>
      <c r="G139" s="2"/>
      <c r="H139" s="2"/>
      <c r="I139" s="2"/>
    </row>
    <row r="140" spans="5:9" x14ac:dyDescent="0.25">
      <c r="E140" s="2"/>
      <c r="F140" s="2"/>
      <c r="G140" s="2"/>
      <c r="H140" s="2"/>
      <c r="I140" s="2"/>
    </row>
    <row r="141" spans="5:9" x14ac:dyDescent="0.25">
      <c r="E141" s="2"/>
      <c r="F141" s="2"/>
      <c r="G141" s="2"/>
      <c r="H141" s="2"/>
      <c r="I141" s="2"/>
    </row>
    <row r="142" spans="5:9" x14ac:dyDescent="0.25">
      <c r="E142" s="2"/>
      <c r="F142" s="2"/>
      <c r="G142" s="2"/>
      <c r="H142" s="2"/>
      <c r="I142" s="2"/>
    </row>
    <row r="143" spans="5:9" x14ac:dyDescent="0.25">
      <c r="E143" s="2"/>
      <c r="F143" s="2"/>
      <c r="G143" s="2"/>
      <c r="H143" s="2"/>
      <c r="I143" s="2"/>
    </row>
    <row r="144" spans="5:9" x14ac:dyDescent="0.25">
      <c r="E144" s="2"/>
      <c r="F144" s="2"/>
      <c r="G144" s="2"/>
      <c r="H144" s="2"/>
      <c r="I144" s="2"/>
    </row>
    <row r="145" spans="5:9" x14ac:dyDescent="0.25">
      <c r="E145" s="2"/>
      <c r="F145" s="2"/>
      <c r="G145" s="2"/>
      <c r="H145" s="2"/>
      <c r="I145" s="2"/>
    </row>
    <row r="146" spans="5:9" x14ac:dyDescent="0.25">
      <c r="E146" s="2"/>
      <c r="F146" s="2"/>
      <c r="G146" s="2"/>
      <c r="H146" s="2"/>
      <c r="I146" s="2"/>
    </row>
    <row r="147" spans="5:9" x14ac:dyDescent="0.25">
      <c r="E147" s="2"/>
      <c r="F147" s="2"/>
      <c r="G147" s="2"/>
      <c r="H147" s="2"/>
      <c r="I147" s="2"/>
    </row>
    <row r="148" spans="5:9" x14ac:dyDescent="0.25">
      <c r="E148" s="2"/>
      <c r="F148" s="2"/>
      <c r="G148" s="2"/>
      <c r="H148" s="2"/>
      <c r="I148" s="2"/>
    </row>
    <row r="149" spans="5:9" x14ac:dyDescent="0.25">
      <c r="E149" s="2"/>
      <c r="F149" s="2"/>
      <c r="G149" s="2"/>
      <c r="H149" s="2"/>
      <c r="I149" s="2"/>
    </row>
    <row r="150" spans="5:9" x14ac:dyDescent="0.25">
      <c r="E150" s="2"/>
      <c r="F150" s="2"/>
      <c r="G150" s="2"/>
      <c r="H150" s="2"/>
      <c r="I150" s="2"/>
    </row>
    <row r="151" spans="5:9" x14ac:dyDescent="0.25">
      <c r="E151" s="2"/>
      <c r="F151" s="2"/>
      <c r="G151" s="2"/>
      <c r="H151" s="2"/>
      <c r="I151" s="2"/>
    </row>
    <row r="152" spans="5:9" x14ac:dyDescent="0.25">
      <c r="E152" s="2"/>
      <c r="F152" s="2"/>
      <c r="G152" s="2"/>
      <c r="H152" s="2"/>
      <c r="I152" s="2"/>
    </row>
    <row r="153" spans="5:9" x14ac:dyDescent="0.25">
      <c r="E153" s="2"/>
      <c r="F153" s="2"/>
      <c r="G153" s="2"/>
      <c r="H153" s="2"/>
      <c r="I153" s="2"/>
    </row>
    <row r="154" spans="5:9" x14ac:dyDescent="0.25">
      <c r="E154" s="2"/>
      <c r="F154" s="2"/>
      <c r="G154" s="2"/>
      <c r="H154" s="2"/>
      <c r="I154" s="2"/>
    </row>
    <row r="155" spans="5:9" x14ac:dyDescent="0.25">
      <c r="E155" s="2"/>
      <c r="F155" s="2"/>
      <c r="G155" s="2"/>
      <c r="H155" s="2"/>
      <c r="I155" s="2"/>
    </row>
    <row r="156" spans="5:9" x14ac:dyDescent="0.25">
      <c r="E156" s="2"/>
      <c r="F156" s="2"/>
      <c r="G156" s="2"/>
      <c r="H156" s="2"/>
      <c r="I156" s="2"/>
    </row>
    <row r="157" spans="5:9" x14ac:dyDescent="0.25">
      <c r="E157" s="2"/>
      <c r="F157" s="2"/>
      <c r="G157" s="2"/>
      <c r="H157" s="2"/>
      <c r="I157" s="2"/>
    </row>
    <row r="158" spans="5:9" x14ac:dyDescent="0.25">
      <c r="E158" s="2"/>
      <c r="F158" s="2"/>
      <c r="G158" s="2"/>
      <c r="H158" s="2"/>
      <c r="I158" s="2"/>
    </row>
    <row r="159" spans="5:9" x14ac:dyDescent="0.25">
      <c r="E159" s="2"/>
      <c r="F159" s="2"/>
      <c r="G159" s="2"/>
      <c r="H159" s="2"/>
      <c r="I159" s="2"/>
    </row>
    <row r="160" spans="5:9" x14ac:dyDescent="0.25">
      <c r="E160" s="2"/>
      <c r="F160" s="2"/>
      <c r="G160" s="2"/>
      <c r="H160" s="2"/>
      <c r="I160" s="2"/>
    </row>
    <row r="161" spans="5:9" x14ac:dyDescent="0.25">
      <c r="E161" s="2"/>
      <c r="F161" s="2"/>
      <c r="G161" s="2"/>
      <c r="H161" s="2"/>
      <c r="I161" s="2"/>
    </row>
    <row r="162" spans="5:9" x14ac:dyDescent="0.25">
      <c r="E162" s="2"/>
      <c r="F162" s="2"/>
      <c r="G162" s="2"/>
      <c r="H162" s="2"/>
      <c r="I162" s="2"/>
    </row>
    <row r="163" spans="5:9" x14ac:dyDescent="0.25">
      <c r="E163" s="2"/>
      <c r="F163" s="2"/>
      <c r="G163" s="2"/>
      <c r="H163" s="2"/>
      <c r="I163" s="2"/>
    </row>
    <row r="164" spans="5:9" x14ac:dyDescent="0.25">
      <c r="E164" s="2"/>
      <c r="F164" s="2"/>
      <c r="G164" s="2"/>
      <c r="H164" s="2"/>
      <c r="I164" s="2"/>
    </row>
    <row r="165" spans="5:9" x14ac:dyDescent="0.25">
      <c r="E165" s="2"/>
      <c r="F165" s="2"/>
      <c r="G165" s="2"/>
      <c r="H165" s="2"/>
      <c r="I165" s="2"/>
    </row>
    <row r="166" spans="5:9" x14ac:dyDescent="0.25">
      <c r="E166" s="2"/>
      <c r="F166" s="2"/>
      <c r="G166" s="2"/>
      <c r="H166" s="2"/>
      <c r="I166" s="2"/>
    </row>
    <row r="167" spans="5:9" x14ac:dyDescent="0.25">
      <c r="E167" s="2"/>
      <c r="F167" s="2"/>
      <c r="G167" s="2"/>
      <c r="H167" s="2"/>
      <c r="I167" s="2"/>
    </row>
    <row r="168" spans="5:9" x14ac:dyDescent="0.25">
      <c r="E168" s="2"/>
      <c r="F168" s="2"/>
      <c r="G168" s="2"/>
      <c r="H168" s="2"/>
      <c r="I168" s="2"/>
    </row>
    <row r="169" spans="5:9" x14ac:dyDescent="0.25">
      <c r="E169" s="2"/>
      <c r="F169" s="2"/>
      <c r="G169" s="2"/>
      <c r="H169" s="2"/>
      <c r="I169" s="2"/>
    </row>
    <row r="170" spans="5:9" x14ac:dyDescent="0.25">
      <c r="E170" s="2"/>
      <c r="F170" s="2"/>
      <c r="G170" s="2"/>
      <c r="H170" s="2"/>
      <c r="I170" s="2"/>
    </row>
    <row r="171" spans="5:9" x14ac:dyDescent="0.25">
      <c r="E171" s="2"/>
      <c r="F171" s="2"/>
      <c r="G171" s="2"/>
      <c r="H171" s="2"/>
      <c r="I171" s="2"/>
    </row>
    <row r="172" spans="5:9" x14ac:dyDescent="0.25">
      <c r="E172" s="2"/>
      <c r="F172" s="2"/>
      <c r="G172" s="2"/>
      <c r="H172" s="2"/>
      <c r="I172" s="2"/>
    </row>
    <row r="173" spans="5:9" x14ac:dyDescent="0.25">
      <c r="E173" s="2"/>
      <c r="F173" s="2"/>
      <c r="G173" s="2"/>
      <c r="H173" s="2"/>
      <c r="I173" s="2"/>
    </row>
    <row r="174" spans="5:9" x14ac:dyDescent="0.25">
      <c r="E174" s="2"/>
      <c r="F174" s="2"/>
      <c r="G174" s="2"/>
      <c r="H174" s="2"/>
      <c r="I174" s="2"/>
    </row>
    <row r="175" spans="5:9" x14ac:dyDescent="0.25">
      <c r="E175" s="2"/>
      <c r="F175" s="2"/>
      <c r="G175" s="2"/>
      <c r="H175" s="2"/>
      <c r="I175" s="2"/>
    </row>
    <row r="176" spans="5:9" x14ac:dyDescent="0.25">
      <c r="E176" s="2"/>
      <c r="F176" s="2"/>
      <c r="G176" s="2"/>
      <c r="H176" s="2"/>
      <c r="I176" s="2"/>
    </row>
    <row r="177" spans="5:9" x14ac:dyDescent="0.25">
      <c r="E177" s="2"/>
      <c r="F177" s="2"/>
      <c r="G177" s="2"/>
      <c r="H177" s="2"/>
      <c r="I177" s="2"/>
    </row>
    <row r="178" spans="5:9" x14ac:dyDescent="0.25">
      <c r="E178" s="2"/>
      <c r="F178" s="2"/>
      <c r="G178" s="2"/>
      <c r="H178" s="2"/>
      <c r="I178" s="2"/>
    </row>
    <row r="179" spans="5:9" x14ac:dyDescent="0.25">
      <c r="E179" s="2"/>
      <c r="F179" s="2"/>
      <c r="G179" s="2"/>
      <c r="H179" s="2"/>
      <c r="I179" s="2"/>
    </row>
    <row r="180" spans="5:9" x14ac:dyDescent="0.25">
      <c r="E180" s="2"/>
      <c r="F180" s="2"/>
      <c r="G180" s="2"/>
      <c r="H180" s="2"/>
      <c r="I180" s="2"/>
    </row>
    <row r="181" spans="5:9" x14ac:dyDescent="0.25">
      <c r="E181" s="2"/>
      <c r="F181" s="2"/>
      <c r="G181" s="2"/>
      <c r="H181" s="2"/>
      <c r="I181" s="2"/>
    </row>
    <row r="182" spans="5:9" x14ac:dyDescent="0.25">
      <c r="E182" s="2"/>
      <c r="F182" s="2"/>
      <c r="G182" s="2"/>
      <c r="H182" s="2"/>
      <c r="I182" s="2"/>
    </row>
    <row r="183" spans="5:9" x14ac:dyDescent="0.25">
      <c r="E183" s="2"/>
      <c r="F183" s="2"/>
      <c r="G183" s="2"/>
      <c r="H183" s="2"/>
      <c r="I183" s="2"/>
    </row>
    <row r="184" spans="5:9" x14ac:dyDescent="0.25">
      <c r="E184" s="2"/>
      <c r="F184" s="2"/>
      <c r="G184" s="2"/>
      <c r="H184" s="2"/>
      <c r="I184" s="2"/>
    </row>
    <row r="185" spans="5:9" x14ac:dyDescent="0.25">
      <c r="E185" s="2"/>
      <c r="F185" s="2"/>
      <c r="G185" s="2"/>
      <c r="H185" s="2"/>
      <c r="I185" s="2"/>
    </row>
    <row r="186" spans="5:9" x14ac:dyDescent="0.25">
      <c r="E186" s="2"/>
      <c r="F186" s="2"/>
      <c r="G186" s="2"/>
      <c r="H186" s="2"/>
      <c r="I186" s="2"/>
    </row>
    <row r="187" spans="5:9" x14ac:dyDescent="0.25">
      <c r="E187" s="2"/>
      <c r="F187" s="2"/>
      <c r="G187" s="2"/>
      <c r="H187" s="2"/>
      <c r="I187" s="2"/>
    </row>
    <row r="188" spans="5:9" x14ac:dyDescent="0.25">
      <c r="E188" s="2"/>
      <c r="F188" s="2"/>
      <c r="G188" s="2"/>
      <c r="H188" s="2"/>
      <c r="I188" s="2"/>
    </row>
    <row r="189" spans="5:9" x14ac:dyDescent="0.25">
      <c r="E189" s="2"/>
      <c r="F189" s="2"/>
      <c r="G189" s="2"/>
      <c r="H189" s="2"/>
      <c r="I189" s="2"/>
    </row>
    <row r="190" spans="5:9" x14ac:dyDescent="0.25">
      <c r="E190" s="2"/>
      <c r="F190" s="2"/>
      <c r="G190" s="2"/>
      <c r="H190" s="2"/>
      <c r="I190" s="2"/>
    </row>
    <row r="191" spans="5:9" x14ac:dyDescent="0.25">
      <c r="E191" s="2"/>
      <c r="F191" s="2"/>
      <c r="G191" s="2"/>
      <c r="H191" s="2"/>
      <c r="I191" s="2"/>
    </row>
    <row r="192" spans="5:9" x14ac:dyDescent="0.25">
      <c r="E192" s="2"/>
      <c r="F192" s="2"/>
      <c r="G192" s="2"/>
      <c r="H192" s="2"/>
      <c r="I192" s="2"/>
    </row>
    <row r="193" spans="5:9" x14ac:dyDescent="0.25">
      <c r="E193" s="2"/>
      <c r="F193" s="2"/>
      <c r="G193" s="2"/>
      <c r="H193" s="2"/>
      <c r="I193" s="2"/>
    </row>
    <row r="194" spans="5:9" x14ac:dyDescent="0.25">
      <c r="E194" s="2"/>
      <c r="F194" s="2"/>
      <c r="G194" s="2"/>
      <c r="H194" s="2"/>
      <c r="I194" s="2"/>
    </row>
    <row r="195" spans="5:9" x14ac:dyDescent="0.25">
      <c r="E195" s="2"/>
      <c r="F195" s="2"/>
      <c r="G195" s="2"/>
      <c r="H195" s="2"/>
      <c r="I195" s="2"/>
    </row>
    <row r="196" spans="5:9" x14ac:dyDescent="0.25">
      <c r="E196" s="2"/>
      <c r="F196" s="2"/>
      <c r="G196" s="2"/>
      <c r="H196" s="2"/>
      <c r="I196" s="2"/>
    </row>
    <row r="197" spans="5:9" x14ac:dyDescent="0.25">
      <c r="E197" s="2"/>
      <c r="F197" s="2"/>
      <c r="G197" s="2"/>
      <c r="H197" s="2"/>
      <c r="I197" s="2"/>
    </row>
    <row r="198" spans="5:9" x14ac:dyDescent="0.25">
      <c r="E198" s="2"/>
      <c r="F198" s="2"/>
      <c r="G198" s="2"/>
      <c r="H198" s="2"/>
      <c r="I198" s="2"/>
    </row>
    <row r="199" spans="5:9" x14ac:dyDescent="0.25">
      <c r="E199" s="2"/>
      <c r="F199" s="2"/>
      <c r="G199" s="2"/>
      <c r="H199" s="2"/>
      <c r="I199" s="2"/>
    </row>
    <row r="200" spans="5:9" x14ac:dyDescent="0.25">
      <c r="E200" s="2"/>
      <c r="F200" s="2"/>
      <c r="G200" s="2"/>
      <c r="H200" s="2"/>
      <c r="I200" s="2"/>
    </row>
    <row r="201" spans="5:9" x14ac:dyDescent="0.25">
      <c r="E201" s="2"/>
      <c r="F201" s="2"/>
      <c r="G201" s="2"/>
      <c r="H201" s="2"/>
      <c r="I201" s="2"/>
    </row>
    <row r="202" spans="5:9" x14ac:dyDescent="0.25">
      <c r="E202" s="2"/>
      <c r="F202" s="2"/>
      <c r="G202" s="2"/>
      <c r="H202" s="2"/>
      <c r="I202" s="2"/>
    </row>
    <row r="203" spans="5:9" x14ac:dyDescent="0.25">
      <c r="E203" s="2"/>
      <c r="F203" s="2"/>
      <c r="G203" s="2"/>
      <c r="H203" s="2"/>
      <c r="I203" s="2"/>
    </row>
    <row r="204" spans="5:9" x14ac:dyDescent="0.25">
      <c r="E204" s="2"/>
      <c r="F204" s="2"/>
      <c r="G204" s="2"/>
      <c r="H204" s="2"/>
      <c r="I204" s="2"/>
    </row>
    <row r="205" spans="5:9" x14ac:dyDescent="0.25">
      <c r="E205" s="2"/>
      <c r="F205" s="2"/>
      <c r="G205" s="2"/>
      <c r="H205" s="2"/>
      <c r="I205" s="2"/>
    </row>
    <row r="206" spans="5:9" x14ac:dyDescent="0.25">
      <c r="E206" s="2"/>
      <c r="F206" s="2"/>
      <c r="G206" s="2"/>
      <c r="H206" s="2"/>
      <c r="I206" s="2"/>
    </row>
    <row r="207" spans="5:9" x14ac:dyDescent="0.25">
      <c r="E207" s="2"/>
      <c r="F207" s="2"/>
      <c r="G207" s="2"/>
      <c r="H207" s="2"/>
      <c r="I207" s="2"/>
    </row>
    <row r="208" spans="5:9" x14ac:dyDescent="0.25">
      <c r="E208" s="2"/>
      <c r="F208" s="2"/>
      <c r="G208" s="2"/>
      <c r="H208" s="2"/>
      <c r="I208" s="2"/>
    </row>
    <row r="209" spans="5:9" x14ac:dyDescent="0.25">
      <c r="E209" s="2"/>
      <c r="F209" s="2"/>
      <c r="G209" s="2"/>
      <c r="H209" s="2"/>
      <c r="I209" s="2"/>
    </row>
    <row r="210" spans="5:9" x14ac:dyDescent="0.25">
      <c r="E210" s="2"/>
      <c r="F210" s="2"/>
      <c r="G210" s="2"/>
      <c r="H210" s="2"/>
      <c r="I210" s="2"/>
    </row>
    <row r="211" spans="5:9" x14ac:dyDescent="0.25">
      <c r="E211" s="2"/>
      <c r="F211" s="2"/>
      <c r="G211" s="2"/>
      <c r="H211" s="2"/>
      <c r="I211" s="2"/>
    </row>
    <row r="212" spans="5:9" x14ac:dyDescent="0.25">
      <c r="E212" s="2"/>
      <c r="F212" s="2"/>
      <c r="G212" s="2"/>
      <c r="H212" s="2"/>
      <c r="I212" s="2"/>
    </row>
    <row r="213" spans="5:9" x14ac:dyDescent="0.25">
      <c r="E213" s="2"/>
      <c r="F213" s="2"/>
      <c r="G213" s="2"/>
      <c r="H213" s="2"/>
      <c r="I213" s="2"/>
    </row>
    <row r="214" spans="5:9" x14ac:dyDescent="0.25">
      <c r="E214" s="2"/>
      <c r="F214" s="2"/>
      <c r="G214" s="2"/>
      <c r="H214" s="2"/>
      <c r="I214" s="2"/>
    </row>
    <row r="215" spans="5:9" x14ac:dyDescent="0.25">
      <c r="E215" s="2"/>
      <c r="F215" s="2"/>
      <c r="G215" s="2"/>
      <c r="H215" s="2"/>
      <c r="I215" s="2"/>
    </row>
    <row r="216" spans="5:9" x14ac:dyDescent="0.25">
      <c r="E216" s="2"/>
      <c r="F216" s="2"/>
      <c r="G216" s="2"/>
      <c r="H216" s="2"/>
      <c r="I216" s="2"/>
    </row>
    <row r="217" spans="5:9" x14ac:dyDescent="0.25">
      <c r="E217" s="2"/>
      <c r="F217" s="2"/>
      <c r="G217" s="2"/>
      <c r="H217" s="2"/>
      <c r="I217" s="2"/>
    </row>
    <row r="218" spans="5:9" x14ac:dyDescent="0.25">
      <c r="E218" s="2"/>
      <c r="F218" s="2"/>
      <c r="G218" s="2"/>
      <c r="H218" s="2"/>
      <c r="I218" s="2"/>
    </row>
    <row r="219" spans="5:9" x14ac:dyDescent="0.25">
      <c r="E219" s="2"/>
      <c r="F219" s="2"/>
      <c r="G219" s="2"/>
      <c r="H219" s="2"/>
      <c r="I219" s="2"/>
    </row>
    <row r="220" spans="5:9" x14ac:dyDescent="0.25">
      <c r="E220" s="2"/>
      <c r="F220" s="2"/>
      <c r="G220" s="2"/>
      <c r="H220" s="2"/>
      <c r="I220" s="2"/>
    </row>
    <row r="221" spans="5:9" x14ac:dyDescent="0.25">
      <c r="E221" s="2"/>
      <c r="F221" s="2"/>
      <c r="G221" s="2"/>
      <c r="H221" s="2"/>
      <c r="I221" s="2"/>
    </row>
    <row r="222" spans="5:9" x14ac:dyDescent="0.25">
      <c r="E222" s="2"/>
      <c r="F222" s="2"/>
      <c r="G222" s="2"/>
      <c r="H222" s="2"/>
      <c r="I222" s="2"/>
    </row>
    <row r="223" spans="5:9" x14ac:dyDescent="0.25">
      <c r="E223" s="2"/>
      <c r="F223" s="2"/>
      <c r="G223" s="2"/>
      <c r="H223" s="2"/>
      <c r="I223" s="2"/>
    </row>
    <row r="224" spans="5:9" x14ac:dyDescent="0.25">
      <c r="E224" s="2"/>
      <c r="F224" s="2"/>
      <c r="G224" s="2"/>
      <c r="H224" s="2"/>
      <c r="I224" s="2"/>
    </row>
    <row r="225" spans="5:9" x14ac:dyDescent="0.25">
      <c r="E225" s="2"/>
      <c r="F225" s="2"/>
      <c r="G225" s="2"/>
      <c r="H225" s="2"/>
      <c r="I225" s="2"/>
    </row>
    <row r="226" spans="5:9" x14ac:dyDescent="0.25">
      <c r="E226" s="2"/>
      <c r="F226" s="2"/>
      <c r="G226" s="2"/>
      <c r="H226" s="2"/>
      <c r="I226" s="2"/>
    </row>
    <row r="227" spans="5:9" x14ac:dyDescent="0.25">
      <c r="E227" s="2"/>
      <c r="F227" s="2"/>
      <c r="G227" s="2"/>
      <c r="H227" s="2"/>
      <c r="I227" s="2"/>
    </row>
    <row r="228" spans="5:9" x14ac:dyDescent="0.25">
      <c r="E228" s="2"/>
      <c r="F228" s="2"/>
      <c r="G228" s="2"/>
      <c r="H228" s="2"/>
      <c r="I228" s="2"/>
    </row>
    <row r="229" spans="5:9" x14ac:dyDescent="0.25">
      <c r="E229" s="2"/>
      <c r="F229" s="2"/>
      <c r="G229" s="2"/>
      <c r="H229" s="2"/>
      <c r="I229" s="2"/>
    </row>
    <row r="230" spans="5:9" x14ac:dyDescent="0.25">
      <c r="E230" s="2"/>
      <c r="F230" s="2"/>
      <c r="G230" s="2"/>
      <c r="H230" s="2"/>
      <c r="I230" s="2"/>
    </row>
    <row r="231" spans="5:9" x14ac:dyDescent="0.25">
      <c r="E231" s="2"/>
      <c r="F231" s="2"/>
      <c r="G231" s="2"/>
      <c r="H231" s="2"/>
      <c r="I231" s="2"/>
    </row>
    <row r="232" spans="5:9" x14ac:dyDescent="0.25">
      <c r="E232" s="2"/>
      <c r="F232" s="2"/>
      <c r="G232" s="2"/>
      <c r="H232" s="2"/>
      <c r="I232" s="2"/>
    </row>
    <row r="233" spans="5:9" x14ac:dyDescent="0.25">
      <c r="E233" s="2"/>
      <c r="F233" s="2"/>
      <c r="G233" s="2"/>
      <c r="H233" s="2"/>
      <c r="I233" s="2"/>
    </row>
    <row r="234" spans="5:9" x14ac:dyDescent="0.25">
      <c r="E234" s="2"/>
      <c r="F234" s="2"/>
      <c r="G234" s="2"/>
      <c r="H234" s="2"/>
      <c r="I234" s="2"/>
    </row>
    <row r="235" spans="5:9" x14ac:dyDescent="0.25">
      <c r="E235" s="2"/>
      <c r="F235" s="2"/>
      <c r="G235" s="2"/>
      <c r="H235" s="2"/>
      <c r="I235" s="2"/>
    </row>
    <row r="236" spans="5:9" x14ac:dyDescent="0.25">
      <c r="E236" s="2"/>
      <c r="F236" s="2"/>
      <c r="G236" s="2"/>
      <c r="H236" s="2"/>
      <c r="I236" s="2"/>
    </row>
    <row r="237" spans="5:9" x14ac:dyDescent="0.25">
      <c r="G237" s="2"/>
      <c r="H237" s="2"/>
    </row>
    <row r="238" spans="5:9" x14ac:dyDescent="0.25">
      <c r="G238" s="2"/>
      <c r="H238" s="2"/>
    </row>
    <row r="239" spans="5:9" x14ac:dyDescent="0.25">
      <c r="G239" s="2"/>
      <c r="H239" s="2"/>
    </row>
    <row r="240" spans="5:9" x14ac:dyDescent="0.25">
      <c r="G240" s="2"/>
      <c r="H240" s="2"/>
    </row>
    <row r="241" spans="7:8" x14ac:dyDescent="0.25">
      <c r="G241" s="2"/>
      <c r="H241" s="2"/>
    </row>
    <row r="242" spans="7:8" x14ac:dyDescent="0.25">
      <c r="G242" s="2"/>
      <c r="H242" s="2"/>
    </row>
    <row r="243" spans="7:8" x14ac:dyDescent="0.25">
      <c r="G243" s="2"/>
      <c r="H243" s="2"/>
    </row>
    <row r="244" spans="7:8" x14ac:dyDescent="0.25">
      <c r="G244" s="2"/>
      <c r="H244" s="2"/>
    </row>
    <row r="245" spans="7:8" x14ac:dyDescent="0.25">
      <c r="G245" s="2"/>
      <c r="H245" s="2"/>
    </row>
    <row r="246" spans="7:8" x14ac:dyDescent="0.25">
      <c r="G246" s="2"/>
      <c r="H246" s="2"/>
    </row>
    <row r="247" spans="7:8" x14ac:dyDescent="0.25">
      <c r="G247" s="2"/>
      <c r="H247" s="2"/>
    </row>
    <row r="248" spans="7:8" x14ac:dyDescent="0.25">
      <c r="G248" s="2"/>
      <c r="H248" s="2"/>
    </row>
    <row r="249" spans="7:8" x14ac:dyDescent="0.25">
      <c r="G249" s="2"/>
      <c r="H249" s="2"/>
    </row>
    <row r="250" spans="7:8" x14ac:dyDescent="0.25">
      <c r="G250" s="2"/>
      <c r="H250" s="2"/>
    </row>
    <row r="251" spans="7:8" x14ac:dyDescent="0.25">
      <c r="G251" s="2"/>
      <c r="H251" s="2"/>
    </row>
    <row r="252" spans="7:8" x14ac:dyDescent="0.25">
      <c r="G252" s="2"/>
      <c r="H252" s="2"/>
    </row>
    <row r="253" spans="7:8" x14ac:dyDescent="0.25">
      <c r="G253" s="2"/>
      <c r="H253" s="2"/>
    </row>
    <row r="254" spans="7:8" x14ac:dyDescent="0.25">
      <c r="G254" s="2"/>
      <c r="H254" s="2"/>
    </row>
    <row r="255" spans="7:8" x14ac:dyDescent="0.25">
      <c r="G255" s="2"/>
      <c r="H255" s="2"/>
    </row>
    <row r="256" spans="7:8" x14ac:dyDescent="0.25">
      <c r="G256" s="2"/>
      <c r="H256" s="2"/>
    </row>
    <row r="257" spans="7:8" x14ac:dyDescent="0.25">
      <c r="G257" s="2"/>
      <c r="H257" s="2"/>
    </row>
    <row r="258" spans="7:8" x14ac:dyDescent="0.25">
      <c r="G258" s="2"/>
      <c r="H258" s="2"/>
    </row>
    <row r="259" spans="7:8" x14ac:dyDescent="0.25">
      <c r="G259" s="2"/>
      <c r="H259" s="2"/>
    </row>
    <row r="260" spans="7:8" x14ac:dyDescent="0.25">
      <c r="G260" s="2"/>
      <c r="H260" s="2"/>
    </row>
    <row r="261" spans="7:8" x14ac:dyDescent="0.25">
      <c r="G261" s="2"/>
      <c r="H261" s="2"/>
    </row>
    <row r="262" spans="7:8" x14ac:dyDescent="0.25">
      <c r="G262" s="2"/>
      <c r="H262" s="2"/>
    </row>
    <row r="263" spans="7:8" x14ac:dyDescent="0.25">
      <c r="G263" s="2"/>
      <c r="H263" s="2"/>
    </row>
    <row r="264" spans="7:8" x14ac:dyDescent="0.25">
      <c r="G264" s="2"/>
      <c r="H264" s="2"/>
    </row>
    <row r="265" spans="7:8" x14ac:dyDescent="0.25">
      <c r="G265" s="2"/>
      <c r="H265" s="2"/>
    </row>
    <row r="266" spans="7:8" x14ac:dyDescent="0.25">
      <c r="G266" s="2"/>
      <c r="H266" s="2"/>
    </row>
    <row r="267" spans="7:8" x14ac:dyDescent="0.25">
      <c r="G267" s="2"/>
      <c r="H267" s="2"/>
    </row>
    <row r="268" spans="7:8" x14ac:dyDescent="0.25">
      <c r="G268" s="2"/>
      <c r="H268" s="2"/>
    </row>
    <row r="269" spans="7:8" x14ac:dyDescent="0.25">
      <c r="G269" s="2"/>
      <c r="H269" s="2"/>
    </row>
    <row r="270" spans="7:8" x14ac:dyDescent="0.25">
      <c r="G270" s="2"/>
      <c r="H270" s="2"/>
    </row>
    <row r="271" spans="7:8" x14ac:dyDescent="0.25">
      <c r="G271" s="2"/>
      <c r="H271" s="2"/>
    </row>
    <row r="272" spans="7:8" x14ac:dyDescent="0.25">
      <c r="G272" s="2"/>
      <c r="H272" s="2"/>
    </row>
    <row r="273" spans="7:8" x14ac:dyDescent="0.25">
      <c r="G273" s="2"/>
      <c r="H273" s="2"/>
    </row>
    <row r="274" spans="7:8" x14ac:dyDescent="0.25">
      <c r="G274" s="2"/>
      <c r="H274" s="2"/>
    </row>
    <row r="275" spans="7:8" x14ac:dyDescent="0.25">
      <c r="G275" s="2"/>
      <c r="H275" s="2"/>
    </row>
    <row r="276" spans="7:8" x14ac:dyDescent="0.25">
      <c r="G276" s="2"/>
      <c r="H276" s="2"/>
    </row>
    <row r="277" spans="7:8" x14ac:dyDescent="0.25">
      <c r="G277" s="2"/>
      <c r="H277" s="2"/>
    </row>
    <row r="278" spans="7:8" x14ac:dyDescent="0.25">
      <c r="G278" s="2"/>
      <c r="H278" s="2"/>
    </row>
    <row r="279" spans="7:8" x14ac:dyDescent="0.25">
      <c r="G279" s="2"/>
      <c r="H279" s="2"/>
    </row>
    <row r="280" spans="7:8" x14ac:dyDescent="0.25">
      <c r="G280" s="2"/>
      <c r="H280" s="2"/>
    </row>
    <row r="281" spans="7:8" x14ac:dyDescent="0.25">
      <c r="G281" s="2"/>
      <c r="H281" s="2"/>
    </row>
    <row r="282" spans="7:8" x14ac:dyDescent="0.25">
      <c r="G282" s="2"/>
      <c r="H282" s="2"/>
    </row>
    <row r="283" spans="7:8" x14ac:dyDescent="0.25">
      <c r="G283" s="2"/>
      <c r="H283" s="2"/>
    </row>
    <row r="284" spans="7:8" x14ac:dyDescent="0.25">
      <c r="G284" s="2"/>
      <c r="H284" s="2"/>
    </row>
    <row r="285" spans="7:8" x14ac:dyDescent="0.25">
      <c r="G285" s="2"/>
      <c r="H285" s="2"/>
    </row>
    <row r="286" spans="7:8" x14ac:dyDescent="0.25">
      <c r="G286" s="2"/>
      <c r="H286" s="2"/>
    </row>
    <row r="287" spans="7:8" x14ac:dyDescent="0.25">
      <c r="G287" s="2"/>
      <c r="H287" s="2"/>
    </row>
    <row r="288" spans="7:8" x14ac:dyDescent="0.25">
      <c r="G288" s="2"/>
      <c r="H288" s="2"/>
    </row>
    <row r="289" spans="7:8" x14ac:dyDescent="0.25">
      <c r="G289" s="2"/>
      <c r="H289" s="2"/>
    </row>
    <row r="290" spans="7:8" x14ac:dyDescent="0.25">
      <c r="G290" s="2"/>
      <c r="H290" s="2"/>
    </row>
    <row r="291" spans="7:8" x14ac:dyDescent="0.25">
      <c r="G291" s="2"/>
      <c r="H291" s="2"/>
    </row>
    <row r="292" spans="7:8" x14ac:dyDescent="0.25">
      <c r="G292" s="2"/>
      <c r="H292" s="2"/>
    </row>
    <row r="293" spans="7:8" x14ac:dyDescent="0.25">
      <c r="G293" s="2"/>
      <c r="H293" s="2"/>
    </row>
    <row r="294" spans="7:8" x14ac:dyDescent="0.25">
      <c r="G294" s="2"/>
      <c r="H294" s="2"/>
    </row>
    <row r="295" spans="7:8" x14ac:dyDescent="0.25">
      <c r="G295" s="2"/>
      <c r="H295" s="2"/>
    </row>
    <row r="296" spans="7:8" x14ac:dyDescent="0.25">
      <c r="G296" s="2"/>
      <c r="H296" s="2"/>
    </row>
    <row r="297" spans="7:8" x14ac:dyDescent="0.25">
      <c r="G297" s="2"/>
      <c r="H297" s="2"/>
    </row>
    <row r="298" spans="7:8" x14ac:dyDescent="0.25">
      <c r="G298" s="2"/>
      <c r="H298" s="2"/>
    </row>
    <row r="299" spans="7:8" x14ac:dyDescent="0.25">
      <c r="G299" s="2"/>
      <c r="H299" s="2"/>
    </row>
    <row r="300" spans="7:8" x14ac:dyDescent="0.25">
      <c r="G300" s="2"/>
      <c r="H300" s="2"/>
    </row>
    <row r="301" spans="7:8" x14ac:dyDescent="0.25">
      <c r="G301" s="2"/>
      <c r="H301" s="2"/>
    </row>
    <row r="302" spans="7:8" x14ac:dyDescent="0.25">
      <c r="G302" s="2"/>
      <c r="H302" s="2"/>
    </row>
    <row r="303" spans="7:8" x14ac:dyDescent="0.25">
      <c r="G303" s="2"/>
      <c r="H303" s="2"/>
    </row>
    <row r="304" spans="7:8" x14ac:dyDescent="0.25">
      <c r="G304" s="2"/>
      <c r="H304" s="2"/>
    </row>
    <row r="305" spans="7:8" x14ac:dyDescent="0.25">
      <c r="G305" s="2"/>
      <c r="H305" s="2"/>
    </row>
    <row r="306" spans="7:8" x14ac:dyDescent="0.25">
      <c r="G306" s="2"/>
      <c r="H306" s="2"/>
    </row>
    <row r="307" spans="7:8" x14ac:dyDescent="0.25">
      <c r="G307" s="2"/>
      <c r="H307" s="2"/>
    </row>
    <row r="308" spans="7:8" x14ac:dyDescent="0.25">
      <c r="G308" s="2"/>
      <c r="H308" s="2"/>
    </row>
    <row r="309" spans="7:8" x14ac:dyDescent="0.25">
      <c r="G309" s="2"/>
      <c r="H309" s="2"/>
    </row>
  </sheetData>
  <sortState xmlns:xlrd2="http://schemas.microsoft.com/office/spreadsheetml/2017/richdata2" ref="A4:J19">
    <sortCondition ref="A4"/>
  </sortState>
  <mergeCells count="2">
    <mergeCell ref="A1:I2"/>
    <mergeCell ref="P1:V1"/>
  </mergeCells>
  <conditionalFormatting sqref="A4:I999">
    <cfRule type="expression" dxfId="38" priority="1">
      <formula>AND($A4&lt;&gt;"",MOD(ROW(),2)=0)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74690D-D678-41CF-A64C-700E926F2E95}">
  <sheetPr codeName="shBillEntries"/>
  <dimension ref="A1:AA155"/>
  <sheetViews>
    <sheetView zoomScale="90" zoomScaleNormal="90" workbookViewId="0">
      <selection activeCell="I22" sqref="I22"/>
    </sheetView>
  </sheetViews>
  <sheetFormatPr baseColWidth="10" defaultColWidth="9.140625" defaultRowHeight="15" x14ac:dyDescent="0.25"/>
  <cols>
    <col min="1" max="2" width="8.7109375" customWidth="1"/>
    <col min="3" max="3" width="21.42578125" bestFit="1" customWidth="1"/>
    <col min="4" max="4" width="8.7109375" customWidth="1"/>
    <col min="5" max="5" width="26.85546875" bestFit="1" customWidth="1"/>
    <col min="6" max="6" width="7.140625" bestFit="1" customWidth="1"/>
    <col min="7" max="7" width="86.28515625" bestFit="1" customWidth="1"/>
    <col min="8" max="8" width="12.7109375" style="2" customWidth="1"/>
    <col min="9" max="9" width="9.7109375" style="69" customWidth="1"/>
    <col min="10" max="10" width="29" bestFit="1" customWidth="1"/>
    <col min="11" max="11" width="12.42578125" customWidth="1"/>
    <col min="12" max="12" width="8.7109375" style="2" customWidth="1"/>
    <col min="13" max="13" width="6.7109375" style="2" customWidth="1"/>
    <col min="14" max="16" width="2.7109375" customWidth="1"/>
    <col min="19" max="20" width="2.7109375" customWidth="1"/>
    <col min="21" max="21" width="8.7109375" customWidth="1"/>
    <col min="22" max="22" width="12.7109375" style="2" customWidth="1"/>
    <col min="23" max="23" width="30.7109375" customWidth="1"/>
    <col min="24" max="24" width="20.7109375" customWidth="1"/>
    <col min="25" max="25" width="7.7109375" style="69" customWidth="1"/>
    <col min="26" max="26" width="8.7109375" style="2" customWidth="1"/>
    <col min="27" max="27" width="6.7109375" style="2" customWidth="1"/>
  </cols>
  <sheetData>
    <row r="1" spans="1:27" ht="14.45" customHeight="1" x14ac:dyDescent="0.25">
      <c r="A1" s="11"/>
      <c r="B1" s="73" t="s">
        <v>36</v>
      </c>
      <c r="C1" s="73" t="s">
        <v>38</v>
      </c>
      <c r="D1" s="73" t="s">
        <v>39</v>
      </c>
      <c r="E1" s="73" t="s">
        <v>37</v>
      </c>
      <c r="F1" s="73" t="s">
        <v>46</v>
      </c>
      <c r="G1" s="73" t="s">
        <v>40</v>
      </c>
      <c r="H1" s="73" t="s">
        <v>53</v>
      </c>
      <c r="I1" s="74" t="s">
        <v>54</v>
      </c>
      <c r="J1" s="73" t="s">
        <v>41</v>
      </c>
      <c r="K1" s="73" t="s">
        <v>55</v>
      </c>
      <c r="L1" s="73" t="s">
        <v>59</v>
      </c>
      <c r="M1" s="73"/>
      <c r="Q1" s="136" t="s">
        <v>47</v>
      </c>
      <c r="R1" s="137"/>
      <c r="U1" s="134" t="s">
        <v>127</v>
      </c>
      <c r="V1" s="135"/>
      <c r="W1" s="135"/>
      <c r="X1" s="135"/>
      <c r="Y1" s="135"/>
      <c r="Z1" s="135"/>
      <c r="AA1" s="135"/>
    </row>
    <row r="2" spans="1:27" ht="25.5" x14ac:dyDescent="0.25">
      <c r="A2" s="133" t="s">
        <v>126</v>
      </c>
      <c r="B2" s="133"/>
      <c r="C2" s="133"/>
      <c r="D2" s="133"/>
      <c r="E2" s="133"/>
      <c r="F2" s="133"/>
      <c r="G2" s="133"/>
      <c r="H2" s="133"/>
      <c r="I2" s="133"/>
      <c r="J2" s="133"/>
      <c r="K2" s="133"/>
      <c r="L2" s="133"/>
      <c r="M2" s="133"/>
      <c r="Q2" s="5" t="s">
        <v>129</v>
      </c>
      <c r="R2" s="5" t="s">
        <v>2</v>
      </c>
      <c r="U2" s="66" t="s">
        <v>128</v>
      </c>
      <c r="V2" s="70" t="s">
        <v>5</v>
      </c>
      <c r="W2" s="70" t="s">
        <v>19</v>
      </c>
      <c r="X2" s="70" t="s">
        <v>7</v>
      </c>
      <c r="Y2" s="72" t="s">
        <v>1</v>
      </c>
      <c r="Z2" s="70" t="s">
        <v>2</v>
      </c>
      <c r="AA2" s="70" t="s">
        <v>28</v>
      </c>
    </row>
    <row r="3" spans="1:27" ht="25.5" x14ac:dyDescent="0.25">
      <c r="A3" s="66" t="s">
        <v>128</v>
      </c>
      <c r="B3" s="66" t="s">
        <v>130</v>
      </c>
      <c r="C3" s="66" t="s">
        <v>11</v>
      </c>
      <c r="D3" s="66" t="s">
        <v>131</v>
      </c>
      <c r="E3" s="66" t="s">
        <v>19</v>
      </c>
      <c r="F3" s="66" t="s">
        <v>137</v>
      </c>
      <c r="G3" s="66" t="s">
        <v>7</v>
      </c>
      <c r="H3" s="66" t="s">
        <v>5</v>
      </c>
      <c r="I3" s="67" t="s">
        <v>1</v>
      </c>
      <c r="J3" s="66" t="s">
        <v>4</v>
      </c>
      <c r="K3" s="66" t="s">
        <v>24</v>
      </c>
      <c r="L3" s="66" t="s">
        <v>2</v>
      </c>
      <c r="M3" s="66" t="s">
        <v>28</v>
      </c>
      <c r="Q3" s="71">
        <f ca="1">IF(Invoice!B18="","&lt;&gt;",Invoice!B18)</f>
        <v>1</v>
      </c>
      <c r="R3" s="71" t="str">
        <f>IF(Invoice!B16=TRUE,"&lt;&gt;","No")</f>
        <v>&lt;&gt;</v>
      </c>
      <c r="U3" s="2">
        <v>1</v>
      </c>
      <c r="V3" s="24">
        <v>45170</v>
      </c>
      <c r="W3" t="s">
        <v>154</v>
      </c>
      <c r="X3" t="s">
        <v>157</v>
      </c>
      <c r="Y3" s="100">
        <v>5</v>
      </c>
      <c r="Z3" s="16" t="s">
        <v>3</v>
      </c>
      <c r="AA3" s="2">
        <v>4</v>
      </c>
    </row>
    <row r="4" spans="1:27" x14ac:dyDescent="0.25">
      <c r="A4" s="2">
        <v>1</v>
      </c>
      <c r="B4" s="2">
        <v>1</v>
      </c>
      <c r="C4" t="s">
        <v>114</v>
      </c>
      <c r="D4" s="2">
        <v>1</v>
      </c>
      <c r="E4" t="s">
        <v>154</v>
      </c>
      <c r="F4" s="2">
        <v>1</v>
      </c>
      <c r="G4" t="s">
        <v>157</v>
      </c>
      <c r="H4" s="24">
        <v>45170</v>
      </c>
      <c r="I4" s="100">
        <v>5</v>
      </c>
      <c r="J4" t="s">
        <v>200</v>
      </c>
      <c r="K4" s="75">
        <v>10</v>
      </c>
      <c r="L4" s="16" t="s">
        <v>3</v>
      </c>
      <c r="M4" s="2">
        <f>ROW()</f>
        <v>4</v>
      </c>
      <c r="U4" s="2">
        <v>2</v>
      </c>
      <c r="V4" s="24">
        <v>45171</v>
      </c>
      <c r="W4" t="s">
        <v>154</v>
      </c>
      <c r="X4" t="s">
        <v>158</v>
      </c>
      <c r="Y4" s="101">
        <v>5</v>
      </c>
      <c r="Z4" s="2" t="s">
        <v>3</v>
      </c>
      <c r="AA4" s="2">
        <v>5</v>
      </c>
    </row>
    <row r="5" spans="1:27" x14ac:dyDescent="0.25">
      <c r="A5" s="2">
        <v>2</v>
      </c>
      <c r="B5" s="2">
        <v>1</v>
      </c>
      <c r="C5" t="s">
        <v>114</v>
      </c>
      <c r="D5" s="2">
        <v>1</v>
      </c>
      <c r="E5" t="s">
        <v>154</v>
      </c>
      <c r="F5" s="2">
        <v>2</v>
      </c>
      <c r="G5" t="s">
        <v>158</v>
      </c>
      <c r="H5" s="24">
        <v>45171</v>
      </c>
      <c r="I5" s="101">
        <v>5</v>
      </c>
      <c r="J5" t="s">
        <v>201</v>
      </c>
      <c r="K5" s="75">
        <v>20</v>
      </c>
      <c r="L5" s="2" t="s">
        <v>3</v>
      </c>
      <c r="M5" s="2">
        <f>ROW()</f>
        <v>5</v>
      </c>
      <c r="U5" s="2">
        <v>3</v>
      </c>
      <c r="V5" s="24">
        <v>45172</v>
      </c>
      <c r="W5" t="s">
        <v>154</v>
      </c>
      <c r="X5" t="s">
        <v>159</v>
      </c>
      <c r="Y5" s="101">
        <v>6</v>
      </c>
      <c r="Z5" s="2" t="s">
        <v>3</v>
      </c>
      <c r="AA5" s="2">
        <v>6</v>
      </c>
    </row>
    <row r="6" spans="1:27" x14ac:dyDescent="0.25">
      <c r="A6" s="2">
        <v>3</v>
      </c>
      <c r="B6" s="2">
        <v>1</v>
      </c>
      <c r="C6" t="s">
        <v>114</v>
      </c>
      <c r="D6" s="2">
        <v>1</v>
      </c>
      <c r="E6" t="s">
        <v>154</v>
      </c>
      <c r="F6" s="2">
        <v>3</v>
      </c>
      <c r="G6" t="s">
        <v>159</v>
      </c>
      <c r="H6" s="24">
        <v>45172</v>
      </c>
      <c r="I6" s="101">
        <v>6</v>
      </c>
      <c r="J6" t="s">
        <v>202</v>
      </c>
      <c r="K6" s="75">
        <v>30</v>
      </c>
      <c r="L6" s="2" t="s">
        <v>3</v>
      </c>
      <c r="M6" s="2">
        <f>ROW()</f>
        <v>6</v>
      </c>
      <c r="U6" s="2">
        <v>4</v>
      </c>
      <c r="V6" s="24">
        <v>45173</v>
      </c>
      <c r="W6" t="s">
        <v>155</v>
      </c>
      <c r="X6" t="s">
        <v>160</v>
      </c>
      <c r="Y6" s="101">
        <v>6</v>
      </c>
      <c r="Z6" s="2" t="s">
        <v>3</v>
      </c>
      <c r="AA6" s="2">
        <v>7</v>
      </c>
    </row>
    <row r="7" spans="1:27" x14ac:dyDescent="0.25">
      <c r="A7" s="2">
        <v>4</v>
      </c>
      <c r="B7" s="2">
        <v>2</v>
      </c>
      <c r="C7" t="s">
        <v>121</v>
      </c>
      <c r="D7" s="2">
        <v>2</v>
      </c>
      <c r="E7" t="s">
        <v>155</v>
      </c>
      <c r="F7" s="2">
        <v>4</v>
      </c>
      <c r="G7" t="s">
        <v>160</v>
      </c>
      <c r="H7" s="24">
        <v>45173</v>
      </c>
      <c r="I7" s="101">
        <v>6</v>
      </c>
      <c r="J7" t="s">
        <v>203</v>
      </c>
      <c r="K7" s="75">
        <v>40</v>
      </c>
      <c r="L7" s="2" t="s">
        <v>3</v>
      </c>
      <c r="M7" s="2">
        <f>ROW()</f>
        <v>7</v>
      </c>
      <c r="U7" s="2">
        <v>5</v>
      </c>
      <c r="V7" s="24">
        <v>45174</v>
      </c>
      <c r="W7" t="s">
        <v>156</v>
      </c>
      <c r="X7" t="s">
        <v>161</v>
      </c>
      <c r="Y7" s="101">
        <v>20</v>
      </c>
      <c r="Z7" s="2" t="s">
        <v>3</v>
      </c>
      <c r="AA7" s="2">
        <v>8</v>
      </c>
    </row>
    <row r="8" spans="1:27" x14ac:dyDescent="0.25">
      <c r="A8" s="2">
        <v>5</v>
      </c>
      <c r="B8" s="2">
        <v>3</v>
      </c>
      <c r="C8" t="s">
        <v>148</v>
      </c>
      <c r="D8" s="2">
        <v>3</v>
      </c>
      <c r="E8" t="s">
        <v>156</v>
      </c>
      <c r="F8" s="2">
        <v>5</v>
      </c>
      <c r="G8" t="s">
        <v>161</v>
      </c>
      <c r="H8" s="24">
        <v>45174</v>
      </c>
      <c r="I8" s="101">
        <v>20</v>
      </c>
      <c r="J8" t="s">
        <v>204</v>
      </c>
      <c r="K8" s="75">
        <v>50</v>
      </c>
      <c r="L8" s="2" t="s">
        <v>3</v>
      </c>
      <c r="M8" s="2">
        <f>ROW()</f>
        <v>8</v>
      </c>
      <c r="U8" s="2">
        <v>6</v>
      </c>
      <c r="V8" s="24">
        <v>45175</v>
      </c>
      <c r="W8" t="s">
        <v>155</v>
      </c>
      <c r="X8" t="s">
        <v>159</v>
      </c>
      <c r="Y8" s="101">
        <v>20</v>
      </c>
      <c r="Z8" s="2" t="s">
        <v>3</v>
      </c>
      <c r="AA8" s="2">
        <v>9</v>
      </c>
    </row>
    <row r="9" spans="1:27" x14ac:dyDescent="0.25">
      <c r="A9" s="2">
        <v>6</v>
      </c>
      <c r="B9" s="2">
        <v>2</v>
      </c>
      <c r="C9" t="s">
        <v>121</v>
      </c>
      <c r="D9" s="2">
        <v>2</v>
      </c>
      <c r="E9" t="s">
        <v>155</v>
      </c>
      <c r="F9" s="2">
        <v>3</v>
      </c>
      <c r="G9" t="s">
        <v>159</v>
      </c>
      <c r="H9" s="24">
        <v>45175</v>
      </c>
      <c r="I9" s="101">
        <v>20</v>
      </c>
      <c r="J9" t="s">
        <v>202</v>
      </c>
      <c r="K9" s="75">
        <v>30</v>
      </c>
      <c r="L9" s="2" t="s">
        <v>3</v>
      </c>
      <c r="M9" s="2">
        <f>ROW()</f>
        <v>9</v>
      </c>
      <c r="U9" s="2">
        <v>7</v>
      </c>
      <c r="V9" s="24">
        <v>45176</v>
      </c>
      <c r="W9" t="s">
        <v>154</v>
      </c>
      <c r="X9" t="s">
        <v>160</v>
      </c>
      <c r="Y9" s="101">
        <v>12</v>
      </c>
      <c r="Z9" s="2" t="s">
        <v>3</v>
      </c>
      <c r="AA9" s="2">
        <v>10</v>
      </c>
    </row>
    <row r="10" spans="1:27" x14ac:dyDescent="0.25">
      <c r="A10" s="2">
        <v>7</v>
      </c>
      <c r="B10" s="2">
        <v>1</v>
      </c>
      <c r="C10" t="s">
        <v>114</v>
      </c>
      <c r="D10" s="2">
        <v>1</v>
      </c>
      <c r="E10" t="s">
        <v>154</v>
      </c>
      <c r="F10" s="2">
        <v>4</v>
      </c>
      <c r="G10" t="s">
        <v>160</v>
      </c>
      <c r="H10" s="24">
        <v>45176</v>
      </c>
      <c r="I10" s="101">
        <v>12</v>
      </c>
      <c r="J10" t="s">
        <v>203</v>
      </c>
      <c r="K10" s="75">
        <v>40</v>
      </c>
      <c r="L10" s="2" t="s">
        <v>3</v>
      </c>
      <c r="M10" s="2">
        <f>ROW()</f>
        <v>10</v>
      </c>
      <c r="U10" s="2">
        <v>8</v>
      </c>
      <c r="V10" s="24">
        <v>45177</v>
      </c>
      <c r="W10" t="s">
        <v>154</v>
      </c>
      <c r="X10" t="s">
        <v>161</v>
      </c>
      <c r="Y10" s="101">
        <v>2</v>
      </c>
      <c r="Z10" s="2" t="s">
        <v>3</v>
      </c>
      <c r="AA10" s="2">
        <v>11</v>
      </c>
    </row>
    <row r="11" spans="1:27" x14ac:dyDescent="0.25">
      <c r="A11" s="2">
        <v>8</v>
      </c>
      <c r="B11" s="2">
        <v>1</v>
      </c>
      <c r="C11" t="s">
        <v>114</v>
      </c>
      <c r="D11" s="2">
        <v>1</v>
      </c>
      <c r="E11" t="s">
        <v>154</v>
      </c>
      <c r="F11" s="2">
        <v>5</v>
      </c>
      <c r="G11" t="s">
        <v>161</v>
      </c>
      <c r="H11" s="24">
        <v>45177</v>
      </c>
      <c r="I11" s="101">
        <v>2</v>
      </c>
      <c r="J11" t="s">
        <v>204</v>
      </c>
      <c r="K11" s="75">
        <v>50</v>
      </c>
      <c r="L11" s="2" t="s">
        <v>3</v>
      </c>
      <c r="M11" s="2">
        <f>ROW()</f>
        <v>11</v>
      </c>
      <c r="U11" s="2">
        <v>9</v>
      </c>
      <c r="V11" s="24">
        <v>45178</v>
      </c>
      <c r="W11" t="s">
        <v>154</v>
      </c>
      <c r="X11" t="s">
        <v>162</v>
      </c>
      <c r="Y11" s="101">
        <v>8</v>
      </c>
      <c r="Z11" s="2" t="s">
        <v>3</v>
      </c>
      <c r="AA11" s="2">
        <v>12</v>
      </c>
    </row>
    <row r="12" spans="1:27" x14ac:dyDescent="0.25">
      <c r="A12" s="2">
        <v>9</v>
      </c>
      <c r="B12" s="2">
        <v>1</v>
      </c>
      <c r="C12" t="s">
        <v>114</v>
      </c>
      <c r="D12" s="2">
        <v>1</v>
      </c>
      <c r="E12" t="s">
        <v>154</v>
      </c>
      <c r="F12" s="2">
        <v>6</v>
      </c>
      <c r="G12" t="s">
        <v>162</v>
      </c>
      <c r="H12" s="24">
        <v>45178</v>
      </c>
      <c r="I12" s="101">
        <v>8</v>
      </c>
      <c r="J12" t="s">
        <v>205</v>
      </c>
      <c r="K12" s="75">
        <v>60</v>
      </c>
      <c r="L12" s="2" t="s">
        <v>3</v>
      </c>
      <c r="M12" s="2">
        <f>ROW()</f>
        <v>12</v>
      </c>
      <c r="U12" s="2">
        <v>10</v>
      </c>
      <c r="V12" s="24">
        <v>45179</v>
      </c>
      <c r="W12" t="s">
        <v>154</v>
      </c>
      <c r="X12" t="s">
        <v>163</v>
      </c>
      <c r="Y12" s="101">
        <v>7</v>
      </c>
      <c r="Z12" s="2" t="s">
        <v>3</v>
      </c>
      <c r="AA12" s="2">
        <v>13</v>
      </c>
    </row>
    <row r="13" spans="1:27" x14ac:dyDescent="0.25">
      <c r="A13" s="2">
        <v>10</v>
      </c>
      <c r="B13" s="2">
        <v>1</v>
      </c>
      <c r="C13" t="s">
        <v>114</v>
      </c>
      <c r="D13" s="2">
        <v>1</v>
      </c>
      <c r="E13" t="s">
        <v>154</v>
      </c>
      <c r="F13" s="2">
        <v>7</v>
      </c>
      <c r="G13" t="s">
        <v>163</v>
      </c>
      <c r="H13" s="24">
        <v>45179</v>
      </c>
      <c r="I13" s="101">
        <v>7</v>
      </c>
      <c r="J13" t="s">
        <v>206</v>
      </c>
      <c r="K13" s="75">
        <v>70</v>
      </c>
      <c r="L13" s="2" t="s">
        <v>3</v>
      </c>
      <c r="M13" s="2">
        <f>ROW()</f>
        <v>13</v>
      </c>
      <c r="U13" s="2">
        <v>11</v>
      </c>
      <c r="V13" s="24">
        <v>45180</v>
      </c>
      <c r="W13" t="s">
        <v>154</v>
      </c>
      <c r="X13" t="s">
        <v>164</v>
      </c>
      <c r="Y13" s="101">
        <v>6</v>
      </c>
      <c r="Z13" s="2" t="s">
        <v>3</v>
      </c>
      <c r="AA13" s="2">
        <v>14</v>
      </c>
    </row>
    <row r="14" spans="1:27" x14ac:dyDescent="0.25">
      <c r="A14" s="2">
        <v>11</v>
      </c>
      <c r="B14" s="2">
        <v>1</v>
      </c>
      <c r="C14" t="s">
        <v>114</v>
      </c>
      <c r="D14" s="2">
        <v>1</v>
      </c>
      <c r="E14" t="s">
        <v>154</v>
      </c>
      <c r="F14" s="2">
        <v>8</v>
      </c>
      <c r="G14" t="s">
        <v>164</v>
      </c>
      <c r="H14" s="24">
        <v>45180</v>
      </c>
      <c r="I14" s="101">
        <v>6</v>
      </c>
      <c r="J14" t="s">
        <v>207</v>
      </c>
      <c r="K14" s="75">
        <v>80</v>
      </c>
      <c r="L14" s="2" t="s">
        <v>3</v>
      </c>
      <c r="M14" s="2">
        <f>ROW()</f>
        <v>14</v>
      </c>
      <c r="U14" s="2">
        <v>12</v>
      </c>
      <c r="V14" s="24">
        <v>45181</v>
      </c>
      <c r="W14" t="s">
        <v>154</v>
      </c>
      <c r="X14" t="s">
        <v>165</v>
      </c>
      <c r="Y14" s="101">
        <v>10</v>
      </c>
      <c r="Z14" s="2" t="s">
        <v>3</v>
      </c>
      <c r="AA14" s="2">
        <v>15</v>
      </c>
    </row>
    <row r="15" spans="1:27" x14ac:dyDescent="0.25">
      <c r="A15" s="2">
        <v>12</v>
      </c>
      <c r="B15" s="2">
        <v>1</v>
      </c>
      <c r="C15" t="s">
        <v>114</v>
      </c>
      <c r="D15" s="2">
        <v>1</v>
      </c>
      <c r="E15" t="s">
        <v>154</v>
      </c>
      <c r="F15" s="2">
        <v>9</v>
      </c>
      <c r="G15" t="s">
        <v>165</v>
      </c>
      <c r="H15" s="24">
        <v>45181</v>
      </c>
      <c r="I15" s="101">
        <v>10</v>
      </c>
      <c r="J15" t="s">
        <v>208</v>
      </c>
      <c r="K15" s="75">
        <v>90</v>
      </c>
      <c r="L15" s="2" t="s">
        <v>3</v>
      </c>
      <c r="M15" s="2">
        <f>ROW()</f>
        <v>15</v>
      </c>
      <c r="U15" s="2">
        <v>13</v>
      </c>
      <c r="V15" s="24">
        <v>45173</v>
      </c>
      <c r="W15" t="s">
        <v>155</v>
      </c>
      <c r="X15" t="s">
        <v>160</v>
      </c>
      <c r="Y15" s="101">
        <v>16</v>
      </c>
      <c r="Z15" s="2" t="s">
        <v>3</v>
      </c>
      <c r="AA15" s="2">
        <v>16</v>
      </c>
    </row>
    <row r="16" spans="1:27" x14ac:dyDescent="0.25">
      <c r="A16" s="2">
        <v>13</v>
      </c>
      <c r="B16" s="2">
        <v>2</v>
      </c>
      <c r="C16" t="s">
        <v>121</v>
      </c>
      <c r="D16" s="2">
        <v>2</v>
      </c>
      <c r="E16" t="s">
        <v>155</v>
      </c>
      <c r="F16" s="2">
        <v>4</v>
      </c>
      <c r="G16" t="s">
        <v>160</v>
      </c>
      <c r="H16" s="24">
        <v>45173</v>
      </c>
      <c r="I16" s="101">
        <v>16</v>
      </c>
      <c r="J16" t="s">
        <v>203</v>
      </c>
      <c r="K16" s="75">
        <v>40</v>
      </c>
      <c r="L16" s="2" t="s">
        <v>3</v>
      </c>
      <c r="M16" s="2">
        <f>ROW()</f>
        <v>16</v>
      </c>
      <c r="U16" s="2">
        <v>14</v>
      </c>
      <c r="V16" s="24">
        <v>45174</v>
      </c>
      <c r="W16" t="s">
        <v>156</v>
      </c>
      <c r="X16" t="s">
        <v>161</v>
      </c>
      <c r="Y16" s="101">
        <v>8</v>
      </c>
      <c r="Z16" s="2" t="s">
        <v>3</v>
      </c>
      <c r="AA16" s="2">
        <v>17</v>
      </c>
    </row>
    <row r="17" spans="1:27" x14ac:dyDescent="0.25">
      <c r="A17" s="2">
        <v>14</v>
      </c>
      <c r="B17" s="2">
        <v>3</v>
      </c>
      <c r="C17" t="s">
        <v>148</v>
      </c>
      <c r="D17" s="2">
        <v>3</v>
      </c>
      <c r="E17" t="s">
        <v>156</v>
      </c>
      <c r="F17" s="2">
        <v>5</v>
      </c>
      <c r="G17" t="s">
        <v>161</v>
      </c>
      <c r="H17" s="24">
        <v>45174</v>
      </c>
      <c r="I17" s="101">
        <v>8</v>
      </c>
      <c r="J17" t="s">
        <v>204</v>
      </c>
      <c r="K17" s="75">
        <v>50</v>
      </c>
      <c r="L17" s="2" t="s">
        <v>3</v>
      </c>
      <c r="M17" s="2">
        <f>ROW()</f>
        <v>17</v>
      </c>
      <c r="U17" s="2">
        <v>15</v>
      </c>
      <c r="V17" s="24">
        <v>45175</v>
      </c>
      <c r="W17" t="s">
        <v>155</v>
      </c>
      <c r="X17" t="s">
        <v>159</v>
      </c>
      <c r="Y17" s="101">
        <v>10</v>
      </c>
      <c r="Z17" s="2" t="s">
        <v>3</v>
      </c>
      <c r="AA17" s="2">
        <v>18</v>
      </c>
    </row>
    <row r="18" spans="1:27" x14ac:dyDescent="0.25">
      <c r="A18" s="2">
        <v>15</v>
      </c>
      <c r="B18" s="2">
        <v>2</v>
      </c>
      <c r="C18" t="s">
        <v>121</v>
      </c>
      <c r="D18" s="2">
        <v>2</v>
      </c>
      <c r="E18" t="s">
        <v>155</v>
      </c>
      <c r="F18" s="2">
        <v>3</v>
      </c>
      <c r="G18" t="s">
        <v>159</v>
      </c>
      <c r="H18" s="24">
        <v>45175</v>
      </c>
      <c r="I18" s="101">
        <v>10</v>
      </c>
      <c r="J18" t="s">
        <v>202</v>
      </c>
      <c r="K18" s="75">
        <v>30</v>
      </c>
      <c r="L18" s="2" t="s">
        <v>3</v>
      </c>
      <c r="M18" s="2">
        <f>ROW()</f>
        <v>18</v>
      </c>
      <c r="U18" s="2">
        <v>16</v>
      </c>
      <c r="V18" s="24">
        <v>45173</v>
      </c>
      <c r="W18" t="s">
        <v>155</v>
      </c>
      <c r="X18" t="s">
        <v>160</v>
      </c>
      <c r="Y18" s="101">
        <v>26</v>
      </c>
      <c r="Z18" s="2" t="s">
        <v>3</v>
      </c>
      <c r="AA18" s="2">
        <v>19</v>
      </c>
    </row>
    <row r="19" spans="1:27" x14ac:dyDescent="0.25">
      <c r="A19" s="2">
        <v>16</v>
      </c>
      <c r="B19" s="2">
        <v>2</v>
      </c>
      <c r="C19" t="s">
        <v>121</v>
      </c>
      <c r="D19" s="2">
        <v>2</v>
      </c>
      <c r="E19" t="s">
        <v>155</v>
      </c>
      <c r="F19" s="2">
        <v>4</v>
      </c>
      <c r="G19" t="s">
        <v>160</v>
      </c>
      <c r="H19" s="24">
        <v>45173</v>
      </c>
      <c r="I19" s="101">
        <v>26</v>
      </c>
      <c r="J19" t="s">
        <v>203</v>
      </c>
      <c r="K19" s="75">
        <v>40</v>
      </c>
      <c r="L19" s="2" t="s">
        <v>3</v>
      </c>
      <c r="M19" s="2">
        <f>ROW()</f>
        <v>19</v>
      </c>
      <c r="U19" s="2">
        <v>17</v>
      </c>
      <c r="V19" s="24">
        <v>45174</v>
      </c>
      <c r="W19" t="s">
        <v>156</v>
      </c>
      <c r="X19" t="s">
        <v>161</v>
      </c>
      <c r="Y19" s="101">
        <v>14</v>
      </c>
      <c r="Z19" s="2" t="s">
        <v>3</v>
      </c>
      <c r="AA19" s="2">
        <v>20</v>
      </c>
    </row>
    <row r="20" spans="1:27" x14ac:dyDescent="0.25">
      <c r="A20" s="2">
        <v>17</v>
      </c>
      <c r="B20" s="2">
        <v>3</v>
      </c>
      <c r="C20" t="s">
        <v>148</v>
      </c>
      <c r="D20" s="2">
        <v>3</v>
      </c>
      <c r="E20" t="s">
        <v>156</v>
      </c>
      <c r="F20" s="2">
        <v>5</v>
      </c>
      <c r="G20" t="s">
        <v>161</v>
      </c>
      <c r="H20" s="24">
        <v>45174</v>
      </c>
      <c r="I20" s="101">
        <v>14</v>
      </c>
      <c r="J20" t="s">
        <v>204</v>
      </c>
      <c r="K20" s="75">
        <v>50</v>
      </c>
      <c r="L20" s="2" t="s">
        <v>3</v>
      </c>
      <c r="M20" s="2">
        <f>ROW()</f>
        <v>20</v>
      </c>
      <c r="U20" s="2">
        <v>18</v>
      </c>
      <c r="V20" s="24">
        <v>45175</v>
      </c>
      <c r="W20" t="s">
        <v>155</v>
      </c>
      <c r="X20" t="s">
        <v>159</v>
      </c>
      <c r="Y20" s="101">
        <v>5</v>
      </c>
      <c r="Z20" s="2" t="s">
        <v>3</v>
      </c>
      <c r="AA20" s="2">
        <v>21</v>
      </c>
    </row>
    <row r="21" spans="1:27" x14ac:dyDescent="0.25">
      <c r="A21" s="2">
        <v>18</v>
      </c>
      <c r="B21" s="2">
        <v>2</v>
      </c>
      <c r="C21" t="s">
        <v>121</v>
      </c>
      <c r="D21" s="2">
        <v>2</v>
      </c>
      <c r="E21" t="s">
        <v>155</v>
      </c>
      <c r="F21" s="2">
        <v>3</v>
      </c>
      <c r="G21" t="s">
        <v>159</v>
      </c>
      <c r="H21" s="24">
        <v>45175</v>
      </c>
      <c r="I21" s="101">
        <v>5</v>
      </c>
      <c r="J21" t="s">
        <v>202</v>
      </c>
      <c r="K21" s="75">
        <v>30</v>
      </c>
      <c r="L21" s="2" t="s">
        <v>3</v>
      </c>
      <c r="M21" s="2">
        <f>ROW()</f>
        <v>21</v>
      </c>
      <c r="U21" s="2"/>
      <c r="V21" s="24"/>
      <c r="Y21" s="101"/>
    </row>
    <row r="22" spans="1:27" x14ac:dyDescent="0.25">
      <c r="A22" s="2"/>
      <c r="B22" s="2"/>
      <c r="D22" s="2"/>
      <c r="F22" s="2"/>
      <c r="I22" s="68"/>
    </row>
    <row r="23" spans="1:27" x14ac:dyDescent="0.25">
      <c r="A23" s="2"/>
      <c r="B23" s="2"/>
      <c r="D23" s="2"/>
      <c r="F23" s="2"/>
      <c r="I23" s="68"/>
    </row>
    <row r="24" spans="1:27" x14ac:dyDescent="0.25">
      <c r="A24" s="2"/>
      <c r="B24" s="2"/>
      <c r="D24" s="2"/>
      <c r="F24" s="2"/>
      <c r="I24" s="68"/>
    </row>
    <row r="25" spans="1:27" x14ac:dyDescent="0.25">
      <c r="A25" s="2"/>
      <c r="B25" s="2"/>
      <c r="D25" s="2"/>
      <c r="F25" s="2"/>
      <c r="I25" s="68"/>
    </row>
    <row r="26" spans="1:27" x14ac:dyDescent="0.25">
      <c r="A26" s="2"/>
      <c r="B26" s="2"/>
      <c r="D26" s="2"/>
      <c r="F26" s="2"/>
      <c r="I26" s="68"/>
    </row>
    <row r="27" spans="1:27" x14ac:dyDescent="0.25">
      <c r="A27" s="2"/>
      <c r="B27" s="2"/>
      <c r="D27" s="2"/>
      <c r="F27" s="2"/>
      <c r="I27" s="68"/>
    </row>
    <row r="28" spans="1:27" x14ac:dyDescent="0.25">
      <c r="A28" s="2"/>
      <c r="B28" s="2"/>
      <c r="D28" s="2"/>
      <c r="F28" s="2"/>
      <c r="I28" s="68"/>
    </row>
    <row r="29" spans="1:27" x14ac:dyDescent="0.25">
      <c r="A29" s="2"/>
      <c r="B29" s="2"/>
      <c r="D29" s="2"/>
      <c r="F29" s="2"/>
      <c r="I29" s="68"/>
    </row>
    <row r="30" spans="1:27" x14ac:dyDescent="0.25">
      <c r="A30" s="2"/>
      <c r="B30" s="2"/>
      <c r="D30" s="2"/>
      <c r="F30" s="2"/>
      <c r="I30" s="68"/>
    </row>
    <row r="31" spans="1:27" x14ac:dyDescent="0.25">
      <c r="A31" s="2"/>
      <c r="B31" s="2"/>
      <c r="D31" s="2"/>
      <c r="F31" s="2"/>
      <c r="I31" s="68"/>
    </row>
    <row r="32" spans="1:27" x14ac:dyDescent="0.25">
      <c r="A32" s="2"/>
      <c r="B32" s="2"/>
      <c r="D32" s="2"/>
      <c r="F32" s="2"/>
      <c r="I32" s="68"/>
    </row>
    <row r="33" spans="1:9" x14ac:dyDescent="0.25">
      <c r="A33" s="2"/>
      <c r="B33" s="2"/>
      <c r="D33" s="2"/>
      <c r="F33" s="2"/>
      <c r="I33" s="68"/>
    </row>
    <row r="34" spans="1:9" x14ac:dyDescent="0.25">
      <c r="A34" s="2"/>
      <c r="B34" s="2"/>
      <c r="D34" s="2"/>
      <c r="F34" s="2"/>
      <c r="I34" s="68"/>
    </row>
    <row r="35" spans="1:9" x14ac:dyDescent="0.25">
      <c r="A35" s="2"/>
      <c r="B35" s="2"/>
      <c r="D35" s="2"/>
      <c r="F35" s="2"/>
      <c r="I35" s="68"/>
    </row>
    <row r="36" spans="1:9" x14ac:dyDescent="0.25">
      <c r="A36" s="2"/>
      <c r="B36" s="2"/>
      <c r="D36" s="2"/>
      <c r="F36" s="2"/>
      <c r="I36" s="68"/>
    </row>
    <row r="37" spans="1:9" x14ac:dyDescent="0.25">
      <c r="A37" s="2"/>
      <c r="B37" s="2"/>
      <c r="D37" s="2"/>
      <c r="F37" s="2"/>
      <c r="I37" s="68"/>
    </row>
    <row r="38" spans="1:9" x14ac:dyDescent="0.25">
      <c r="A38" s="2"/>
      <c r="B38" s="2"/>
      <c r="D38" s="2"/>
      <c r="F38" s="2"/>
      <c r="I38" s="68"/>
    </row>
    <row r="39" spans="1:9" x14ac:dyDescent="0.25">
      <c r="A39" s="2"/>
      <c r="B39" s="2"/>
      <c r="D39" s="2"/>
      <c r="F39" s="2"/>
      <c r="I39" s="68"/>
    </row>
    <row r="40" spans="1:9" x14ac:dyDescent="0.25">
      <c r="A40" s="2"/>
      <c r="B40" s="2"/>
      <c r="D40" s="2"/>
      <c r="F40" s="2"/>
      <c r="I40" s="68"/>
    </row>
    <row r="41" spans="1:9" x14ac:dyDescent="0.25">
      <c r="A41" s="2"/>
      <c r="B41" s="2"/>
      <c r="D41" s="2"/>
      <c r="F41" s="2"/>
      <c r="I41" s="68"/>
    </row>
    <row r="42" spans="1:9" x14ac:dyDescent="0.25">
      <c r="A42" s="2"/>
      <c r="B42" s="2"/>
      <c r="D42" s="2"/>
      <c r="F42" s="2"/>
      <c r="I42" s="68"/>
    </row>
    <row r="43" spans="1:9" x14ac:dyDescent="0.25">
      <c r="A43" s="2"/>
      <c r="B43" s="2"/>
      <c r="D43" s="2"/>
      <c r="F43" s="2"/>
      <c r="I43" s="68"/>
    </row>
    <row r="44" spans="1:9" x14ac:dyDescent="0.25">
      <c r="A44" s="2"/>
      <c r="B44" s="2"/>
      <c r="D44" s="2"/>
      <c r="F44" s="2"/>
      <c r="I44" s="68"/>
    </row>
    <row r="45" spans="1:9" x14ac:dyDescent="0.25">
      <c r="A45" s="2"/>
      <c r="B45" s="2"/>
      <c r="D45" s="2"/>
      <c r="F45" s="2"/>
      <c r="I45" s="68"/>
    </row>
    <row r="46" spans="1:9" x14ac:dyDescent="0.25">
      <c r="A46" s="2"/>
      <c r="B46" s="2"/>
      <c r="D46" s="2"/>
      <c r="F46" s="2"/>
      <c r="I46" s="68"/>
    </row>
    <row r="47" spans="1:9" x14ac:dyDescent="0.25">
      <c r="A47" s="2"/>
      <c r="B47" s="2"/>
      <c r="D47" s="2"/>
      <c r="F47" s="2"/>
      <c r="I47" s="68"/>
    </row>
    <row r="48" spans="1:9" x14ac:dyDescent="0.25">
      <c r="A48" s="2"/>
      <c r="B48" s="2"/>
      <c r="D48" s="2"/>
      <c r="F48" s="2"/>
      <c r="I48" s="68"/>
    </row>
    <row r="49" spans="1:9" x14ac:dyDescent="0.25">
      <c r="A49" s="2"/>
      <c r="B49" s="2"/>
      <c r="D49" s="2"/>
      <c r="F49" s="2"/>
      <c r="I49" s="68"/>
    </row>
    <row r="50" spans="1:9" x14ac:dyDescent="0.25">
      <c r="A50" s="2"/>
      <c r="B50" s="2"/>
      <c r="D50" s="2"/>
      <c r="F50" s="2"/>
      <c r="I50" s="68"/>
    </row>
    <row r="51" spans="1:9" x14ac:dyDescent="0.25">
      <c r="A51" s="2"/>
      <c r="B51" s="2"/>
      <c r="D51" s="2"/>
      <c r="F51" s="2"/>
      <c r="I51" s="68"/>
    </row>
    <row r="52" spans="1:9" x14ac:dyDescent="0.25">
      <c r="A52" s="2"/>
      <c r="B52" s="2"/>
      <c r="D52" s="2"/>
      <c r="F52" s="2"/>
      <c r="I52" s="68"/>
    </row>
    <row r="53" spans="1:9" x14ac:dyDescent="0.25">
      <c r="A53" s="2"/>
      <c r="B53" s="2"/>
      <c r="D53" s="2"/>
      <c r="F53" s="2"/>
      <c r="I53" s="68"/>
    </row>
    <row r="54" spans="1:9" x14ac:dyDescent="0.25">
      <c r="A54" s="2"/>
      <c r="B54" s="2"/>
      <c r="D54" s="2"/>
      <c r="F54" s="2"/>
      <c r="I54" s="68"/>
    </row>
    <row r="55" spans="1:9" x14ac:dyDescent="0.25">
      <c r="A55" s="2"/>
      <c r="B55" s="2"/>
      <c r="D55" s="2"/>
      <c r="F55" s="2"/>
      <c r="I55" s="68"/>
    </row>
    <row r="56" spans="1:9" x14ac:dyDescent="0.25">
      <c r="A56" s="2"/>
      <c r="B56" s="2"/>
      <c r="D56" s="2"/>
      <c r="F56" s="2"/>
      <c r="I56" s="68"/>
    </row>
    <row r="57" spans="1:9" x14ac:dyDescent="0.25">
      <c r="A57" s="2"/>
      <c r="B57" s="2"/>
      <c r="D57" s="2"/>
      <c r="F57" s="2"/>
      <c r="I57" s="68"/>
    </row>
    <row r="58" spans="1:9" x14ac:dyDescent="0.25">
      <c r="A58" s="2"/>
      <c r="B58" s="2"/>
      <c r="D58" s="2"/>
      <c r="I58" s="68"/>
    </row>
    <row r="59" spans="1:9" x14ac:dyDescent="0.25">
      <c r="A59" s="2"/>
      <c r="B59" s="2"/>
      <c r="D59" s="2"/>
      <c r="I59" s="68"/>
    </row>
    <row r="60" spans="1:9" x14ac:dyDescent="0.25">
      <c r="A60" s="2"/>
      <c r="B60" s="2"/>
      <c r="D60" s="2"/>
      <c r="I60" s="68"/>
    </row>
    <row r="61" spans="1:9" x14ac:dyDescent="0.25">
      <c r="A61" s="2"/>
      <c r="B61" s="2"/>
      <c r="D61" s="2"/>
    </row>
    <row r="62" spans="1:9" x14ac:dyDescent="0.25">
      <c r="A62" s="2"/>
      <c r="B62" s="2"/>
      <c r="D62" s="2"/>
    </row>
    <row r="63" spans="1:9" x14ac:dyDescent="0.25">
      <c r="A63" s="2"/>
      <c r="B63" s="2"/>
      <c r="D63" s="2"/>
    </row>
    <row r="64" spans="1:9" x14ac:dyDescent="0.25">
      <c r="A64" s="2"/>
      <c r="B64" s="2"/>
      <c r="D64" s="2"/>
    </row>
    <row r="65" spans="1:4" x14ac:dyDescent="0.25">
      <c r="A65" s="2"/>
      <c r="B65" s="2"/>
      <c r="D65" s="2"/>
    </row>
    <row r="66" spans="1:4" x14ac:dyDescent="0.25">
      <c r="A66" s="2"/>
      <c r="B66" s="2"/>
      <c r="D66" s="2"/>
    </row>
    <row r="67" spans="1:4" x14ac:dyDescent="0.25">
      <c r="A67" s="2"/>
      <c r="B67" s="2"/>
      <c r="D67" s="2"/>
    </row>
    <row r="68" spans="1:4" x14ac:dyDescent="0.25">
      <c r="A68" s="2"/>
      <c r="B68" s="2"/>
      <c r="D68" s="2"/>
    </row>
    <row r="69" spans="1:4" x14ac:dyDescent="0.25">
      <c r="A69" s="2"/>
      <c r="B69" s="2"/>
      <c r="D69" s="2"/>
    </row>
    <row r="70" spans="1:4" x14ac:dyDescent="0.25">
      <c r="A70" s="2"/>
      <c r="B70" s="2"/>
      <c r="D70" s="2"/>
    </row>
    <row r="71" spans="1:4" x14ac:dyDescent="0.25">
      <c r="A71" s="2"/>
      <c r="B71" s="2"/>
      <c r="D71" s="2"/>
    </row>
    <row r="72" spans="1:4" x14ac:dyDescent="0.25">
      <c r="A72" s="2"/>
      <c r="B72" s="2"/>
      <c r="D72" s="2"/>
    </row>
    <row r="73" spans="1:4" x14ac:dyDescent="0.25">
      <c r="A73" s="2"/>
      <c r="B73" s="2"/>
      <c r="D73" s="2"/>
    </row>
    <row r="74" spans="1:4" x14ac:dyDescent="0.25">
      <c r="A74" s="2"/>
      <c r="B74" s="2"/>
      <c r="D74" s="2"/>
    </row>
    <row r="75" spans="1:4" x14ac:dyDescent="0.25">
      <c r="A75" s="2"/>
      <c r="B75" s="2"/>
      <c r="D75" s="2"/>
    </row>
    <row r="76" spans="1:4" x14ac:dyDescent="0.25">
      <c r="A76" s="2"/>
      <c r="B76" s="2"/>
      <c r="D76" s="2"/>
    </row>
    <row r="77" spans="1:4" x14ac:dyDescent="0.25">
      <c r="A77" s="2"/>
      <c r="B77" s="2"/>
      <c r="D77" s="2"/>
    </row>
    <row r="78" spans="1:4" x14ac:dyDescent="0.25">
      <c r="A78" s="2"/>
      <c r="B78" s="2"/>
      <c r="D78" s="2"/>
    </row>
    <row r="79" spans="1:4" x14ac:dyDescent="0.25">
      <c r="A79" s="2"/>
      <c r="B79" s="2"/>
      <c r="D79" s="2"/>
    </row>
    <row r="80" spans="1:4" x14ac:dyDescent="0.25">
      <c r="A80" s="2"/>
      <c r="B80" s="2"/>
      <c r="D80" s="2"/>
    </row>
    <row r="81" spans="1:2" x14ac:dyDescent="0.25">
      <c r="A81" s="2"/>
      <c r="B81" s="2"/>
    </row>
    <row r="82" spans="1:2" x14ac:dyDescent="0.25">
      <c r="A82" s="2"/>
      <c r="B82" s="2"/>
    </row>
    <row r="83" spans="1:2" x14ac:dyDescent="0.25">
      <c r="A83" s="2"/>
      <c r="B83" s="2"/>
    </row>
    <row r="84" spans="1:2" x14ac:dyDescent="0.25">
      <c r="A84" s="2"/>
      <c r="B84" s="2"/>
    </row>
    <row r="85" spans="1:2" x14ac:dyDescent="0.25">
      <c r="A85" s="2"/>
      <c r="B85" s="2"/>
    </row>
    <row r="86" spans="1:2" x14ac:dyDescent="0.25">
      <c r="A86" s="2"/>
      <c r="B86" s="2"/>
    </row>
    <row r="87" spans="1:2" x14ac:dyDescent="0.25">
      <c r="A87" s="2"/>
      <c r="B87" s="2"/>
    </row>
    <row r="88" spans="1:2" x14ac:dyDescent="0.25">
      <c r="A88" s="2"/>
      <c r="B88" s="2"/>
    </row>
    <row r="89" spans="1:2" x14ac:dyDescent="0.25">
      <c r="A89" s="2"/>
      <c r="B89" s="2"/>
    </row>
    <row r="90" spans="1:2" x14ac:dyDescent="0.25">
      <c r="A90" s="2"/>
      <c r="B90" s="2"/>
    </row>
    <row r="91" spans="1:2" x14ac:dyDescent="0.25">
      <c r="A91" s="2"/>
      <c r="B91" s="2"/>
    </row>
    <row r="92" spans="1:2" x14ac:dyDescent="0.25">
      <c r="A92" s="2"/>
      <c r="B92" s="2"/>
    </row>
    <row r="93" spans="1:2" x14ac:dyDescent="0.25">
      <c r="A93" s="2"/>
      <c r="B93" s="2"/>
    </row>
    <row r="94" spans="1:2" x14ac:dyDescent="0.25">
      <c r="A94" s="2"/>
      <c r="B94" s="2"/>
    </row>
    <row r="95" spans="1:2" x14ac:dyDescent="0.25">
      <c r="A95" s="2"/>
      <c r="B95" s="2"/>
    </row>
    <row r="96" spans="1:2" x14ac:dyDescent="0.25">
      <c r="A96" s="2"/>
      <c r="B96" s="2"/>
    </row>
    <row r="97" spans="1:2" x14ac:dyDescent="0.25">
      <c r="A97" s="2"/>
      <c r="B97" s="2"/>
    </row>
    <row r="98" spans="1:2" x14ac:dyDescent="0.25">
      <c r="A98" s="2"/>
      <c r="B98" s="2"/>
    </row>
    <row r="99" spans="1:2" x14ac:dyDescent="0.25">
      <c r="A99" s="2"/>
      <c r="B99" s="2"/>
    </row>
    <row r="100" spans="1:2" x14ac:dyDescent="0.25">
      <c r="A100" s="2"/>
      <c r="B100" s="2"/>
    </row>
    <row r="101" spans="1:2" x14ac:dyDescent="0.25">
      <c r="A101" s="2"/>
      <c r="B101" s="2"/>
    </row>
    <row r="102" spans="1:2" x14ac:dyDescent="0.25">
      <c r="A102" s="2"/>
      <c r="B102" s="2"/>
    </row>
    <row r="103" spans="1:2" x14ac:dyDescent="0.25">
      <c r="A103" s="2"/>
      <c r="B103" s="2"/>
    </row>
    <row r="104" spans="1:2" x14ac:dyDescent="0.25">
      <c r="A104" s="2"/>
      <c r="B104" s="2"/>
    </row>
    <row r="105" spans="1:2" x14ac:dyDescent="0.25">
      <c r="A105" s="2"/>
      <c r="B105" s="2"/>
    </row>
    <row r="106" spans="1:2" x14ac:dyDescent="0.25">
      <c r="A106" s="2"/>
      <c r="B106" s="2"/>
    </row>
    <row r="107" spans="1:2" x14ac:dyDescent="0.25">
      <c r="A107" s="2"/>
      <c r="B107" s="2"/>
    </row>
    <row r="108" spans="1:2" x14ac:dyDescent="0.25">
      <c r="A108" s="2"/>
      <c r="B108" s="2"/>
    </row>
    <row r="109" spans="1:2" x14ac:dyDescent="0.25">
      <c r="A109" s="2"/>
      <c r="B109" s="2"/>
    </row>
    <row r="110" spans="1:2" x14ac:dyDescent="0.25">
      <c r="A110" s="2"/>
      <c r="B110" s="2"/>
    </row>
    <row r="111" spans="1:2" x14ac:dyDescent="0.25">
      <c r="A111" s="2"/>
      <c r="B111" s="2"/>
    </row>
    <row r="112" spans="1:2" x14ac:dyDescent="0.25">
      <c r="A112" s="2"/>
      <c r="B112" s="2"/>
    </row>
    <row r="113" spans="1:2" x14ac:dyDescent="0.25">
      <c r="A113" s="2"/>
      <c r="B113" s="2"/>
    </row>
    <row r="114" spans="1:2" x14ac:dyDescent="0.25">
      <c r="A114" s="2"/>
      <c r="B114" s="2"/>
    </row>
    <row r="115" spans="1:2" x14ac:dyDescent="0.25">
      <c r="A115" s="2"/>
      <c r="B115" s="2"/>
    </row>
    <row r="116" spans="1:2" x14ac:dyDescent="0.25">
      <c r="A116" s="2"/>
      <c r="B116" s="2"/>
    </row>
    <row r="117" spans="1:2" x14ac:dyDescent="0.25">
      <c r="A117" s="2"/>
      <c r="B117" s="2"/>
    </row>
    <row r="118" spans="1:2" x14ac:dyDescent="0.25">
      <c r="A118" s="2"/>
      <c r="B118" s="2"/>
    </row>
    <row r="119" spans="1:2" x14ac:dyDescent="0.25">
      <c r="A119" s="2"/>
      <c r="B119" s="2"/>
    </row>
    <row r="120" spans="1:2" x14ac:dyDescent="0.25">
      <c r="A120" s="2"/>
      <c r="B120" s="2"/>
    </row>
    <row r="121" spans="1:2" x14ac:dyDescent="0.25">
      <c r="A121" s="2"/>
      <c r="B121" s="2"/>
    </row>
    <row r="122" spans="1:2" x14ac:dyDescent="0.25">
      <c r="A122" s="2"/>
      <c r="B122" s="2"/>
    </row>
    <row r="123" spans="1:2" x14ac:dyDescent="0.25">
      <c r="A123" s="2"/>
      <c r="B123" s="2"/>
    </row>
    <row r="124" spans="1:2" x14ac:dyDescent="0.25">
      <c r="A124" s="2"/>
      <c r="B124" s="2"/>
    </row>
    <row r="125" spans="1:2" x14ac:dyDescent="0.25">
      <c r="A125" s="2"/>
      <c r="B125" s="2"/>
    </row>
    <row r="126" spans="1:2" x14ac:dyDescent="0.25">
      <c r="A126" s="2"/>
      <c r="B126" s="2"/>
    </row>
    <row r="127" spans="1:2" x14ac:dyDescent="0.25">
      <c r="A127" s="2"/>
      <c r="B127" s="2"/>
    </row>
    <row r="128" spans="1:2" x14ac:dyDescent="0.25">
      <c r="A128" s="2"/>
      <c r="B128" s="2"/>
    </row>
    <row r="129" spans="1:2" x14ac:dyDescent="0.25">
      <c r="A129" s="2"/>
      <c r="B129" s="2"/>
    </row>
    <row r="130" spans="1:2" x14ac:dyDescent="0.25">
      <c r="A130" s="2"/>
      <c r="B130" s="2"/>
    </row>
    <row r="131" spans="1:2" x14ac:dyDescent="0.25">
      <c r="A131" s="2"/>
      <c r="B131" s="2"/>
    </row>
    <row r="132" spans="1:2" x14ac:dyDescent="0.25">
      <c r="A132" s="2"/>
      <c r="B132" s="2"/>
    </row>
    <row r="133" spans="1:2" x14ac:dyDescent="0.25">
      <c r="A133" s="2"/>
      <c r="B133" s="2"/>
    </row>
    <row r="134" spans="1:2" x14ac:dyDescent="0.25">
      <c r="A134" s="2"/>
      <c r="B134" s="2"/>
    </row>
    <row r="135" spans="1:2" x14ac:dyDescent="0.25">
      <c r="A135" s="2"/>
      <c r="B135" s="2"/>
    </row>
    <row r="136" spans="1:2" x14ac:dyDescent="0.25">
      <c r="A136" s="2"/>
      <c r="B136" s="2"/>
    </row>
    <row r="137" spans="1:2" x14ac:dyDescent="0.25">
      <c r="A137" s="2"/>
      <c r="B137" s="2"/>
    </row>
    <row r="138" spans="1:2" x14ac:dyDescent="0.25">
      <c r="A138" s="2"/>
      <c r="B138" s="2"/>
    </row>
    <row r="139" spans="1:2" x14ac:dyDescent="0.25">
      <c r="A139" s="2"/>
      <c r="B139" s="2"/>
    </row>
    <row r="140" spans="1:2" x14ac:dyDescent="0.25">
      <c r="A140" s="2"/>
      <c r="B140" s="2"/>
    </row>
    <row r="141" spans="1:2" x14ac:dyDescent="0.25">
      <c r="A141" s="2"/>
      <c r="B141" s="2"/>
    </row>
    <row r="142" spans="1:2" x14ac:dyDescent="0.25">
      <c r="A142" s="2"/>
      <c r="B142" s="2"/>
    </row>
    <row r="143" spans="1:2" x14ac:dyDescent="0.25">
      <c r="A143" s="2"/>
      <c r="B143" s="2"/>
    </row>
    <row r="144" spans="1:2" x14ac:dyDescent="0.25">
      <c r="A144" s="2"/>
      <c r="B144" s="2"/>
    </row>
    <row r="145" spans="1:2" x14ac:dyDescent="0.25">
      <c r="A145" s="2"/>
      <c r="B145" s="2"/>
    </row>
    <row r="146" spans="1:2" x14ac:dyDescent="0.25">
      <c r="A146" s="2"/>
      <c r="B146" s="2"/>
    </row>
    <row r="147" spans="1:2" x14ac:dyDescent="0.25">
      <c r="A147" s="2"/>
      <c r="B147" s="2"/>
    </row>
    <row r="148" spans="1:2" x14ac:dyDescent="0.25">
      <c r="A148" s="2"/>
      <c r="B148" s="2"/>
    </row>
    <row r="149" spans="1:2" x14ac:dyDescent="0.25">
      <c r="A149" s="2"/>
      <c r="B149" s="2"/>
    </row>
    <row r="150" spans="1:2" x14ac:dyDescent="0.25">
      <c r="A150" s="2"/>
      <c r="B150" s="2"/>
    </row>
    <row r="151" spans="1:2" x14ac:dyDescent="0.25">
      <c r="A151" s="2"/>
      <c r="B151" s="2"/>
    </row>
    <row r="152" spans="1:2" x14ac:dyDescent="0.25">
      <c r="A152" s="2"/>
      <c r="B152" s="2"/>
    </row>
    <row r="153" spans="1:2" x14ac:dyDescent="0.25">
      <c r="A153" s="2"/>
      <c r="B153" s="2"/>
    </row>
    <row r="154" spans="1:2" x14ac:dyDescent="0.25">
      <c r="A154" s="2"/>
      <c r="B154" s="2"/>
    </row>
    <row r="155" spans="1:2" x14ac:dyDescent="0.25">
      <c r="A155" s="2"/>
      <c r="B155" s="2"/>
    </row>
  </sheetData>
  <mergeCells count="3">
    <mergeCell ref="U1:AA1"/>
    <mergeCell ref="A2:M2"/>
    <mergeCell ref="Q1:R1"/>
  </mergeCells>
  <phoneticPr fontId="27" type="noConversion"/>
  <conditionalFormatting sqref="A4:D6 A22:M997 A7:B9 A10:D15 D7:D9 A16:B21 D16:D21 F4:F21 H4:M21">
    <cfRule type="expression" dxfId="37" priority="24">
      <formula>AND($A4&lt;&gt;"",MOD(ROW(),2)=0)</formula>
    </cfRule>
  </conditionalFormatting>
  <conditionalFormatting sqref="C7">
    <cfRule type="expression" dxfId="36" priority="23">
      <formula>AND($A7&lt;&gt;"",MOD(ROW(),2)=0)</formula>
    </cfRule>
  </conditionalFormatting>
  <conditionalFormatting sqref="C9">
    <cfRule type="expression" dxfId="35" priority="22">
      <formula>AND($A9&lt;&gt;"",MOD(ROW(),2)=0)</formula>
    </cfRule>
  </conditionalFormatting>
  <conditionalFormatting sqref="C8">
    <cfRule type="expression" dxfId="34" priority="21">
      <formula>AND($A8&lt;&gt;"",MOD(ROW(),2)=0)</formula>
    </cfRule>
  </conditionalFormatting>
  <conditionalFormatting sqref="E4:E6">
    <cfRule type="expression" dxfId="33" priority="20">
      <formula>AND($A4&lt;&gt;"",MOD(ROW(),2)=0)</formula>
    </cfRule>
  </conditionalFormatting>
  <conditionalFormatting sqref="E10:E15">
    <cfRule type="expression" dxfId="32" priority="19">
      <formula>AND($A10&lt;&gt;"",MOD(ROW(),2)=0)</formula>
    </cfRule>
  </conditionalFormatting>
  <conditionalFormatting sqref="E7">
    <cfRule type="expression" dxfId="31" priority="18">
      <formula>AND($A7&lt;&gt;"",MOD(ROW(),2)=0)</formula>
    </cfRule>
  </conditionalFormatting>
  <conditionalFormatting sqref="E9">
    <cfRule type="expression" dxfId="30" priority="17">
      <formula>AND($A9&lt;&gt;"",MOD(ROW(),2)=0)</formula>
    </cfRule>
  </conditionalFormatting>
  <conditionalFormatting sqref="E8">
    <cfRule type="expression" dxfId="29" priority="16">
      <formula>AND($A8&lt;&gt;"",MOD(ROW(),2)=0)</formula>
    </cfRule>
  </conditionalFormatting>
  <conditionalFormatting sqref="G4:G21">
    <cfRule type="expression" dxfId="28" priority="14">
      <formula>AND($A4&lt;&gt;"",MOD(ROW(),2)=0)</formula>
    </cfRule>
  </conditionalFormatting>
  <conditionalFormatting sqref="C16">
    <cfRule type="expression" dxfId="27" priority="12">
      <formula>AND($A16&lt;&gt;"",MOD(ROW(),2)=0)</formula>
    </cfRule>
  </conditionalFormatting>
  <conditionalFormatting sqref="C18">
    <cfRule type="expression" dxfId="26" priority="11">
      <formula>AND($A18&lt;&gt;"",MOD(ROW(),2)=0)</formula>
    </cfRule>
  </conditionalFormatting>
  <conditionalFormatting sqref="C17">
    <cfRule type="expression" dxfId="25" priority="10">
      <formula>AND($A17&lt;&gt;"",MOD(ROW(),2)=0)</formula>
    </cfRule>
  </conditionalFormatting>
  <conditionalFormatting sqref="E16">
    <cfRule type="expression" dxfId="24" priority="9">
      <formula>AND($A16&lt;&gt;"",MOD(ROW(),2)=0)</formula>
    </cfRule>
  </conditionalFormatting>
  <conditionalFormatting sqref="E18">
    <cfRule type="expression" dxfId="23" priority="8">
      <formula>AND($A18&lt;&gt;"",MOD(ROW(),2)=0)</formula>
    </cfRule>
  </conditionalFormatting>
  <conditionalFormatting sqref="E17">
    <cfRule type="expression" dxfId="22" priority="7">
      <formula>AND($A17&lt;&gt;"",MOD(ROW(),2)=0)</formula>
    </cfRule>
  </conditionalFormatting>
  <conditionalFormatting sqref="C19">
    <cfRule type="expression" dxfId="21" priority="6">
      <formula>AND($A19&lt;&gt;"",MOD(ROW(),2)=0)</formula>
    </cfRule>
  </conditionalFormatting>
  <conditionalFormatting sqref="C21">
    <cfRule type="expression" dxfId="20" priority="5">
      <formula>AND($A21&lt;&gt;"",MOD(ROW(),2)=0)</formula>
    </cfRule>
  </conditionalFormatting>
  <conditionalFormatting sqref="C20">
    <cfRule type="expression" dxfId="19" priority="4">
      <formula>AND($A20&lt;&gt;"",MOD(ROW(),2)=0)</formula>
    </cfRule>
  </conditionalFormatting>
  <conditionalFormatting sqref="E19">
    <cfRule type="expression" dxfId="18" priority="3">
      <formula>AND($A19&lt;&gt;"",MOD(ROW(),2)=0)</formula>
    </cfRule>
  </conditionalFormatting>
  <conditionalFormatting sqref="E21">
    <cfRule type="expression" dxfId="17" priority="2">
      <formula>AND($A21&lt;&gt;"",MOD(ROW(),2)=0)</formula>
    </cfRule>
  </conditionalFormatting>
  <conditionalFormatting sqref="E20">
    <cfRule type="expression" dxfId="16" priority="1">
      <formula>AND($A20&lt;&gt;"",MOD(ROW(),2)=0)</formula>
    </cfRule>
  </conditionalFormatting>
  <pageMargins left="0.7" right="0.7" top="0.75" bottom="0.75" header="0.3" footer="0.3"/>
  <pageSetup orientation="portrait" horizontalDpi="4294967293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F30485-28AD-40FC-BC20-DFD8274D9797}">
  <sheetPr codeName="ServItems"/>
  <dimension ref="A1:E43"/>
  <sheetViews>
    <sheetView workbookViewId="0">
      <selection activeCell="C9" sqref="C9:C12"/>
    </sheetView>
  </sheetViews>
  <sheetFormatPr baseColWidth="10" defaultColWidth="9.140625" defaultRowHeight="15" x14ac:dyDescent="0.25"/>
  <cols>
    <col min="1" max="1" width="7.42578125" bestFit="1" customWidth="1"/>
    <col min="2" max="2" width="24" bestFit="1" customWidth="1"/>
    <col min="3" max="3" width="121.28515625" customWidth="1"/>
    <col min="4" max="4" width="11.85546875" customWidth="1"/>
  </cols>
  <sheetData>
    <row r="1" spans="1:5" x14ac:dyDescent="0.25">
      <c r="A1" s="133" t="s">
        <v>198</v>
      </c>
      <c r="B1" s="133"/>
      <c r="C1" s="133"/>
      <c r="D1" s="138"/>
    </row>
    <row r="2" spans="1:5" x14ac:dyDescent="0.25">
      <c r="A2" s="132"/>
      <c r="B2" s="132"/>
      <c r="C2" s="132"/>
      <c r="D2" s="139"/>
    </row>
    <row r="3" spans="1:5" x14ac:dyDescent="0.25">
      <c r="A3" s="66" t="s">
        <v>137</v>
      </c>
      <c r="B3" s="70" t="s">
        <v>199</v>
      </c>
      <c r="C3" s="70" t="s">
        <v>197</v>
      </c>
      <c r="D3" s="70" t="s">
        <v>9</v>
      </c>
      <c r="E3" s="3"/>
    </row>
    <row r="4" spans="1:5" x14ac:dyDescent="0.25">
      <c r="A4" s="108">
        <v>1</v>
      </c>
      <c r="B4" s="118" t="s">
        <v>67</v>
      </c>
      <c r="C4" s="109" t="s">
        <v>157</v>
      </c>
      <c r="D4" s="110">
        <v>50</v>
      </c>
    </row>
    <row r="5" spans="1:5" x14ac:dyDescent="0.25">
      <c r="A5" s="111">
        <v>2</v>
      </c>
      <c r="B5" s="119" t="s">
        <v>69</v>
      </c>
      <c r="C5" s="112" t="s">
        <v>158</v>
      </c>
      <c r="D5" s="113">
        <v>40</v>
      </c>
    </row>
    <row r="6" spans="1:5" x14ac:dyDescent="0.25">
      <c r="A6" s="111">
        <v>3</v>
      </c>
      <c r="B6" s="119" t="s">
        <v>71</v>
      </c>
      <c r="C6" s="112" t="s">
        <v>159</v>
      </c>
      <c r="D6" s="113">
        <v>60</v>
      </c>
    </row>
    <row r="7" spans="1:5" x14ac:dyDescent="0.25">
      <c r="A7" s="111">
        <v>4</v>
      </c>
      <c r="B7" s="119" t="s">
        <v>73</v>
      </c>
      <c r="C7" s="112" t="s">
        <v>160</v>
      </c>
      <c r="D7" s="113">
        <v>75</v>
      </c>
    </row>
    <row r="8" spans="1:5" x14ac:dyDescent="0.25">
      <c r="A8" s="111">
        <v>5</v>
      </c>
      <c r="B8" s="119" t="s">
        <v>75</v>
      </c>
      <c r="C8" s="112" t="s">
        <v>161</v>
      </c>
      <c r="D8" s="113">
        <v>30</v>
      </c>
    </row>
    <row r="9" spans="1:5" x14ac:dyDescent="0.25">
      <c r="A9" s="111">
        <v>6</v>
      </c>
      <c r="B9" s="119" t="s">
        <v>77</v>
      </c>
      <c r="C9" s="112" t="s">
        <v>162</v>
      </c>
      <c r="D9" s="113">
        <v>80</v>
      </c>
    </row>
    <row r="10" spans="1:5" x14ac:dyDescent="0.25">
      <c r="A10" s="111">
        <v>7</v>
      </c>
      <c r="B10" s="119" t="s">
        <v>79</v>
      </c>
      <c r="C10" s="112" t="s">
        <v>163</v>
      </c>
      <c r="D10" s="113">
        <v>50</v>
      </c>
    </row>
    <row r="11" spans="1:5" x14ac:dyDescent="0.25">
      <c r="A11" s="111">
        <v>8</v>
      </c>
      <c r="B11" s="119" t="s">
        <v>81</v>
      </c>
      <c r="C11" s="112" t="s">
        <v>164</v>
      </c>
      <c r="D11" s="113">
        <v>60</v>
      </c>
    </row>
    <row r="12" spans="1:5" x14ac:dyDescent="0.25">
      <c r="A12" s="111">
        <v>9</v>
      </c>
      <c r="B12" s="119" t="s">
        <v>83</v>
      </c>
      <c r="C12" s="112" t="s">
        <v>165</v>
      </c>
      <c r="D12" s="113">
        <v>100</v>
      </c>
    </row>
    <row r="13" spans="1:5" x14ac:dyDescent="0.25">
      <c r="A13" s="111">
        <v>10</v>
      </c>
      <c r="B13" s="119" t="s">
        <v>84</v>
      </c>
      <c r="C13" s="112" t="s">
        <v>166</v>
      </c>
      <c r="D13" s="113">
        <v>35</v>
      </c>
    </row>
    <row r="14" spans="1:5" x14ac:dyDescent="0.25">
      <c r="A14" s="111">
        <v>11</v>
      </c>
      <c r="B14" s="119" t="s">
        <v>67</v>
      </c>
      <c r="C14" s="112" t="s">
        <v>167</v>
      </c>
      <c r="D14" s="113">
        <v>50</v>
      </c>
    </row>
    <row r="15" spans="1:5" x14ac:dyDescent="0.25">
      <c r="A15" s="111">
        <v>12</v>
      </c>
      <c r="B15" s="119" t="s">
        <v>69</v>
      </c>
      <c r="C15" s="112" t="s">
        <v>168</v>
      </c>
      <c r="D15" s="113">
        <v>40</v>
      </c>
    </row>
    <row r="16" spans="1:5" x14ac:dyDescent="0.25">
      <c r="A16" s="111">
        <v>13</v>
      </c>
      <c r="B16" s="119" t="s">
        <v>71</v>
      </c>
      <c r="C16" s="112" t="s">
        <v>169</v>
      </c>
      <c r="D16" s="113">
        <v>60</v>
      </c>
    </row>
    <row r="17" spans="1:4" x14ac:dyDescent="0.25">
      <c r="A17" s="111">
        <v>14</v>
      </c>
      <c r="B17" s="119" t="s">
        <v>73</v>
      </c>
      <c r="C17" s="112" t="s">
        <v>170</v>
      </c>
      <c r="D17" s="113">
        <v>75</v>
      </c>
    </row>
    <row r="18" spans="1:4" x14ac:dyDescent="0.25">
      <c r="A18" s="111">
        <v>15</v>
      </c>
      <c r="B18" s="119" t="s">
        <v>75</v>
      </c>
      <c r="C18" s="112" t="s">
        <v>171</v>
      </c>
      <c r="D18" s="113">
        <v>30</v>
      </c>
    </row>
    <row r="19" spans="1:4" x14ac:dyDescent="0.25">
      <c r="A19" s="111">
        <v>16</v>
      </c>
      <c r="B19" s="119" t="s">
        <v>77</v>
      </c>
      <c r="C19" s="112" t="s">
        <v>172</v>
      </c>
      <c r="D19" s="113">
        <v>80</v>
      </c>
    </row>
    <row r="20" spans="1:4" x14ac:dyDescent="0.25">
      <c r="A20" s="111">
        <v>17</v>
      </c>
      <c r="B20" s="119" t="s">
        <v>79</v>
      </c>
      <c r="C20" s="112" t="s">
        <v>173</v>
      </c>
      <c r="D20" s="113">
        <v>50</v>
      </c>
    </row>
    <row r="21" spans="1:4" x14ac:dyDescent="0.25">
      <c r="A21" s="111">
        <v>18</v>
      </c>
      <c r="B21" s="119" t="s">
        <v>81</v>
      </c>
      <c r="C21" s="112" t="s">
        <v>174</v>
      </c>
      <c r="D21" s="113">
        <v>60</v>
      </c>
    </row>
    <row r="22" spans="1:4" x14ac:dyDescent="0.25">
      <c r="A22" s="111">
        <v>19</v>
      </c>
      <c r="B22" s="119" t="s">
        <v>83</v>
      </c>
      <c r="C22" s="112" t="s">
        <v>175</v>
      </c>
      <c r="D22" s="113">
        <v>100</v>
      </c>
    </row>
    <row r="23" spans="1:4" x14ac:dyDescent="0.25">
      <c r="A23" s="111">
        <v>20</v>
      </c>
      <c r="B23" s="119" t="s">
        <v>84</v>
      </c>
      <c r="C23" s="112" t="s">
        <v>176</v>
      </c>
      <c r="D23" s="113">
        <v>35</v>
      </c>
    </row>
    <row r="24" spans="1:4" x14ac:dyDescent="0.25">
      <c r="A24" s="111">
        <v>21</v>
      </c>
      <c r="B24" s="119" t="s">
        <v>67</v>
      </c>
      <c r="C24" s="112" t="s">
        <v>177</v>
      </c>
      <c r="D24" s="113">
        <v>50</v>
      </c>
    </row>
    <row r="25" spans="1:4" x14ac:dyDescent="0.25">
      <c r="A25" s="111">
        <v>22</v>
      </c>
      <c r="B25" s="119" t="s">
        <v>69</v>
      </c>
      <c r="C25" s="112" t="s">
        <v>178</v>
      </c>
      <c r="D25" s="113">
        <v>40</v>
      </c>
    </row>
    <row r="26" spans="1:4" x14ac:dyDescent="0.25">
      <c r="A26" s="111">
        <v>23</v>
      </c>
      <c r="B26" s="119" t="s">
        <v>71</v>
      </c>
      <c r="C26" s="112" t="s">
        <v>179</v>
      </c>
      <c r="D26" s="113">
        <v>60</v>
      </c>
    </row>
    <row r="27" spans="1:4" x14ac:dyDescent="0.25">
      <c r="A27" s="111">
        <v>24</v>
      </c>
      <c r="B27" s="119" t="s">
        <v>73</v>
      </c>
      <c r="C27" s="112" t="s">
        <v>180</v>
      </c>
      <c r="D27" s="113">
        <v>75</v>
      </c>
    </row>
    <row r="28" spans="1:4" x14ac:dyDescent="0.25">
      <c r="A28" s="111">
        <v>25</v>
      </c>
      <c r="B28" s="119" t="s">
        <v>75</v>
      </c>
      <c r="C28" s="112" t="s">
        <v>181</v>
      </c>
      <c r="D28" s="113">
        <v>30</v>
      </c>
    </row>
    <row r="29" spans="1:4" x14ac:dyDescent="0.25">
      <c r="A29" s="111">
        <v>26</v>
      </c>
      <c r="B29" s="119" t="s">
        <v>77</v>
      </c>
      <c r="C29" s="112" t="s">
        <v>182</v>
      </c>
      <c r="D29" s="113">
        <v>80</v>
      </c>
    </row>
    <row r="30" spans="1:4" x14ac:dyDescent="0.25">
      <c r="A30" s="111">
        <v>27</v>
      </c>
      <c r="B30" s="119" t="s">
        <v>79</v>
      </c>
      <c r="C30" s="114" t="s">
        <v>183</v>
      </c>
      <c r="D30" s="113">
        <v>50</v>
      </c>
    </row>
    <row r="31" spans="1:4" x14ac:dyDescent="0.25">
      <c r="A31" s="111">
        <v>28</v>
      </c>
      <c r="B31" s="119" t="s">
        <v>81</v>
      </c>
      <c r="C31" s="114" t="s">
        <v>184</v>
      </c>
      <c r="D31" s="113">
        <v>60</v>
      </c>
    </row>
    <row r="32" spans="1:4" x14ac:dyDescent="0.25">
      <c r="A32" s="111">
        <v>29</v>
      </c>
      <c r="B32" s="119" t="s">
        <v>83</v>
      </c>
      <c r="C32" s="114" t="s">
        <v>185</v>
      </c>
      <c r="D32" s="113">
        <v>100</v>
      </c>
    </row>
    <row r="33" spans="1:4" x14ac:dyDescent="0.25">
      <c r="A33" s="111">
        <v>30</v>
      </c>
      <c r="B33" s="119" t="s">
        <v>84</v>
      </c>
      <c r="C33" s="114" t="s">
        <v>186</v>
      </c>
      <c r="D33" s="113">
        <v>35</v>
      </c>
    </row>
    <row r="34" spans="1:4" x14ac:dyDescent="0.25">
      <c r="A34" s="111">
        <v>31</v>
      </c>
      <c r="B34" s="119" t="s">
        <v>67</v>
      </c>
      <c r="C34" s="114" t="s">
        <v>187</v>
      </c>
      <c r="D34" s="113">
        <v>50</v>
      </c>
    </row>
    <row r="35" spans="1:4" x14ac:dyDescent="0.25">
      <c r="A35" s="111">
        <v>32</v>
      </c>
      <c r="B35" s="119" t="s">
        <v>69</v>
      </c>
      <c r="C35" s="114" t="s">
        <v>188</v>
      </c>
      <c r="D35" s="113">
        <v>40</v>
      </c>
    </row>
    <row r="36" spans="1:4" x14ac:dyDescent="0.25">
      <c r="A36" s="111">
        <v>33</v>
      </c>
      <c r="B36" s="119" t="s">
        <v>71</v>
      </c>
      <c r="C36" s="114" t="s">
        <v>189</v>
      </c>
      <c r="D36" s="113">
        <v>60</v>
      </c>
    </row>
    <row r="37" spans="1:4" x14ac:dyDescent="0.25">
      <c r="A37" s="111">
        <v>34</v>
      </c>
      <c r="B37" s="119" t="s">
        <v>73</v>
      </c>
      <c r="C37" s="114" t="s">
        <v>190</v>
      </c>
      <c r="D37" s="113">
        <v>75</v>
      </c>
    </row>
    <row r="38" spans="1:4" x14ac:dyDescent="0.25">
      <c r="A38" s="111">
        <v>35</v>
      </c>
      <c r="B38" s="119" t="s">
        <v>75</v>
      </c>
      <c r="C38" s="112" t="s">
        <v>191</v>
      </c>
      <c r="D38" s="113">
        <v>30</v>
      </c>
    </row>
    <row r="39" spans="1:4" x14ac:dyDescent="0.25">
      <c r="A39" s="111">
        <v>36</v>
      </c>
      <c r="B39" s="119" t="s">
        <v>77</v>
      </c>
      <c r="C39" s="112" t="s">
        <v>192</v>
      </c>
      <c r="D39" s="113">
        <v>80</v>
      </c>
    </row>
    <row r="40" spans="1:4" x14ac:dyDescent="0.25">
      <c r="A40" s="111">
        <v>37</v>
      </c>
      <c r="B40" s="119" t="s">
        <v>79</v>
      </c>
      <c r="C40" s="112" t="s">
        <v>193</v>
      </c>
      <c r="D40" s="113">
        <v>50</v>
      </c>
    </row>
    <row r="41" spans="1:4" x14ac:dyDescent="0.25">
      <c r="A41" s="111">
        <v>38</v>
      </c>
      <c r="B41" s="119" t="s">
        <v>81</v>
      </c>
      <c r="C41" s="112" t="s">
        <v>194</v>
      </c>
      <c r="D41" s="113">
        <v>60</v>
      </c>
    </row>
    <row r="42" spans="1:4" x14ac:dyDescent="0.25">
      <c r="A42" s="111">
        <v>39</v>
      </c>
      <c r="B42" s="119" t="s">
        <v>83</v>
      </c>
      <c r="C42" s="112" t="s">
        <v>195</v>
      </c>
      <c r="D42" s="113">
        <v>100</v>
      </c>
    </row>
    <row r="43" spans="1:4" x14ac:dyDescent="0.25">
      <c r="A43" s="115">
        <v>40</v>
      </c>
      <c r="B43" s="120" t="s">
        <v>84</v>
      </c>
      <c r="C43" s="116" t="s">
        <v>196</v>
      </c>
      <c r="D43" s="117">
        <v>35</v>
      </c>
    </row>
  </sheetData>
  <mergeCells count="1">
    <mergeCell ref="A1:D2"/>
  </mergeCells>
  <conditionalFormatting sqref="A4:D999">
    <cfRule type="expression" dxfId="15" priority="1">
      <formula>AND($A4&lt;&gt;"",MOD(ROW(),2)=0)</formula>
    </cfRule>
  </conditionalFormatting>
  <pageMargins left="0.7" right="0.7" top="0.75" bottom="0.75" header="0.3" footer="0.3"/>
  <pageSetup orientation="portrait" horizontalDpi="200" verticalDpi="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94CFCB-D43C-4036-ABAC-F3B56E39130D}">
  <sheetPr codeName="Projects"/>
  <dimension ref="A1:M107"/>
  <sheetViews>
    <sheetView zoomScaleNormal="100" workbookViewId="0">
      <selection activeCell="B6" sqref="B6"/>
    </sheetView>
  </sheetViews>
  <sheetFormatPr baseColWidth="10" defaultColWidth="9.140625" defaultRowHeight="15" x14ac:dyDescent="0.25"/>
  <cols>
    <col min="1" max="1" width="8.7109375" customWidth="1"/>
    <col min="2" max="2" width="29.140625" customWidth="1"/>
    <col min="3" max="3" width="8.7109375" customWidth="1"/>
    <col min="4" max="4" width="24.7109375" customWidth="1"/>
    <col min="5" max="8" width="10.7109375" customWidth="1"/>
    <col min="9" max="10" width="3.7109375" customWidth="1"/>
    <col min="11" max="11" width="8.7109375" customWidth="1"/>
    <col min="12" max="12" width="3.7109375" customWidth="1"/>
    <col min="13" max="13" width="39.28515625" customWidth="1"/>
  </cols>
  <sheetData>
    <row r="1" spans="1:13" ht="14.45" customHeight="1" x14ac:dyDescent="0.25">
      <c r="A1" s="133" t="s">
        <v>18</v>
      </c>
      <c r="B1" s="133"/>
      <c r="C1" s="133"/>
      <c r="D1" s="133"/>
      <c r="E1" s="133"/>
      <c r="F1" s="133"/>
      <c r="G1" s="133"/>
      <c r="H1" s="133"/>
      <c r="K1" s="13" t="s">
        <v>47</v>
      </c>
      <c r="M1" s="82" t="s">
        <v>60</v>
      </c>
    </row>
    <row r="2" spans="1:13" ht="14.45" customHeight="1" x14ac:dyDescent="0.25">
      <c r="A2" s="132"/>
      <c r="B2" s="132"/>
      <c r="C2" s="132"/>
      <c r="D2" s="132"/>
      <c r="E2" s="132"/>
      <c r="F2" s="132"/>
      <c r="G2" s="132"/>
      <c r="H2" s="132"/>
      <c r="K2" s="5" t="s">
        <v>129</v>
      </c>
      <c r="M2" s="5" t="s">
        <v>19</v>
      </c>
    </row>
    <row r="3" spans="1:13" ht="25.5" x14ac:dyDescent="0.25">
      <c r="A3" s="66" t="s">
        <v>132</v>
      </c>
      <c r="B3" s="70" t="s">
        <v>19</v>
      </c>
      <c r="C3" s="66" t="s">
        <v>133</v>
      </c>
      <c r="D3" s="70" t="s">
        <v>11</v>
      </c>
      <c r="E3" s="66" t="s">
        <v>20</v>
      </c>
      <c r="F3" s="66" t="s">
        <v>21</v>
      </c>
      <c r="G3" s="66" t="s">
        <v>22</v>
      </c>
      <c r="H3" s="66" t="s">
        <v>23</v>
      </c>
      <c r="K3" s="98"/>
      <c r="M3" t="s">
        <v>154</v>
      </c>
    </row>
    <row r="4" spans="1:13" x14ac:dyDescent="0.25">
      <c r="A4" s="2">
        <v>1</v>
      </c>
      <c r="B4" t="s">
        <v>154</v>
      </c>
      <c r="C4" s="2">
        <v>1</v>
      </c>
      <c r="D4" t="s">
        <v>114</v>
      </c>
      <c r="G4" s="7"/>
      <c r="H4" s="4"/>
      <c r="M4" t="s">
        <v>155</v>
      </c>
    </row>
    <row r="5" spans="1:13" x14ac:dyDescent="0.25">
      <c r="A5" s="2">
        <v>2</v>
      </c>
      <c r="B5" t="s">
        <v>155</v>
      </c>
      <c r="C5" s="2">
        <v>2</v>
      </c>
      <c r="D5" t="s">
        <v>121</v>
      </c>
      <c r="G5" s="7"/>
      <c r="H5" s="4"/>
      <c r="M5" t="s">
        <v>156</v>
      </c>
    </row>
    <row r="6" spans="1:13" x14ac:dyDescent="0.25">
      <c r="A6" s="2">
        <v>3</v>
      </c>
      <c r="B6" t="s">
        <v>156</v>
      </c>
      <c r="C6" s="2">
        <v>3</v>
      </c>
      <c r="D6" t="s">
        <v>148</v>
      </c>
      <c r="G6" s="7"/>
      <c r="H6" s="4"/>
    </row>
    <row r="7" spans="1:13" x14ac:dyDescent="0.25">
      <c r="A7" s="2"/>
      <c r="C7" s="2"/>
      <c r="G7" s="7"/>
      <c r="H7" s="4"/>
    </row>
    <row r="8" spans="1:13" x14ac:dyDescent="0.25">
      <c r="A8" s="2"/>
      <c r="C8" s="2"/>
      <c r="G8" s="7"/>
      <c r="H8" s="4"/>
    </row>
    <row r="9" spans="1:13" x14ac:dyDescent="0.25">
      <c r="A9" s="2"/>
      <c r="C9" s="2"/>
      <c r="G9" s="7"/>
      <c r="H9" s="4"/>
    </row>
    <row r="10" spans="1:13" x14ac:dyDescent="0.25">
      <c r="A10" s="2"/>
      <c r="C10" s="2"/>
      <c r="G10" s="7"/>
      <c r="H10" s="4"/>
    </row>
    <row r="11" spans="1:13" x14ac:dyDescent="0.25">
      <c r="A11" s="2"/>
      <c r="C11" s="2"/>
      <c r="G11" s="7"/>
      <c r="H11" s="4"/>
    </row>
    <row r="12" spans="1:13" x14ac:dyDescent="0.25">
      <c r="A12" s="2"/>
      <c r="C12" s="2"/>
    </row>
    <row r="13" spans="1:13" x14ac:dyDescent="0.25">
      <c r="A13" s="2"/>
      <c r="C13" s="2"/>
    </row>
    <row r="14" spans="1:13" x14ac:dyDescent="0.25">
      <c r="A14" s="2"/>
      <c r="C14" s="2"/>
    </row>
    <row r="15" spans="1:13" x14ac:dyDescent="0.25">
      <c r="A15" s="2"/>
      <c r="C15" s="2"/>
    </row>
    <row r="16" spans="1:13" x14ac:dyDescent="0.25">
      <c r="A16" s="2"/>
      <c r="C16" s="2"/>
    </row>
    <row r="17" spans="1:3" x14ac:dyDescent="0.25">
      <c r="A17" s="2"/>
      <c r="C17" s="2"/>
    </row>
    <row r="18" spans="1:3" x14ac:dyDescent="0.25">
      <c r="A18" s="2"/>
      <c r="C18" s="2"/>
    </row>
    <row r="19" spans="1:3" x14ac:dyDescent="0.25">
      <c r="A19" s="2"/>
      <c r="C19" s="2"/>
    </row>
    <row r="20" spans="1:3" x14ac:dyDescent="0.25">
      <c r="A20" s="2"/>
      <c r="C20" s="2"/>
    </row>
    <row r="21" spans="1:3" x14ac:dyDescent="0.25">
      <c r="A21" s="2"/>
      <c r="C21" s="2"/>
    </row>
    <row r="22" spans="1:3" x14ac:dyDescent="0.25">
      <c r="A22" s="2"/>
      <c r="C22" s="2"/>
    </row>
    <row r="23" spans="1:3" x14ac:dyDescent="0.25">
      <c r="A23" s="2"/>
      <c r="C23" s="2"/>
    </row>
    <row r="24" spans="1:3" x14ac:dyDescent="0.25">
      <c r="A24" s="2"/>
      <c r="C24" s="2"/>
    </row>
    <row r="25" spans="1:3" x14ac:dyDescent="0.25">
      <c r="A25" s="2"/>
      <c r="C25" s="2"/>
    </row>
    <row r="26" spans="1:3" x14ac:dyDescent="0.25">
      <c r="A26" s="2"/>
      <c r="C26" s="2"/>
    </row>
    <row r="27" spans="1:3" x14ac:dyDescent="0.25">
      <c r="A27" s="2"/>
      <c r="C27" s="2"/>
    </row>
    <row r="28" spans="1:3" x14ac:dyDescent="0.25">
      <c r="A28" s="2"/>
      <c r="C28" s="2"/>
    </row>
    <row r="29" spans="1:3" x14ac:dyDescent="0.25">
      <c r="A29" s="2"/>
      <c r="C29" s="2"/>
    </row>
    <row r="30" spans="1:3" x14ac:dyDescent="0.25">
      <c r="A30" s="2"/>
      <c r="C30" s="2"/>
    </row>
    <row r="31" spans="1:3" x14ac:dyDescent="0.25">
      <c r="A31" s="2"/>
      <c r="C31" s="2"/>
    </row>
    <row r="32" spans="1:3" x14ac:dyDescent="0.25">
      <c r="A32" s="2"/>
      <c r="C32" s="2"/>
    </row>
    <row r="33" spans="1:3" x14ac:dyDescent="0.25">
      <c r="A33" s="2"/>
      <c r="C33" s="2"/>
    </row>
    <row r="34" spans="1:3" x14ac:dyDescent="0.25">
      <c r="A34" s="2"/>
      <c r="C34" s="2"/>
    </row>
    <row r="35" spans="1:3" x14ac:dyDescent="0.25">
      <c r="A35" s="2"/>
      <c r="C35" s="2"/>
    </row>
    <row r="36" spans="1:3" x14ac:dyDescent="0.25">
      <c r="A36" s="2"/>
      <c r="C36" s="2"/>
    </row>
    <row r="37" spans="1:3" x14ac:dyDescent="0.25">
      <c r="A37" s="2"/>
      <c r="C37" s="2"/>
    </row>
    <row r="38" spans="1:3" x14ac:dyDescent="0.25">
      <c r="A38" s="2"/>
      <c r="C38" s="2"/>
    </row>
    <row r="39" spans="1:3" x14ac:dyDescent="0.25">
      <c r="A39" s="2"/>
      <c r="C39" s="2"/>
    </row>
    <row r="40" spans="1:3" x14ac:dyDescent="0.25">
      <c r="A40" s="2"/>
      <c r="C40" s="2"/>
    </row>
    <row r="41" spans="1:3" x14ac:dyDescent="0.25">
      <c r="A41" s="2"/>
      <c r="C41" s="2"/>
    </row>
    <row r="42" spans="1:3" x14ac:dyDescent="0.25">
      <c r="A42" s="2"/>
      <c r="C42" s="2"/>
    </row>
    <row r="43" spans="1:3" x14ac:dyDescent="0.25">
      <c r="A43" s="2"/>
      <c r="C43" s="2"/>
    </row>
    <row r="44" spans="1:3" x14ac:dyDescent="0.25">
      <c r="A44" s="2"/>
      <c r="C44" s="2"/>
    </row>
    <row r="45" spans="1:3" x14ac:dyDescent="0.25">
      <c r="A45" s="2"/>
      <c r="C45" s="2"/>
    </row>
    <row r="46" spans="1:3" x14ac:dyDescent="0.25">
      <c r="A46" s="2"/>
      <c r="C46" s="2"/>
    </row>
    <row r="47" spans="1:3" x14ac:dyDescent="0.25">
      <c r="A47" s="2"/>
      <c r="C47" s="2"/>
    </row>
    <row r="48" spans="1:3" x14ac:dyDescent="0.25">
      <c r="A48" s="2"/>
      <c r="C48" s="2"/>
    </row>
    <row r="49" spans="1:3" x14ac:dyDescent="0.25">
      <c r="A49" s="2"/>
      <c r="C49" s="2"/>
    </row>
    <row r="50" spans="1:3" x14ac:dyDescent="0.25">
      <c r="A50" s="2"/>
      <c r="C50" s="2"/>
    </row>
    <row r="51" spans="1:3" x14ac:dyDescent="0.25">
      <c r="A51" s="2"/>
      <c r="C51" s="2"/>
    </row>
    <row r="52" spans="1:3" x14ac:dyDescent="0.25">
      <c r="A52" s="2"/>
      <c r="C52" s="2"/>
    </row>
    <row r="53" spans="1:3" x14ac:dyDescent="0.25">
      <c r="A53" s="2"/>
      <c r="C53" s="2"/>
    </row>
    <row r="54" spans="1:3" x14ac:dyDescent="0.25">
      <c r="A54" s="2"/>
      <c r="C54" s="2"/>
    </row>
    <row r="55" spans="1:3" x14ac:dyDescent="0.25">
      <c r="A55" s="2"/>
      <c r="C55" s="2"/>
    </row>
    <row r="56" spans="1:3" x14ac:dyDescent="0.25">
      <c r="A56" s="2"/>
      <c r="C56" s="2"/>
    </row>
    <row r="57" spans="1:3" x14ac:dyDescent="0.25">
      <c r="A57" s="2"/>
      <c r="C57" s="2"/>
    </row>
    <row r="58" spans="1:3" x14ac:dyDescent="0.25">
      <c r="A58" s="2"/>
      <c r="C58" s="2"/>
    </row>
    <row r="59" spans="1:3" x14ac:dyDescent="0.25">
      <c r="A59" s="2"/>
      <c r="C59" s="2"/>
    </row>
    <row r="60" spans="1:3" x14ac:dyDescent="0.25">
      <c r="A60" s="2"/>
      <c r="C60" s="2"/>
    </row>
    <row r="61" spans="1:3" x14ac:dyDescent="0.25">
      <c r="A61" s="2"/>
      <c r="C61" s="2"/>
    </row>
    <row r="62" spans="1:3" x14ac:dyDescent="0.25">
      <c r="A62" s="2"/>
      <c r="C62" s="2"/>
    </row>
    <row r="63" spans="1:3" x14ac:dyDescent="0.25">
      <c r="A63" s="2"/>
      <c r="C63" s="2"/>
    </row>
    <row r="64" spans="1:3" x14ac:dyDescent="0.25">
      <c r="A64" s="2"/>
      <c r="C64" s="2"/>
    </row>
    <row r="65" spans="1:3" x14ac:dyDescent="0.25">
      <c r="A65" s="2"/>
      <c r="C65" s="2"/>
    </row>
    <row r="66" spans="1:3" x14ac:dyDescent="0.25">
      <c r="A66" s="2"/>
      <c r="C66" s="2"/>
    </row>
    <row r="67" spans="1:3" x14ac:dyDescent="0.25">
      <c r="A67" s="2"/>
      <c r="C67" s="2"/>
    </row>
    <row r="68" spans="1:3" x14ac:dyDescent="0.25">
      <c r="A68" s="2"/>
      <c r="C68" s="2"/>
    </row>
    <row r="69" spans="1:3" x14ac:dyDescent="0.25">
      <c r="A69" s="2"/>
      <c r="C69" s="2"/>
    </row>
    <row r="70" spans="1:3" x14ac:dyDescent="0.25">
      <c r="A70" s="2"/>
      <c r="C70" s="2"/>
    </row>
    <row r="71" spans="1:3" x14ac:dyDescent="0.25">
      <c r="A71" s="2"/>
      <c r="C71" s="2"/>
    </row>
    <row r="72" spans="1:3" x14ac:dyDescent="0.25">
      <c r="A72" s="2"/>
      <c r="C72" s="2"/>
    </row>
    <row r="73" spans="1:3" x14ac:dyDescent="0.25">
      <c r="A73" s="2"/>
      <c r="C73" s="2"/>
    </row>
    <row r="74" spans="1:3" x14ac:dyDescent="0.25">
      <c r="A74" s="2"/>
      <c r="C74" s="2"/>
    </row>
    <row r="75" spans="1:3" x14ac:dyDescent="0.25">
      <c r="A75" s="2"/>
      <c r="C75" s="2"/>
    </row>
    <row r="76" spans="1:3" x14ac:dyDescent="0.25">
      <c r="A76" s="2"/>
      <c r="C76" s="2"/>
    </row>
    <row r="77" spans="1:3" x14ac:dyDescent="0.25">
      <c r="A77" s="2"/>
      <c r="C77" s="2"/>
    </row>
    <row r="78" spans="1:3" x14ac:dyDescent="0.25">
      <c r="A78" s="2"/>
      <c r="C78" s="2"/>
    </row>
    <row r="79" spans="1:3" x14ac:dyDescent="0.25">
      <c r="A79" s="2"/>
      <c r="C79" s="2"/>
    </row>
    <row r="80" spans="1:3" x14ac:dyDescent="0.25">
      <c r="A80" s="2"/>
      <c r="C80" s="2"/>
    </row>
    <row r="81" spans="1:3" x14ac:dyDescent="0.25">
      <c r="A81" s="2"/>
      <c r="C81" s="2"/>
    </row>
    <row r="82" spans="1:3" x14ac:dyDescent="0.25">
      <c r="A82" s="2"/>
      <c r="C82" s="2"/>
    </row>
    <row r="83" spans="1:3" x14ac:dyDescent="0.25">
      <c r="A83" s="2"/>
      <c r="C83" s="2"/>
    </row>
    <row r="84" spans="1:3" x14ac:dyDescent="0.25">
      <c r="A84" s="2"/>
      <c r="C84" s="2"/>
    </row>
    <row r="85" spans="1:3" x14ac:dyDescent="0.25">
      <c r="A85" s="2"/>
      <c r="C85" s="2"/>
    </row>
    <row r="86" spans="1:3" x14ac:dyDescent="0.25">
      <c r="A86" s="2"/>
      <c r="C86" s="2"/>
    </row>
    <row r="87" spans="1:3" x14ac:dyDescent="0.25">
      <c r="A87" s="2"/>
      <c r="C87" s="2"/>
    </row>
    <row r="88" spans="1:3" x14ac:dyDescent="0.25">
      <c r="A88" s="2"/>
      <c r="C88" s="2"/>
    </row>
    <row r="89" spans="1:3" x14ac:dyDescent="0.25">
      <c r="A89" s="2"/>
      <c r="C89" s="2"/>
    </row>
    <row r="90" spans="1:3" x14ac:dyDescent="0.25">
      <c r="A90" s="2"/>
      <c r="C90" s="2"/>
    </row>
    <row r="91" spans="1:3" x14ac:dyDescent="0.25">
      <c r="A91" s="2"/>
      <c r="C91" s="2"/>
    </row>
    <row r="92" spans="1:3" x14ac:dyDescent="0.25">
      <c r="A92" s="2"/>
      <c r="C92" s="2"/>
    </row>
    <row r="93" spans="1:3" x14ac:dyDescent="0.25">
      <c r="A93" s="2"/>
      <c r="C93" s="2"/>
    </row>
    <row r="94" spans="1:3" x14ac:dyDescent="0.25">
      <c r="A94" s="2"/>
      <c r="C94" s="2"/>
    </row>
    <row r="95" spans="1:3" x14ac:dyDescent="0.25">
      <c r="A95" s="2"/>
      <c r="C95" s="2"/>
    </row>
    <row r="96" spans="1:3" x14ac:dyDescent="0.25">
      <c r="A96" s="2"/>
      <c r="C96" s="2"/>
    </row>
    <row r="97" spans="1:3" x14ac:dyDescent="0.25">
      <c r="A97" s="2"/>
      <c r="C97" s="2"/>
    </row>
    <row r="98" spans="1:3" x14ac:dyDescent="0.25">
      <c r="A98" s="2"/>
      <c r="C98" s="2"/>
    </row>
    <row r="99" spans="1:3" x14ac:dyDescent="0.25">
      <c r="A99" s="2"/>
      <c r="C99" s="2"/>
    </row>
    <row r="100" spans="1:3" x14ac:dyDescent="0.25">
      <c r="A100" s="2"/>
      <c r="C100" s="2"/>
    </row>
    <row r="101" spans="1:3" x14ac:dyDescent="0.25">
      <c r="A101" s="2"/>
      <c r="C101" s="2"/>
    </row>
    <row r="102" spans="1:3" x14ac:dyDescent="0.25">
      <c r="A102" s="2"/>
      <c r="C102" s="2"/>
    </row>
    <row r="103" spans="1:3" x14ac:dyDescent="0.25">
      <c r="A103" s="2"/>
      <c r="C103" s="2"/>
    </row>
    <row r="104" spans="1:3" x14ac:dyDescent="0.25">
      <c r="A104" s="2"/>
      <c r="C104" s="2"/>
    </row>
    <row r="105" spans="1:3" x14ac:dyDescent="0.25">
      <c r="A105" s="2"/>
      <c r="C105" s="2"/>
    </row>
    <row r="106" spans="1:3" x14ac:dyDescent="0.25">
      <c r="A106" s="2"/>
      <c r="C106" s="2"/>
    </row>
    <row r="107" spans="1:3" x14ac:dyDescent="0.25">
      <c r="A107" s="2"/>
      <c r="C107" s="2"/>
    </row>
  </sheetData>
  <mergeCells count="1">
    <mergeCell ref="A1:H2"/>
  </mergeCells>
  <conditionalFormatting sqref="A7:H11 A4:C6 E4:H6">
    <cfRule type="expression" dxfId="14" priority="3">
      <formula>AND($A4&lt;&gt;"",MOD(ROW(),2)=0)</formula>
    </cfRule>
  </conditionalFormatting>
  <conditionalFormatting sqref="D4:D6">
    <cfRule type="expression" dxfId="13" priority="1">
      <formula>AND($A4&lt;&gt;"",MOD(ROW(),2)=0)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1A80C3-47C9-45A2-9607-2D3EB116CDD7}">
  <sheetPr codeName="Customers"/>
  <dimension ref="A1:H25"/>
  <sheetViews>
    <sheetView workbookViewId="0">
      <selection activeCell="F11" sqref="F11"/>
    </sheetView>
  </sheetViews>
  <sheetFormatPr baseColWidth="10" defaultColWidth="9.140625" defaultRowHeight="15" x14ac:dyDescent="0.25"/>
  <cols>
    <col min="1" max="1" width="6.85546875" bestFit="1" customWidth="1"/>
    <col min="2" max="2" width="20.7109375" bestFit="1" customWidth="1"/>
    <col min="3" max="3" width="42.7109375" customWidth="1"/>
    <col min="4" max="4" width="20.140625" customWidth="1"/>
    <col min="5" max="5" width="13.140625" bestFit="1" customWidth="1"/>
    <col min="6" max="6" width="12" style="2" customWidth="1"/>
    <col min="7" max="7" width="15.7109375" customWidth="1"/>
    <col min="8" max="8" width="29.42578125" customWidth="1"/>
  </cols>
  <sheetData>
    <row r="1" spans="1:8" x14ac:dyDescent="0.25">
      <c r="A1" s="133" t="s">
        <v>10</v>
      </c>
      <c r="B1" s="133"/>
      <c r="C1" s="133"/>
      <c r="D1" s="133"/>
      <c r="E1" s="133"/>
      <c r="F1" s="133"/>
      <c r="G1" s="133"/>
      <c r="H1" s="133"/>
    </row>
    <row r="2" spans="1:8" x14ac:dyDescent="0.25">
      <c r="A2" s="132"/>
      <c r="B2" s="132"/>
      <c r="C2" s="132"/>
      <c r="D2" s="132"/>
      <c r="E2" s="132"/>
      <c r="F2" s="132"/>
      <c r="G2" s="132"/>
      <c r="H2" s="132"/>
    </row>
    <row r="3" spans="1:8" ht="26.25" x14ac:dyDescent="0.25">
      <c r="A3" s="65" t="s">
        <v>134</v>
      </c>
      <c r="B3" s="70" t="s">
        <v>11</v>
      </c>
      <c r="C3" s="70" t="s">
        <v>12</v>
      </c>
      <c r="D3" s="70" t="s">
        <v>13</v>
      </c>
      <c r="E3" s="70" t="s">
        <v>14</v>
      </c>
      <c r="F3" s="70" t="s">
        <v>15</v>
      </c>
      <c r="G3" s="70" t="s">
        <v>16</v>
      </c>
      <c r="H3" s="70" t="s">
        <v>17</v>
      </c>
    </row>
    <row r="4" spans="1:8" x14ac:dyDescent="0.25">
      <c r="A4" s="2">
        <v>1</v>
      </c>
      <c r="B4" t="s">
        <v>114</v>
      </c>
      <c r="C4" t="s">
        <v>115</v>
      </c>
      <c r="D4" t="s">
        <v>116</v>
      </c>
      <c r="E4" t="s">
        <v>117</v>
      </c>
      <c r="F4" s="2" t="s">
        <v>118</v>
      </c>
      <c r="G4" s="6" t="s">
        <v>119</v>
      </c>
      <c r="H4" s="60" t="s">
        <v>120</v>
      </c>
    </row>
    <row r="5" spans="1:8" x14ac:dyDescent="0.25">
      <c r="A5" s="2">
        <v>2</v>
      </c>
      <c r="B5" t="s">
        <v>121</v>
      </c>
      <c r="C5" t="s">
        <v>135</v>
      </c>
      <c r="D5" t="s">
        <v>122</v>
      </c>
      <c r="E5" t="s">
        <v>117</v>
      </c>
      <c r="F5" s="2" t="s">
        <v>123</v>
      </c>
      <c r="G5" t="s">
        <v>124</v>
      </c>
      <c r="H5" s="60" t="s">
        <v>125</v>
      </c>
    </row>
    <row r="6" spans="1:8" x14ac:dyDescent="0.25">
      <c r="A6" s="2">
        <v>3</v>
      </c>
      <c r="B6" t="s">
        <v>148</v>
      </c>
      <c r="C6" t="s">
        <v>149</v>
      </c>
      <c r="D6" t="s">
        <v>150</v>
      </c>
      <c r="E6" t="s">
        <v>117</v>
      </c>
      <c r="F6" s="2" t="s">
        <v>151</v>
      </c>
      <c r="G6" t="s">
        <v>152</v>
      </c>
      <c r="H6" s="60" t="s">
        <v>153</v>
      </c>
    </row>
    <row r="7" spans="1:8" x14ac:dyDescent="0.25">
      <c r="A7" s="2"/>
    </row>
    <row r="8" spans="1:8" x14ac:dyDescent="0.25">
      <c r="A8" s="2"/>
    </row>
    <row r="9" spans="1:8" x14ac:dyDescent="0.25">
      <c r="A9" s="2"/>
    </row>
    <row r="10" spans="1:8" x14ac:dyDescent="0.25">
      <c r="A10" s="2"/>
    </row>
    <row r="11" spans="1:8" x14ac:dyDescent="0.25">
      <c r="A11" s="2"/>
    </row>
    <row r="12" spans="1:8" x14ac:dyDescent="0.25">
      <c r="A12" s="2"/>
    </row>
    <row r="13" spans="1:8" x14ac:dyDescent="0.25">
      <c r="A13" s="2"/>
    </row>
    <row r="14" spans="1:8" x14ac:dyDescent="0.25">
      <c r="A14" s="2"/>
    </row>
    <row r="15" spans="1:8" x14ac:dyDescent="0.25">
      <c r="A15" s="2"/>
    </row>
    <row r="16" spans="1:8" x14ac:dyDescent="0.25">
      <c r="A16" s="2"/>
    </row>
    <row r="17" spans="1:1" x14ac:dyDescent="0.25">
      <c r="A17" s="2"/>
    </row>
    <row r="18" spans="1:1" x14ac:dyDescent="0.25">
      <c r="A18" s="2"/>
    </row>
    <row r="19" spans="1:1" x14ac:dyDescent="0.25">
      <c r="A19" s="2"/>
    </row>
    <row r="20" spans="1:1" x14ac:dyDescent="0.25">
      <c r="A20" s="2"/>
    </row>
    <row r="21" spans="1:1" x14ac:dyDescent="0.25">
      <c r="A21" s="2"/>
    </row>
    <row r="22" spans="1:1" x14ac:dyDescent="0.25">
      <c r="A22" s="2"/>
    </row>
    <row r="23" spans="1:1" x14ac:dyDescent="0.25">
      <c r="A23" s="2"/>
    </row>
    <row r="24" spans="1:1" x14ac:dyDescent="0.25">
      <c r="A24" s="2"/>
    </row>
    <row r="25" spans="1:1" x14ac:dyDescent="0.25">
      <c r="A25" s="2"/>
    </row>
  </sheetData>
  <mergeCells count="1">
    <mergeCell ref="A1:H2"/>
  </mergeCells>
  <conditionalFormatting sqref="A4:H88">
    <cfRule type="expression" dxfId="12" priority="1">
      <formula>AND($A4&lt;&gt;"",MOD(ROW(),2)=0)</formula>
    </cfRule>
  </conditionalFormatting>
  <hyperlinks>
    <hyperlink ref="H4" r:id="rId1" xr:uid="{43479342-7CF1-44DB-8860-7945196E4ED1}"/>
    <hyperlink ref="H5" r:id="rId2" xr:uid="{E9917960-E388-4618-A27E-BCD098F6B688}"/>
    <hyperlink ref="H6" r:id="rId3" xr:uid="{087317A4-64EE-4B2F-B43B-28A7C0E8F328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7</vt:i4>
      </vt:variant>
    </vt:vector>
  </HeadingPairs>
  <TitlesOfParts>
    <vt:vector size="14" baseType="lpstr">
      <vt:lpstr>Invoice</vt:lpstr>
      <vt:lpstr>Invoice List</vt:lpstr>
      <vt:lpstr>Invoice Items</vt:lpstr>
      <vt:lpstr>Billing Entries</vt:lpstr>
      <vt:lpstr>Service Items</vt:lpstr>
      <vt:lpstr>Projects</vt:lpstr>
      <vt:lpstr>Customers</vt:lpstr>
      <vt:lpstr>'Billing Entries'!Criteres</vt:lpstr>
      <vt:lpstr>'Invoice Items'!Criteres</vt:lpstr>
      <vt:lpstr>Projects!Criteres</vt:lpstr>
      <vt:lpstr>'Billing Entries'!Extraire</vt:lpstr>
      <vt:lpstr>'Invoice Items'!Extraire</vt:lpstr>
      <vt:lpstr>Projects!Extraire</vt:lpstr>
      <vt:lpstr>Invoice!Zone_d_impression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Randy Austins</dc:creator>
  <cp:lastModifiedBy>Robert M. Vigneault</cp:lastModifiedBy>
  <cp:lastPrinted>2023-09-28T13:20:42Z</cp:lastPrinted>
  <dcterms:created xsi:type="dcterms:W3CDTF">2023-05-08T04:58:50Z</dcterms:created>
  <dcterms:modified xsi:type="dcterms:W3CDTF">2023-09-29T10:16:05Z</dcterms:modified>
</cp:coreProperties>
</file>