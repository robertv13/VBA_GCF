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F0203EB-5122-4148-8A0F-C1B2354199F9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Trans!$A$1:$L$297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4" l="1"/>
  <c r="F29" i="4"/>
  <c r="A340" i="3"/>
  <c r="B340" i="3"/>
  <c r="A341" i="3"/>
  <c r="B341" i="3"/>
  <c r="A342" i="3"/>
  <c r="B342" i="3"/>
  <c r="A343" i="3"/>
  <c r="B343" i="3"/>
  <c r="A344" i="3"/>
  <c r="B344" i="3"/>
  <c r="A345" i="3"/>
  <c r="B345" i="3"/>
  <c r="L345" i="3"/>
  <c r="L344" i="3"/>
  <c r="L343" i="3"/>
  <c r="L342" i="3"/>
  <c r="L341" i="3"/>
  <c r="L340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B2" i="3"/>
  <c r="A2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<sst xmlns="http://schemas.openxmlformats.org/spreadsheetml/2006/main" count="1039" uniqueCount="241">
  <si>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</si>
  <si>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</si>
  <si>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</si>
  <si>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</si>
  <si>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</si>
  <si>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</si>
  <si>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</si>
  <si>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</si>
  <si>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</si>
  <si>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</si>
  <si>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</si>
  <si>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</si>
  <si>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</si>
  <si>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</si>
  <si>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</si>
  <si>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</si>
  <si>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</si>
  <si>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</si>
  <si>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</si>
  <si>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</si>
  <si>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</si>
  <si>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</si>
  <si>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</si>
  <si>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</si>
  <si>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</si>
  <si>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</si>
  <si>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</si>
  <si>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</si>
  <si>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</si>
  <si>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</si>
  <si>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</si>
  <si>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</si>
  <si>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</si>
  <si>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</si>
  <si>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</si>
  <si>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</si>
  <si>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</si>
  <si>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</si>
  <si>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</si>
  <si>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</si>
  <si>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</si>
  <si>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</si>
  <si>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</si>
  <si>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</si>
  <si>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</si>
  <si>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</si>
  <si>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</si>
  <si>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</si>
  <si>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</si>
  <si>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</si>
  <si>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</si>
  <si>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</si>
  <si>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</si>
  <si>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</si>
  <si>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</si>
  <si>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</si>
  <si>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</si>
  <si>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</si>
  <si>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</si>
  <si>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</si>
  <si>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</si>
  <si>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</si>
  <si>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</si>
  <si>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</si>
  <si>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</si>
  <si>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</si>
  <si>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</si>
  <si>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</si>
  <si>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</si>
  <si>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</si>
  <si>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</si>
  <si>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</si>
  <si>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</si>
  <si>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</si>
  <si>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</si>
  <si>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</si>
  <si>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</si>
  <si>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</si>
  <si>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</si>
  <si>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</si>
  <si>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</si>
  <si>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</si>
  <si>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</si>
  <si>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</si>
  <si>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</si>
  <si>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</si>
  <si>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</si>
  <si>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</si>
  <si>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</si>
  <si>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</si>
  <si>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</si>
  <si>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</si>
  <si>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</si>
  <si>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</si>
  <si>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</si>
  <si>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</si>
  <si>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</si>
  <si>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</si>
  <si>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</si>
  <si>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</si>
  <si>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</si>
  <si>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</si>
  <si>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</si>
  <si>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</si>
  <si>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</si>
  <si>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</si>
  <si>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</si>
  <si>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</si>
  <si>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</si>
  <si>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</si>
  <si>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</si>
  <si>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</si>
  <si>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</si>
  <si>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</si>
  <si>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</si>
  <si>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</si>
  <si>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</si>
  <si>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</si>
  <si>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</si>
  <si>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</si>
  <si>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</si>
  <si>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</si>
  <si>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</si>
  <si>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</si>
  <si>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</si>
  <si>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</si>
  <si>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</si>
  <si>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</si>
  <si>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</si>
  <si>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</si>
  <si>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</si>
  <si>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</si>
  <si>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</si>
  <si>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</si>
  <si>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</si>
  <si>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</si>
  <si>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</si>
  <si>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</si>
  <si>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</si>
  <si>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</si>
  <si>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</si>
  <si>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</si>
  <si>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</si>
  <si>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</si>
  <si>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</si>
  <si>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</si>
  <si>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</si>
  <si>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</si>
  <si>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</si>
  <si>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</si>
  <si>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</si>
  <si>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</si>
  <si>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</si>
  <si>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</si>
  <si>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</si>
  <si>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</si>
  <si>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</si>
  <si>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</si>
  <si>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</si>
  <si>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</si>
  <si>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</si>
  <si>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</si>
  <si>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</si>
  <si>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</si>
  <si>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</si>
  <si>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</si>
  <si>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</si>
  <si>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</si>
  <si>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</si>
  <si>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</si>
  <si>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</si>
  <si>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</si>
  <si>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</si>
  <si>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</si>
  <si>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</si>
  <si>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</si>
  <si>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</si>
  <si>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</si>
  <si>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</si>
  <si>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</si>
  <si>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</si>
  <si>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</si>
  <si>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</si>
  <si>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</si>
  <si>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</si>
  <si>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</si>
  <si>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</si>
  <si>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</si>
  <si>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</si>
  <si>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</si>
  <si>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</si>
  <si>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</si>
  <si>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</si>
  <si>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</si>
  <si>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</si>
  <si>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</si>
  <si>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</si>
  <si>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</si>
  <si>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</si>
  <si>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</si>
  <si>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</si>
  <si>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</si>
  <si>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</si>
  <si>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</si>
  <si>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</si>
  <si>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</si>
  <si>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</si>
  <si>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</si>
  <si>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</si>
  <si>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</si>
  <si>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</si>
  <si>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</si>
  <si>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</si>
  <si>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</si>
  <si>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</si>
  <si>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</si>
  <si>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</si>
  <si>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</si>
  <si>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</si>
  <si>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</si>
  <si>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14/10/2023</t>
  </si>
  <si>
    <t>Test avec la création d'E/J automatique ou récurrente</t>
  </si>
  <si>
    <t>Imputation automatique le 14 de chaque mois</t>
  </si>
  <si>
    <t>Auto - Test avec la création d'E/J automatique ou récurrente</t>
  </si>
  <si>
    <t>Jour</t>
  </si>
  <si>
    <t>Mois</t>
  </si>
  <si>
    <t>Auto - Frais de banque</t>
  </si>
  <si>
    <t>30/09/2023</t>
  </si>
  <si>
    <t>Auto - Facture pour revenus de consultation</t>
  </si>
  <si>
    <t>29/09/2023</t>
  </si>
  <si>
    <t>Auto - LOYER - Facture mensuelle</t>
  </si>
  <si>
    <t>Auto - Assurance Loyer</t>
  </si>
  <si>
    <t>27/09/2023</t>
  </si>
  <si>
    <t>GL</t>
  </si>
  <si>
    <t>Détail d'un G/L</t>
  </si>
  <si>
    <t>Solde</t>
  </si>
  <si>
    <t>Date Limite</t>
  </si>
  <si>
    <t>Dern. Ligne BV</t>
  </si>
  <si>
    <t>5013 - Frais financiers</t>
  </si>
  <si>
    <t>31/10/2023</t>
  </si>
  <si>
    <t># Écr.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</si>
</sst>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69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1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2" borderId="19" xfId="0" applyFont="1" applyFill="1" applyBorder="1"/>
    <xf numFmtId="0" fontId="1" fillId="12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2" borderId="60" xfId="0" applyFont="1" applyFill="1" applyBorder="1"/>
    <xf numFmtId="0" fontId="1" fillId="12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2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2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3" borderId="68" xfId="0" applyFont="1" applyFill="1" applyBorder="1" applyAlignment="1">
      <alignment horizontal="left"/>
    </xf>
    <xf numFmtId="164" fontId="8" fillId="13" borderId="68" xfId="0" applyNumberFormat="1" applyFont="1" applyFill="1" applyBorder="1"/>
    <xf numFmtId="0" fontId="8" fillId="13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4" fontId="0" fillId="0" borderId="0" xfId="0" applyNumberFormat="1"/>
    <xf numFmtId="0" fontId="8" fillId="13" borderId="12" xfId="0" applyFont="1" applyFill="1" applyBorder="1" applyAlignment="1">
      <alignment horizontal="left"/>
    </xf>
    <xf numFmtId="164" fontId="8" fillId="13" borderId="12" xfId="0" applyNumberFormat="1" applyFont="1" applyFill="1" applyBorder="1"/>
    <xf numFmtId="0" fontId="8" fillId="13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4" fontId="2" fillId="0" borderId="65" xfId="0" applyNumberFormat="1" applyFont="1" applyBorder="1" applyAlignment="1">
      <alignment horizontal="center"/>
    </xf>
    <xf numFmtId="164" fontId="16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49" fontId="16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3" fillId="7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49" fontId="13" fillId="7" borderId="0" xfId="0" applyNumberFormat="1" applyFont="1" applyFill="1" applyAlignment="1">
      <alignment horizontal="center"/>
    </xf>
    <xf numFmtId="164" fontId="13" fillId="7" borderId="0" xfId="0" applyNumberFormat="1" applyFont="1" applyFill="1" applyAlignment="1">
      <alignment horizontal="right"/>
    </xf>
    <xf numFmtId="49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164" fontId="12" fillId="7" borderId="0" xfId="0" applyNumberFormat="1" applyFont="1" applyFill="1" applyAlignment="1">
      <alignment horizontal="right" vertical="center"/>
    </xf>
    <xf numFmtId="49" fontId="0" fillId="0" borderId="0" xfId="0" applyNumberFormat="1" applyFont="1" applyAlignment="1">
      <alignment horizontal="center"/>
    </xf>
    <xf numFmtId="49" fontId="12" fillId="7" borderId="76" xfId="0" applyNumberFormat="1" applyFont="1" applyFill="1" applyBorder="1" applyAlignment="1">
      <alignment horizontal="center" vertical="center"/>
    </xf>
    <xf numFmtId="49" fontId="12" fillId="7" borderId="77" xfId="0" applyNumberFormat="1" applyFont="1" applyFill="1" applyBorder="1" applyAlignment="1">
      <alignment horizontal="center" vertical="center"/>
    </xf>
    <xf numFmtId="49" fontId="12" fillId="7" borderId="77" xfId="0" applyNumberFormat="1" applyFont="1" applyFill="1" applyBorder="1" applyAlignment="1">
      <alignment horizontal="center" vertical="center" wrapText="1"/>
    </xf>
    <xf numFmtId="164" fontId="12" fillId="7" borderId="77" xfId="0" applyNumberFormat="1" applyFont="1" applyFill="1" applyBorder="1" applyAlignment="1">
      <alignment horizontal="center" vertical="center"/>
    </xf>
    <xf numFmtId="49" fontId="12" fillId="7" borderId="78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4" fontId="0" fillId="0" borderId="0" xfId="0" applyNumberFormat="1" applyFont="1" applyFill="1" applyBorder="1"/>
    <xf numFmtId="0" fontId="0" fillId="0" borderId="0" xfId="0" applyFont="1" applyFill="1" applyBorder="1"/>
    <xf numFmtId="0" fontId="16" fillId="0" borderId="0" xfId="0" applyFont="1" applyFill="1" applyBorder="1" applyAlignment="1">
      <alignment horizontal="left"/>
    </xf>
    <xf numFmtId="164" fontId="16" fillId="0" borderId="0" xfId="0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/>
    <xf numFmtId="0" fontId="0" fillId="0" borderId="0" xfId="0" applyFill="1" applyBorder="1"/>
  </cellXfs>
  <cellStyles count="1">
    <cellStyle name="Normal" xfId="0" builtinId="0"/>
  </cellStyles>
  <dxfs count="33"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</xdr:row>
      <xdr:rowOff>34638</xdr:rowOff>
    </xdr:from>
    <xdr:to>
      <xdr:col>9</xdr:col>
      <xdr:colOff>790575</xdr:colOff>
      <xdr:row>2</xdr:row>
      <xdr:rowOff>155865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53325" y="282288"/>
          <a:ext cx="952500" cy="311727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32" headerRowBorderDxfId="31" tableBorderDxfId="30">
  <autoFilter ref="D1:F63" xr:uid="{14C329C6-94DF-42A8-8109-86AAE4155542}"/>
  <tableColumns count="3">
    <tableColumn id="1" xr3:uid="{2BCE0A9E-D1F1-433B-A4C2-C16E4ED5F5E4}" name="Plan Comptable" dataDxfId="29"/>
    <tableColumn id="2" xr3:uid="{4E36B198-8028-4579-8C2C-2E84B10968B2}" name="Colonne1" dataDxfId="28"/>
    <tableColumn id="3" xr3:uid="{0F108B7D-E7FE-4F3B-8C2C-2AE9049BAF19}" name="Colonne2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2" bestFit="1" customWidth="1"/>
    <col min="2" max="2" width="11.42578125" style="173"/>
    <col min="3" max="3" width="5.7109375" style="169" customWidth="1"/>
    <col min="4" max="4" width="13" style="172" customWidth="1"/>
    <col min="5" max="5" width="14.7109375" style="169" customWidth="1"/>
    <col min="6" max="6" width="9.7109375" style="169" customWidth="1"/>
    <col min="7" max="8" width="14.7109375" style="169" customWidth="1"/>
    <col min="9" max="9" width="25.7109375" style="169" customWidth="1"/>
    <col min="10" max="10" width="14.140625" style="169" customWidth="1"/>
    <col min="11" max="11" width="5.7109375" style="169" customWidth="1"/>
    <col min="12" max="16384" width="11.42578125" style="169"/>
  </cols>
  <sheetData>
    <row r="1" spans="1:11" x14ac:dyDescent="0.25">
      <c r="A1" s="122" t="s">
        <v>144</v>
      </c>
      <c r="B1" s="168">
        <v>64</v>
      </c>
      <c r="D1" s="235" t="s">
        <v>8</v>
      </c>
      <c r="E1" s="235"/>
      <c r="F1" s="235"/>
      <c r="G1" s="235"/>
      <c r="H1" s="235"/>
      <c r="I1" s="235"/>
      <c r="J1" s="235"/>
    </row>
    <row r="2" spans="1:11" x14ac:dyDescent="0.25">
      <c r="B2" s="170"/>
      <c r="C2" s="171"/>
      <c r="D2" s="235"/>
      <c r="E2" s="235"/>
      <c r="F2" s="235"/>
      <c r="G2" s="235"/>
      <c r="H2" s="235"/>
      <c r="I2" s="235"/>
      <c r="J2" s="235"/>
    </row>
    <row r="3" spans="1:11" x14ac:dyDescent="0.25">
      <c r="B3" s="170"/>
    </row>
    <row r="4" spans="1:11" x14ac:dyDescent="0.25">
      <c r="D4" s="174" t="s">
        <v>4</v>
      </c>
      <c r="E4" s="175"/>
      <c r="I4" s="174" t="s">
        <v>7</v>
      </c>
      <c r="J4" s="190" t="s">
        <v>220</v>
      </c>
    </row>
    <row r="6" spans="1:11" x14ac:dyDescent="0.25">
      <c r="D6" s="174" t="s">
        <v>5</v>
      </c>
      <c r="E6" s="240"/>
      <c r="F6" s="241"/>
      <c r="G6" s="241"/>
      <c r="H6" s="241"/>
      <c r="I6" s="241"/>
      <c r="J6" s="242"/>
    </row>
    <row r="7" spans="1:11" ht="15.75" thickBot="1" x14ac:dyDescent="0.3"/>
    <row r="8" spans="1:11" x14ac:dyDescent="0.25">
      <c r="D8" s="236" t="s">
        <v>1</v>
      </c>
      <c r="E8" s="237"/>
      <c r="F8" s="237"/>
      <c r="G8" s="2" t="s">
        <v>2</v>
      </c>
      <c r="H8" s="2" t="s">
        <v>3</v>
      </c>
      <c r="I8" s="238" t="s">
        <v>6</v>
      </c>
      <c r="J8" s="239"/>
    </row>
    <row r="9" spans="1:11" x14ac:dyDescent="0.25">
      <c r="D9" s="227"/>
      <c r="E9" s="228"/>
      <c r="F9" s="229"/>
      <c r="G9" s="176"/>
      <c r="H9" s="176"/>
      <c r="I9" s="222"/>
      <c r="J9" s="223"/>
      <c r="K9" s="191"/>
    </row>
    <row r="10" spans="1:11" x14ac:dyDescent="0.25">
      <c r="D10" s="224"/>
      <c r="E10" s="225"/>
      <c r="F10" s="226"/>
      <c r="G10" s="177"/>
      <c r="H10" s="177"/>
      <c r="I10" s="220"/>
      <c r="J10" s="221"/>
      <c r="K10" s="191"/>
    </row>
    <row r="11" spans="1:11" x14ac:dyDescent="0.25">
      <c r="D11" s="227"/>
      <c r="E11" s="228"/>
      <c r="F11" s="229"/>
      <c r="G11" s="178"/>
      <c r="H11" s="178"/>
      <c r="I11" s="222"/>
      <c r="J11" s="223"/>
      <c r="K11" s="191"/>
    </row>
    <row r="12" spans="1:11" x14ac:dyDescent="0.25">
      <c r="D12" s="224"/>
      <c r="E12" s="225"/>
      <c r="F12" s="226"/>
      <c r="G12" s="177"/>
      <c r="H12" s="177"/>
      <c r="I12" s="220"/>
      <c r="J12" s="221"/>
      <c r="K12" s="191"/>
    </row>
    <row r="13" spans="1:11" x14ac:dyDescent="0.25">
      <c r="D13" s="227"/>
      <c r="E13" s="228"/>
      <c r="F13" s="229"/>
      <c r="G13" s="178"/>
      <c r="H13" s="178"/>
      <c r="I13" s="222"/>
      <c r="J13" s="223"/>
      <c r="K13" s="191"/>
    </row>
    <row r="14" spans="1:11" x14ac:dyDescent="0.25">
      <c r="D14" s="224"/>
      <c r="E14" s="225"/>
      <c r="F14" s="226"/>
      <c r="G14" s="177"/>
      <c r="H14" s="177"/>
      <c r="I14" s="220"/>
      <c r="J14" s="221"/>
      <c r="K14" s="191"/>
    </row>
    <row r="15" spans="1:11" x14ac:dyDescent="0.25">
      <c r="D15" s="227"/>
      <c r="E15" s="228"/>
      <c r="F15" s="229"/>
      <c r="G15" s="178"/>
      <c r="H15" s="178"/>
      <c r="I15" s="222"/>
      <c r="J15" s="223"/>
      <c r="K15" s="191"/>
    </row>
    <row r="16" spans="1:11" x14ac:dyDescent="0.25">
      <c r="D16" s="224"/>
      <c r="E16" s="225"/>
      <c r="F16" s="226"/>
      <c r="G16" s="177"/>
      <c r="H16" s="177"/>
      <c r="I16" s="220"/>
      <c r="J16" s="221"/>
      <c r="K16" s="191"/>
    </row>
    <row r="17" spans="4:11" x14ac:dyDescent="0.25">
      <c r="D17" s="227"/>
      <c r="E17" s="228"/>
      <c r="F17" s="229"/>
      <c r="G17" s="178"/>
      <c r="H17" s="178"/>
      <c r="I17" s="222"/>
      <c r="J17" s="223"/>
      <c r="K17" s="191"/>
    </row>
    <row r="18" spans="4:11" x14ac:dyDescent="0.25">
      <c r="D18" s="224"/>
      <c r="E18" s="225"/>
      <c r="F18" s="226"/>
      <c r="G18" s="177"/>
      <c r="H18" s="177"/>
      <c r="I18" s="220"/>
      <c r="J18" s="221"/>
      <c r="K18" s="191"/>
    </row>
    <row r="19" spans="4:11" x14ac:dyDescent="0.25">
      <c r="D19" s="227"/>
      <c r="E19" s="228"/>
      <c r="F19" s="229"/>
      <c r="G19" s="178"/>
      <c r="H19" s="178"/>
      <c r="I19" s="222"/>
      <c r="J19" s="223"/>
      <c r="K19" s="191"/>
    </row>
    <row r="20" spans="4:11" x14ac:dyDescent="0.25">
      <c r="D20" s="224"/>
      <c r="E20" s="225"/>
      <c r="F20" s="226"/>
      <c r="G20" s="177"/>
      <c r="H20" s="177"/>
      <c r="I20" s="220"/>
      <c r="J20" s="221"/>
      <c r="K20" s="191"/>
    </row>
    <row r="21" spans="4:11" x14ac:dyDescent="0.25">
      <c r="D21" s="227"/>
      <c r="E21" s="228"/>
      <c r="F21" s="229"/>
      <c r="G21" s="178"/>
      <c r="H21" s="178"/>
      <c r="I21" s="222"/>
      <c r="J21" s="223"/>
      <c r="K21" s="191"/>
    </row>
    <row r="22" spans="4:11" x14ac:dyDescent="0.25">
      <c r="D22" s="224"/>
      <c r="E22" s="225"/>
      <c r="F22" s="226"/>
      <c r="G22" s="177"/>
      <c r="H22" s="177"/>
      <c r="I22" s="220"/>
      <c r="J22" s="221"/>
      <c r="K22" s="191"/>
    </row>
    <row r="23" spans="4:11" ht="15.75" thickBot="1" x14ac:dyDescent="0.3">
      <c r="D23" s="232"/>
      <c r="E23" s="233"/>
      <c r="F23" s="234"/>
      <c r="G23" s="179"/>
      <c r="H23" s="179"/>
      <c r="I23" s="230"/>
      <c r="J23" s="231"/>
      <c r="K23" s="191"/>
    </row>
    <row r="25" spans="4:11" ht="15.75" x14ac:dyDescent="0.25">
      <c r="G25" s="218">
        <f>SUM(G9:G23)</f>
        <v>0</v>
      </c>
      <c r="H25" s="218">
        <f>SUM(H9:H23)</f>
        <v>0</v>
      </c>
    </row>
    <row r="117" spans="4:10" ht="15.75" thickBot="1" x14ac:dyDescent="0.3"/>
    <row r="118" spans="4:10" ht="16.5" thickTop="1" thickBot="1" x14ac:dyDescent="0.3">
      <c r="D118" s="180"/>
      <c r="E118" s="181"/>
      <c r="F118" s="181"/>
      <c r="G118" s="181"/>
      <c r="H118" s="181"/>
      <c r="I118" s="181"/>
      <c r="J118" s="182"/>
    </row>
    <row r="119" spans="4:10" ht="15.75" thickTop="1" x14ac:dyDescent="0.25">
      <c r="D119" s="183"/>
      <c r="E119" s="184"/>
      <c r="F119" s="184"/>
      <c r="G119" s="184"/>
      <c r="H119" s="184"/>
      <c r="I119" s="184"/>
      <c r="J119" s="185"/>
    </row>
    <row r="120" spans="4:10" ht="15.75" thickBot="1" x14ac:dyDescent="0.3">
      <c r="D120" s="186"/>
      <c r="E120" s="187"/>
      <c r="F120" s="187"/>
      <c r="G120" s="187"/>
      <c r="H120" s="187"/>
      <c r="I120" s="187"/>
      <c r="J120" s="188"/>
    </row>
    <row r="121" spans="4:10" ht="16.5" thickTop="1" thickBot="1" x14ac:dyDescent="0.3">
      <c r="D121" s="186"/>
      <c r="E121" s="187"/>
      <c r="F121" s="187"/>
      <c r="G121" s="187"/>
      <c r="H121" s="187"/>
      <c r="I121" s="187"/>
      <c r="J121" s="188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89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45"/>
  <sheetViews>
    <sheetView tabSelected="1" workbookViewId="0">
      <pane ySplit="1" topLeftCell="A70" activePane="bottomLeft" state="frozen"/>
      <selection pane="bottomLeft" activeCell="A339" sqref="A339:B345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197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201" t="s">
        <v>224</v>
      </c>
      <c r="B1" s="201" t="s">
        <v>225</v>
      </c>
      <c r="C1" s="115" t="s">
        <v>143</v>
      </c>
      <c r="D1" s="200" t="s">
        <v>141</v>
      </c>
      <c r="E1" s="117" t="s">
        <v>140</v>
      </c>
      <c r="F1" s="116" t="s">
        <v>0</v>
      </c>
      <c r="G1" s="117" t="s">
        <v>181</v>
      </c>
      <c r="H1" s="137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>
        <f>DAY(D2)</f>
        <v>5</v>
      </c>
      <c r="B2" s="10">
        <f>MONTH(D2)</f>
        <v>10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>
        <f t="shared" ref="A3:A13" si="0">DAY(D3)</f>
        <v>5</v>
      </c>
      <c r="B3" s="10">
        <f t="shared" ref="B3:B13" si="1">MONTH(D3)</f>
        <v>10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38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>
        <f t="shared" si="0"/>
        <v>5</v>
      </c>
      <c r="B4" s="10">
        <f t="shared" si="1"/>
        <v>10</v>
      </c>
      <c r="C4" s="9">
        <v>1</v>
      </c>
      <c r="D4" s="18">
        <v>45204</v>
      </c>
      <c r="E4" s="26">
        <v>1</v>
      </c>
      <c r="F4" s="27"/>
      <c r="G4" s="102"/>
      <c r="H4" s="139" t="s">
        <v>145</v>
      </c>
      <c r="I4" s="131"/>
      <c r="J4" s="131"/>
      <c r="K4" s="132"/>
      <c r="L4" s="9">
        <f>ROW()</f>
        <v>4</v>
      </c>
    </row>
    <row r="5" spans="1:12" ht="15.75" thickBot="1" x14ac:dyDescent="0.3">
      <c r="A5" s="10">
        <f t="shared" si="0"/>
        <v>5</v>
      </c>
      <c r="B5" s="10">
        <f t="shared" si="1"/>
        <v>10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>
        <f t="shared" si="0"/>
        <v>5</v>
      </c>
      <c r="B6" s="10">
        <f t="shared" si="1"/>
        <v>10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>
        <f t="shared" si="0"/>
        <v>5</v>
      </c>
      <c r="B7" s="10">
        <f t="shared" si="1"/>
        <v>10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38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>
        <f t="shared" si="0"/>
        <v>5</v>
      </c>
      <c r="B8" s="10">
        <f t="shared" si="1"/>
        <v>10</v>
      </c>
      <c r="C8" s="9">
        <v>2</v>
      </c>
      <c r="D8" s="15">
        <v>45204</v>
      </c>
      <c r="E8" s="32"/>
      <c r="F8" s="33"/>
      <c r="G8" s="104"/>
      <c r="H8" s="139" t="s">
        <v>145</v>
      </c>
      <c r="I8" s="131"/>
      <c r="J8" s="131"/>
      <c r="K8" s="132"/>
      <c r="L8" s="9">
        <f>ROW()</f>
        <v>8</v>
      </c>
    </row>
    <row r="9" spans="1:12" ht="15.75" thickBot="1" x14ac:dyDescent="0.3">
      <c r="A9" s="10">
        <f t="shared" si="0"/>
        <v>5</v>
      </c>
      <c r="B9" s="10">
        <f t="shared" si="1"/>
        <v>10</v>
      </c>
      <c r="C9" s="9">
        <v>2</v>
      </c>
      <c r="D9" s="150">
        <v>45204</v>
      </c>
      <c r="E9" s="14"/>
      <c r="F9" s="34"/>
      <c r="G9" s="105"/>
      <c r="H9" s="140"/>
      <c r="I9" s="35"/>
      <c r="J9" s="35"/>
      <c r="K9" s="34"/>
      <c r="L9" s="9">
        <f>ROW()</f>
        <v>9</v>
      </c>
    </row>
    <row r="10" spans="1:12" x14ac:dyDescent="0.25">
      <c r="A10" s="10">
        <f t="shared" si="0"/>
        <v>5</v>
      </c>
      <c r="B10" s="10">
        <f t="shared" si="1"/>
        <v>10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>
        <f t="shared" si="0"/>
        <v>5</v>
      </c>
      <c r="B11" s="10">
        <f t="shared" si="1"/>
        <v>10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38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>
        <f t="shared" si="0"/>
        <v>5</v>
      </c>
      <c r="B12" s="10">
        <f t="shared" si="1"/>
        <v>10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39" t="s">
        <v>145</v>
      </c>
      <c r="I12" s="131"/>
      <c r="J12" s="131"/>
      <c r="K12" s="132"/>
      <c r="L12" s="9">
        <f>ROW()</f>
        <v>12</v>
      </c>
    </row>
    <row r="13" spans="1:12" ht="15.75" thickBot="1" x14ac:dyDescent="0.3">
      <c r="A13" s="10">
        <f t="shared" si="0"/>
        <v>5</v>
      </c>
      <c r="B13" s="10">
        <f t="shared" si="1"/>
        <v>10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>
        <f t="shared" ref="A14:A77" si="2">DAY(D14)</f>
        <v>4</v>
      </c>
      <c r="B14" s="10">
        <f t="shared" ref="B14:B77" si="3">MONTH(D14)</f>
        <v>10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>
        <f t="shared" si="2"/>
        <v>4</v>
      </c>
      <c r="B15" s="10">
        <f t="shared" si="3"/>
        <v>10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38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>
        <f t="shared" si="2"/>
        <v>4</v>
      </c>
      <c r="B16" s="10">
        <f t="shared" si="3"/>
        <v>10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38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>
        <f t="shared" si="2"/>
        <v>4</v>
      </c>
      <c r="B17" s="10">
        <f t="shared" si="3"/>
        <v>10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38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>
        <f t="shared" si="2"/>
        <v>4</v>
      </c>
      <c r="B18" s="10">
        <f t="shared" si="3"/>
        <v>10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38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>
        <f t="shared" si="2"/>
        <v>4</v>
      </c>
      <c r="B19" s="10">
        <f t="shared" si="3"/>
        <v>10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39" t="s">
        <v>147</v>
      </c>
      <c r="I19" s="131"/>
      <c r="J19" s="131"/>
      <c r="K19" s="132"/>
      <c r="L19" s="9">
        <f>ROW()</f>
        <v>19</v>
      </c>
    </row>
    <row r="20" spans="1:12" ht="15.75" thickBot="1" x14ac:dyDescent="0.3">
      <c r="A20" s="10">
        <f t="shared" si="2"/>
        <v>4</v>
      </c>
      <c r="B20" s="10">
        <f t="shared" si="3"/>
        <v>10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>
        <f t="shared" si="2"/>
        <v>5</v>
      </c>
      <c r="B21" s="10">
        <f t="shared" si="3"/>
        <v>10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>
        <f t="shared" si="2"/>
        <v>5</v>
      </c>
      <c r="B22" s="10">
        <f t="shared" si="3"/>
        <v>10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38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>
        <f t="shared" si="2"/>
        <v>5</v>
      </c>
      <c r="B23" s="10">
        <f t="shared" si="3"/>
        <v>10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38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>
        <f t="shared" si="2"/>
        <v>5</v>
      </c>
      <c r="B24" s="10">
        <f t="shared" si="3"/>
        <v>10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38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>
        <f t="shared" si="2"/>
        <v>5</v>
      </c>
      <c r="B25" s="10">
        <f t="shared" si="3"/>
        <v>10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38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>
        <f t="shared" si="2"/>
        <v>5</v>
      </c>
      <c r="B26" s="10">
        <f t="shared" si="3"/>
        <v>10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38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>
        <f t="shared" si="2"/>
        <v>5</v>
      </c>
      <c r="B27" s="10">
        <f t="shared" si="3"/>
        <v>10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38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>
        <f t="shared" si="2"/>
        <v>5</v>
      </c>
      <c r="B28" s="10">
        <f t="shared" si="3"/>
        <v>10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38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>
        <f t="shared" si="2"/>
        <v>5</v>
      </c>
      <c r="B29" s="10">
        <f t="shared" si="3"/>
        <v>10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39" t="s">
        <v>149</v>
      </c>
      <c r="I29" s="131"/>
      <c r="J29" s="131"/>
      <c r="K29" s="132"/>
      <c r="L29" s="9">
        <f>ROW()</f>
        <v>29</v>
      </c>
    </row>
    <row r="30" spans="1:12" ht="15.75" thickBot="1" x14ac:dyDescent="0.3">
      <c r="A30" s="10">
        <f t="shared" si="2"/>
        <v>5</v>
      </c>
      <c r="B30" s="10">
        <f t="shared" si="3"/>
        <v>10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1"/>
      <c r="I30" s="41"/>
      <c r="J30" s="41"/>
      <c r="K30" s="40"/>
      <c r="L30" s="9">
        <f>ROW()</f>
        <v>30</v>
      </c>
    </row>
    <row r="31" spans="1:12" x14ac:dyDescent="0.25">
      <c r="A31" s="10">
        <f t="shared" si="2"/>
        <v>5</v>
      </c>
      <c r="B31" s="10">
        <f t="shared" si="3"/>
        <v>10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>
        <f t="shared" si="2"/>
        <v>5</v>
      </c>
      <c r="B32" s="10">
        <f t="shared" si="3"/>
        <v>10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38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>
        <f t="shared" si="2"/>
        <v>5</v>
      </c>
      <c r="B33" s="10">
        <f t="shared" si="3"/>
        <v>10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38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>
        <f t="shared" si="2"/>
        <v>5</v>
      </c>
      <c r="B34" s="10">
        <f t="shared" si="3"/>
        <v>10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38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>
        <f t="shared" si="2"/>
        <v>5</v>
      </c>
      <c r="B35" s="10">
        <f t="shared" si="3"/>
        <v>10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38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>
        <f t="shared" si="2"/>
        <v>5</v>
      </c>
      <c r="B36" s="10">
        <f t="shared" si="3"/>
        <v>10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38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>
        <f t="shared" si="2"/>
        <v>5</v>
      </c>
      <c r="B37" s="10">
        <f t="shared" si="3"/>
        <v>10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38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>
        <f t="shared" si="2"/>
        <v>5</v>
      </c>
      <c r="B38" s="10">
        <f t="shared" si="3"/>
        <v>10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38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>
        <f t="shared" si="2"/>
        <v>5</v>
      </c>
      <c r="B39" s="10">
        <f t="shared" si="3"/>
        <v>10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39" t="s">
        <v>149</v>
      </c>
      <c r="I39" s="131"/>
      <c r="J39" s="131"/>
      <c r="K39" s="132"/>
      <c r="L39" s="9">
        <f>ROW()</f>
        <v>39</v>
      </c>
    </row>
    <row r="40" spans="1:12" ht="15.75" thickBot="1" x14ac:dyDescent="0.3">
      <c r="A40" s="10">
        <f t="shared" si="2"/>
        <v>5</v>
      </c>
      <c r="B40" s="10">
        <f t="shared" si="3"/>
        <v>10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>
        <f t="shared" si="2"/>
        <v>4</v>
      </c>
      <c r="B41" s="10">
        <f t="shared" si="3"/>
        <v>10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>
        <f t="shared" si="2"/>
        <v>4</v>
      </c>
      <c r="B42" s="10">
        <f t="shared" si="3"/>
        <v>10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38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>
        <f t="shared" si="2"/>
        <v>4</v>
      </c>
      <c r="B43" s="10">
        <f t="shared" si="3"/>
        <v>10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38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>
        <f t="shared" si="2"/>
        <v>4</v>
      </c>
      <c r="B44" s="10">
        <f t="shared" si="3"/>
        <v>10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38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>
        <f t="shared" si="2"/>
        <v>4</v>
      </c>
      <c r="B45" s="10">
        <f t="shared" si="3"/>
        <v>10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38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>
        <f t="shared" si="2"/>
        <v>4</v>
      </c>
      <c r="B46" s="10">
        <f t="shared" si="3"/>
        <v>10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38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>
        <f t="shared" si="2"/>
        <v>4</v>
      </c>
      <c r="B47" s="10">
        <f t="shared" si="3"/>
        <v>10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38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>
        <f t="shared" si="2"/>
        <v>4</v>
      </c>
      <c r="B48" s="10">
        <f t="shared" si="3"/>
        <v>10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38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>
        <f t="shared" si="2"/>
        <v>4</v>
      </c>
      <c r="B49" s="10">
        <f t="shared" si="3"/>
        <v>10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39" t="s">
        <v>151</v>
      </c>
      <c r="I49" s="131"/>
      <c r="J49" s="131"/>
      <c r="K49" s="132"/>
      <c r="L49" s="9">
        <f>ROW()</f>
        <v>49</v>
      </c>
    </row>
    <row r="50" spans="1:12" ht="15.75" thickBot="1" x14ac:dyDescent="0.3">
      <c r="A50" s="10">
        <f t="shared" si="2"/>
        <v>4</v>
      </c>
      <c r="B50" s="10">
        <f t="shared" si="3"/>
        <v>10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>
        <f t="shared" si="2"/>
        <v>5</v>
      </c>
      <c r="B51" s="10">
        <f t="shared" si="3"/>
        <v>10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>
        <f t="shared" si="2"/>
        <v>5</v>
      </c>
      <c r="B52" s="10">
        <f t="shared" si="3"/>
        <v>10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38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>
        <f t="shared" si="2"/>
        <v>5</v>
      </c>
      <c r="B53" s="10">
        <f t="shared" si="3"/>
        <v>10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38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>
        <f t="shared" si="2"/>
        <v>5</v>
      </c>
      <c r="B54" s="10">
        <f t="shared" si="3"/>
        <v>10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38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>
        <f t="shared" si="2"/>
        <v>5</v>
      </c>
      <c r="B55" s="10">
        <f t="shared" si="3"/>
        <v>10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38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>
        <f t="shared" si="2"/>
        <v>5</v>
      </c>
      <c r="B56" s="10">
        <f t="shared" si="3"/>
        <v>10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38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>
        <f t="shared" si="2"/>
        <v>5</v>
      </c>
      <c r="B57" s="10">
        <f t="shared" si="3"/>
        <v>10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38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>
        <f t="shared" si="2"/>
        <v>5</v>
      </c>
      <c r="B58" s="10">
        <f t="shared" si="3"/>
        <v>10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39" t="s">
        <v>153</v>
      </c>
      <c r="I58" s="131"/>
      <c r="J58" s="131"/>
      <c r="K58" s="132"/>
      <c r="L58" s="9">
        <f>ROW()</f>
        <v>58</v>
      </c>
    </row>
    <row r="59" spans="1:12" ht="15.75" thickBot="1" x14ac:dyDescent="0.3">
      <c r="A59" s="10">
        <f t="shared" si="2"/>
        <v>5</v>
      </c>
      <c r="B59" s="10">
        <f t="shared" si="3"/>
        <v>10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>
        <f t="shared" si="2"/>
        <v>6</v>
      </c>
      <c r="B60" s="10">
        <f t="shared" si="3"/>
        <v>10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>
        <f t="shared" si="2"/>
        <v>6</v>
      </c>
      <c r="B61" s="10">
        <f t="shared" si="3"/>
        <v>10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38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>
        <f t="shared" si="2"/>
        <v>6</v>
      </c>
      <c r="B62" s="10">
        <f t="shared" si="3"/>
        <v>10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39" t="s">
        <v>155</v>
      </c>
      <c r="I62" s="131"/>
      <c r="J62" s="131"/>
      <c r="K62" s="132"/>
      <c r="L62" s="9">
        <f>ROW()</f>
        <v>62</v>
      </c>
    </row>
    <row r="63" spans="1:12" ht="15.75" thickBot="1" x14ac:dyDescent="0.3">
      <c r="A63" s="10">
        <f t="shared" si="2"/>
        <v>6</v>
      </c>
      <c r="B63" s="10">
        <f t="shared" si="3"/>
        <v>10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>
        <f t="shared" si="2"/>
        <v>6</v>
      </c>
      <c r="B64" s="10">
        <f t="shared" si="3"/>
        <v>10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>
        <f t="shared" si="2"/>
        <v>6</v>
      </c>
      <c r="B65" s="10">
        <f t="shared" si="3"/>
        <v>10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38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>
        <f t="shared" si="2"/>
        <v>6</v>
      </c>
      <c r="B66" s="10">
        <f t="shared" si="3"/>
        <v>10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39" t="s">
        <v>149</v>
      </c>
      <c r="I66" s="131"/>
      <c r="J66" s="131"/>
      <c r="K66" s="132"/>
      <c r="L66" s="9">
        <f>ROW()</f>
        <v>66</v>
      </c>
    </row>
    <row r="67" spans="1:12" ht="15.75" thickBot="1" x14ac:dyDescent="0.3">
      <c r="A67" s="10">
        <f t="shared" si="2"/>
        <v>6</v>
      </c>
      <c r="B67" s="10">
        <f t="shared" si="3"/>
        <v>10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>
        <f t="shared" si="2"/>
        <v>6</v>
      </c>
      <c r="B68" s="10">
        <f t="shared" si="3"/>
        <v>10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>
        <f t="shared" si="2"/>
        <v>6</v>
      </c>
      <c r="B69" s="10">
        <f t="shared" si="3"/>
        <v>10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38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>
        <f t="shared" si="2"/>
        <v>6</v>
      </c>
      <c r="B70" s="10">
        <f t="shared" si="3"/>
        <v>10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39" t="s">
        <v>157</v>
      </c>
      <c r="I70" s="131"/>
      <c r="J70" s="131"/>
      <c r="K70" s="132"/>
      <c r="L70" s="9">
        <f>ROW()</f>
        <v>70</v>
      </c>
    </row>
    <row r="71" spans="1:12" ht="15.75" thickBot="1" x14ac:dyDescent="0.3">
      <c r="A71" s="10">
        <f t="shared" si="2"/>
        <v>6</v>
      </c>
      <c r="B71" s="10">
        <f t="shared" si="3"/>
        <v>10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>
        <f t="shared" si="2"/>
        <v>6</v>
      </c>
      <c r="B72" s="10">
        <f t="shared" si="3"/>
        <v>10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>
        <f t="shared" si="2"/>
        <v>6</v>
      </c>
      <c r="B73" s="10">
        <f t="shared" si="3"/>
        <v>10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38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>
        <f t="shared" si="2"/>
        <v>6</v>
      </c>
      <c r="B74" s="10">
        <f t="shared" si="3"/>
        <v>10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38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>
        <f t="shared" si="2"/>
        <v>6</v>
      </c>
      <c r="B75" s="10">
        <f t="shared" si="3"/>
        <v>10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38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>
        <f t="shared" si="2"/>
        <v>6</v>
      </c>
      <c r="B76" s="10">
        <f t="shared" si="3"/>
        <v>10</v>
      </c>
      <c r="C76" s="9">
        <v>12</v>
      </c>
      <c r="D76" s="15">
        <v>45205</v>
      </c>
      <c r="E76" s="36">
        <v>12</v>
      </c>
      <c r="F76" s="37"/>
      <c r="G76" s="104"/>
      <c r="H76" s="139" t="s">
        <v>159</v>
      </c>
      <c r="I76" s="131"/>
      <c r="J76" s="131"/>
      <c r="K76" s="132"/>
      <c r="L76" s="9">
        <f>ROW()</f>
        <v>76</v>
      </c>
    </row>
    <row r="77" spans="1:12" ht="15.75" thickBot="1" x14ac:dyDescent="0.3">
      <c r="A77" s="10">
        <f t="shared" si="2"/>
        <v>6</v>
      </c>
      <c r="B77" s="10">
        <f t="shared" si="3"/>
        <v>10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>
        <f t="shared" ref="A78:A141" si="4">DAY(D78)</f>
        <v>6</v>
      </c>
      <c r="B78" s="10">
        <f t="shared" ref="B78:B141" si="5">MONTH(D78)</f>
        <v>10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>
        <f t="shared" si="4"/>
        <v>6</v>
      </c>
      <c r="B79" s="10">
        <f t="shared" si="5"/>
        <v>10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38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>
        <f t="shared" si="4"/>
        <v>6</v>
      </c>
      <c r="B80" s="10">
        <f t="shared" si="5"/>
        <v>10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38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>
        <f t="shared" si="4"/>
        <v>6</v>
      </c>
      <c r="B81" s="10">
        <f t="shared" si="5"/>
        <v>10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38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>
        <f t="shared" si="4"/>
        <v>6</v>
      </c>
      <c r="B82" s="10">
        <f t="shared" si="5"/>
        <v>10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39" t="s">
        <v>160</v>
      </c>
      <c r="I82" s="131"/>
      <c r="J82" s="131"/>
      <c r="K82" s="132"/>
      <c r="L82" s="9">
        <f>ROW()</f>
        <v>82</v>
      </c>
    </row>
    <row r="83" spans="1:12" ht="15.75" thickBot="1" x14ac:dyDescent="0.3">
      <c r="A83" s="10">
        <f t="shared" si="4"/>
        <v>6</v>
      </c>
      <c r="B83" s="10">
        <f t="shared" si="5"/>
        <v>10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>
        <f t="shared" si="4"/>
        <v>5</v>
      </c>
      <c r="B84" s="10">
        <f t="shared" si="5"/>
        <v>10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>
        <f t="shared" si="4"/>
        <v>5</v>
      </c>
      <c r="B85" s="10">
        <f t="shared" si="5"/>
        <v>10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38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>
        <f t="shared" si="4"/>
        <v>5</v>
      </c>
      <c r="B86" s="10">
        <f t="shared" si="5"/>
        <v>10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38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>
        <f t="shared" si="4"/>
        <v>5</v>
      </c>
      <c r="B87" s="10">
        <f t="shared" si="5"/>
        <v>10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38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>
        <f t="shared" si="4"/>
        <v>5</v>
      </c>
      <c r="B88" s="10">
        <f t="shared" si="5"/>
        <v>10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38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>
        <f t="shared" si="4"/>
        <v>5</v>
      </c>
      <c r="B89" s="10">
        <f t="shared" si="5"/>
        <v>10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38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>
        <f t="shared" si="4"/>
        <v>5</v>
      </c>
      <c r="B90" s="10">
        <f t="shared" si="5"/>
        <v>10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38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>
        <f t="shared" si="4"/>
        <v>5</v>
      </c>
      <c r="B91" s="10">
        <f t="shared" si="5"/>
        <v>10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38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>
        <f t="shared" si="4"/>
        <v>5</v>
      </c>
      <c r="B92" s="10">
        <f t="shared" si="5"/>
        <v>10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39" t="s">
        <v>149</v>
      </c>
      <c r="I92" s="131"/>
      <c r="J92" s="131"/>
      <c r="K92" s="132"/>
      <c r="L92" s="9">
        <f>ROW()</f>
        <v>92</v>
      </c>
    </row>
    <row r="93" spans="1:12" ht="15.75" thickBot="1" x14ac:dyDescent="0.3">
      <c r="A93" s="10">
        <f t="shared" si="4"/>
        <v>5</v>
      </c>
      <c r="B93" s="10">
        <f t="shared" si="5"/>
        <v>10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>
        <f t="shared" si="4"/>
        <v>4</v>
      </c>
      <c r="B94" s="10">
        <f t="shared" si="5"/>
        <v>10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>
        <f t="shared" si="4"/>
        <v>4</v>
      </c>
      <c r="B95" s="10">
        <f t="shared" si="5"/>
        <v>10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38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>
        <f t="shared" si="4"/>
        <v>4</v>
      </c>
      <c r="B96" s="10">
        <f t="shared" si="5"/>
        <v>10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38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>
        <f t="shared" si="4"/>
        <v>4</v>
      </c>
      <c r="B97" s="10">
        <f t="shared" si="5"/>
        <v>10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38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>
        <f t="shared" si="4"/>
        <v>4</v>
      </c>
      <c r="B98" s="10">
        <f t="shared" si="5"/>
        <v>10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38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>
        <f t="shared" si="4"/>
        <v>4</v>
      </c>
      <c r="B99" s="10">
        <f t="shared" si="5"/>
        <v>10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38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>
        <f t="shared" si="4"/>
        <v>4</v>
      </c>
      <c r="B100" s="10">
        <f t="shared" si="5"/>
        <v>10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38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>
        <f t="shared" si="4"/>
        <v>4</v>
      </c>
      <c r="B101" s="10">
        <f t="shared" si="5"/>
        <v>10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38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>
        <f t="shared" si="4"/>
        <v>4</v>
      </c>
      <c r="B102" s="10">
        <f t="shared" si="5"/>
        <v>10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39" t="s">
        <v>149</v>
      </c>
      <c r="I102" s="131"/>
      <c r="J102" s="131"/>
      <c r="K102" s="132"/>
      <c r="L102" s="9">
        <f>ROW()</f>
        <v>102</v>
      </c>
    </row>
    <row r="103" spans="1:12" ht="15.75" thickBot="1" x14ac:dyDescent="0.3">
      <c r="A103" s="10">
        <f t="shared" si="4"/>
        <v>4</v>
      </c>
      <c r="B103" s="10">
        <f t="shared" si="5"/>
        <v>10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>
        <f t="shared" si="4"/>
        <v>6</v>
      </c>
      <c r="B104" s="10">
        <f t="shared" si="5"/>
        <v>10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>
        <f t="shared" si="4"/>
        <v>6</v>
      </c>
      <c r="B105" s="10">
        <f t="shared" si="5"/>
        <v>10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38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>
        <f t="shared" si="4"/>
        <v>6</v>
      </c>
      <c r="B106" s="10">
        <f t="shared" si="5"/>
        <v>10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39" t="s">
        <v>149</v>
      </c>
      <c r="I106" s="131"/>
      <c r="J106" s="131"/>
      <c r="K106" s="132"/>
      <c r="L106" s="9">
        <f>ROW()</f>
        <v>106</v>
      </c>
    </row>
    <row r="107" spans="1:12" ht="15.75" thickBot="1" x14ac:dyDescent="0.3">
      <c r="A107" s="10">
        <f t="shared" si="4"/>
        <v>6</v>
      </c>
      <c r="B107" s="10">
        <f t="shared" si="5"/>
        <v>10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>
        <f t="shared" si="4"/>
        <v>6</v>
      </c>
      <c r="B108" s="10">
        <f t="shared" si="5"/>
        <v>10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>
        <f t="shared" si="4"/>
        <v>6</v>
      </c>
      <c r="B109" s="10">
        <f t="shared" si="5"/>
        <v>10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38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>
        <f t="shared" si="4"/>
        <v>6</v>
      </c>
      <c r="B110" s="10">
        <f t="shared" si="5"/>
        <v>10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39" t="s">
        <v>149</v>
      </c>
      <c r="I110" s="131"/>
      <c r="J110" s="131"/>
      <c r="K110" s="132"/>
      <c r="L110" s="9">
        <f>ROW()</f>
        <v>110</v>
      </c>
    </row>
    <row r="111" spans="1:12" ht="15.75" thickBot="1" x14ac:dyDescent="0.3">
      <c r="A111" s="10">
        <f t="shared" si="4"/>
        <v>6</v>
      </c>
      <c r="B111" s="10">
        <f t="shared" si="5"/>
        <v>10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>
        <f t="shared" si="4"/>
        <v>1</v>
      </c>
      <c r="B112" s="10">
        <f t="shared" si="5"/>
        <v>1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>
        <f t="shared" si="4"/>
        <v>1</v>
      </c>
      <c r="B113" s="10">
        <f t="shared" si="5"/>
        <v>1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38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>
        <f t="shared" si="4"/>
        <v>1</v>
      </c>
      <c r="B114" s="10">
        <f t="shared" si="5"/>
        <v>1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38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>
        <f t="shared" si="4"/>
        <v>1</v>
      </c>
      <c r="B115" s="10">
        <f t="shared" si="5"/>
        <v>1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38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>
        <f t="shared" si="4"/>
        <v>1</v>
      </c>
      <c r="B116" s="10">
        <f t="shared" si="5"/>
        <v>1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39" t="s">
        <v>167</v>
      </c>
      <c r="I116" s="131"/>
      <c r="J116" s="131"/>
      <c r="K116" s="132"/>
      <c r="L116" s="9">
        <f>ROW()</f>
        <v>116</v>
      </c>
    </row>
    <row r="117" spans="1:12" ht="15.75" thickBot="1" x14ac:dyDescent="0.3">
      <c r="A117" s="10">
        <f t="shared" si="4"/>
        <v>1</v>
      </c>
      <c r="B117" s="10">
        <f t="shared" si="5"/>
        <v>1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>
        <f t="shared" si="4"/>
        <v>6</v>
      </c>
      <c r="B118" s="10">
        <f t="shared" si="5"/>
        <v>10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>
        <f t="shared" si="4"/>
        <v>6</v>
      </c>
      <c r="B119" s="10">
        <f t="shared" si="5"/>
        <v>10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38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>
        <f t="shared" si="4"/>
        <v>6</v>
      </c>
      <c r="B120" s="10">
        <f t="shared" si="5"/>
        <v>10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39" t="s">
        <v>167</v>
      </c>
      <c r="I120" s="131"/>
      <c r="J120" s="131"/>
      <c r="K120" s="132"/>
      <c r="L120" s="9">
        <f>ROW()</f>
        <v>120</v>
      </c>
    </row>
    <row r="121" spans="1:12" ht="15.75" thickBot="1" x14ac:dyDescent="0.3">
      <c r="A121" s="10">
        <f t="shared" si="4"/>
        <v>6</v>
      </c>
      <c r="B121" s="10">
        <f t="shared" si="5"/>
        <v>10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>
        <f t="shared" si="4"/>
        <v>14</v>
      </c>
      <c r="B122" s="10">
        <f t="shared" si="5"/>
        <v>10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>
        <f t="shared" si="4"/>
        <v>14</v>
      </c>
      <c r="B123" s="10">
        <f t="shared" si="5"/>
        <v>10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2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>
        <f t="shared" si="4"/>
        <v>14</v>
      </c>
      <c r="B124" s="10">
        <f t="shared" si="5"/>
        <v>10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39" t="s">
        <v>157</v>
      </c>
      <c r="I124" s="131"/>
      <c r="J124" s="131"/>
      <c r="K124" s="132"/>
      <c r="L124" s="9">
        <f>ROW()</f>
        <v>124</v>
      </c>
    </row>
    <row r="125" spans="1:12" ht="15.75" thickBot="1" x14ac:dyDescent="0.3">
      <c r="A125" s="10">
        <f t="shared" si="4"/>
        <v>14</v>
      </c>
      <c r="B125" s="10">
        <f t="shared" si="5"/>
        <v>10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>
        <f t="shared" si="4"/>
        <v>20</v>
      </c>
      <c r="B126" s="10">
        <f t="shared" si="5"/>
        <v>10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>
        <f t="shared" si="4"/>
        <v>20</v>
      </c>
      <c r="B127" s="10">
        <f t="shared" si="5"/>
        <v>10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2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>
        <f t="shared" si="4"/>
        <v>20</v>
      </c>
      <c r="B128" s="10">
        <f t="shared" si="5"/>
        <v>10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39" t="s">
        <v>168</v>
      </c>
      <c r="I128" s="131"/>
      <c r="J128" s="131"/>
      <c r="K128" s="132"/>
      <c r="L128" s="9">
        <f>ROW()</f>
        <v>128</v>
      </c>
    </row>
    <row r="129" spans="1:12" ht="15.75" thickBot="1" x14ac:dyDescent="0.3">
      <c r="A129" s="10">
        <f t="shared" si="4"/>
        <v>20</v>
      </c>
      <c r="B129" s="10">
        <f t="shared" si="5"/>
        <v>10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>
        <f t="shared" si="4"/>
        <v>31</v>
      </c>
      <c r="B130" s="10">
        <f t="shared" si="5"/>
        <v>10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>
        <f t="shared" si="4"/>
        <v>31</v>
      </c>
      <c r="B131" s="10">
        <f t="shared" si="5"/>
        <v>10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38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>
        <f t="shared" si="4"/>
        <v>31</v>
      </c>
      <c r="B132" s="10">
        <f t="shared" si="5"/>
        <v>10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39" t="s">
        <v>170</v>
      </c>
      <c r="I132" s="131"/>
      <c r="J132" s="131"/>
      <c r="K132" s="132"/>
      <c r="L132" s="9">
        <f>ROW()</f>
        <v>132</v>
      </c>
    </row>
    <row r="133" spans="1:12" ht="15.75" thickBot="1" x14ac:dyDescent="0.3">
      <c r="A133" s="10">
        <f t="shared" si="4"/>
        <v>31</v>
      </c>
      <c r="B133" s="10">
        <f t="shared" si="5"/>
        <v>10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>
        <f t="shared" si="4"/>
        <v>7</v>
      </c>
      <c r="B134" s="10">
        <f t="shared" si="5"/>
        <v>10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>
        <f t="shared" si="4"/>
        <v>7</v>
      </c>
      <c r="B135" s="10">
        <f t="shared" si="5"/>
        <v>10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2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>
        <f t="shared" si="4"/>
        <v>7</v>
      </c>
      <c r="B136" s="10">
        <f t="shared" si="5"/>
        <v>10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2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>
        <f t="shared" si="4"/>
        <v>7</v>
      </c>
      <c r="B137" s="10">
        <f t="shared" si="5"/>
        <v>10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2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>
        <f t="shared" si="4"/>
        <v>7</v>
      </c>
      <c r="B138" s="10">
        <f t="shared" si="5"/>
        <v>10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39" t="s">
        <v>173</v>
      </c>
      <c r="I138" s="131"/>
      <c r="J138" s="131"/>
      <c r="K138" s="132"/>
      <c r="L138" s="9">
        <f>ROW()</f>
        <v>138</v>
      </c>
    </row>
    <row r="139" spans="1:12" ht="15.75" thickBot="1" x14ac:dyDescent="0.3">
      <c r="A139" s="10">
        <f t="shared" si="4"/>
        <v>7</v>
      </c>
      <c r="B139" s="10">
        <f t="shared" si="5"/>
        <v>10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>
        <f t="shared" si="4"/>
        <v>10</v>
      </c>
      <c r="B140" s="10">
        <f t="shared" si="5"/>
        <v>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>
        <f t="shared" si="4"/>
        <v>10</v>
      </c>
      <c r="B141" s="10">
        <f t="shared" si="5"/>
        <v>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2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>
        <f t="shared" ref="A142:A205" si="6">DAY(D142)</f>
        <v>10</v>
      </c>
      <c r="B142" s="10">
        <f t="shared" ref="B142:B205" si="7">MONTH(D142)</f>
        <v>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39" t="s">
        <v>174</v>
      </c>
      <c r="I142" s="131"/>
      <c r="J142" s="131"/>
      <c r="K142" s="132"/>
      <c r="L142" s="9">
        <f>ROW()</f>
        <v>142</v>
      </c>
    </row>
    <row r="143" spans="1:12" ht="15.75" thickBot="1" x14ac:dyDescent="0.3">
      <c r="A143" s="10">
        <f t="shared" si="6"/>
        <v>10</v>
      </c>
      <c r="B143" s="10">
        <f t="shared" si="7"/>
        <v>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>
        <f t="shared" si="6"/>
        <v>31</v>
      </c>
      <c r="B144" s="10">
        <f t="shared" si="7"/>
        <v>10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>
        <f t="shared" si="6"/>
        <v>31</v>
      </c>
      <c r="B145" s="10">
        <f t="shared" si="7"/>
        <v>10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2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>
        <f t="shared" si="6"/>
        <v>31</v>
      </c>
      <c r="B146" s="10">
        <f t="shared" si="7"/>
        <v>10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39" t="s">
        <v>176</v>
      </c>
      <c r="I146" s="131"/>
      <c r="J146" s="131"/>
      <c r="K146" s="132"/>
      <c r="L146" s="9">
        <f>ROW()</f>
        <v>146</v>
      </c>
    </row>
    <row r="147" spans="1:12" ht="15.75" thickBot="1" x14ac:dyDescent="0.3">
      <c r="A147" s="10">
        <f t="shared" si="6"/>
        <v>31</v>
      </c>
      <c r="B147" s="10">
        <f t="shared" si="7"/>
        <v>10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>
        <f t="shared" si="6"/>
        <v>10</v>
      </c>
      <c r="B148" s="10">
        <f t="shared" si="7"/>
        <v>5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>
        <f t="shared" si="6"/>
        <v>10</v>
      </c>
      <c r="B149" s="10">
        <f t="shared" si="7"/>
        <v>5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2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>
        <f t="shared" si="6"/>
        <v>10</v>
      </c>
      <c r="B150" s="10">
        <f t="shared" si="7"/>
        <v>5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39" t="s">
        <v>177</v>
      </c>
      <c r="I150" s="131"/>
      <c r="J150" s="131"/>
      <c r="K150" s="132"/>
      <c r="L150" s="9">
        <f>ROW()</f>
        <v>150</v>
      </c>
    </row>
    <row r="151" spans="1:12" ht="15.75" thickBot="1" x14ac:dyDescent="0.3">
      <c r="A151" s="10">
        <f t="shared" si="6"/>
        <v>10</v>
      </c>
      <c r="B151" s="10">
        <f t="shared" si="7"/>
        <v>5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>
        <f t="shared" si="6"/>
        <v>10</v>
      </c>
      <c r="B152" s="10">
        <f t="shared" si="7"/>
        <v>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>
        <f t="shared" si="6"/>
        <v>10</v>
      </c>
      <c r="B153" s="10">
        <f t="shared" si="7"/>
        <v>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38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>
        <f t="shared" si="6"/>
        <v>10</v>
      </c>
      <c r="B154" s="10">
        <f t="shared" si="7"/>
        <v>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39" t="s">
        <v>177</v>
      </c>
      <c r="I154" s="131"/>
      <c r="J154" s="131"/>
      <c r="K154" s="132"/>
      <c r="L154" s="9">
        <f>ROW()</f>
        <v>154</v>
      </c>
    </row>
    <row r="155" spans="1:12" ht="15.75" thickBot="1" x14ac:dyDescent="0.3">
      <c r="A155" s="10">
        <f t="shared" si="6"/>
        <v>10</v>
      </c>
      <c r="B155" s="10">
        <f t="shared" si="7"/>
        <v>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>
        <f t="shared" si="6"/>
        <v>29</v>
      </c>
      <c r="B156" s="10">
        <f t="shared" si="7"/>
        <v>9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>
        <f t="shared" si="6"/>
        <v>29</v>
      </c>
      <c r="B157" s="10">
        <f t="shared" si="7"/>
        <v>9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38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>
        <f t="shared" si="6"/>
        <v>29</v>
      </c>
      <c r="B158" s="10">
        <f t="shared" si="7"/>
        <v>9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39" t="s">
        <v>179</v>
      </c>
      <c r="I158" s="131"/>
      <c r="J158" s="131"/>
      <c r="K158" s="132"/>
      <c r="L158" s="9">
        <f>ROW()</f>
        <v>158</v>
      </c>
    </row>
    <row r="159" spans="1:12" ht="15.75" thickBot="1" x14ac:dyDescent="0.3">
      <c r="A159" s="10">
        <f t="shared" si="6"/>
        <v>29</v>
      </c>
      <c r="B159" s="10">
        <f t="shared" si="7"/>
        <v>9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>
        <f t="shared" si="6"/>
        <v>10</v>
      </c>
      <c r="B160" s="10">
        <f t="shared" si="7"/>
        <v>6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>
        <f t="shared" si="6"/>
        <v>10</v>
      </c>
      <c r="B161" s="10">
        <f t="shared" si="7"/>
        <v>6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3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>
        <f t="shared" si="6"/>
        <v>10</v>
      </c>
      <c r="B162" s="10">
        <f t="shared" si="7"/>
        <v>6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3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>
        <f t="shared" si="6"/>
        <v>10</v>
      </c>
      <c r="B163" s="10">
        <f t="shared" si="7"/>
        <v>6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3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>
        <f t="shared" si="6"/>
        <v>10</v>
      </c>
      <c r="B164" s="10">
        <f t="shared" si="7"/>
        <v>6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3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>
        <f t="shared" si="6"/>
        <v>10</v>
      </c>
      <c r="B165" s="10">
        <f t="shared" si="7"/>
        <v>6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3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>
        <f t="shared" si="6"/>
        <v>10</v>
      </c>
      <c r="B166" s="10">
        <f t="shared" si="7"/>
        <v>6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3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>
        <f t="shared" si="6"/>
        <v>10</v>
      </c>
      <c r="B167" s="10">
        <f t="shared" si="7"/>
        <v>6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3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>
        <f t="shared" si="6"/>
        <v>10</v>
      </c>
      <c r="B168" s="10">
        <f t="shared" si="7"/>
        <v>6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39" t="s">
        <v>149</v>
      </c>
      <c r="I168" s="131"/>
      <c r="J168" s="131"/>
      <c r="K168" s="132"/>
      <c r="L168" s="9">
        <f>ROW()</f>
        <v>168</v>
      </c>
    </row>
    <row r="169" spans="1:12" ht="15.75" thickBot="1" x14ac:dyDescent="0.3">
      <c r="A169" s="10">
        <f t="shared" si="6"/>
        <v>10</v>
      </c>
      <c r="B169" s="10">
        <f t="shared" si="7"/>
        <v>6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0"/>
      <c r="I169" s="99"/>
      <c r="J169" s="99"/>
      <c r="K169" s="98"/>
      <c r="L169" s="9">
        <f>ROW()</f>
        <v>169</v>
      </c>
    </row>
    <row r="170" spans="1:12" ht="15.75" thickBot="1" x14ac:dyDescent="0.3">
      <c r="A170" s="10">
        <f t="shared" si="6"/>
        <v>9</v>
      </c>
      <c r="B170" s="10">
        <f t="shared" si="7"/>
        <v>10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>
        <f t="shared" si="6"/>
        <v>9</v>
      </c>
      <c r="B171" s="10">
        <f t="shared" si="7"/>
        <v>10</v>
      </c>
      <c r="C171" s="9">
        <v>30</v>
      </c>
      <c r="D171" s="162">
        <v>45208</v>
      </c>
      <c r="E171" s="66">
        <v>30</v>
      </c>
      <c r="F171" s="67" t="s">
        <v>185</v>
      </c>
      <c r="G171" s="112" t="s">
        <v>87</v>
      </c>
      <c r="H171" s="143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>
        <f t="shared" si="6"/>
        <v>9</v>
      </c>
      <c r="B172" s="10">
        <f t="shared" si="7"/>
        <v>10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3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>
        <f t="shared" si="6"/>
        <v>9</v>
      </c>
      <c r="B173" s="10">
        <f t="shared" si="7"/>
        <v>10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3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>
        <f t="shared" si="6"/>
        <v>9</v>
      </c>
      <c r="B174" s="10">
        <f t="shared" si="7"/>
        <v>10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3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>
        <f t="shared" si="6"/>
        <v>9</v>
      </c>
      <c r="B175" s="10">
        <f t="shared" si="7"/>
        <v>10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3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>
        <f t="shared" si="6"/>
        <v>9</v>
      </c>
      <c r="B176" s="10">
        <f t="shared" si="7"/>
        <v>10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3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>
        <f t="shared" si="6"/>
        <v>9</v>
      </c>
      <c r="B177" s="10">
        <f t="shared" si="7"/>
        <v>10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3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>
        <f t="shared" si="6"/>
        <v>9</v>
      </c>
      <c r="B178" s="10">
        <f t="shared" si="7"/>
        <v>10</v>
      </c>
      <c r="C178" s="9">
        <v>30</v>
      </c>
      <c r="D178" s="163">
        <v>45208</v>
      </c>
      <c r="E178" s="133">
        <v>30</v>
      </c>
      <c r="F178" s="134" t="s">
        <v>185</v>
      </c>
      <c r="G178" s="113"/>
      <c r="H178" s="144" t="s">
        <v>149</v>
      </c>
      <c r="I178" s="135"/>
      <c r="J178" s="135"/>
      <c r="K178" s="136"/>
      <c r="L178" s="9">
        <f>ROW()</f>
        <v>178</v>
      </c>
    </row>
    <row r="179" spans="1:12" ht="15.75" thickBot="1" x14ac:dyDescent="0.3">
      <c r="A179" s="10">
        <f t="shared" si="6"/>
        <v>9</v>
      </c>
      <c r="B179" s="10">
        <f t="shared" si="7"/>
        <v>10</v>
      </c>
      <c r="C179" s="9">
        <v>30</v>
      </c>
      <c r="D179" s="164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>
        <f t="shared" si="6"/>
        <v>12</v>
      </c>
      <c r="B180" s="10">
        <f t="shared" si="7"/>
        <v>10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46" t="s">
        <v>127</v>
      </c>
      <c r="I180" s="84">
        <v>15.91</v>
      </c>
      <c r="J180" s="84"/>
      <c r="K180" s="147"/>
      <c r="L180" s="9">
        <f>ROW()</f>
        <v>180</v>
      </c>
    </row>
    <row r="181" spans="1:12" x14ac:dyDescent="0.25">
      <c r="A181" s="10">
        <f t="shared" si="6"/>
        <v>12</v>
      </c>
      <c r="B181" s="10">
        <f t="shared" si="7"/>
        <v>10</v>
      </c>
      <c r="C181" s="9">
        <v>31</v>
      </c>
      <c r="D181" s="163">
        <v>45211</v>
      </c>
      <c r="E181" s="66">
        <v>31</v>
      </c>
      <c r="F181" s="67" t="s">
        <v>186</v>
      </c>
      <c r="G181" s="112" t="s">
        <v>12</v>
      </c>
      <c r="H181" s="148" t="s">
        <v>13</v>
      </c>
      <c r="I181" s="87"/>
      <c r="J181" s="87">
        <v>15.91</v>
      </c>
      <c r="K181" s="149"/>
      <c r="L181" s="9">
        <f>ROW()</f>
        <v>181</v>
      </c>
    </row>
    <row r="182" spans="1:12" ht="15.75" thickBot="1" x14ac:dyDescent="0.3">
      <c r="A182" s="10">
        <f t="shared" si="6"/>
        <v>12</v>
      </c>
      <c r="B182" s="10">
        <f t="shared" si="7"/>
        <v>10</v>
      </c>
      <c r="C182" s="9">
        <v>31</v>
      </c>
      <c r="D182" s="163">
        <v>45211</v>
      </c>
      <c r="E182" s="133">
        <v>31</v>
      </c>
      <c r="F182" s="134" t="s">
        <v>186</v>
      </c>
      <c r="G182" s="113"/>
      <c r="H182" s="144" t="s">
        <v>187</v>
      </c>
      <c r="I182" s="135"/>
      <c r="J182" s="135"/>
      <c r="K182" s="136"/>
      <c r="L182" s="9">
        <f>ROW()</f>
        <v>182</v>
      </c>
    </row>
    <row r="183" spans="1:12" ht="15.75" thickBot="1" x14ac:dyDescent="0.3">
      <c r="A183" s="10">
        <f t="shared" si="6"/>
        <v>12</v>
      </c>
      <c r="B183" s="10">
        <f t="shared" si="7"/>
        <v>10</v>
      </c>
      <c r="C183" s="9">
        <v>31</v>
      </c>
      <c r="D183" s="95">
        <v>45211</v>
      </c>
      <c r="E183" s="79">
        <v>31</v>
      </c>
      <c r="F183" s="80" t="s">
        <v>186</v>
      </c>
      <c r="H183" s="145"/>
      <c r="K183" s="28"/>
      <c r="L183" s="9">
        <f>ROW()</f>
        <v>183</v>
      </c>
    </row>
    <row r="184" spans="1:12" x14ac:dyDescent="0.25">
      <c r="A184" s="10">
        <f t="shared" si="6"/>
        <v>11</v>
      </c>
      <c r="B184" s="10">
        <f t="shared" si="7"/>
        <v>10</v>
      </c>
      <c r="C184" s="9">
        <v>32</v>
      </c>
      <c r="D184" s="153">
        <v>45210</v>
      </c>
      <c r="E184" s="154">
        <v>32</v>
      </c>
      <c r="F184" s="130" t="s">
        <v>172</v>
      </c>
      <c r="G184" s="114" t="s">
        <v>126</v>
      </c>
      <c r="H184" s="130" t="s">
        <v>127</v>
      </c>
      <c r="I184" s="99">
        <v>24.99</v>
      </c>
      <c r="J184" s="99"/>
      <c r="K184" s="155"/>
      <c r="L184" s="9">
        <f>ROW()</f>
        <v>184</v>
      </c>
    </row>
    <row r="185" spans="1:12" x14ac:dyDescent="0.25">
      <c r="A185" s="10">
        <f t="shared" si="6"/>
        <v>11</v>
      </c>
      <c r="B185" s="10">
        <f t="shared" si="7"/>
        <v>10</v>
      </c>
      <c r="C185" s="9">
        <v>32</v>
      </c>
      <c r="D185" s="156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57"/>
      <c r="L185" s="9">
        <f>ROW()</f>
        <v>185</v>
      </c>
    </row>
    <row r="186" spans="1:12" ht="15.75" thickBot="1" x14ac:dyDescent="0.3">
      <c r="A186" s="10">
        <f t="shared" si="6"/>
        <v>11</v>
      </c>
      <c r="B186" s="10">
        <f t="shared" si="7"/>
        <v>10</v>
      </c>
      <c r="C186" s="9">
        <v>32</v>
      </c>
      <c r="D186" s="158">
        <v>45210</v>
      </c>
      <c r="E186" s="159">
        <v>32</v>
      </c>
      <c r="F186" s="160" t="s">
        <v>172</v>
      </c>
      <c r="G186" s="161"/>
      <c r="H186" s="144" t="s">
        <v>188</v>
      </c>
      <c r="I186" s="135"/>
      <c r="J186" s="135"/>
      <c r="K186" s="136"/>
      <c r="L186" s="9">
        <f>ROW()</f>
        <v>186</v>
      </c>
    </row>
    <row r="187" spans="1:12" ht="15.75" thickBot="1" x14ac:dyDescent="0.3">
      <c r="A187" s="10">
        <f t="shared" si="6"/>
        <v>11</v>
      </c>
      <c r="B187" s="10">
        <f t="shared" si="7"/>
        <v>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>
        <f t="shared" si="6"/>
        <v>14</v>
      </c>
      <c r="B188" s="10">
        <f t="shared" si="7"/>
        <v>10</v>
      </c>
      <c r="C188" s="9">
        <v>33</v>
      </c>
      <c r="D188" s="153">
        <v>45213</v>
      </c>
      <c r="E188" s="154">
        <v>33</v>
      </c>
      <c r="F188" s="130" t="s">
        <v>189</v>
      </c>
      <c r="G188" s="114" t="s">
        <v>12</v>
      </c>
      <c r="H188" s="130" t="s">
        <v>13</v>
      </c>
      <c r="I188" s="99">
        <v>5000</v>
      </c>
      <c r="J188" s="99"/>
      <c r="K188" s="155"/>
      <c r="L188" s="9">
        <f>ROW()</f>
        <v>188</v>
      </c>
    </row>
    <row r="189" spans="1:12" x14ac:dyDescent="0.25">
      <c r="A189" s="10">
        <f t="shared" si="6"/>
        <v>14</v>
      </c>
      <c r="B189" s="10">
        <f t="shared" si="7"/>
        <v>10</v>
      </c>
      <c r="C189" s="9">
        <v>33</v>
      </c>
      <c r="D189" s="156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57" t="s">
        <v>190</v>
      </c>
      <c r="L189" s="9">
        <f>ROW()</f>
        <v>189</v>
      </c>
    </row>
    <row r="190" spans="1:12" ht="15.75" thickBot="1" x14ac:dyDescent="0.3">
      <c r="A190" s="10">
        <f t="shared" si="6"/>
        <v>14</v>
      </c>
      <c r="B190" s="10">
        <f t="shared" si="7"/>
        <v>10</v>
      </c>
      <c r="C190" s="9">
        <v>33</v>
      </c>
      <c r="D190" s="158">
        <v>45213</v>
      </c>
      <c r="E190" s="159">
        <v>33</v>
      </c>
      <c r="F190" s="160" t="s">
        <v>189</v>
      </c>
      <c r="G190" s="161"/>
      <c r="H190" s="165" t="s">
        <v>191</v>
      </c>
      <c r="I190" s="166"/>
      <c r="J190" s="166"/>
      <c r="K190" s="167"/>
      <c r="L190" s="9">
        <f>ROW()</f>
        <v>190</v>
      </c>
    </row>
    <row r="191" spans="1:12" ht="15.75" thickBot="1" x14ac:dyDescent="0.3">
      <c r="A191" s="10">
        <f t="shared" si="6"/>
        <v>14</v>
      </c>
      <c r="B191" s="10">
        <f t="shared" si="7"/>
        <v>10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>
        <f t="shared" si="6"/>
        <v>14</v>
      </c>
      <c r="B192" s="10">
        <f t="shared" si="7"/>
        <v>10</v>
      </c>
      <c r="C192" s="9">
        <v>34</v>
      </c>
      <c r="D192" s="153">
        <v>45213</v>
      </c>
      <c r="E192" s="154">
        <v>34</v>
      </c>
      <c r="F192" s="130" t="s">
        <v>172</v>
      </c>
      <c r="G192" s="114" t="s">
        <v>12</v>
      </c>
      <c r="H192" s="130" t="s">
        <v>13</v>
      </c>
      <c r="I192" s="99">
        <v>2000</v>
      </c>
      <c r="J192" s="99"/>
      <c r="K192" s="155"/>
      <c r="L192" s="9">
        <f>ROW()</f>
        <v>192</v>
      </c>
    </row>
    <row r="193" spans="1:12" x14ac:dyDescent="0.25">
      <c r="A193" s="10">
        <f t="shared" si="6"/>
        <v>14</v>
      </c>
      <c r="B193" s="10">
        <f t="shared" si="7"/>
        <v>10</v>
      </c>
      <c r="C193" s="9">
        <v>34</v>
      </c>
      <c r="D193" s="156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57"/>
      <c r="L193" s="9">
        <f>ROW()</f>
        <v>193</v>
      </c>
    </row>
    <row r="194" spans="1:12" ht="15.75" thickBot="1" x14ac:dyDescent="0.3">
      <c r="A194" s="10">
        <f t="shared" si="6"/>
        <v>14</v>
      </c>
      <c r="B194" s="10">
        <f t="shared" si="7"/>
        <v>10</v>
      </c>
      <c r="C194" s="9">
        <v>34</v>
      </c>
      <c r="D194" s="158">
        <v>45213</v>
      </c>
      <c r="E194" s="159">
        <v>34</v>
      </c>
      <c r="F194" s="160" t="s">
        <v>172</v>
      </c>
      <c r="G194" s="161"/>
      <c r="H194" s="165" t="s">
        <v>172</v>
      </c>
      <c r="I194" s="166"/>
      <c r="J194" s="166"/>
      <c r="K194" s="167"/>
      <c r="L194" s="9">
        <f>ROW()</f>
        <v>194</v>
      </c>
    </row>
    <row r="195" spans="1:12" ht="15.75" thickBot="1" x14ac:dyDescent="0.3">
      <c r="A195" s="10">
        <f t="shared" si="6"/>
        <v>14</v>
      </c>
      <c r="B195" s="10">
        <f t="shared" si="7"/>
        <v>10</v>
      </c>
      <c r="C195" s="9">
        <v>34</v>
      </c>
      <c r="D195" s="202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>
        <f t="shared" si="6"/>
        <v>13</v>
      </c>
      <c r="B196" s="10">
        <f t="shared" si="7"/>
        <v>10</v>
      </c>
      <c r="C196" s="9">
        <v>35</v>
      </c>
      <c r="D196" s="153">
        <v>45212</v>
      </c>
      <c r="E196" s="154">
        <v>35</v>
      </c>
      <c r="F196" s="130" t="s">
        <v>172</v>
      </c>
      <c r="G196" s="114" t="s">
        <v>12</v>
      </c>
      <c r="H196" s="130" t="s">
        <v>13</v>
      </c>
      <c r="I196" s="99">
        <v>25.99</v>
      </c>
      <c r="J196" s="99"/>
      <c r="K196" s="155"/>
      <c r="L196" s="9">
        <f>ROW()</f>
        <v>196</v>
      </c>
    </row>
    <row r="197" spans="1:12" x14ac:dyDescent="0.25">
      <c r="A197" s="10">
        <f t="shared" si="6"/>
        <v>13</v>
      </c>
      <c r="B197" s="10">
        <f t="shared" si="7"/>
        <v>10</v>
      </c>
      <c r="C197" s="9">
        <v>35</v>
      </c>
      <c r="D197" s="156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57"/>
      <c r="L197" s="9">
        <f>ROW()</f>
        <v>197</v>
      </c>
    </row>
    <row r="198" spans="1:12" ht="15.75" thickBot="1" x14ac:dyDescent="0.3">
      <c r="A198" s="10">
        <f t="shared" si="6"/>
        <v>13</v>
      </c>
      <c r="B198" s="10">
        <f t="shared" si="7"/>
        <v>10</v>
      </c>
      <c r="C198" s="9">
        <v>35</v>
      </c>
      <c r="D198" s="158">
        <v>45212</v>
      </c>
      <c r="E198" s="159">
        <v>35</v>
      </c>
      <c r="F198" s="160" t="s">
        <v>172</v>
      </c>
      <c r="G198" s="161"/>
      <c r="H198" s="165" t="s">
        <v>192</v>
      </c>
      <c r="I198" s="166"/>
      <c r="J198" s="166"/>
      <c r="K198" s="167"/>
      <c r="L198" s="9">
        <f>ROW()</f>
        <v>198</v>
      </c>
    </row>
    <row r="199" spans="1:12" ht="15.75" thickBot="1" x14ac:dyDescent="0.3">
      <c r="A199" s="10">
        <f t="shared" si="6"/>
        <v>13</v>
      </c>
      <c r="B199" s="10">
        <f t="shared" si="7"/>
        <v>10</v>
      </c>
      <c r="C199" s="9">
        <v>35</v>
      </c>
      <c r="D199" s="202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>
        <f t="shared" si="6"/>
        <v>14</v>
      </c>
      <c r="B200" s="10">
        <f t="shared" si="7"/>
        <v>10</v>
      </c>
      <c r="C200" s="9">
        <v>36</v>
      </c>
      <c r="D200" s="153">
        <v>45213</v>
      </c>
      <c r="E200" s="154">
        <v>36</v>
      </c>
      <c r="F200" s="130"/>
      <c r="G200" s="114">
        <v>1000</v>
      </c>
      <c r="H200" s="130" t="s">
        <v>13</v>
      </c>
      <c r="I200" s="99">
        <v>1</v>
      </c>
      <c r="J200" s="99"/>
      <c r="K200" s="155"/>
      <c r="L200" s="9">
        <f>ROW()</f>
        <v>200</v>
      </c>
    </row>
    <row r="201" spans="1:12" x14ac:dyDescent="0.25">
      <c r="A201" s="10">
        <f t="shared" si="6"/>
        <v>14</v>
      </c>
      <c r="B201" s="10">
        <f t="shared" si="7"/>
        <v>10</v>
      </c>
      <c r="C201" s="9">
        <v>36</v>
      </c>
      <c r="D201" s="156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57"/>
      <c r="L201" s="9">
        <f>ROW()</f>
        <v>201</v>
      </c>
    </row>
    <row r="202" spans="1:12" ht="15.75" thickBot="1" x14ac:dyDescent="0.3">
      <c r="A202" s="10">
        <f t="shared" si="6"/>
        <v>14</v>
      </c>
      <c r="B202" s="10">
        <f t="shared" si="7"/>
        <v>10</v>
      </c>
      <c r="C202" s="9">
        <v>36</v>
      </c>
      <c r="D202" s="158">
        <v>45213</v>
      </c>
      <c r="E202" s="159">
        <v>36</v>
      </c>
      <c r="F202" s="160"/>
      <c r="G202" s="161"/>
      <c r="H202" s="165" t="s">
        <v>193</v>
      </c>
      <c r="I202" s="166"/>
      <c r="J202" s="166"/>
      <c r="K202" s="167"/>
      <c r="L202" s="9">
        <f>ROW()</f>
        <v>202</v>
      </c>
    </row>
    <row r="203" spans="1:12" ht="15.75" thickBot="1" x14ac:dyDescent="0.3">
      <c r="A203" s="10">
        <f t="shared" si="6"/>
        <v>14</v>
      </c>
      <c r="B203" s="10">
        <f t="shared" si="7"/>
        <v>10</v>
      </c>
      <c r="C203" s="9">
        <v>36</v>
      </c>
      <c r="D203" s="202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>
        <f t="shared" si="6"/>
        <v>13</v>
      </c>
      <c r="B204" s="10">
        <f t="shared" si="7"/>
        <v>10</v>
      </c>
      <c r="C204" s="9">
        <v>37</v>
      </c>
      <c r="D204" s="153">
        <v>45212</v>
      </c>
      <c r="E204" s="154">
        <v>37</v>
      </c>
      <c r="F204" s="130" t="s">
        <v>194</v>
      </c>
      <c r="G204" s="114">
        <v>1000</v>
      </c>
      <c r="H204" s="130" t="s">
        <v>13</v>
      </c>
      <c r="I204" s="99">
        <v>25000</v>
      </c>
      <c r="J204" s="99"/>
      <c r="K204" s="155"/>
      <c r="L204" s="9">
        <f>ROW()</f>
        <v>204</v>
      </c>
    </row>
    <row r="205" spans="1:12" x14ac:dyDescent="0.25">
      <c r="A205" s="10">
        <f t="shared" si="6"/>
        <v>13</v>
      </c>
      <c r="B205" s="10">
        <f t="shared" si="7"/>
        <v>10</v>
      </c>
      <c r="C205" s="9">
        <v>37</v>
      </c>
      <c r="D205" s="156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57"/>
      <c r="L205" s="9">
        <f>ROW()</f>
        <v>205</v>
      </c>
    </row>
    <row r="206" spans="1:12" ht="15.75" thickBot="1" x14ac:dyDescent="0.3">
      <c r="A206" s="10">
        <f t="shared" ref="A206:A269" si="8">DAY(D206)</f>
        <v>13</v>
      </c>
      <c r="B206" s="10">
        <f t="shared" ref="B206:B269" si="9">MONTH(D206)</f>
        <v>10</v>
      </c>
      <c r="C206" s="9">
        <v>37</v>
      </c>
      <c r="D206" s="158">
        <v>45212</v>
      </c>
      <c r="E206" s="159">
        <v>37</v>
      </c>
      <c r="F206" s="160" t="s">
        <v>194</v>
      </c>
      <c r="G206" s="161"/>
      <c r="H206" s="165" t="s">
        <v>195</v>
      </c>
      <c r="I206" s="166"/>
      <c r="J206" s="166"/>
      <c r="K206" s="167"/>
      <c r="L206" s="9">
        <f>ROW()</f>
        <v>206</v>
      </c>
    </row>
    <row r="207" spans="1:12" ht="15.75" thickBot="1" x14ac:dyDescent="0.3">
      <c r="A207" s="10">
        <f t="shared" si="8"/>
        <v>13</v>
      </c>
      <c r="B207" s="10">
        <f t="shared" si="9"/>
        <v>10</v>
      </c>
      <c r="C207" s="9">
        <v>37</v>
      </c>
      <c r="D207" s="202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>
        <f t="shared" si="8"/>
        <v>15</v>
      </c>
      <c r="B208" s="10">
        <f t="shared" si="9"/>
        <v>10</v>
      </c>
      <c r="C208" s="9">
        <v>38</v>
      </c>
      <c r="D208" s="153">
        <v>45214</v>
      </c>
      <c r="E208" s="154">
        <v>38</v>
      </c>
      <c r="F208" s="130" t="s">
        <v>196</v>
      </c>
      <c r="G208" s="114">
        <v>5013</v>
      </c>
      <c r="H208" s="130" t="s">
        <v>127</v>
      </c>
      <c r="I208" s="99">
        <v>19.95</v>
      </c>
      <c r="J208" s="99"/>
      <c r="K208" s="155"/>
      <c r="L208" s="9">
        <f>ROW()</f>
        <v>208</v>
      </c>
    </row>
    <row r="209" spans="1:12" x14ac:dyDescent="0.25">
      <c r="A209" s="10">
        <f t="shared" si="8"/>
        <v>15</v>
      </c>
      <c r="B209" s="10">
        <f t="shared" si="9"/>
        <v>10</v>
      </c>
      <c r="C209" s="9">
        <v>38</v>
      </c>
      <c r="D209" s="156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57"/>
      <c r="L209" s="9">
        <f>ROW()</f>
        <v>209</v>
      </c>
    </row>
    <row r="210" spans="1:12" ht="15.75" thickBot="1" x14ac:dyDescent="0.3">
      <c r="A210" s="10">
        <f t="shared" si="8"/>
        <v>15</v>
      </c>
      <c r="B210" s="10">
        <f t="shared" si="9"/>
        <v>10</v>
      </c>
      <c r="C210" s="9">
        <v>38</v>
      </c>
      <c r="D210" s="158">
        <v>45214</v>
      </c>
      <c r="E210" s="159">
        <v>38</v>
      </c>
      <c r="F210" s="160" t="s">
        <v>196</v>
      </c>
      <c r="G210" s="161"/>
      <c r="H210" s="165" t="s">
        <v>197</v>
      </c>
      <c r="I210" s="166"/>
      <c r="J210" s="166"/>
      <c r="K210" s="167"/>
      <c r="L210" s="9">
        <f>ROW()</f>
        <v>210</v>
      </c>
    </row>
    <row r="211" spans="1:12" ht="15.75" thickBot="1" x14ac:dyDescent="0.3">
      <c r="A211" s="10">
        <f t="shared" si="8"/>
        <v>15</v>
      </c>
      <c r="B211" s="10">
        <f t="shared" si="9"/>
        <v>10</v>
      </c>
      <c r="C211" s="9">
        <v>38</v>
      </c>
      <c r="D211" s="202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>
        <f t="shared" si="8"/>
        <v>12</v>
      </c>
      <c r="B212" s="10">
        <f t="shared" si="9"/>
        <v>10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199"/>
      <c r="L212" s="9">
        <f>ROW()</f>
        <v>212</v>
      </c>
    </row>
    <row r="213" spans="1:12" x14ac:dyDescent="0.25">
      <c r="A213" s="10">
        <f t="shared" si="8"/>
        <v>12</v>
      </c>
      <c r="B213" s="10">
        <f t="shared" si="9"/>
        <v>10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38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>
        <f t="shared" si="8"/>
        <v>12</v>
      </c>
      <c r="B214" s="10">
        <f t="shared" si="9"/>
        <v>10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3" t="s">
        <v>198</v>
      </c>
      <c r="I214" s="194"/>
      <c r="J214" s="194"/>
      <c r="K214" s="195"/>
      <c r="L214" s="9">
        <f>ROW()</f>
        <v>214</v>
      </c>
    </row>
    <row r="215" spans="1:12" ht="15.75" thickBot="1" x14ac:dyDescent="0.3">
      <c r="A215" s="10">
        <f t="shared" si="8"/>
        <v>12</v>
      </c>
      <c r="B215" s="10">
        <f t="shared" si="9"/>
        <v>10</v>
      </c>
      <c r="C215" s="9">
        <v>39</v>
      </c>
      <c r="D215" s="198">
        <v>45211</v>
      </c>
      <c r="E215" s="79">
        <v>39</v>
      </c>
      <c r="F215" s="80" t="s">
        <v>172</v>
      </c>
      <c r="K215" s="196"/>
      <c r="L215" s="9">
        <f>ROW()</f>
        <v>215</v>
      </c>
    </row>
    <row r="216" spans="1:12" x14ac:dyDescent="0.25">
      <c r="A216" s="10">
        <f t="shared" si="8"/>
        <v>12</v>
      </c>
      <c r="B216" s="10">
        <f t="shared" si="9"/>
        <v>10</v>
      </c>
      <c r="C216" s="9">
        <v>40</v>
      </c>
      <c r="D216" s="153">
        <v>45211</v>
      </c>
      <c r="E216" s="154">
        <v>40</v>
      </c>
      <c r="F216" s="130" t="s">
        <v>172</v>
      </c>
      <c r="G216" s="114">
        <v>1000</v>
      </c>
      <c r="H216" s="130" t="s">
        <v>13</v>
      </c>
      <c r="I216" s="99">
        <v>49.95</v>
      </c>
      <c r="J216" s="99"/>
      <c r="K216" s="155"/>
      <c r="L216" s="9">
        <f>ROW()</f>
        <v>216</v>
      </c>
    </row>
    <row r="217" spans="1:12" x14ac:dyDescent="0.25">
      <c r="A217" s="10">
        <f t="shared" si="8"/>
        <v>12</v>
      </c>
      <c r="B217" s="10">
        <f t="shared" si="9"/>
        <v>10</v>
      </c>
      <c r="C217" s="9">
        <v>40</v>
      </c>
      <c r="D217" s="156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57"/>
      <c r="L217" s="9">
        <f>ROW()</f>
        <v>217</v>
      </c>
    </row>
    <row r="218" spans="1:12" x14ac:dyDescent="0.25">
      <c r="A218" s="10">
        <f t="shared" si="8"/>
        <v>12</v>
      </c>
      <c r="B218" s="10">
        <f t="shared" si="9"/>
        <v>10</v>
      </c>
      <c r="C218" s="9">
        <v>40</v>
      </c>
      <c r="D218" s="156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57"/>
      <c r="L218" s="9">
        <f>ROW()</f>
        <v>218</v>
      </c>
    </row>
    <row r="219" spans="1:12" ht="15.75" thickBot="1" x14ac:dyDescent="0.3">
      <c r="A219" s="10">
        <f t="shared" si="8"/>
        <v>12</v>
      </c>
      <c r="B219" s="10">
        <f t="shared" si="9"/>
        <v>10</v>
      </c>
      <c r="C219" s="9">
        <v>40</v>
      </c>
      <c r="D219" s="158">
        <v>45211</v>
      </c>
      <c r="E219" s="159">
        <v>40</v>
      </c>
      <c r="F219" s="160" t="s">
        <v>172</v>
      </c>
      <c r="G219" s="161"/>
      <c r="H219" s="165" t="s">
        <v>199</v>
      </c>
      <c r="I219" s="166"/>
      <c r="J219" s="166"/>
      <c r="K219" s="167"/>
      <c r="L219" s="9">
        <f>ROW()</f>
        <v>219</v>
      </c>
    </row>
    <row r="220" spans="1:12" ht="15.75" thickBot="1" x14ac:dyDescent="0.3">
      <c r="A220" s="10">
        <f t="shared" si="8"/>
        <v>12</v>
      </c>
      <c r="B220" s="10">
        <f t="shared" si="9"/>
        <v>10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>
        <f t="shared" si="8"/>
        <v>12</v>
      </c>
      <c r="B221" s="10">
        <f t="shared" si="9"/>
        <v>10</v>
      </c>
      <c r="C221" s="9">
        <v>41</v>
      </c>
      <c r="D221" s="153">
        <v>45211</v>
      </c>
      <c r="E221" s="154">
        <v>41</v>
      </c>
      <c r="F221" s="130" t="s">
        <v>200</v>
      </c>
      <c r="G221" s="114">
        <v>5013</v>
      </c>
      <c r="H221" s="130" t="s">
        <v>127</v>
      </c>
      <c r="I221" s="99">
        <v>19.95</v>
      </c>
      <c r="J221" s="99"/>
      <c r="K221" s="155"/>
      <c r="L221" s="9">
        <f>ROW()</f>
        <v>221</v>
      </c>
    </row>
    <row r="222" spans="1:12" x14ac:dyDescent="0.25">
      <c r="A222" s="10">
        <f t="shared" si="8"/>
        <v>12</v>
      </c>
      <c r="B222" s="10">
        <f t="shared" si="9"/>
        <v>10</v>
      </c>
      <c r="C222" s="9">
        <v>41</v>
      </c>
      <c r="D222" s="156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57"/>
      <c r="L222" s="9">
        <f>ROW()</f>
        <v>222</v>
      </c>
    </row>
    <row r="223" spans="1:12" ht="15.75" thickBot="1" x14ac:dyDescent="0.3">
      <c r="A223" s="10">
        <f t="shared" si="8"/>
        <v>12</v>
      </c>
      <c r="B223" s="10">
        <f t="shared" si="9"/>
        <v>10</v>
      </c>
      <c r="C223" s="9">
        <v>41</v>
      </c>
      <c r="D223" s="158">
        <v>45211</v>
      </c>
      <c r="E223" s="159">
        <v>41</v>
      </c>
      <c r="F223" s="160" t="s">
        <v>200</v>
      </c>
      <c r="G223" s="161"/>
      <c r="H223" s="165" t="s">
        <v>201</v>
      </c>
      <c r="I223" s="166"/>
      <c r="J223" s="166"/>
      <c r="K223" s="167"/>
      <c r="L223" s="9">
        <f>ROW()</f>
        <v>223</v>
      </c>
    </row>
    <row r="224" spans="1:12" ht="15.75" thickBot="1" x14ac:dyDescent="0.3">
      <c r="A224" s="10">
        <f t="shared" si="8"/>
        <v>12</v>
      </c>
      <c r="B224" s="10">
        <f t="shared" si="9"/>
        <v>10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>
        <f t="shared" si="8"/>
        <v>15</v>
      </c>
      <c r="B225" s="10">
        <f t="shared" si="9"/>
        <v>10</v>
      </c>
      <c r="C225" s="9">
        <v>42</v>
      </c>
      <c r="D225" s="153">
        <v>45214</v>
      </c>
      <c r="E225" s="154">
        <v>42</v>
      </c>
      <c r="F225" s="130" t="s">
        <v>202</v>
      </c>
      <c r="G225" s="114">
        <v>1000</v>
      </c>
      <c r="H225" s="130" t="s">
        <v>13</v>
      </c>
      <c r="I225" s="99">
        <v>9.99</v>
      </c>
      <c r="J225" s="99"/>
      <c r="K225" s="155"/>
      <c r="L225" s="9">
        <f>ROW()</f>
        <v>225</v>
      </c>
    </row>
    <row r="226" spans="1:12" x14ac:dyDescent="0.25">
      <c r="A226" s="10">
        <f t="shared" si="8"/>
        <v>15</v>
      </c>
      <c r="B226" s="10">
        <f t="shared" si="9"/>
        <v>10</v>
      </c>
      <c r="C226" s="9">
        <v>42</v>
      </c>
      <c r="D226" s="156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57"/>
      <c r="L226" s="9">
        <f>ROW()</f>
        <v>226</v>
      </c>
    </row>
    <row r="227" spans="1:12" ht="15.75" thickBot="1" x14ac:dyDescent="0.3">
      <c r="A227" s="10">
        <f t="shared" si="8"/>
        <v>15</v>
      </c>
      <c r="B227" s="10">
        <f t="shared" si="9"/>
        <v>10</v>
      </c>
      <c r="C227" s="9">
        <v>42</v>
      </c>
      <c r="D227" s="158">
        <v>45214</v>
      </c>
      <c r="E227" s="159">
        <v>42</v>
      </c>
      <c r="F227" s="160" t="s">
        <v>202</v>
      </c>
      <c r="G227" s="161"/>
      <c r="H227" s="165" t="s">
        <v>202</v>
      </c>
      <c r="I227" s="166"/>
      <c r="J227" s="166"/>
      <c r="K227" s="167"/>
      <c r="L227" s="9">
        <f>ROW()</f>
        <v>227</v>
      </c>
    </row>
    <row r="228" spans="1:12" ht="15.75" thickBot="1" x14ac:dyDescent="0.3">
      <c r="A228" s="10">
        <f t="shared" si="8"/>
        <v>15</v>
      </c>
      <c r="B228" s="10">
        <f t="shared" si="9"/>
        <v>10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>
        <f t="shared" si="8"/>
        <v>14</v>
      </c>
      <c r="B229" s="10">
        <f t="shared" si="9"/>
        <v>10</v>
      </c>
      <c r="C229" s="9">
        <v>43</v>
      </c>
      <c r="D229" s="153">
        <v>45213</v>
      </c>
      <c r="E229" s="154">
        <v>43</v>
      </c>
      <c r="F229" s="130" t="s">
        <v>203</v>
      </c>
      <c r="G229" s="114">
        <v>5013</v>
      </c>
      <c r="H229" s="130" t="s">
        <v>127</v>
      </c>
      <c r="I229" s="99">
        <v>29.95</v>
      </c>
      <c r="J229" s="99"/>
      <c r="K229" s="155"/>
      <c r="L229" s="9">
        <f>ROW()</f>
        <v>229</v>
      </c>
    </row>
    <row r="230" spans="1:12" x14ac:dyDescent="0.25">
      <c r="A230" s="10">
        <f t="shared" si="8"/>
        <v>14</v>
      </c>
      <c r="B230" s="10">
        <f t="shared" si="9"/>
        <v>10</v>
      </c>
      <c r="C230" s="9">
        <v>43</v>
      </c>
      <c r="D230" s="156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57"/>
      <c r="L230" s="9">
        <f>ROW()</f>
        <v>230</v>
      </c>
    </row>
    <row r="231" spans="1:12" ht="15.75" thickBot="1" x14ac:dyDescent="0.3">
      <c r="A231" s="10">
        <f t="shared" si="8"/>
        <v>14</v>
      </c>
      <c r="B231" s="10">
        <f t="shared" si="9"/>
        <v>10</v>
      </c>
      <c r="C231" s="9">
        <v>43</v>
      </c>
      <c r="D231" s="158">
        <v>45213</v>
      </c>
      <c r="E231" s="159">
        <v>43</v>
      </c>
      <c r="F231" s="160" t="s">
        <v>203</v>
      </c>
      <c r="G231" s="161"/>
      <c r="H231" s="165" t="s">
        <v>204</v>
      </c>
      <c r="I231" s="166"/>
      <c r="J231" s="166"/>
      <c r="K231" s="167"/>
      <c r="L231" s="9">
        <f>ROW()</f>
        <v>231</v>
      </c>
    </row>
    <row r="232" spans="1:12" ht="15.75" thickBot="1" x14ac:dyDescent="0.3">
      <c r="A232" s="10">
        <f t="shared" si="8"/>
        <v>14</v>
      </c>
      <c r="B232" s="10">
        <f t="shared" si="9"/>
        <v>10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>
        <f t="shared" si="8"/>
        <v>12</v>
      </c>
      <c r="B233" s="10">
        <f t="shared" si="9"/>
        <v>10</v>
      </c>
      <c r="C233" s="9">
        <v>44</v>
      </c>
      <c r="D233" s="153">
        <v>45211</v>
      </c>
      <c r="E233" s="154">
        <v>44</v>
      </c>
      <c r="F233" s="130" t="s">
        <v>187</v>
      </c>
      <c r="G233" s="114">
        <v>5013</v>
      </c>
      <c r="H233" s="130" t="s">
        <v>127</v>
      </c>
      <c r="I233" s="99">
        <v>29.88</v>
      </c>
      <c r="J233" s="99"/>
      <c r="K233" s="155"/>
      <c r="L233" s="9">
        <f>ROW()</f>
        <v>233</v>
      </c>
    </row>
    <row r="234" spans="1:12" x14ac:dyDescent="0.25">
      <c r="A234" s="10">
        <f t="shared" si="8"/>
        <v>12</v>
      </c>
      <c r="B234" s="10">
        <f t="shared" si="9"/>
        <v>10</v>
      </c>
      <c r="C234" s="9">
        <v>44</v>
      </c>
      <c r="D234" s="156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57"/>
      <c r="L234" s="9">
        <f>ROW()</f>
        <v>234</v>
      </c>
    </row>
    <row r="235" spans="1:12" ht="15.75" thickBot="1" x14ac:dyDescent="0.3">
      <c r="A235" s="10">
        <f t="shared" si="8"/>
        <v>12</v>
      </c>
      <c r="B235" s="10">
        <f t="shared" si="9"/>
        <v>10</v>
      </c>
      <c r="C235" s="9">
        <v>44</v>
      </c>
      <c r="D235" s="158">
        <v>45211</v>
      </c>
      <c r="E235" s="159">
        <v>44</v>
      </c>
      <c r="F235" s="160" t="s">
        <v>187</v>
      </c>
      <c r="G235" s="161"/>
      <c r="H235" s="165" t="s">
        <v>205</v>
      </c>
      <c r="I235" s="166"/>
      <c r="J235" s="166"/>
      <c r="K235" s="167"/>
      <c r="L235" s="9">
        <f>ROW()</f>
        <v>235</v>
      </c>
    </row>
    <row r="236" spans="1:12" ht="15.75" thickBot="1" x14ac:dyDescent="0.3">
      <c r="A236" s="10">
        <f t="shared" si="8"/>
        <v>12</v>
      </c>
      <c r="B236" s="10">
        <f t="shared" si="9"/>
        <v>10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>
        <f t="shared" si="8"/>
        <v>10</v>
      </c>
      <c r="B237" s="10">
        <f t="shared" si="9"/>
        <v>10</v>
      </c>
      <c r="C237" s="9">
        <v>45</v>
      </c>
      <c r="D237" s="153">
        <v>45209</v>
      </c>
      <c r="E237" s="154">
        <v>45</v>
      </c>
      <c r="F237" s="130" t="s">
        <v>172</v>
      </c>
      <c r="G237" s="114">
        <v>2000</v>
      </c>
      <c r="H237" s="130" t="s">
        <v>54</v>
      </c>
      <c r="I237" s="99"/>
      <c r="J237" s="99">
        <v>259.95</v>
      </c>
      <c r="K237" s="155"/>
      <c r="L237" s="9">
        <f>ROW()</f>
        <v>237</v>
      </c>
    </row>
    <row r="238" spans="1:12" x14ac:dyDescent="0.25">
      <c r="A238" s="10">
        <f t="shared" si="8"/>
        <v>10</v>
      </c>
      <c r="B238" s="10">
        <f t="shared" si="9"/>
        <v>10</v>
      </c>
      <c r="C238" s="9">
        <v>45</v>
      </c>
      <c r="D238" s="156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57"/>
      <c r="L238" s="9">
        <f>ROW()</f>
        <v>238</v>
      </c>
    </row>
    <row r="239" spans="1:12" x14ac:dyDescent="0.25">
      <c r="A239" s="10">
        <f t="shared" si="8"/>
        <v>10</v>
      </c>
      <c r="B239" s="10">
        <f t="shared" si="9"/>
        <v>10</v>
      </c>
      <c r="C239" s="9">
        <v>45</v>
      </c>
      <c r="D239" s="156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57"/>
      <c r="L239" s="9">
        <f>ROW()</f>
        <v>239</v>
      </c>
    </row>
    <row r="240" spans="1:12" x14ac:dyDescent="0.25">
      <c r="A240" s="10">
        <f t="shared" si="8"/>
        <v>10</v>
      </c>
      <c r="B240" s="10">
        <f t="shared" si="9"/>
        <v>10</v>
      </c>
      <c r="C240" s="9">
        <v>45</v>
      </c>
      <c r="D240" s="156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57"/>
      <c r="L240" s="9">
        <f>ROW()</f>
        <v>240</v>
      </c>
    </row>
    <row r="241" spans="1:12" ht="15.75" thickBot="1" x14ac:dyDescent="0.3">
      <c r="A241" s="10">
        <f t="shared" si="8"/>
        <v>10</v>
      </c>
      <c r="B241" s="10">
        <f t="shared" si="9"/>
        <v>10</v>
      </c>
      <c r="C241" s="9">
        <v>45</v>
      </c>
      <c r="D241" s="158">
        <v>45209</v>
      </c>
      <c r="E241" s="159">
        <v>45</v>
      </c>
      <c r="F241" s="160" t="s">
        <v>172</v>
      </c>
      <c r="G241" s="161"/>
      <c r="H241" s="165" t="s">
        <v>172</v>
      </c>
      <c r="I241" s="166"/>
      <c r="J241" s="166"/>
      <c r="K241" s="167"/>
      <c r="L241" s="9">
        <f>ROW()</f>
        <v>241</v>
      </c>
    </row>
    <row r="242" spans="1:12" ht="15.75" thickBot="1" x14ac:dyDescent="0.3">
      <c r="A242" s="10">
        <f t="shared" si="8"/>
        <v>10</v>
      </c>
      <c r="B242" s="10">
        <f t="shared" si="9"/>
        <v>10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>
        <f t="shared" si="8"/>
        <v>12</v>
      </c>
      <c r="B243" s="10">
        <f t="shared" si="9"/>
        <v>10</v>
      </c>
      <c r="C243" s="9">
        <v>46</v>
      </c>
      <c r="D243" s="153">
        <v>45211</v>
      </c>
      <c r="E243" s="154">
        <v>46</v>
      </c>
      <c r="F243" s="130" t="s">
        <v>206</v>
      </c>
      <c r="G243" s="114">
        <v>5013</v>
      </c>
      <c r="H243" s="130" t="s">
        <v>127</v>
      </c>
      <c r="I243" s="99">
        <v>9.9499999999999993</v>
      </c>
      <c r="J243" s="99"/>
      <c r="K243" s="155"/>
      <c r="L243" s="9">
        <f>ROW()</f>
        <v>243</v>
      </c>
    </row>
    <row r="244" spans="1:12" x14ac:dyDescent="0.25">
      <c r="A244" s="10">
        <f t="shared" si="8"/>
        <v>12</v>
      </c>
      <c r="B244" s="10">
        <f t="shared" si="9"/>
        <v>10</v>
      </c>
      <c r="C244" s="9">
        <v>46</v>
      </c>
      <c r="D244" s="156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57"/>
      <c r="L244" s="9">
        <f>ROW()</f>
        <v>244</v>
      </c>
    </row>
    <row r="245" spans="1:12" ht="15.75" thickBot="1" x14ac:dyDescent="0.3">
      <c r="A245" s="10">
        <f t="shared" si="8"/>
        <v>12</v>
      </c>
      <c r="B245" s="10">
        <f t="shared" si="9"/>
        <v>10</v>
      </c>
      <c r="C245" s="9">
        <v>46</v>
      </c>
      <c r="D245" s="158">
        <v>45211</v>
      </c>
      <c r="E245" s="159">
        <v>46</v>
      </c>
      <c r="F245" s="160" t="s">
        <v>206</v>
      </c>
      <c r="G245" s="161"/>
      <c r="H245" s="165" t="s">
        <v>207</v>
      </c>
      <c r="I245" s="166"/>
      <c r="J245" s="166"/>
      <c r="K245" s="167"/>
      <c r="L245" s="9">
        <f>ROW()</f>
        <v>245</v>
      </c>
    </row>
    <row r="246" spans="1:12" ht="15.75" thickBot="1" x14ac:dyDescent="0.3">
      <c r="A246" s="10">
        <f t="shared" si="8"/>
        <v>12</v>
      </c>
      <c r="B246" s="10">
        <f t="shared" si="9"/>
        <v>10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>
        <f t="shared" si="8"/>
        <v>12</v>
      </c>
      <c r="B247" s="10">
        <f t="shared" si="9"/>
        <v>10</v>
      </c>
      <c r="C247" s="9">
        <v>47</v>
      </c>
      <c r="D247" s="153">
        <v>45211</v>
      </c>
      <c r="E247" s="154">
        <v>47</v>
      </c>
      <c r="F247" s="130"/>
      <c r="G247" s="114">
        <v>5013</v>
      </c>
      <c r="H247" s="130" t="s">
        <v>127</v>
      </c>
      <c r="I247" s="99">
        <v>29.95</v>
      </c>
      <c r="J247" s="99"/>
      <c r="K247" s="155"/>
      <c r="L247" s="9">
        <f>ROW()</f>
        <v>247</v>
      </c>
    </row>
    <row r="248" spans="1:12" x14ac:dyDescent="0.25">
      <c r="A248" s="10">
        <f t="shared" si="8"/>
        <v>12</v>
      </c>
      <c r="B248" s="10">
        <f t="shared" si="9"/>
        <v>10</v>
      </c>
      <c r="C248" s="9">
        <v>47</v>
      </c>
      <c r="D248" s="156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57"/>
      <c r="L248" s="9">
        <f>ROW()</f>
        <v>248</v>
      </c>
    </row>
    <row r="249" spans="1:12" ht="15.75" thickBot="1" x14ac:dyDescent="0.3">
      <c r="A249" s="10">
        <f t="shared" si="8"/>
        <v>12</v>
      </c>
      <c r="B249" s="10">
        <f t="shared" si="9"/>
        <v>10</v>
      </c>
      <c r="C249" s="9">
        <v>47</v>
      </c>
      <c r="D249" s="158">
        <v>45211</v>
      </c>
      <c r="E249" s="159">
        <v>47</v>
      </c>
      <c r="F249" s="160"/>
      <c r="G249" s="161"/>
      <c r="H249" s="165" t="s">
        <v>209</v>
      </c>
      <c r="I249" s="166"/>
      <c r="J249" s="166"/>
      <c r="K249" s="167"/>
      <c r="L249" s="9">
        <f>ROW()</f>
        <v>249</v>
      </c>
    </row>
    <row r="250" spans="1:12" ht="15.75" thickBot="1" x14ac:dyDescent="0.3">
      <c r="A250" s="10">
        <f t="shared" si="8"/>
        <v>12</v>
      </c>
      <c r="B250" s="10">
        <f t="shared" si="9"/>
        <v>10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>
        <f t="shared" si="8"/>
        <v>14</v>
      </c>
      <c r="B251" s="10">
        <f t="shared" si="9"/>
        <v>10</v>
      </c>
      <c r="C251" s="9">
        <v>48</v>
      </c>
      <c r="D251" s="153">
        <v>45213</v>
      </c>
      <c r="E251" s="154">
        <v>48</v>
      </c>
      <c r="F251" s="130"/>
      <c r="G251" s="114">
        <v>1100</v>
      </c>
      <c r="H251" s="130" t="s">
        <v>15</v>
      </c>
      <c r="I251" s="99">
        <v>262.44</v>
      </c>
      <c r="J251" s="99"/>
      <c r="K251" s="155"/>
      <c r="L251" s="9">
        <f>ROW()</f>
        <v>251</v>
      </c>
    </row>
    <row r="252" spans="1:12" x14ac:dyDescent="0.25">
      <c r="A252" s="10">
        <f t="shared" si="8"/>
        <v>14</v>
      </c>
      <c r="B252" s="10">
        <f t="shared" si="9"/>
        <v>10</v>
      </c>
      <c r="C252" s="9">
        <v>48</v>
      </c>
      <c r="D252" s="156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57"/>
      <c r="L252" s="9">
        <f>ROW()</f>
        <v>252</v>
      </c>
    </row>
    <row r="253" spans="1:12" x14ac:dyDescent="0.25">
      <c r="A253" s="10">
        <f t="shared" si="8"/>
        <v>14</v>
      </c>
      <c r="B253" s="10">
        <f t="shared" si="9"/>
        <v>10</v>
      </c>
      <c r="C253" s="9">
        <v>48</v>
      </c>
      <c r="D253" s="156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57"/>
      <c r="L253" s="9">
        <f>ROW()</f>
        <v>253</v>
      </c>
    </row>
    <row r="254" spans="1:12" x14ac:dyDescent="0.25">
      <c r="A254" s="10">
        <f t="shared" si="8"/>
        <v>14</v>
      </c>
      <c r="B254" s="10">
        <f t="shared" si="9"/>
        <v>10</v>
      </c>
      <c r="C254" s="9">
        <v>48</v>
      </c>
      <c r="D254" s="156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57"/>
      <c r="L254" s="9">
        <f>ROW()</f>
        <v>254</v>
      </c>
    </row>
    <row r="255" spans="1:12" x14ac:dyDescent="0.25">
      <c r="A255" s="10">
        <f t="shared" si="8"/>
        <v>14</v>
      </c>
      <c r="B255" s="10">
        <f t="shared" si="9"/>
        <v>10</v>
      </c>
      <c r="C255" s="9">
        <v>48</v>
      </c>
      <c r="D255" s="156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57"/>
      <c r="L255" s="9">
        <f>ROW()</f>
        <v>255</v>
      </c>
    </row>
    <row r="256" spans="1:12" ht="15.75" thickBot="1" x14ac:dyDescent="0.3">
      <c r="A256" s="10">
        <f t="shared" si="8"/>
        <v>14</v>
      </c>
      <c r="B256" s="10">
        <f t="shared" si="9"/>
        <v>10</v>
      </c>
      <c r="C256" s="9">
        <v>48</v>
      </c>
      <c r="D256" s="158">
        <v>45213</v>
      </c>
      <c r="E256" s="159">
        <v>48</v>
      </c>
      <c r="F256" s="160"/>
      <c r="G256" s="161"/>
      <c r="H256" s="165" t="s">
        <v>210</v>
      </c>
      <c r="I256" s="166"/>
      <c r="J256" s="166"/>
      <c r="K256" s="167"/>
      <c r="L256" s="9">
        <f>ROW()</f>
        <v>256</v>
      </c>
    </row>
    <row r="257" spans="1:12" ht="15.75" thickBot="1" x14ac:dyDescent="0.3">
      <c r="A257" s="10">
        <f t="shared" si="8"/>
        <v>14</v>
      </c>
      <c r="B257" s="10">
        <f t="shared" si="9"/>
        <v>10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>
        <f t="shared" si="8"/>
        <v>30</v>
      </c>
      <c r="B258" s="10">
        <f t="shared" si="9"/>
        <v>9</v>
      </c>
      <c r="C258" s="9">
        <v>49</v>
      </c>
      <c r="D258" s="153">
        <v>45199</v>
      </c>
      <c r="E258" s="154">
        <v>49</v>
      </c>
      <c r="F258" s="130" t="s">
        <v>211</v>
      </c>
      <c r="G258" s="114">
        <v>5007</v>
      </c>
      <c r="H258" s="130" t="s">
        <v>117</v>
      </c>
      <c r="I258" s="99">
        <v>2400</v>
      </c>
      <c r="J258" s="99"/>
      <c r="K258" s="155"/>
      <c r="L258" s="9">
        <f>ROW()</f>
        <v>258</v>
      </c>
    </row>
    <row r="259" spans="1:12" x14ac:dyDescent="0.25">
      <c r="A259" s="10">
        <f t="shared" si="8"/>
        <v>30</v>
      </c>
      <c r="B259" s="10">
        <f t="shared" si="9"/>
        <v>9</v>
      </c>
      <c r="C259" s="9">
        <v>49</v>
      </c>
      <c r="D259" s="156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57"/>
      <c r="L259" s="9">
        <f>ROW()</f>
        <v>259</v>
      </c>
    </row>
    <row r="260" spans="1:12" x14ac:dyDescent="0.25">
      <c r="A260" s="10">
        <f t="shared" si="8"/>
        <v>30</v>
      </c>
      <c r="B260" s="10">
        <f t="shared" si="9"/>
        <v>9</v>
      </c>
      <c r="C260" s="9">
        <v>49</v>
      </c>
      <c r="D260" s="156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57"/>
      <c r="L260" s="9">
        <f>ROW()</f>
        <v>260</v>
      </c>
    </row>
    <row r="261" spans="1:12" x14ac:dyDescent="0.25">
      <c r="A261" s="10">
        <f t="shared" si="8"/>
        <v>30</v>
      </c>
      <c r="B261" s="10">
        <f t="shared" si="9"/>
        <v>9</v>
      </c>
      <c r="C261" s="9">
        <v>49</v>
      </c>
      <c r="D261" s="156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57"/>
      <c r="L261" s="9">
        <f>ROW()</f>
        <v>261</v>
      </c>
    </row>
    <row r="262" spans="1:12" ht="15.75" thickBot="1" x14ac:dyDescent="0.3">
      <c r="A262" s="10">
        <f t="shared" si="8"/>
        <v>30</v>
      </c>
      <c r="B262" s="10">
        <f t="shared" si="9"/>
        <v>9</v>
      </c>
      <c r="C262" s="9">
        <v>49</v>
      </c>
      <c r="D262" s="158">
        <v>45199</v>
      </c>
      <c r="E262" s="159">
        <v>49</v>
      </c>
      <c r="F262" s="160" t="s">
        <v>211</v>
      </c>
      <c r="G262" s="161"/>
      <c r="H262" s="165" t="s">
        <v>212</v>
      </c>
      <c r="I262" s="166"/>
      <c r="J262" s="166"/>
      <c r="K262" s="167"/>
      <c r="L262" s="9">
        <f>ROW()</f>
        <v>262</v>
      </c>
    </row>
    <row r="263" spans="1:12" ht="15.75" thickBot="1" x14ac:dyDescent="0.3">
      <c r="A263" s="10">
        <f t="shared" si="8"/>
        <v>30</v>
      </c>
      <c r="B263" s="10">
        <f t="shared" si="9"/>
        <v>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>
        <f t="shared" si="8"/>
        <v>13</v>
      </c>
      <c r="B264" s="10">
        <f t="shared" si="9"/>
        <v>10</v>
      </c>
      <c r="C264" s="9">
        <v>50</v>
      </c>
      <c r="D264" s="153">
        <v>45212</v>
      </c>
      <c r="E264" s="154">
        <v>50</v>
      </c>
      <c r="F264" s="130" t="s">
        <v>187</v>
      </c>
      <c r="G264" s="114">
        <v>5020</v>
      </c>
      <c r="H264" s="130" t="s">
        <v>133</v>
      </c>
      <c r="I264" s="99">
        <v>650</v>
      </c>
      <c r="J264" s="99"/>
      <c r="K264" s="155"/>
      <c r="L264" s="9">
        <f>ROW()</f>
        <v>264</v>
      </c>
    </row>
    <row r="265" spans="1:12" x14ac:dyDescent="0.25">
      <c r="A265" s="10">
        <f t="shared" si="8"/>
        <v>13</v>
      </c>
      <c r="B265" s="10">
        <f t="shared" si="9"/>
        <v>10</v>
      </c>
      <c r="C265" s="9">
        <v>50</v>
      </c>
      <c r="D265" s="156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57"/>
      <c r="L265" s="9">
        <f>ROW()</f>
        <v>265</v>
      </c>
    </row>
    <row r="266" spans="1:12" x14ac:dyDescent="0.25">
      <c r="A266" s="10">
        <f t="shared" si="8"/>
        <v>13</v>
      </c>
      <c r="B266" s="10">
        <f t="shared" si="9"/>
        <v>10</v>
      </c>
      <c r="C266" s="9">
        <v>50</v>
      </c>
      <c r="D266" s="156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57"/>
      <c r="L266" s="9">
        <f>ROW()</f>
        <v>266</v>
      </c>
    </row>
    <row r="267" spans="1:12" x14ac:dyDescent="0.25">
      <c r="A267" s="10">
        <f t="shared" si="8"/>
        <v>13</v>
      </c>
      <c r="B267" s="10">
        <f t="shared" si="9"/>
        <v>10</v>
      </c>
      <c r="C267" s="9">
        <v>50</v>
      </c>
      <c r="D267" s="156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57"/>
      <c r="L267" s="9">
        <f>ROW()</f>
        <v>267</v>
      </c>
    </row>
    <row r="268" spans="1:12" ht="15.75" thickBot="1" x14ac:dyDescent="0.3">
      <c r="A268" s="10">
        <f t="shared" si="8"/>
        <v>13</v>
      </c>
      <c r="B268" s="10">
        <f t="shared" si="9"/>
        <v>10</v>
      </c>
      <c r="C268" s="9">
        <v>50</v>
      </c>
      <c r="D268" s="158">
        <v>45212</v>
      </c>
      <c r="E268" s="159">
        <v>50</v>
      </c>
      <c r="F268" s="160" t="s">
        <v>187</v>
      </c>
      <c r="G268" s="161"/>
      <c r="H268" s="165" t="s">
        <v>214</v>
      </c>
      <c r="I268" s="166"/>
      <c r="J268" s="166"/>
      <c r="K268" s="167"/>
      <c r="L268" s="9">
        <f>ROW()</f>
        <v>268</v>
      </c>
    </row>
    <row r="269" spans="1:12" ht="15.75" thickBot="1" x14ac:dyDescent="0.3">
      <c r="A269" s="10">
        <f t="shared" si="8"/>
        <v>13</v>
      </c>
      <c r="B269" s="10">
        <f t="shared" si="9"/>
        <v>10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>
        <f t="shared" ref="A270:A297" si="10">DAY(D270)</f>
        <v>13</v>
      </c>
      <c r="B270" s="10">
        <f t="shared" ref="B270:B297" si="11">MONTH(D270)</f>
        <v>10</v>
      </c>
      <c r="C270" s="9">
        <v>51</v>
      </c>
      <c r="D270" s="153">
        <v>45212</v>
      </c>
      <c r="E270" s="154">
        <v>51</v>
      </c>
      <c r="F270" s="130" t="s">
        <v>216</v>
      </c>
      <c r="G270" s="114" t="s">
        <v>126</v>
      </c>
      <c r="H270" s="130" t="s">
        <v>127</v>
      </c>
      <c r="I270" s="99">
        <v>29.95</v>
      </c>
      <c r="J270" s="99"/>
      <c r="K270" s="155"/>
      <c r="L270" s="9">
        <f>ROW()</f>
        <v>270</v>
      </c>
    </row>
    <row r="271" spans="1:12" x14ac:dyDescent="0.25">
      <c r="A271" s="10">
        <f t="shared" si="10"/>
        <v>13</v>
      </c>
      <c r="B271" s="10">
        <f t="shared" si="11"/>
        <v>10</v>
      </c>
      <c r="C271" s="9">
        <v>51</v>
      </c>
      <c r="D271" s="156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57"/>
      <c r="L271" s="9">
        <f>ROW()</f>
        <v>271</v>
      </c>
    </row>
    <row r="272" spans="1:12" ht="15.75" thickBot="1" x14ac:dyDescent="0.3">
      <c r="A272" s="10">
        <f t="shared" si="10"/>
        <v>13</v>
      </c>
      <c r="B272" s="10">
        <f t="shared" si="11"/>
        <v>10</v>
      </c>
      <c r="C272" s="9">
        <v>51</v>
      </c>
      <c r="D272" s="158">
        <v>45212</v>
      </c>
      <c r="E272" s="159">
        <v>51</v>
      </c>
      <c r="F272" s="160" t="s">
        <v>216</v>
      </c>
      <c r="G272" s="161"/>
      <c r="H272" s="165" t="s">
        <v>186</v>
      </c>
      <c r="I272" s="166"/>
      <c r="J272" s="166"/>
      <c r="K272" s="167"/>
      <c r="L272" s="9">
        <f>ROW()</f>
        <v>272</v>
      </c>
    </row>
    <row r="273" spans="1:12" ht="15.75" thickBot="1" x14ac:dyDescent="0.3">
      <c r="A273" s="10">
        <f t="shared" si="10"/>
        <v>13</v>
      </c>
      <c r="B273" s="10">
        <f t="shared" si="11"/>
        <v>10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>
        <f t="shared" si="10"/>
        <v>13</v>
      </c>
      <c r="B274" s="10">
        <f t="shared" si="11"/>
        <v>10</v>
      </c>
      <c r="C274" s="9">
        <v>52</v>
      </c>
      <c r="D274" s="153">
        <v>45212</v>
      </c>
      <c r="E274" s="154">
        <v>52</v>
      </c>
      <c r="F274" s="130" t="s">
        <v>219</v>
      </c>
      <c r="G274" s="114" t="s">
        <v>217</v>
      </c>
      <c r="H274" s="130" t="s">
        <v>218</v>
      </c>
      <c r="I274" s="99">
        <v>129.94999999999999</v>
      </c>
      <c r="J274" s="99"/>
      <c r="K274" s="155"/>
      <c r="L274" s="9">
        <f>ROW()</f>
        <v>274</v>
      </c>
    </row>
    <row r="275" spans="1:12" x14ac:dyDescent="0.25">
      <c r="A275" s="10">
        <f t="shared" si="10"/>
        <v>13</v>
      </c>
      <c r="B275" s="10">
        <f t="shared" si="11"/>
        <v>10</v>
      </c>
      <c r="C275" s="9">
        <v>52</v>
      </c>
      <c r="D275" s="156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57"/>
      <c r="L275" s="9">
        <f>ROW()</f>
        <v>275</v>
      </c>
    </row>
    <row r="276" spans="1:12" x14ac:dyDescent="0.25">
      <c r="A276" s="10">
        <f t="shared" si="10"/>
        <v>13</v>
      </c>
      <c r="B276" s="10">
        <f t="shared" si="11"/>
        <v>10</v>
      </c>
      <c r="C276" s="9">
        <v>52</v>
      </c>
      <c r="D276" s="156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57"/>
      <c r="L276" s="9">
        <f>ROW()</f>
        <v>276</v>
      </c>
    </row>
    <row r="277" spans="1:12" x14ac:dyDescent="0.25">
      <c r="A277" s="10">
        <f t="shared" si="10"/>
        <v>13</v>
      </c>
      <c r="B277" s="10">
        <f t="shared" si="11"/>
        <v>10</v>
      </c>
      <c r="C277" s="9">
        <v>52</v>
      </c>
      <c r="D277" s="156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57" t="s">
        <v>222</v>
      </c>
      <c r="L277" s="9">
        <f>ROW()</f>
        <v>277</v>
      </c>
    </row>
    <row r="278" spans="1:12" ht="15.75" thickBot="1" x14ac:dyDescent="0.3">
      <c r="A278" s="10">
        <f t="shared" si="10"/>
        <v>13</v>
      </c>
      <c r="B278" s="10">
        <f t="shared" si="11"/>
        <v>10</v>
      </c>
      <c r="C278" s="9">
        <v>52</v>
      </c>
      <c r="D278" s="158">
        <v>45212</v>
      </c>
      <c r="E278" s="159">
        <v>52</v>
      </c>
      <c r="F278" s="160" t="s">
        <v>219</v>
      </c>
      <c r="G278" s="161"/>
      <c r="H278" s="165" t="s">
        <v>221</v>
      </c>
      <c r="I278" s="166"/>
      <c r="J278" s="166"/>
      <c r="K278" s="167"/>
      <c r="L278" s="9">
        <f>ROW()</f>
        <v>278</v>
      </c>
    </row>
    <row r="279" spans="1:12" ht="15.75" thickBot="1" x14ac:dyDescent="0.3">
      <c r="A279" s="10">
        <f t="shared" si="10"/>
        <v>13</v>
      </c>
      <c r="B279" s="10">
        <f t="shared" si="11"/>
        <v>10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>
        <f t="shared" si="10"/>
        <v>14</v>
      </c>
      <c r="B280" s="10">
        <f t="shared" si="11"/>
        <v>10</v>
      </c>
      <c r="C280" s="9">
        <v>53</v>
      </c>
      <c r="D280" s="153">
        <v>45213</v>
      </c>
      <c r="E280" s="154">
        <v>53</v>
      </c>
      <c r="F280" s="130"/>
      <c r="G280" s="114" t="s">
        <v>217</v>
      </c>
      <c r="H280" s="130" t="s">
        <v>218</v>
      </c>
      <c r="I280" s="99">
        <v>129.94999999999999</v>
      </c>
      <c r="J280" s="99"/>
      <c r="K280" s="155"/>
      <c r="L280" s="9">
        <f>ROW()</f>
        <v>280</v>
      </c>
    </row>
    <row r="281" spans="1:12" x14ac:dyDescent="0.25">
      <c r="A281" s="10">
        <f t="shared" si="10"/>
        <v>14</v>
      </c>
      <c r="B281" s="10">
        <f t="shared" si="11"/>
        <v>10</v>
      </c>
      <c r="C281" s="9">
        <v>53</v>
      </c>
      <c r="D281" s="156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57"/>
      <c r="L281" s="9">
        <f>ROW()</f>
        <v>281</v>
      </c>
    </row>
    <row r="282" spans="1:12" x14ac:dyDescent="0.25">
      <c r="A282" s="10">
        <f t="shared" si="10"/>
        <v>14</v>
      </c>
      <c r="B282" s="10">
        <f t="shared" si="11"/>
        <v>10</v>
      </c>
      <c r="C282" s="9">
        <v>53</v>
      </c>
      <c r="D282" s="156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57"/>
      <c r="L282" s="9">
        <f>ROW()</f>
        <v>282</v>
      </c>
    </row>
    <row r="283" spans="1:12" x14ac:dyDescent="0.25">
      <c r="A283" s="10">
        <f t="shared" si="10"/>
        <v>14</v>
      </c>
      <c r="B283" s="10">
        <f t="shared" si="11"/>
        <v>10</v>
      </c>
      <c r="C283" s="9">
        <v>53</v>
      </c>
      <c r="D283" s="156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57" t="s">
        <v>222</v>
      </c>
      <c r="L283" s="9">
        <f>ROW()</f>
        <v>283</v>
      </c>
    </row>
    <row r="284" spans="1:12" ht="15.75" thickBot="1" x14ac:dyDescent="0.3">
      <c r="A284" s="10">
        <f t="shared" si="10"/>
        <v>14</v>
      </c>
      <c r="B284" s="10">
        <f t="shared" si="11"/>
        <v>10</v>
      </c>
      <c r="C284" s="9">
        <v>53</v>
      </c>
      <c r="D284" s="158">
        <v>45213</v>
      </c>
      <c r="E284" s="159">
        <v>53</v>
      </c>
      <c r="F284" s="160"/>
      <c r="G284" s="161"/>
      <c r="H284" s="165" t="s">
        <v>223</v>
      </c>
      <c r="I284" s="166"/>
      <c r="J284" s="166"/>
      <c r="K284" s="167"/>
      <c r="L284" s="9">
        <f>ROW()</f>
        <v>284</v>
      </c>
    </row>
    <row r="285" spans="1:12" ht="15.75" thickBot="1" x14ac:dyDescent="0.3">
      <c r="A285" s="10">
        <f t="shared" si="10"/>
        <v>14</v>
      </c>
      <c r="B285" s="10">
        <f t="shared" si="11"/>
        <v>10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>
        <f t="shared" si="10"/>
        <v>14</v>
      </c>
      <c r="B286" s="10">
        <f t="shared" si="11"/>
        <v>10</v>
      </c>
      <c r="C286" s="9">
        <v>54</v>
      </c>
      <c r="D286" s="153">
        <v>45213</v>
      </c>
      <c r="E286" s="154">
        <v>54</v>
      </c>
      <c r="F286" s="130"/>
      <c r="G286" s="114" t="s">
        <v>217</v>
      </c>
      <c r="H286" s="130" t="s">
        <v>218</v>
      </c>
      <c r="I286" s="99">
        <v>129.94999999999999</v>
      </c>
      <c r="J286" s="99"/>
      <c r="K286" s="155"/>
      <c r="L286" s="9">
        <f>ROW()</f>
        <v>286</v>
      </c>
    </row>
    <row r="287" spans="1:12" x14ac:dyDescent="0.25">
      <c r="A287" s="10">
        <f t="shared" si="10"/>
        <v>14</v>
      </c>
      <c r="B287" s="10">
        <f t="shared" si="11"/>
        <v>10</v>
      </c>
      <c r="C287" s="9">
        <v>54</v>
      </c>
      <c r="D287" s="156">
        <v>45213</v>
      </c>
      <c r="E287" s="79">
        <v>54</v>
      </c>
      <c r="F287" s="80"/>
      <c r="G287" s="103">
        <v>1200</v>
      </c>
      <c r="H287" s="45" t="s">
        <v>19</v>
      </c>
      <c r="I287" s="28">
        <v>6.5</v>
      </c>
      <c r="K287" s="157"/>
      <c r="L287" s="9">
        <f>ROW()</f>
        <v>287</v>
      </c>
    </row>
    <row r="288" spans="1:12" x14ac:dyDescent="0.25">
      <c r="A288" s="10">
        <f t="shared" si="10"/>
        <v>14</v>
      </c>
      <c r="B288" s="10">
        <f t="shared" si="11"/>
        <v>10</v>
      </c>
      <c r="C288" s="9">
        <v>54</v>
      </c>
      <c r="D288" s="156">
        <v>45213</v>
      </c>
      <c r="E288" s="79">
        <v>54</v>
      </c>
      <c r="F288" s="80"/>
      <c r="G288" s="103">
        <v>1201</v>
      </c>
      <c r="H288" s="45" t="s">
        <v>21</v>
      </c>
      <c r="I288" s="28">
        <v>12.96</v>
      </c>
      <c r="K288" s="157"/>
      <c r="L288" s="9">
        <f>ROW()</f>
        <v>288</v>
      </c>
    </row>
    <row r="289" spans="1:12" x14ac:dyDescent="0.25">
      <c r="A289" s="10">
        <f t="shared" si="10"/>
        <v>14</v>
      </c>
      <c r="B289" s="10">
        <f t="shared" si="11"/>
        <v>10</v>
      </c>
      <c r="C289" s="9">
        <v>54</v>
      </c>
      <c r="D289" s="156">
        <v>45213</v>
      </c>
      <c r="E289" s="79">
        <v>54</v>
      </c>
      <c r="F289" s="80"/>
      <c r="G289" s="103">
        <v>2000</v>
      </c>
      <c r="H289" s="45" t="s">
        <v>54</v>
      </c>
      <c r="J289" s="28">
        <v>149.41</v>
      </c>
      <c r="K289" s="157" t="s">
        <v>222</v>
      </c>
      <c r="L289" s="9">
        <f>ROW()</f>
        <v>289</v>
      </c>
    </row>
    <row r="290" spans="1:12" ht="15.75" thickBot="1" x14ac:dyDescent="0.3">
      <c r="A290" s="10">
        <f t="shared" si="10"/>
        <v>14</v>
      </c>
      <c r="B290" s="10">
        <f t="shared" si="11"/>
        <v>10</v>
      </c>
      <c r="C290" s="9">
        <v>54</v>
      </c>
      <c r="D290" s="158">
        <v>45213</v>
      </c>
      <c r="E290" s="159">
        <v>54</v>
      </c>
      <c r="F290" s="160"/>
      <c r="G290" s="161"/>
      <c r="H290" s="165" t="s">
        <v>223</v>
      </c>
      <c r="I290" s="166"/>
      <c r="J290" s="166"/>
      <c r="K290" s="167"/>
      <c r="L290" s="9">
        <f>ROW()</f>
        <v>290</v>
      </c>
    </row>
    <row r="291" spans="1:12" ht="15.75" thickBot="1" x14ac:dyDescent="0.3">
      <c r="A291" s="10">
        <f t="shared" si="10"/>
        <v>14</v>
      </c>
      <c r="B291" s="10">
        <f t="shared" si="11"/>
        <v>10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>
        <f t="shared" si="10"/>
        <v>14</v>
      </c>
      <c r="B292" s="10">
        <f t="shared" si="11"/>
        <v>10</v>
      </c>
      <c r="C292" s="9">
        <v>55</v>
      </c>
      <c r="D292" s="153">
        <v>45213</v>
      </c>
      <c r="E292" s="154">
        <v>55</v>
      </c>
      <c r="F292" s="130"/>
      <c r="G292" s="114" t="s">
        <v>217</v>
      </c>
      <c r="H292" s="130" t="s">
        <v>218</v>
      </c>
      <c r="I292" s="99">
        <v>129.94999999999999</v>
      </c>
      <c r="J292" s="99"/>
      <c r="K292" s="155"/>
      <c r="L292" s="9">
        <f>ROW()</f>
        <v>292</v>
      </c>
    </row>
    <row r="293" spans="1:12" x14ac:dyDescent="0.25">
      <c r="A293" s="10">
        <f t="shared" si="10"/>
        <v>14</v>
      </c>
      <c r="B293" s="10">
        <f t="shared" si="11"/>
        <v>10</v>
      </c>
      <c r="C293" s="9">
        <v>55</v>
      </c>
      <c r="D293" s="156">
        <v>45213</v>
      </c>
      <c r="E293" s="79">
        <v>55</v>
      </c>
      <c r="F293" s="80"/>
      <c r="G293" s="103">
        <v>1200</v>
      </c>
      <c r="H293" s="45" t="s">
        <v>19</v>
      </c>
      <c r="I293" s="28">
        <v>6.5</v>
      </c>
      <c r="K293" s="157"/>
      <c r="L293" s="9">
        <f>ROW()</f>
        <v>293</v>
      </c>
    </row>
    <row r="294" spans="1:12" x14ac:dyDescent="0.25">
      <c r="A294" s="10">
        <f t="shared" si="10"/>
        <v>14</v>
      </c>
      <c r="B294" s="10">
        <f t="shared" si="11"/>
        <v>10</v>
      </c>
      <c r="C294" s="9">
        <v>55</v>
      </c>
      <c r="D294" s="156">
        <v>45213</v>
      </c>
      <c r="E294" s="79">
        <v>55</v>
      </c>
      <c r="F294" s="80"/>
      <c r="G294" s="103">
        <v>1201</v>
      </c>
      <c r="H294" s="45" t="s">
        <v>21</v>
      </c>
      <c r="I294" s="28">
        <v>12.96</v>
      </c>
      <c r="K294" s="157"/>
      <c r="L294" s="9">
        <f>ROW()</f>
        <v>294</v>
      </c>
    </row>
    <row r="295" spans="1:12" x14ac:dyDescent="0.25">
      <c r="A295" s="10">
        <f t="shared" si="10"/>
        <v>14</v>
      </c>
      <c r="B295" s="10">
        <f t="shared" si="11"/>
        <v>10</v>
      </c>
      <c r="C295" s="9">
        <v>55</v>
      </c>
      <c r="D295" s="156">
        <v>45213</v>
      </c>
      <c r="E295" s="79">
        <v>55</v>
      </c>
      <c r="F295" s="80"/>
      <c r="G295" s="103">
        <v>2000</v>
      </c>
      <c r="H295" s="45" t="s">
        <v>54</v>
      </c>
      <c r="J295" s="28">
        <v>149.41</v>
      </c>
      <c r="K295" s="157" t="s">
        <v>222</v>
      </c>
      <c r="L295" s="9">
        <f>ROW()</f>
        <v>295</v>
      </c>
    </row>
    <row r="296" spans="1:12" ht="15.75" thickBot="1" x14ac:dyDescent="0.3">
      <c r="A296" s="10">
        <f t="shared" si="10"/>
        <v>14</v>
      </c>
      <c r="B296" s="10">
        <f t="shared" si="11"/>
        <v>10</v>
      </c>
      <c r="C296" s="9">
        <v>55</v>
      </c>
      <c r="D296" s="158">
        <v>45213</v>
      </c>
      <c r="E296" s="159">
        <v>55</v>
      </c>
      <c r="F296" s="160"/>
      <c r="G296" s="161"/>
      <c r="H296" s="165" t="s">
        <v>223</v>
      </c>
      <c r="I296" s="166"/>
      <c r="J296" s="166"/>
      <c r="K296" s="167"/>
      <c r="L296" s="9">
        <f>ROW()</f>
        <v>296</v>
      </c>
    </row>
    <row r="297" spans="1:12" ht="15.75" thickBot="1" x14ac:dyDescent="0.3">
      <c r="A297" s="10">
        <f t="shared" si="10"/>
        <v>14</v>
      </c>
      <c r="B297" s="10">
        <f t="shared" si="11"/>
        <v>10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>
        <f t="shared" ref="A298:A326" si="12">DAY(D298)</f>
        <v>30</v>
      </c>
      <c r="B298" s="10">
        <f t="shared" ref="B298:B326" si="13">MONTH(D298)</f>
        <v>9</v>
      </c>
      <c r="C298" s="9">
        <v>56</v>
      </c>
      <c r="D298" s="153" t="s">
        <v>227</v>
      </c>
      <c r="E298" s="154">
        <v>56</v>
      </c>
      <c r="F298" s="130"/>
      <c r="G298" s="114">
        <v>5013</v>
      </c>
      <c r="H298" s="130" t="s">
        <v>127</v>
      </c>
      <c r="I298" s="99">
        <v>29.95</v>
      </c>
      <c r="J298" s="99"/>
      <c r="K298" s="155"/>
      <c r="L298" s="9">
        <f>ROW()</f>
        <v>298</v>
      </c>
    </row>
    <row r="299" spans="1:12" x14ac:dyDescent="0.25">
      <c r="A299" s="10">
        <f t="shared" si="12"/>
        <v>30</v>
      </c>
      <c r="B299" s="10">
        <f t="shared" si="13"/>
        <v>9</v>
      </c>
      <c r="C299" s="9">
        <v>56</v>
      </c>
      <c r="D299" s="156" t="s">
        <v>227</v>
      </c>
      <c r="E299" s="79">
        <v>56</v>
      </c>
      <c r="F299" s="80"/>
      <c r="G299" s="103">
        <v>1000</v>
      </c>
      <c r="H299" s="45" t="s">
        <v>13</v>
      </c>
      <c r="J299" s="28">
        <v>29.95</v>
      </c>
      <c r="K299" s="157"/>
      <c r="L299" s="9">
        <f>ROW()</f>
        <v>299</v>
      </c>
    </row>
    <row r="300" spans="1:12" ht="15.75" thickBot="1" x14ac:dyDescent="0.3">
      <c r="A300" s="10">
        <f t="shared" si="12"/>
        <v>30</v>
      </c>
      <c r="B300" s="10">
        <f t="shared" si="13"/>
        <v>9</v>
      </c>
      <c r="C300" s="9">
        <v>56</v>
      </c>
      <c r="D300" s="158" t="s">
        <v>227</v>
      </c>
      <c r="E300" s="159">
        <v>56</v>
      </c>
      <c r="F300" s="160"/>
      <c r="G300" s="161"/>
      <c r="H300" s="165" t="s">
        <v>226</v>
      </c>
      <c r="I300" s="166"/>
      <c r="J300" s="166"/>
      <c r="K300" s="167"/>
      <c r="L300" s="9">
        <f>ROW()</f>
        <v>300</v>
      </c>
    </row>
    <row r="301" spans="1:12" ht="15.75" thickBot="1" x14ac:dyDescent="0.3">
      <c r="A301" s="10">
        <f t="shared" si="12"/>
        <v>30</v>
      </c>
      <c r="B301" s="10">
        <f t="shared" si="13"/>
        <v>9</v>
      </c>
      <c r="C301" s="9">
        <v>56</v>
      </c>
      <c r="D301" s="78" t="s">
        <v>227</v>
      </c>
      <c r="E301" s="79">
        <v>56</v>
      </c>
      <c r="F301" s="80"/>
      <c r="L301" s="9">
        <f>ROW()</f>
        <v>301</v>
      </c>
    </row>
    <row r="302" spans="1:12" x14ac:dyDescent="0.25">
      <c r="A302" s="10">
        <f t="shared" si="12"/>
        <v>29</v>
      </c>
      <c r="B302" s="10">
        <f t="shared" si="13"/>
        <v>9</v>
      </c>
      <c r="C302" s="9">
        <v>57</v>
      </c>
      <c r="D302" s="153" t="s">
        <v>229</v>
      </c>
      <c r="E302" s="154">
        <v>57</v>
      </c>
      <c r="F302" s="130"/>
      <c r="G302" s="114">
        <v>1100</v>
      </c>
      <c r="H302" s="130" t="s">
        <v>15</v>
      </c>
      <c r="I302" s="99">
        <v>262.44</v>
      </c>
      <c r="J302" s="99"/>
      <c r="K302" s="155"/>
      <c r="L302" s="9">
        <f>ROW()</f>
        <v>302</v>
      </c>
    </row>
    <row r="303" spans="1:12" x14ac:dyDescent="0.25">
      <c r="A303" s="10">
        <f t="shared" si="12"/>
        <v>29</v>
      </c>
      <c r="B303" s="10">
        <f t="shared" si="13"/>
        <v>9</v>
      </c>
      <c r="C303" s="9">
        <v>57</v>
      </c>
      <c r="D303" s="156" t="s">
        <v>229</v>
      </c>
      <c r="E303" s="79">
        <v>57</v>
      </c>
      <c r="F303" s="80"/>
      <c r="G303" s="103">
        <v>4000</v>
      </c>
      <c r="H303" s="45" t="s">
        <v>88</v>
      </c>
      <c r="J303" s="28">
        <v>250</v>
      </c>
      <c r="K303" s="157"/>
      <c r="L303" s="9">
        <f>ROW()</f>
        <v>303</v>
      </c>
    </row>
    <row r="304" spans="1:12" x14ac:dyDescent="0.25">
      <c r="A304" s="10">
        <f t="shared" si="12"/>
        <v>29</v>
      </c>
      <c r="B304" s="10">
        <f t="shared" si="13"/>
        <v>9</v>
      </c>
      <c r="C304" s="9">
        <v>57</v>
      </c>
      <c r="D304" s="156" t="s">
        <v>229</v>
      </c>
      <c r="E304" s="79">
        <v>57</v>
      </c>
      <c r="F304" s="80"/>
      <c r="G304" s="103">
        <v>1202</v>
      </c>
      <c r="H304" s="45" t="s">
        <v>23</v>
      </c>
      <c r="J304" s="28">
        <v>12.5</v>
      </c>
      <c r="K304" s="157"/>
      <c r="L304" s="9">
        <f>ROW()</f>
        <v>304</v>
      </c>
    </row>
    <row r="305" spans="1:12" x14ac:dyDescent="0.25">
      <c r="A305" s="10">
        <f t="shared" si="12"/>
        <v>29</v>
      </c>
      <c r="B305" s="10">
        <f t="shared" si="13"/>
        <v>9</v>
      </c>
      <c r="C305" s="9">
        <v>57</v>
      </c>
      <c r="D305" s="156" t="s">
        <v>229</v>
      </c>
      <c r="E305" s="79">
        <v>57</v>
      </c>
      <c r="F305" s="80"/>
      <c r="G305" s="103">
        <v>1201</v>
      </c>
      <c r="H305" s="45" t="s">
        <v>21</v>
      </c>
      <c r="J305" s="28">
        <v>24.94</v>
      </c>
      <c r="K305" s="157"/>
      <c r="L305" s="9">
        <f>ROW()</f>
        <v>305</v>
      </c>
    </row>
    <row r="306" spans="1:12" x14ac:dyDescent="0.25">
      <c r="A306" s="10">
        <f t="shared" si="12"/>
        <v>29</v>
      </c>
      <c r="B306" s="10">
        <f t="shared" si="13"/>
        <v>9</v>
      </c>
      <c r="C306" s="9">
        <v>57</v>
      </c>
      <c r="D306" s="156" t="s">
        <v>229</v>
      </c>
      <c r="E306" s="79">
        <v>57</v>
      </c>
      <c r="F306" s="80"/>
      <c r="G306" s="103">
        <v>1230</v>
      </c>
      <c r="H306" s="45" t="s">
        <v>33</v>
      </c>
      <c r="I306" s="28">
        <v>25</v>
      </c>
      <c r="K306" s="157"/>
      <c r="L306" s="9">
        <f>ROW()</f>
        <v>306</v>
      </c>
    </row>
    <row r="307" spans="1:12" ht="15.75" thickBot="1" x14ac:dyDescent="0.3">
      <c r="A307" s="10">
        <f t="shared" si="12"/>
        <v>29</v>
      </c>
      <c r="B307" s="10">
        <f t="shared" si="13"/>
        <v>9</v>
      </c>
      <c r="C307" s="9">
        <v>57</v>
      </c>
      <c r="D307" s="158" t="s">
        <v>229</v>
      </c>
      <c r="E307" s="159">
        <v>57</v>
      </c>
      <c r="F307" s="160"/>
      <c r="G307" s="161"/>
      <c r="H307" s="165" t="s">
        <v>228</v>
      </c>
      <c r="I307" s="166"/>
      <c r="J307" s="166"/>
      <c r="K307" s="167"/>
      <c r="L307" s="9">
        <f>ROW()</f>
        <v>307</v>
      </c>
    </row>
    <row r="308" spans="1:12" ht="15.75" thickBot="1" x14ac:dyDescent="0.3">
      <c r="A308" s="10">
        <f t="shared" si="12"/>
        <v>29</v>
      </c>
      <c r="B308" s="10">
        <f t="shared" si="13"/>
        <v>9</v>
      </c>
      <c r="C308" s="9">
        <v>57</v>
      </c>
      <c r="D308" s="78" t="s">
        <v>229</v>
      </c>
      <c r="E308" s="79">
        <v>57</v>
      </c>
      <c r="F308" s="80"/>
      <c r="L308" s="9">
        <f>ROW()</f>
        <v>308</v>
      </c>
    </row>
    <row r="309" spans="1:12" x14ac:dyDescent="0.25">
      <c r="A309" s="10">
        <f t="shared" si="12"/>
        <v>1</v>
      </c>
      <c r="B309" s="10">
        <f t="shared" si="13"/>
        <v>11</v>
      </c>
      <c r="C309" s="9">
        <v>58</v>
      </c>
      <c r="D309" s="153">
        <v>45231</v>
      </c>
      <c r="E309" s="154">
        <v>58</v>
      </c>
      <c r="F309" s="130"/>
      <c r="G309" s="114">
        <v>5007</v>
      </c>
      <c r="H309" s="130" t="s">
        <v>117</v>
      </c>
      <c r="I309" s="99">
        <v>2400</v>
      </c>
      <c r="J309" s="99"/>
      <c r="K309" s="155"/>
      <c r="L309" s="9">
        <f>ROW()</f>
        <v>309</v>
      </c>
    </row>
    <row r="310" spans="1:12" x14ac:dyDescent="0.25">
      <c r="A310" s="10">
        <f t="shared" si="12"/>
        <v>1</v>
      </c>
      <c r="B310" s="10">
        <f t="shared" si="13"/>
        <v>11</v>
      </c>
      <c r="C310" s="9">
        <v>58</v>
      </c>
      <c r="D310" s="217">
        <v>45231</v>
      </c>
      <c r="E310" s="79">
        <v>58</v>
      </c>
      <c r="F310" s="80"/>
      <c r="G310" s="103">
        <v>1200</v>
      </c>
      <c r="H310" s="45" t="s">
        <v>19</v>
      </c>
      <c r="I310" s="28">
        <v>120</v>
      </c>
      <c r="K310" s="157"/>
      <c r="L310" s="9">
        <f>ROW()</f>
        <v>310</v>
      </c>
    </row>
    <row r="311" spans="1:12" x14ac:dyDescent="0.25">
      <c r="A311" s="10">
        <f t="shared" si="12"/>
        <v>1</v>
      </c>
      <c r="B311" s="10">
        <f t="shared" si="13"/>
        <v>11</v>
      </c>
      <c r="C311" s="9">
        <v>58</v>
      </c>
      <c r="D311" s="156">
        <v>45231</v>
      </c>
      <c r="E311" s="79">
        <v>58</v>
      </c>
      <c r="F311" s="80"/>
      <c r="G311" s="103">
        <v>1201</v>
      </c>
      <c r="H311" s="45" t="s">
        <v>21</v>
      </c>
      <c r="I311" s="28">
        <v>239.4</v>
      </c>
      <c r="K311" s="157"/>
      <c r="L311" s="9">
        <f>ROW()</f>
        <v>311</v>
      </c>
    </row>
    <row r="312" spans="1:12" x14ac:dyDescent="0.25">
      <c r="A312" s="10">
        <f t="shared" si="12"/>
        <v>1</v>
      </c>
      <c r="B312" s="10">
        <f t="shared" si="13"/>
        <v>11</v>
      </c>
      <c r="C312" s="9">
        <v>58</v>
      </c>
      <c r="D312" s="156">
        <v>45231</v>
      </c>
      <c r="E312" s="79">
        <v>58</v>
      </c>
      <c r="F312" s="80"/>
      <c r="G312" s="103">
        <v>1000</v>
      </c>
      <c r="H312" s="45" t="s">
        <v>13</v>
      </c>
      <c r="J312" s="28">
        <v>2759.4</v>
      </c>
      <c r="K312" s="157"/>
      <c r="L312" s="9">
        <f>ROW()</f>
        <v>312</v>
      </c>
    </row>
    <row r="313" spans="1:12" ht="15.75" thickBot="1" x14ac:dyDescent="0.3">
      <c r="A313" s="10">
        <f t="shared" si="12"/>
        <v>1</v>
      </c>
      <c r="B313" s="10">
        <f t="shared" si="13"/>
        <v>11</v>
      </c>
      <c r="C313" s="9">
        <v>58</v>
      </c>
      <c r="D313" s="158">
        <v>45231</v>
      </c>
      <c r="E313" s="159">
        <v>58</v>
      </c>
      <c r="F313" s="160"/>
      <c r="G313" s="161"/>
      <c r="H313" s="165" t="s">
        <v>230</v>
      </c>
      <c r="I313" s="166"/>
      <c r="J313" s="166"/>
      <c r="K313" s="167"/>
      <c r="L313" s="9">
        <f>ROW()</f>
        <v>313</v>
      </c>
    </row>
    <row r="314" spans="1:12" ht="15.75" thickBot="1" x14ac:dyDescent="0.3">
      <c r="A314" s="10">
        <f t="shared" si="12"/>
        <v>1</v>
      </c>
      <c r="B314" s="10">
        <f t="shared" si="13"/>
        <v>11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>
        <f t="shared" si="12"/>
        <v>27</v>
      </c>
      <c r="B315" s="10">
        <f t="shared" si="13"/>
        <v>9</v>
      </c>
      <c r="C315" s="9">
        <v>59</v>
      </c>
      <c r="D315" s="153" t="s">
        <v>232</v>
      </c>
      <c r="E315" s="154">
        <v>59</v>
      </c>
      <c r="F315" s="130"/>
      <c r="G315" s="114">
        <v>5020</v>
      </c>
      <c r="H315" s="130" t="s">
        <v>133</v>
      </c>
      <c r="I315" s="99">
        <v>650</v>
      </c>
      <c r="J315" s="99"/>
      <c r="K315" s="155"/>
      <c r="L315" s="9">
        <f>ROW()</f>
        <v>315</v>
      </c>
    </row>
    <row r="316" spans="1:12" x14ac:dyDescent="0.25">
      <c r="A316" s="10">
        <f t="shared" si="12"/>
        <v>27</v>
      </c>
      <c r="B316" s="10">
        <f t="shared" si="13"/>
        <v>9</v>
      </c>
      <c r="C316" s="9">
        <v>59</v>
      </c>
      <c r="D316" s="156" t="s">
        <v>232</v>
      </c>
      <c r="E316" s="79">
        <v>59</v>
      </c>
      <c r="F316" s="80"/>
      <c r="G316" s="103">
        <v>1200</v>
      </c>
      <c r="H316" s="45" t="s">
        <v>19</v>
      </c>
      <c r="I316" s="28">
        <v>32.5</v>
      </c>
      <c r="K316" s="157"/>
      <c r="L316" s="9">
        <f>ROW()</f>
        <v>316</v>
      </c>
    </row>
    <row r="317" spans="1:12" x14ac:dyDescent="0.25">
      <c r="A317" s="10">
        <f t="shared" si="12"/>
        <v>27</v>
      </c>
      <c r="B317" s="10">
        <f t="shared" si="13"/>
        <v>9</v>
      </c>
      <c r="C317" s="9">
        <v>59</v>
      </c>
      <c r="D317" s="156" t="s">
        <v>232</v>
      </c>
      <c r="E317" s="79">
        <v>59</v>
      </c>
      <c r="F317" s="80"/>
      <c r="G317" s="103">
        <v>1201</v>
      </c>
      <c r="H317" s="45" t="s">
        <v>21</v>
      </c>
      <c r="I317" s="28">
        <v>64.84</v>
      </c>
      <c r="K317" s="157"/>
      <c r="L317" s="9">
        <f>ROW()</f>
        <v>317</v>
      </c>
    </row>
    <row r="318" spans="1:12" x14ac:dyDescent="0.25">
      <c r="A318" s="10">
        <f t="shared" si="12"/>
        <v>27</v>
      </c>
      <c r="B318" s="10">
        <f t="shared" si="13"/>
        <v>9</v>
      </c>
      <c r="C318" s="9">
        <v>59</v>
      </c>
      <c r="D318" s="156" t="s">
        <v>232</v>
      </c>
      <c r="E318" s="79">
        <v>59</v>
      </c>
      <c r="F318" s="80"/>
      <c r="G318" s="103">
        <v>1000</v>
      </c>
      <c r="H318" s="45" t="s">
        <v>13</v>
      </c>
      <c r="J318" s="28">
        <v>747.34</v>
      </c>
      <c r="K318" s="157"/>
      <c r="L318" s="9">
        <f>ROW()</f>
        <v>318</v>
      </c>
    </row>
    <row r="319" spans="1:12" ht="15.75" thickBot="1" x14ac:dyDescent="0.3">
      <c r="A319" s="10">
        <f t="shared" si="12"/>
        <v>27</v>
      </c>
      <c r="B319" s="10">
        <f t="shared" si="13"/>
        <v>9</v>
      </c>
      <c r="C319" s="9">
        <v>59</v>
      </c>
      <c r="D319" s="158" t="s">
        <v>232</v>
      </c>
      <c r="E319" s="159">
        <v>59</v>
      </c>
      <c r="F319" s="160"/>
      <c r="G319" s="161"/>
      <c r="H319" s="165" t="s">
        <v>231</v>
      </c>
      <c r="I319" s="166"/>
      <c r="J319" s="166"/>
      <c r="K319" s="167"/>
      <c r="L319" s="9">
        <f>ROW()</f>
        <v>319</v>
      </c>
    </row>
    <row r="320" spans="1:12" ht="15.75" thickBot="1" x14ac:dyDescent="0.3">
      <c r="A320" s="10">
        <f t="shared" si="12"/>
        <v>27</v>
      </c>
      <c r="B320" s="10">
        <f t="shared" si="13"/>
        <v>9</v>
      </c>
      <c r="C320" s="9">
        <v>59</v>
      </c>
      <c r="D320" s="78" t="s">
        <v>232</v>
      </c>
      <c r="E320" s="79">
        <v>59</v>
      </c>
      <c r="F320" s="80"/>
      <c r="L320" s="9">
        <f>ROW()</f>
        <v>320</v>
      </c>
    </row>
    <row r="321" spans="1:12" x14ac:dyDescent="0.25">
      <c r="A321" s="10">
        <f t="shared" si="12"/>
        <v>14</v>
      </c>
      <c r="B321" s="10">
        <f t="shared" si="13"/>
        <v>10</v>
      </c>
      <c r="C321" s="9">
        <v>60</v>
      </c>
      <c r="D321" s="153" t="s">
        <v>220</v>
      </c>
      <c r="E321" s="154">
        <v>60</v>
      </c>
      <c r="F321" s="130"/>
      <c r="G321" s="114" t="s">
        <v>217</v>
      </c>
      <c r="H321" s="130" t="s">
        <v>218</v>
      </c>
      <c r="I321" s="99">
        <v>129.94999999999999</v>
      </c>
      <c r="J321" s="99"/>
      <c r="K321" s="155"/>
      <c r="L321" s="9">
        <f>ROW()</f>
        <v>321</v>
      </c>
    </row>
    <row r="322" spans="1:12" x14ac:dyDescent="0.25">
      <c r="A322" s="10">
        <f t="shared" si="12"/>
        <v>14</v>
      </c>
      <c r="B322" s="10">
        <f t="shared" si="13"/>
        <v>10</v>
      </c>
      <c r="C322" s="9">
        <v>60</v>
      </c>
      <c r="D322" s="156" t="s">
        <v>220</v>
      </c>
      <c r="E322" s="79">
        <v>60</v>
      </c>
      <c r="F322" s="80"/>
      <c r="G322" s="103">
        <v>1200</v>
      </c>
      <c r="H322" s="45" t="s">
        <v>19</v>
      </c>
      <c r="I322" s="28">
        <v>6.5</v>
      </c>
      <c r="K322" s="157"/>
      <c r="L322" s="9">
        <f>ROW()</f>
        <v>322</v>
      </c>
    </row>
    <row r="323" spans="1:12" x14ac:dyDescent="0.25">
      <c r="A323" s="10">
        <f t="shared" si="12"/>
        <v>14</v>
      </c>
      <c r="B323" s="10">
        <f t="shared" si="13"/>
        <v>10</v>
      </c>
      <c r="C323" s="9">
        <v>60</v>
      </c>
      <c r="D323" s="156" t="s">
        <v>220</v>
      </c>
      <c r="E323" s="79">
        <v>60</v>
      </c>
      <c r="F323" s="80"/>
      <c r="G323" s="103">
        <v>1201</v>
      </c>
      <c r="H323" s="45" t="s">
        <v>21</v>
      </c>
      <c r="I323" s="28">
        <v>12.96</v>
      </c>
      <c r="K323" s="157"/>
      <c r="L323" s="9">
        <f>ROW()</f>
        <v>323</v>
      </c>
    </row>
    <row r="324" spans="1:12" x14ac:dyDescent="0.25">
      <c r="A324" s="10">
        <f t="shared" si="12"/>
        <v>14</v>
      </c>
      <c r="B324" s="10">
        <f t="shared" si="13"/>
        <v>10</v>
      </c>
      <c r="C324" s="9">
        <v>60</v>
      </c>
      <c r="D324" s="156" t="s">
        <v>220</v>
      </c>
      <c r="E324" s="79">
        <v>60</v>
      </c>
      <c r="F324" s="80"/>
      <c r="G324" s="103">
        <v>2000</v>
      </c>
      <c r="H324" s="45" t="s">
        <v>54</v>
      </c>
      <c r="J324" s="28">
        <v>149.41</v>
      </c>
      <c r="K324" s="157" t="s">
        <v>222</v>
      </c>
      <c r="L324" s="9">
        <f>ROW()</f>
        <v>324</v>
      </c>
    </row>
    <row r="325" spans="1:12" ht="15.75" thickBot="1" x14ac:dyDescent="0.3">
      <c r="A325" s="10">
        <f t="shared" si="12"/>
        <v>14</v>
      </c>
      <c r="B325" s="10">
        <f t="shared" si="13"/>
        <v>10</v>
      </c>
      <c r="C325" s="9">
        <v>60</v>
      </c>
      <c r="D325" s="158" t="s">
        <v>220</v>
      </c>
      <c r="E325" s="159">
        <v>60</v>
      </c>
      <c r="F325" s="160"/>
      <c r="G325" s="161"/>
      <c r="H325" s="165" t="s">
        <v>223</v>
      </c>
      <c r="I325" s="166"/>
      <c r="J325" s="166"/>
      <c r="K325" s="167"/>
      <c r="L325" s="9">
        <f>ROW()</f>
        <v>325</v>
      </c>
    </row>
    <row r="326" spans="1:12" ht="15.75" thickBot="1" x14ac:dyDescent="0.3">
      <c r="A326" s="10">
        <f t="shared" si="12"/>
        <v>14</v>
      </c>
      <c r="B326" s="10">
        <f t="shared" si="13"/>
        <v>10</v>
      </c>
      <c r="C326" s="9">
        <v>60</v>
      </c>
      <c r="D326" s="78" t="s">
        <v>220</v>
      </c>
      <c r="E326" s="79">
        <v>60</v>
      </c>
      <c r="F326" s="80"/>
      <c r="L326" s="9">
        <f>ROW()</f>
        <v>326</v>
      </c>
    </row>
    <row r="327" spans="1:12" x14ac:dyDescent="0.25">
      <c r="A327" s="10">
        <f t="shared" ref="A327:A339" si="14">DAY(D327)</f>
        <v>29</v>
      </c>
      <c r="B327" s="10">
        <f t="shared" ref="B327:B339" si="15">MONTH(D327)</f>
        <v>9</v>
      </c>
      <c r="C327" s="9">
        <v>61</v>
      </c>
      <c r="D327" s="153" t="s">
        <v>229</v>
      </c>
      <c r="E327" s="154">
        <v>61</v>
      </c>
      <c r="F327" s="130"/>
      <c r="G327" s="114">
        <v>1100</v>
      </c>
      <c r="H327" s="130" t="s">
        <v>15</v>
      </c>
      <c r="I327" s="99">
        <v>262.44</v>
      </c>
      <c r="J327" s="99"/>
      <c r="K327" s="155"/>
      <c r="L327" s="9">
        <f>ROW()</f>
        <v>327</v>
      </c>
    </row>
    <row r="328" spans="1:12" x14ac:dyDescent="0.25">
      <c r="A328" s="10">
        <f t="shared" si="14"/>
        <v>29</v>
      </c>
      <c r="B328" s="10">
        <f t="shared" si="15"/>
        <v>9</v>
      </c>
      <c r="C328" s="9">
        <v>61</v>
      </c>
      <c r="D328" s="156" t="s">
        <v>229</v>
      </c>
      <c r="E328" s="79">
        <v>61</v>
      </c>
      <c r="F328" s="80"/>
      <c r="G328" s="103">
        <v>4000</v>
      </c>
      <c r="H328" s="45" t="s">
        <v>88</v>
      </c>
      <c r="J328" s="28">
        <v>250</v>
      </c>
      <c r="K328" s="157"/>
      <c r="L328" s="9">
        <f>ROW()</f>
        <v>328</v>
      </c>
    </row>
    <row r="329" spans="1:12" x14ac:dyDescent="0.25">
      <c r="A329" s="10">
        <f t="shared" si="14"/>
        <v>29</v>
      </c>
      <c r="B329" s="10">
        <f t="shared" si="15"/>
        <v>9</v>
      </c>
      <c r="C329" s="9">
        <v>61</v>
      </c>
      <c r="D329" s="156" t="s">
        <v>229</v>
      </c>
      <c r="E329" s="79">
        <v>61</v>
      </c>
      <c r="F329" s="80"/>
      <c r="G329" s="103">
        <v>1202</v>
      </c>
      <c r="H329" s="45" t="s">
        <v>23</v>
      </c>
      <c r="J329" s="28">
        <v>12.5</v>
      </c>
      <c r="K329" s="157"/>
      <c r="L329" s="9">
        <f>ROW()</f>
        <v>329</v>
      </c>
    </row>
    <row r="330" spans="1:12" x14ac:dyDescent="0.25">
      <c r="A330" s="10">
        <f t="shared" si="14"/>
        <v>29</v>
      </c>
      <c r="B330" s="10">
        <f t="shared" si="15"/>
        <v>9</v>
      </c>
      <c r="C330" s="9">
        <v>61</v>
      </c>
      <c r="D330" s="156" t="s">
        <v>229</v>
      </c>
      <c r="E330" s="79">
        <v>61</v>
      </c>
      <c r="F330" s="80"/>
      <c r="G330" s="103">
        <v>1201</v>
      </c>
      <c r="H330" s="45" t="s">
        <v>21</v>
      </c>
      <c r="J330" s="28">
        <v>24.94</v>
      </c>
      <c r="K330" s="157"/>
      <c r="L330" s="9">
        <f>ROW()</f>
        <v>330</v>
      </c>
    </row>
    <row r="331" spans="1:12" x14ac:dyDescent="0.25">
      <c r="A331" s="10">
        <f t="shared" si="14"/>
        <v>29</v>
      </c>
      <c r="B331" s="10">
        <f t="shared" si="15"/>
        <v>9</v>
      </c>
      <c r="C331" s="9">
        <v>61</v>
      </c>
      <c r="D331" s="156" t="s">
        <v>229</v>
      </c>
      <c r="E331" s="79">
        <v>61</v>
      </c>
      <c r="F331" s="80"/>
      <c r="G331" s="103">
        <v>1230</v>
      </c>
      <c r="H331" s="45" t="s">
        <v>33</v>
      </c>
      <c r="I331" s="28">
        <v>25</v>
      </c>
      <c r="K331" s="157"/>
      <c r="L331" s="9">
        <f>ROW()</f>
        <v>331</v>
      </c>
    </row>
    <row r="332" spans="1:12" ht="15.75" thickBot="1" x14ac:dyDescent="0.3">
      <c r="A332" s="10">
        <f t="shared" si="14"/>
        <v>29</v>
      </c>
      <c r="B332" s="10">
        <f t="shared" si="15"/>
        <v>9</v>
      </c>
      <c r="C332" s="9">
        <v>61</v>
      </c>
      <c r="D332" s="158" t="s">
        <v>229</v>
      </c>
      <c r="E332" s="159">
        <v>61</v>
      </c>
      <c r="F332" s="160"/>
      <c r="G332" s="161"/>
      <c r="H332" s="165" t="s">
        <v>228</v>
      </c>
      <c r="I332" s="166"/>
      <c r="J332" s="166"/>
      <c r="K332" s="167"/>
      <c r="L332" s="9">
        <f>ROW()</f>
        <v>332</v>
      </c>
    </row>
    <row r="333" spans="1:12" ht="15.75" thickBot="1" x14ac:dyDescent="0.3">
      <c r="A333" s="10">
        <f t="shared" si="14"/>
        <v>29</v>
      </c>
      <c r="B333" s="10">
        <f t="shared" si="15"/>
        <v>9</v>
      </c>
      <c r="C333" s="9">
        <v>61</v>
      </c>
      <c r="D333" s="78" t="s">
        <v>229</v>
      </c>
      <c r="E333" s="79">
        <v>61</v>
      </c>
      <c r="F333" s="80"/>
      <c r="L333" s="9">
        <f>ROW()</f>
        <v>333</v>
      </c>
    </row>
    <row r="334" spans="1:12" x14ac:dyDescent="0.25">
      <c r="A334" s="10">
        <f t="shared" si="14"/>
        <v>1</v>
      </c>
      <c r="B334" s="10">
        <f t="shared" si="15"/>
        <v>11</v>
      </c>
      <c r="C334" s="9">
        <v>62</v>
      </c>
      <c r="D334" s="153">
        <v>45231</v>
      </c>
      <c r="E334" s="154">
        <v>62</v>
      </c>
      <c r="F334" s="130"/>
      <c r="G334" s="114">
        <v>5007</v>
      </c>
      <c r="H334" s="130" t="s">
        <v>117</v>
      </c>
      <c r="I334" s="99">
        <v>2400</v>
      </c>
      <c r="J334" s="99"/>
      <c r="K334" s="155"/>
      <c r="L334" s="9">
        <f>ROW()</f>
        <v>334</v>
      </c>
    </row>
    <row r="335" spans="1:12" x14ac:dyDescent="0.25">
      <c r="A335" s="10">
        <f t="shared" si="14"/>
        <v>1</v>
      </c>
      <c r="B335" s="10">
        <f t="shared" si="15"/>
        <v>11</v>
      </c>
      <c r="C335" s="9">
        <v>62</v>
      </c>
      <c r="D335" s="156">
        <v>45231</v>
      </c>
      <c r="E335" s="79">
        <v>62</v>
      </c>
      <c r="F335" s="80"/>
      <c r="G335" s="103">
        <v>1200</v>
      </c>
      <c r="H335" s="45" t="s">
        <v>19</v>
      </c>
      <c r="I335" s="28">
        <v>120</v>
      </c>
      <c r="K335" s="157"/>
      <c r="L335" s="9">
        <f>ROW()</f>
        <v>335</v>
      </c>
    </row>
    <row r="336" spans="1:12" x14ac:dyDescent="0.25">
      <c r="A336" s="10">
        <f t="shared" si="14"/>
        <v>1</v>
      </c>
      <c r="B336" s="10">
        <f t="shared" si="15"/>
        <v>11</v>
      </c>
      <c r="C336" s="9">
        <v>62</v>
      </c>
      <c r="D336" s="156">
        <v>45231</v>
      </c>
      <c r="E336" s="79">
        <v>62</v>
      </c>
      <c r="F336" s="80"/>
      <c r="G336" s="103">
        <v>1201</v>
      </c>
      <c r="H336" s="45" t="s">
        <v>21</v>
      </c>
      <c r="I336" s="28">
        <v>239.4</v>
      </c>
      <c r="K336" s="157"/>
      <c r="L336" s="9">
        <f>ROW()</f>
        <v>336</v>
      </c>
    </row>
    <row r="337" spans="1:12" x14ac:dyDescent="0.25">
      <c r="A337" s="10">
        <f t="shared" si="14"/>
        <v>1</v>
      </c>
      <c r="B337" s="10">
        <f t="shared" si="15"/>
        <v>11</v>
      </c>
      <c r="C337" s="9">
        <v>62</v>
      </c>
      <c r="D337" s="156">
        <v>45231</v>
      </c>
      <c r="E337" s="79">
        <v>62</v>
      </c>
      <c r="F337" s="80"/>
      <c r="G337" s="103">
        <v>1000</v>
      </c>
      <c r="H337" s="45" t="s">
        <v>13</v>
      </c>
      <c r="J337" s="28">
        <v>2759.4</v>
      </c>
      <c r="K337" s="157"/>
      <c r="L337" s="9">
        <f>ROW()</f>
        <v>337</v>
      </c>
    </row>
    <row r="338" spans="1:12" ht="15.75" thickBot="1" x14ac:dyDescent="0.3">
      <c r="A338" s="10">
        <f t="shared" si="14"/>
        <v>1</v>
      </c>
      <c r="B338" s="10">
        <f t="shared" si="15"/>
        <v>11</v>
      </c>
      <c r="C338" s="9">
        <v>62</v>
      </c>
      <c r="D338" s="158">
        <v>45231</v>
      </c>
      <c r="E338" s="159">
        <v>62</v>
      </c>
      <c r="F338" s="160"/>
      <c r="G338" s="161"/>
      <c r="H338" s="165" t="s">
        <v>230</v>
      </c>
      <c r="I338" s="166"/>
      <c r="J338" s="166"/>
      <c r="K338" s="167"/>
      <c r="L338" s="9">
        <f>ROW()</f>
        <v>338</v>
      </c>
    </row>
    <row r="339" spans="1:12" ht="15.75" thickBot="1" x14ac:dyDescent="0.3">
      <c r="A339" s="10">
        <f t="shared" si="14"/>
        <v>1</v>
      </c>
      <c r="B339" s="10">
        <f t="shared" si="15"/>
        <v>11</v>
      </c>
      <c r="C339" s="9">
        <v>62</v>
      </c>
      <c r="D339" s="78">
        <v>45231</v>
      </c>
      <c r="E339" s="79">
        <v>62</v>
      </c>
      <c r="F339" s="80"/>
      <c r="L339" s="9">
        <f>ROW()</f>
        <v>339</v>
      </c>
    </row>
    <row r="340" spans="1:12" x14ac:dyDescent="0.25">
      <c r="A340" s="10">
        <f t="shared" ref="A340:A345" si="16">DAY(D340)</f>
        <v>14</v>
      </c>
      <c r="B340" s="10">
        <f t="shared" ref="B340:B345" si="17">MONTH(D340)</f>
        <v>10</v>
      </c>
      <c r="C340" s="9">
        <v>63</v>
      </c>
      <c r="D340" s="153" t="s">
        <v>220</v>
      </c>
      <c r="E340" s="154">
        <v>63</v>
      </c>
      <c r="F340" s="130"/>
      <c r="G340" s="114">
        <v>5007</v>
      </c>
      <c r="H340" s="130" t="s">
        <v>117</v>
      </c>
      <c r="I340" s="99">
        <v>2400</v>
      </c>
      <c r="J340" s="99"/>
      <c r="K340" s="155"/>
      <c r="L340" s="9">
        <f>ROW()</f>
        <v>340</v>
      </c>
    </row>
    <row r="341" spans="1:12" x14ac:dyDescent="0.25">
      <c r="A341" s="10">
        <f t="shared" si="16"/>
        <v>14</v>
      </c>
      <c r="B341" s="10">
        <f t="shared" si="17"/>
        <v>10</v>
      </c>
      <c r="C341" s="9">
        <v>63</v>
      </c>
      <c r="D341" s="156" t="s">
        <v>220</v>
      </c>
      <c r="E341" s="79">
        <v>63</v>
      </c>
      <c r="F341" s="80"/>
      <c r="G341" s="103">
        <v>1200</v>
      </c>
      <c r="H341" s="45" t="s">
        <v>19</v>
      </c>
      <c r="I341" s="28">
        <v>120</v>
      </c>
      <c r="K341" s="157"/>
      <c r="L341" s="9">
        <f>ROW()</f>
        <v>341</v>
      </c>
    </row>
    <row r="342" spans="1:12" x14ac:dyDescent="0.25">
      <c r="A342" s="10">
        <f t="shared" si="16"/>
        <v>14</v>
      </c>
      <c r="B342" s="10">
        <f t="shared" si="17"/>
        <v>10</v>
      </c>
      <c r="C342" s="9">
        <v>63</v>
      </c>
      <c r="D342" s="156" t="s">
        <v>220</v>
      </c>
      <c r="E342" s="79">
        <v>63</v>
      </c>
      <c r="F342" s="80"/>
      <c r="G342" s="103">
        <v>1201</v>
      </c>
      <c r="H342" s="45" t="s">
        <v>21</v>
      </c>
      <c r="I342" s="28">
        <v>239.4</v>
      </c>
      <c r="K342" s="157"/>
      <c r="L342" s="9">
        <f>ROW()</f>
        <v>342</v>
      </c>
    </row>
    <row r="343" spans="1:12" x14ac:dyDescent="0.25">
      <c r="A343" s="10">
        <f t="shared" si="16"/>
        <v>14</v>
      </c>
      <c r="B343" s="10">
        <f t="shared" si="17"/>
        <v>10</v>
      </c>
      <c r="C343" s="9">
        <v>63</v>
      </c>
      <c r="D343" s="156" t="s">
        <v>220</v>
      </c>
      <c r="E343" s="79">
        <v>63</v>
      </c>
      <c r="F343" s="80"/>
      <c r="G343" s="103">
        <v>1000</v>
      </c>
      <c r="H343" s="45" t="s">
        <v>13</v>
      </c>
      <c r="J343" s="28">
        <v>2759.4</v>
      </c>
      <c r="K343" s="157"/>
      <c r="L343" s="9">
        <f>ROW()</f>
        <v>343</v>
      </c>
    </row>
    <row r="344" spans="1:12" ht="15.75" thickBot="1" x14ac:dyDescent="0.3">
      <c r="A344" s="10">
        <f t="shared" si="16"/>
        <v>14</v>
      </c>
      <c r="B344" s="10">
        <f t="shared" si="17"/>
        <v>10</v>
      </c>
      <c r="C344" s="9">
        <v>63</v>
      </c>
      <c r="D344" s="158" t="s">
        <v>220</v>
      </c>
      <c r="E344" s="159">
        <v>63</v>
      </c>
      <c r="F344" s="160"/>
      <c r="G344" s="161"/>
      <c r="H344" s="165" t="s">
        <v>230</v>
      </c>
      <c r="I344" s="166"/>
      <c r="J344" s="166"/>
      <c r="K344" s="167"/>
      <c r="L344" s="9">
        <f>ROW()</f>
        <v>344</v>
      </c>
    </row>
    <row r="345" spans="1:12" x14ac:dyDescent="0.25">
      <c r="A345" s="10">
        <f t="shared" si="16"/>
        <v>14</v>
      </c>
      <c r="B345" s="10">
        <f t="shared" si="17"/>
        <v>10</v>
      </c>
      <c r="C345" s="9">
        <v>63</v>
      </c>
      <c r="D345" s="78" t="s">
        <v>220</v>
      </c>
      <c r="E345" s="79">
        <v>63</v>
      </c>
      <c r="F345" s="80"/>
      <c r="L345" s="9">
        <f>ROW()</f>
        <v>345</v>
      </c>
    </row>
  </sheetData>
  <autoFilter ref="A1:L297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2" t="s">
        <v>208</v>
      </c>
      <c r="B1" s="209">
        <v>6</v>
      </c>
      <c r="C1" s="115"/>
      <c r="D1" s="117" t="s">
        <v>181</v>
      </c>
      <c r="E1" s="137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10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11">
        <v>1000</v>
      </c>
      <c r="E3" s="143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12"/>
      <c r="E4" s="215" t="s">
        <v>186</v>
      </c>
      <c r="F4" s="213"/>
      <c r="G4" s="213"/>
      <c r="H4" s="214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10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221</v>
      </c>
      <c r="L6" s="10">
        <v>5</v>
      </c>
    </row>
    <row r="7" spans="1:12" x14ac:dyDescent="0.25">
      <c r="C7" s="9">
        <v>2</v>
      </c>
      <c r="D7" s="211">
        <v>4000</v>
      </c>
      <c r="E7" s="143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11">
        <v>1202</v>
      </c>
      <c r="E8" s="143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11">
        <v>1201</v>
      </c>
      <c r="E9" s="143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11">
        <v>1230</v>
      </c>
      <c r="E10" s="143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12"/>
      <c r="E11" s="215" t="s">
        <v>213</v>
      </c>
      <c r="F11" s="213"/>
      <c r="G11" s="213"/>
      <c r="H11" s="214"/>
      <c r="I11" s="9">
        <f>ROW()</f>
        <v>11</v>
      </c>
    </row>
    <row r="12" spans="1:12" ht="15.75" thickBot="1" x14ac:dyDescent="0.3">
      <c r="C12" s="9">
        <v>3</v>
      </c>
      <c r="E12" s="216"/>
      <c r="I12" s="9">
        <f>ROW()</f>
        <v>12</v>
      </c>
    </row>
    <row r="13" spans="1:12" x14ac:dyDescent="0.25">
      <c r="C13" s="9">
        <v>3</v>
      </c>
      <c r="D13" s="210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11">
        <v>1200</v>
      </c>
      <c r="E14" s="143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11">
        <v>1201</v>
      </c>
      <c r="E15" s="143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11">
        <v>1000</v>
      </c>
      <c r="E16" s="143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12"/>
      <c r="E17" s="215" t="s">
        <v>212</v>
      </c>
      <c r="F17" s="213"/>
      <c r="G17" s="213"/>
      <c r="H17" s="214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06">
        <v>5020</v>
      </c>
      <c r="E19" s="130" t="s">
        <v>133</v>
      </c>
      <c r="F19" s="99">
        <v>650</v>
      </c>
      <c r="G19" s="99"/>
      <c r="H19" s="155"/>
      <c r="I19" s="9">
        <f>ROW()</f>
        <v>19</v>
      </c>
    </row>
    <row r="20" spans="3:9" x14ac:dyDescent="0.25">
      <c r="C20" s="9">
        <v>4</v>
      </c>
      <c r="D20" s="207">
        <v>1200</v>
      </c>
      <c r="E20" s="45" t="s">
        <v>19</v>
      </c>
      <c r="F20" s="28">
        <v>32.5</v>
      </c>
      <c r="H20" s="157"/>
      <c r="I20" s="9">
        <f>ROW()</f>
        <v>20</v>
      </c>
    </row>
    <row r="21" spans="3:9" x14ac:dyDescent="0.25">
      <c r="C21" s="9">
        <v>4</v>
      </c>
      <c r="D21" s="207">
        <v>1201</v>
      </c>
      <c r="E21" s="45" t="s">
        <v>21</v>
      </c>
      <c r="F21" s="28">
        <v>64.84</v>
      </c>
      <c r="H21" s="157"/>
      <c r="I21" s="9">
        <f>ROW()</f>
        <v>21</v>
      </c>
    </row>
    <row r="22" spans="3:9" x14ac:dyDescent="0.25">
      <c r="C22" s="9">
        <v>4</v>
      </c>
      <c r="D22" s="207">
        <v>1000</v>
      </c>
      <c r="E22" s="45" t="s">
        <v>13</v>
      </c>
      <c r="G22" s="28">
        <v>747.34</v>
      </c>
      <c r="H22" s="157"/>
      <c r="I22" s="9">
        <f>ROW()</f>
        <v>22</v>
      </c>
    </row>
    <row r="23" spans="3:9" ht="15.75" thickBot="1" x14ac:dyDescent="0.3">
      <c r="C23" s="9">
        <v>4</v>
      </c>
      <c r="D23" s="208"/>
      <c r="E23" s="203" t="s">
        <v>214</v>
      </c>
      <c r="F23" s="204"/>
      <c r="G23" s="204"/>
      <c r="H23" s="205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06" t="s">
        <v>217</v>
      </c>
      <c r="E25" s="130" t="s">
        <v>218</v>
      </c>
      <c r="F25" s="99">
        <v>129.94999999999999</v>
      </c>
      <c r="G25" s="99"/>
      <c r="H25" s="155"/>
      <c r="I25" s="9">
        <f>ROW()</f>
        <v>25</v>
      </c>
    </row>
    <row r="26" spans="3:9" x14ac:dyDescent="0.25">
      <c r="C26" s="9">
        <v>5</v>
      </c>
      <c r="D26" s="207">
        <v>1200</v>
      </c>
      <c r="E26" s="45" t="s">
        <v>19</v>
      </c>
      <c r="F26" s="28">
        <v>6.5</v>
      </c>
      <c r="H26" s="157"/>
      <c r="I26" s="9">
        <f>ROW()</f>
        <v>26</v>
      </c>
    </row>
    <row r="27" spans="3:9" x14ac:dyDescent="0.25">
      <c r="C27" s="9">
        <v>5</v>
      </c>
      <c r="D27" s="207">
        <v>1201</v>
      </c>
      <c r="E27" s="45" t="s">
        <v>21</v>
      </c>
      <c r="F27" s="28">
        <v>12.96</v>
      </c>
      <c r="H27" s="157"/>
      <c r="I27" s="9">
        <f>ROW()</f>
        <v>27</v>
      </c>
    </row>
    <row r="28" spans="3:9" x14ac:dyDescent="0.25">
      <c r="C28" s="9">
        <v>5</v>
      </c>
      <c r="D28" s="207">
        <v>2000</v>
      </c>
      <c r="E28" s="45" t="s">
        <v>54</v>
      </c>
      <c r="G28" s="28">
        <v>149.41</v>
      </c>
      <c r="H28" s="157" t="s">
        <v>222</v>
      </c>
      <c r="I28" s="9">
        <f>ROW()</f>
        <v>28</v>
      </c>
    </row>
    <row r="29" spans="3:9" ht="15.75" thickBot="1" x14ac:dyDescent="0.3">
      <c r="C29" s="9">
        <v>5</v>
      </c>
      <c r="D29" s="208"/>
      <c r="E29" s="203" t="s">
        <v>221</v>
      </c>
      <c r="F29" s="204"/>
      <c r="G29" s="204"/>
      <c r="H29" s="205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A1:S67"/>
  <sheetViews>
    <sheetView workbookViewId="0">
      <pane ySplit="3" topLeftCell="A4" activePane="bottomLeft" state="frozen"/>
      <selection pane="bottomLeft" activeCell="O40" sqref="O40"/>
    </sheetView>
  </sheetViews>
  <sheetFormatPr baseColWidth="10" defaultRowHeight="15" x14ac:dyDescent="0.25"/>
  <cols>
    <col min="1" max="1" width="13.85546875" bestFit="1" customWidth="1"/>
    <col min="2" max="2" width="11.42578125" style="10"/>
    <col min="3" max="3" width="3.7109375" style="123" customWidth="1"/>
    <col min="4" max="4" width="11.42578125" style="103"/>
    <col min="5" max="5" width="37.42578125" bestFit="1" customWidth="1"/>
    <col min="6" max="7" width="13.7109375" style="129" customWidth="1"/>
    <col min="8" max="8" width="3.7109375" style="123" customWidth="1"/>
    <col min="9" max="9" width="6.7109375" customWidth="1"/>
    <col min="10" max="10" width="12.7109375" customWidth="1"/>
    <col min="11" max="11" width="3.7109375" customWidth="1"/>
    <col min="12" max="12" width="8.7109375" style="45" customWidth="1"/>
    <col min="13" max="13" width="11.7109375" style="10" customWidth="1"/>
    <col min="14" max="14" width="6.7109375" style="10" customWidth="1"/>
    <col min="15" max="15" width="19.85546875" style="45" bestFit="1" customWidth="1"/>
    <col min="16" max="18" width="12.7109375" style="28" customWidth="1"/>
    <col min="19" max="19" width="42.42578125" bestFit="1" customWidth="1"/>
    <col min="20" max="20" width="5.7109375" customWidth="1"/>
  </cols>
  <sheetData>
    <row r="1" spans="1:19" s="121" customFormat="1" ht="20.100000000000001" customHeight="1" x14ac:dyDescent="0.35">
      <c r="A1" s="219" t="s">
        <v>236</v>
      </c>
      <c r="B1" s="252" t="s">
        <v>239</v>
      </c>
      <c r="C1" s="245" t="s">
        <v>182</v>
      </c>
      <c r="D1" s="245"/>
      <c r="E1" s="245"/>
      <c r="F1" s="245"/>
      <c r="G1" s="245"/>
      <c r="H1" s="245"/>
      <c r="I1" s="244" t="s">
        <v>7</v>
      </c>
      <c r="J1" s="243" t="s">
        <v>239</v>
      </c>
      <c r="L1" s="245" t="s">
        <v>234</v>
      </c>
      <c r="M1" s="245"/>
      <c r="N1" s="245"/>
      <c r="O1" s="245"/>
      <c r="P1" s="245"/>
      <c r="Q1" s="245"/>
      <c r="R1" s="245"/>
      <c r="S1" s="245"/>
    </row>
    <row r="2" spans="1:19" s="121" customFormat="1" ht="20.100000000000001" customHeight="1" x14ac:dyDescent="0.35">
      <c r="A2" s="219" t="s">
        <v>237</v>
      </c>
      <c r="B2" s="173">
        <v>27</v>
      </c>
      <c r="C2" s="246"/>
      <c r="D2" s="247"/>
      <c r="E2" s="246"/>
      <c r="F2" s="248"/>
      <c r="G2" s="248"/>
      <c r="H2" s="246"/>
      <c r="L2" s="253" t="s">
        <v>233</v>
      </c>
      <c r="M2" s="254" t="s">
        <v>141</v>
      </c>
      <c r="N2" s="255" t="s">
        <v>240</v>
      </c>
      <c r="O2" s="254" t="s">
        <v>0</v>
      </c>
      <c r="P2" s="254" t="s">
        <v>2</v>
      </c>
      <c r="Q2" s="254" t="s">
        <v>3</v>
      </c>
      <c r="R2" s="256" t="s">
        <v>235</v>
      </c>
      <c r="S2" s="257" t="s">
        <v>173</v>
      </c>
    </row>
    <row r="3" spans="1:19" ht="15" customHeight="1" x14ac:dyDescent="0.35">
      <c r="C3" s="246"/>
      <c r="D3" s="249" t="s">
        <v>181</v>
      </c>
      <c r="E3" s="250" t="s">
        <v>10</v>
      </c>
      <c r="F3" s="251" t="s">
        <v>2</v>
      </c>
      <c r="G3" s="251" t="s">
        <v>3</v>
      </c>
      <c r="H3" s="246"/>
      <c r="L3" s="258"/>
      <c r="M3" s="259"/>
      <c r="N3" s="259"/>
      <c r="O3" s="258"/>
      <c r="P3" s="260"/>
      <c r="Q3" s="260"/>
      <c r="R3" s="260"/>
      <c r="S3" s="261"/>
    </row>
    <row r="4" spans="1:19" ht="15.75" x14ac:dyDescent="0.25">
      <c r="D4" t="s">
        <v>12</v>
      </c>
      <c r="E4" t="s">
        <v>13</v>
      </c>
      <c r="F4" s="151">
        <v>33557.379999999997</v>
      </c>
      <c r="G4"/>
      <c r="J4" s="192"/>
      <c r="L4" s="262" t="s">
        <v>238</v>
      </c>
      <c r="M4" s="259"/>
      <c r="N4" s="259"/>
      <c r="O4" s="258"/>
      <c r="P4" s="260"/>
      <c r="Q4" s="260"/>
      <c r="R4" s="263">
        <v>0</v>
      </c>
      <c r="S4" s="261"/>
    </row>
    <row r="5" spans="1:19" x14ac:dyDescent="0.25">
      <c r="D5" t="s">
        <v>14</v>
      </c>
      <c r="E5" t="s">
        <v>15</v>
      </c>
      <c r="F5" s="151">
        <v>4453.2700000000004</v>
      </c>
      <c r="G5"/>
      <c r="L5" s="258"/>
      <c r="M5" s="264">
        <v>45056</v>
      </c>
      <c r="N5" s="259">
        <v>26</v>
      </c>
      <c r="O5" s="258" t="s">
        <v>175</v>
      </c>
      <c r="P5" s="260">
        <v>25</v>
      </c>
      <c r="Q5" s="260"/>
      <c r="R5" s="260"/>
      <c r="S5" s="261"/>
    </row>
    <row r="6" spans="1:19" x14ac:dyDescent="0.25">
      <c r="D6" t="s">
        <v>18</v>
      </c>
      <c r="E6" t="s">
        <v>19</v>
      </c>
      <c r="F6" s="151">
        <v>546.6</v>
      </c>
      <c r="G6"/>
      <c r="L6" s="258"/>
      <c r="M6" s="264">
        <v>45087</v>
      </c>
      <c r="N6" s="259">
        <v>29</v>
      </c>
      <c r="O6" s="258" t="s">
        <v>180</v>
      </c>
      <c r="P6" s="260"/>
      <c r="Q6" s="260">
        <v>13</v>
      </c>
      <c r="R6" s="260"/>
      <c r="S6" s="261"/>
    </row>
    <row r="7" spans="1:19" x14ac:dyDescent="0.25">
      <c r="D7" t="s">
        <v>20</v>
      </c>
      <c r="E7" t="s">
        <v>21</v>
      </c>
      <c r="F7" s="151">
        <v>966.42</v>
      </c>
      <c r="G7"/>
      <c r="L7" s="258"/>
      <c r="M7" s="264">
        <v>45148</v>
      </c>
      <c r="N7" s="259">
        <v>27</v>
      </c>
      <c r="O7" s="258" t="s">
        <v>175</v>
      </c>
      <c r="P7" s="260">
        <v>25</v>
      </c>
      <c r="Q7" s="260"/>
      <c r="R7" s="260"/>
      <c r="S7" s="261"/>
    </row>
    <row r="8" spans="1:19" x14ac:dyDescent="0.25">
      <c r="D8" t="s">
        <v>22</v>
      </c>
      <c r="E8" t="s">
        <v>23</v>
      </c>
      <c r="F8"/>
      <c r="G8" s="151">
        <v>1336.74</v>
      </c>
      <c r="L8" s="258"/>
      <c r="M8" s="264" t="s">
        <v>227</v>
      </c>
      <c r="N8" s="259">
        <v>56</v>
      </c>
      <c r="O8" s="258"/>
      <c r="P8" s="260">
        <v>29.95</v>
      </c>
      <c r="Q8" s="260"/>
      <c r="R8" s="260"/>
      <c r="S8" s="261"/>
    </row>
    <row r="9" spans="1:19" x14ac:dyDescent="0.25">
      <c r="D9" t="s">
        <v>24</v>
      </c>
      <c r="E9" t="s">
        <v>25</v>
      </c>
      <c r="F9"/>
      <c r="G9" s="151">
        <v>2591.96</v>
      </c>
      <c r="L9" s="258"/>
      <c r="M9" s="264">
        <v>45203</v>
      </c>
      <c r="N9" s="259">
        <v>15</v>
      </c>
      <c r="O9" s="258" t="s">
        <v>162</v>
      </c>
      <c r="P9" s="260"/>
      <c r="Q9" s="260">
        <v>75</v>
      </c>
      <c r="R9" s="260"/>
      <c r="S9" s="261"/>
    </row>
    <row r="10" spans="1:19" x14ac:dyDescent="0.25">
      <c r="D10" t="s">
        <v>32</v>
      </c>
      <c r="E10" t="s">
        <v>33</v>
      </c>
      <c r="F10" s="151">
        <v>7130</v>
      </c>
      <c r="G10"/>
      <c r="L10" s="258"/>
      <c r="M10" s="264">
        <v>45204</v>
      </c>
      <c r="N10" s="259">
        <v>14</v>
      </c>
      <c r="O10" s="258" t="s">
        <v>161</v>
      </c>
      <c r="P10" s="260"/>
      <c r="Q10" s="260">
        <v>5</v>
      </c>
      <c r="R10" s="260"/>
      <c r="S10" s="261"/>
    </row>
    <row r="11" spans="1:19" x14ac:dyDescent="0.25">
      <c r="D11" t="s">
        <v>34</v>
      </c>
      <c r="E11" t="s">
        <v>35</v>
      </c>
      <c r="F11" s="151">
        <v>3995.99</v>
      </c>
      <c r="G11"/>
      <c r="L11" s="258"/>
      <c r="M11" s="264">
        <v>45208</v>
      </c>
      <c r="N11" s="259">
        <v>30</v>
      </c>
      <c r="O11" s="258" t="s">
        <v>185</v>
      </c>
      <c r="P11" s="260"/>
      <c r="Q11" s="260">
        <v>333</v>
      </c>
      <c r="R11" s="260"/>
      <c r="S11" s="261"/>
    </row>
    <row r="12" spans="1:19" x14ac:dyDescent="0.25">
      <c r="D12" t="s">
        <v>53</v>
      </c>
      <c r="E12" t="s">
        <v>54</v>
      </c>
      <c r="F12"/>
      <c r="G12" s="151">
        <v>5727.15</v>
      </c>
      <c r="L12" s="258"/>
      <c r="M12" s="264">
        <v>45210</v>
      </c>
      <c r="N12" s="259">
        <v>32</v>
      </c>
      <c r="O12" s="258" t="s">
        <v>172</v>
      </c>
      <c r="P12" s="260">
        <v>24.99</v>
      </c>
      <c r="Q12" s="260"/>
      <c r="R12" s="260"/>
      <c r="S12" s="261"/>
    </row>
    <row r="13" spans="1:19" x14ac:dyDescent="0.25">
      <c r="D13" t="s">
        <v>57</v>
      </c>
      <c r="E13" t="s">
        <v>58</v>
      </c>
      <c r="F13"/>
      <c r="G13" s="151">
        <v>25000</v>
      </c>
      <c r="L13" s="258"/>
      <c r="M13" s="264">
        <v>45211</v>
      </c>
      <c r="N13" s="259">
        <v>31</v>
      </c>
      <c r="O13" s="258" t="s">
        <v>186</v>
      </c>
      <c r="P13" s="260">
        <v>15.91</v>
      </c>
      <c r="Q13" s="260"/>
      <c r="R13" s="260"/>
      <c r="S13" s="261"/>
    </row>
    <row r="14" spans="1:19" x14ac:dyDescent="0.25">
      <c r="D14" t="s">
        <v>84</v>
      </c>
      <c r="E14" t="s">
        <v>85</v>
      </c>
      <c r="F14" s="151">
        <v>15000</v>
      </c>
      <c r="G14"/>
      <c r="L14" s="258"/>
      <c r="M14" s="264">
        <v>45211</v>
      </c>
      <c r="N14" s="259">
        <v>41</v>
      </c>
      <c r="O14" s="258" t="s">
        <v>200</v>
      </c>
      <c r="P14" s="260">
        <v>19.95</v>
      </c>
      <c r="Q14" s="260"/>
      <c r="R14" s="260"/>
      <c r="S14" s="261"/>
    </row>
    <row r="15" spans="1:19" x14ac:dyDescent="0.25">
      <c r="D15" t="s">
        <v>87</v>
      </c>
      <c r="E15" t="s">
        <v>88</v>
      </c>
      <c r="F15"/>
      <c r="G15" s="151">
        <v>31300</v>
      </c>
      <c r="L15" s="258"/>
      <c r="M15" s="264">
        <v>45211</v>
      </c>
      <c r="N15" s="259">
        <v>44</v>
      </c>
      <c r="O15" s="258" t="s">
        <v>187</v>
      </c>
      <c r="P15" s="260">
        <v>29.88</v>
      </c>
      <c r="Q15" s="260"/>
      <c r="R15" s="260"/>
      <c r="S15" s="261"/>
    </row>
    <row r="16" spans="1:19" x14ac:dyDescent="0.25">
      <c r="D16" t="s">
        <v>89</v>
      </c>
      <c r="E16" t="s">
        <v>90</v>
      </c>
      <c r="F16"/>
      <c r="G16" s="151">
        <v>9.99</v>
      </c>
      <c r="L16" s="258"/>
      <c r="M16" s="264">
        <v>45211</v>
      </c>
      <c r="N16" s="259">
        <v>46</v>
      </c>
      <c r="O16" s="258" t="s">
        <v>206</v>
      </c>
      <c r="P16" s="260">
        <v>9.9499999999999993</v>
      </c>
      <c r="Q16" s="260"/>
      <c r="R16" s="260"/>
      <c r="S16" s="261"/>
    </row>
    <row r="17" spans="4:19" x14ac:dyDescent="0.25">
      <c r="D17" t="s">
        <v>93</v>
      </c>
      <c r="E17" t="s">
        <v>94</v>
      </c>
      <c r="F17"/>
      <c r="G17" s="151">
        <v>12</v>
      </c>
      <c r="L17" s="258"/>
      <c r="M17" s="264">
        <v>45211</v>
      </c>
      <c r="N17" s="259">
        <v>47</v>
      </c>
      <c r="O17" s="258"/>
      <c r="P17" s="260">
        <v>29.95</v>
      </c>
      <c r="Q17" s="260"/>
      <c r="R17" s="260"/>
      <c r="S17" s="261"/>
    </row>
    <row r="18" spans="4:19" x14ac:dyDescent="0.25">
      <c r="D18" t="s">
        <v>106</v>
      </c>
      <c r="E18" t="s">
        <v>107</v>
      </c>
      <c r="F18" s="151">
        <v>404.95</v>
      </c>
      <c r="G18"/>
      <c r="L18" s="258"/>
      <c r="M18" s="264">
        <v>45212</v>
      </c>
      <c r="N18" s="259">
        <v>35</v>
      </c>
      <c r="O18" s="258" t="s">
        <v>172</v>
      </c>
      <c r="P18" s="260"/>
      <c r="Q18" s="260">
        <v>25.99</v>
      </c>
      <c r="R18" s="260"/>
      <c r="S18" s="261"/>
    </row>
    <row r="19" spans="4:19" x14ac:dyDescent="0.25">
      <c r="D19" t="s">
        <v>114</v>
      </c>
      <c r="E19" t="s">
        <v>115</v>
      </c>
      <c r="F19" s="151">
        <v>226.1</v>
      </c>
      <c r="G19"/>
      <c r="L19" s="258"/>
      <c r="M19" s="264">
        <v>45212</v>
      </c>
      <c r="N19" s="259">
        <v>51</v>
      </c>
      <c r="O19" s="258" t="s">
        <v>216</v>
      </c>
      <c r="P19" s="260">
        <v>29.95</v>
      </c>
      <c r="Q19" s="260"/>
      <c r="R19" s="260"/>
      <c r="S19" s="261"/>
    </row>
    <row r="20" spans="4:19" x14ac:dyDescent="0.25">
      <c r="D20" t="s">
        <v>116</v>
      </c>
      <c r="E20" t="s">
        <v>117</v>
      </c>
      <c r="F20" s="151">
        <v>4800</v>
      </c>
      <c r="G20"/>
      <c r="L20" s="258"/>
      <c r="M20" s="264">
        <v>45213</v>
      </c>
      <c r="N20" s="259">
        <v>33</v>
      </c>
      <c r="O20" s="258" t="s">
        <v>189</v>
      </c>
      <c r="P20" s="260"/>
      <c r="Q20" s="260">
        <v>5000</v>
      </c>
      <c r="R20" s="260"/>
      <c r="S20" s="261" t="s">
        <v>190</v>
      </c>
    </row>
    <row r="21" spans="4:19" x14ac:dyDescent="0.25">
      <c r="D21" t="s">
        <v>217</v>
      </c>
      <c r="E21" t="s">
        <v>218</v>
      </c>
      <c r="F21" s="151">
        <v>649.75</v>
      </c>
      <c r="G21"/>
      <c r="L21" s="258"/>
      <c r="M21" s="264">
        <v>45213</v>
      </c>
      <c r="N21" s="259">
        <v>34</v>
      </c>
      <c r="O21" s="258" t="s">
        <v>172</v>
      </c>
      <c r="P21" s="260"/>
      <c r="Q21" s="260">
        <v>2000</v>
      </c>
      <c r="R21" s="260"/>
      <c r="S21" s="261"/>
    </row>
    <row r="22" spans="4:19" x14ac:dyDescent="0.25">
      <c r="D22" t="s">
        <v>118</v>
      </c>
      <c r="E22" t="s">
        <v>119</v>
      </c>
      <c r="F22"/>
      <c r="G22" s="151">
        <v>275</v>
      </c>
      <c r="L22" s="258"/>
      <c r="M22" s="264">
        <v>45213</v>
      </c>
      <c r="N22" s="259">
        <v>43</v>
      </c>
      <c r="O22" s="258" t="s">
        <v>203</v>
      </c>
      <c r="P22" s="260">
        <v>29.95</v>
      </c>
      <c r="Q22" s="260"/>
      <c r="R22" s="260"/>
      <c r="S22" s="261"/>
    </row>
    <row r="23" spans="4:19" x14ac:dyDescent="0.25">
      <c r="D23" t="s">
        <v>120</v>
      </c>
      <c r="E23" t="s">
        <v>121</v>
      </c>
      <c r="F23"/>
      <c r="G23" s="151">
        <v>355</v>
      </c>
      <c r="L23" s="258"/>
      <c r="M23" s="264">
        <v>45214</v>
      </c>
      <c r="N23" s="259">
        <v>38</v>
      </c>
      <c r="O23" s="258" t="s">
        <v>196</v>
      </c>
      <c r="P23" s="260">
        <v>19.95</v>
      </c>
      <c r="Q23" s="260"/>
      <c r="R23" s="260"/>
      <c r="S23" s="261"/>
    </row>
    <row r="24" spans="4:19" x14ac:dyDescent="0.25">
      <c r="D24" t="s">
        <v>122</v>
      </c>
      <c r="E24" t="s">
        <v>123</v>
      </c>
      <c r="F24"/>
      <c r="G24" s="151">
        <v>102</v>
      </c>
      <c r="L24" s="258"/>
      <c r="M24" s="264">
        <v>45230</v>
      </c>
      <c r="N24" s="259">
        <v>22</v>
      </c>
      <c r="O24" s="258" t="s">
        <v>169</v>
      </c>
      <c r="P24" s="260">
        <v>25.99</v>
      </c>
      <c r="Q24" s="260"/>
      <c r="R24" s="260"/>
      <c r="S24" s="261" t="s">
        <v>171</v>
      </c>
    </row>
    <row r="25" spans="4:19" x14ac:dyDescent="0.25">
      <c r="D25" t="s">
        <v>124</v>
      </c>
      <c r="E25" t="s">
        <v>125</v>
      </c>
      <c r="F25" s="151">
        <v>795</v>
      </c>
      <c r="G25"/>
      <c r="L25" s="258"/>
      <c r="M25" s="264">
        <v>45230</v>
      </c>
      <c r="N25" s="259">
        <v>25</v>
      </c>
      <c r="O25" s="258" t="s">
        <v>175</v>
      </c>
      <c r="P25" s="260">
        <v>19.95</v>
      </c>
      <c r="Q25" s="260"/>
      <c r="R25" s="260"/>
      <c r="S25" s="261"/>
    </row>
    <row r="26" spans="4:19" x14ac:dyDescent="0.25">
      <c r="D26" t="s">
        <v>126</v>
      </c>
      <c r="E26" t="s">
        <v>127</v>
      </c>
      <c r="F26"/>
      <c r="G26" s="151">
        <v>7115.62</v>
      </c>
      <c r="L26" s="258"/>
      <c r="M26" s="264"/>
      <c r="N26" s="259"/>
      <c r="O26" s="258"/>
      <c r="P26" s="260"/>
      <c r="Q26" s="260"/>
      <c r="R26" s="260"/>
      <c r="S26" s="261"/>
    </row>
    <row r="27" spans="4:19" x14ac:dyDescent="0.25">
      <c r="D27" t="s">
        <v>132</v>
      </c>
      <c r="E27" t="s">
        <v>133</v>
      </c>
      <c r="F27" s="151">
        <v>1300</v>
      </c>
      <c r="G27"/>
      <c r="L27" s="258"/>
      <c r="M27" s="264"/>
      <c r="N27" s="259"/>
      <c r="O27" s="258"/>
      <c r="P27" s="260"/>
      <c r="Q27" s="260"/>
      <c r="R27" s="260"/>
      <c r="S27" s="261"/>
    </row>
    <row r="28" spans="4:19" x14ac:dyDescent="0.25">
      <c r="D28"/>
      <c r="F28"/>
      <c r="G28"/>
      <c r="L28" s="258"/>
      <c r="M28" s="264"/>
      <c r="N28" s="259"/>
      <c r="O28" s="258"/>
      <c r="P28" s="260"/>
      <c r="Q28" s="260"/>
      <c r="R28" s="260"/>
      <c r="S28" s="261"/>
    </row>
    <row r="29" spans="4:19" ht="15.75" thickBot="1" x14ac:dyDescent="0.3">
      <c r="D29"/>
      <c r="F29" s="152">
        <f>SUM(F4:F28)</f>
        <v>73825.459999999992</v>
      </c>
      <c r="G29" s="152">
        <f>SUM(G4:G28)</f>
        <v>73825.460000000006</v>
      </c>
      <c r="L29" s="258"/>
      <c r="M29" s="264"/>
      <c r="N29" s="259"/>
      <c r="O29" s="258"/>
      <c r="P29" s="260"/>
      <c r="Q29" s="260"/>
      <c r="R29" s="260"/>
      <c r="S29" s="261"/>
    </row>
    <row r="30" spans="4:19" x14ac:dyDescent="0.25">
      <c r="D30"/>
      <c r="F30"/>
      <c r="G30"/>
      <c r="L30" s="258"/>
      <c r="M30" s="264"/>
      <c r="N30" s="259"/>
      <c r="O30" s="258"/>
      <c r="P30" s="260"/>
      <c r="Q30" s="260"/>
      <c r="R30" s="260"/>
      <c r="S30" s="261"/>
    </row>
    <row r="31" spans="4:19" x14ac:dyDescent="0.25">
      <c r="D31"/>
      <c r="F31"/>
      <c r="G31"/>
      <c r="L31" s="258"/>
      <c r="M31" s="264"/>
      <c r="N31" s="259"/>
      <c r="O31" s="258"/>
      <c r="P31" s="260"/>
      <c r="Q31" s="260"/>
      <c r="R31" s="260"/>
      <c r="S31" s="261"/>
    </row>
    <row r="32" spans="4:19" x14ac:dyDescent="0.25">
      <c r="D32"/>
      <c r="F32"/>
      <c r="G32"/>
      <c r="L32" s="258"/>
      <c r="M32" s="264"/>
      <c r="N32" s="259"/>
      <c r="O32" s="258"/>
      <c r="P32" s="260"/>
      <c r="Q32" s="260"/>
      <c r="R32" s="260"/>
      <c r="S32" s="261"/>
    </row>
    <row r="33" spans="4:19" x14ac:dyDescent="0.25">
      <c r="D33"/>
      <c r="F33"/>
      <c r="G33"/>
      <c r="L33" s="258"/>
      <c r="M33" s="264"/>
      <c r="N33" s="259"/>
      <c r="O33" s="258"/>
      <c r="P33" s="260"/>
      <c r="Q33" s="260"/>
      <c r="R33" s="260"/>
      <c r="S33" s="261"/>
    </row>
    <row r="34" spans="4:19" x14ac:dyDescent="0.25">
      <c r="D34"/>
      <c r="F34"/>
      <c r="G34"/>
      <c r="L34" s="258"/>
      <c r="M34" s="264"/>
      <c r="N34" s="259"/>
      <c r="O34" s="258"/>
      <c r="P34" s="260"/>
      <c r="Q34" s="260"/>
      <c r="R34" s="260"/>
      <c r="S34" s="261"/>
    </row>
    <row r="35" spans="4:19" x14ac:dyDescent="0.25">
      <c r="D35"/>
      <c r="F35"/>
      <c r="G35"/>
      <c r="L35" s="258"/>
      <c r="M35" s="264"/>
      <c r="N35" s="259"/>
      <c r="O35" s="258"/>
      <c r="P35" s="260"/>
      <c r="Q35" s="260"/>
      <c r="R35" s="260"/>
      <c r="S35" s="261"/>
    </row>
    <row r="36" spans="4:19" x14ac:dyDescent="0.25">
      <c r="D36"/>
      <c r="F36"/>
      <c r="G36"/>
      <c r="L36" s="258"/>
      <c r="M36" s="264"/>
      <c r="N36" s="259"/>
      <c r="O36" s="258"/>
      <c r="P36" s="260"/>
      <c r="Q36" s="260"/>
      <c r="R36" s="260"/>
      <c r="S36" s="261"/>
    </row>
    <row r="37" spans="4:19" x14ac:dyDescent="0.25">
      <c r="D37"/>
      <c r="F37"/>
      <c r="G37"/>
      <c r="L37" s="258"/>
      <c r="M37" s="264"/>
      <c r="N37" s="259"/>
      <c r="O37" s="258"/>
      <c r="P37" s="260"/>
      <c r="Q37" s="260"/>
      <c r="R37" s="260"/>
      <c r="S37" s="261"/>
    </row>
    <row r="38" spans="4:19" x14ac:dyDescent="0.25">
      <c r="D38"/>
      <c r="F38"/>
      <c r="G38"/>
      <c r="L38" s="258"/>
      <c r="M38" s="264"/>
      <c r="N38" s="259"/>
      <c r="O38" s="258"/>
      <c r="P38" s="260"/>
      <c r="Q38" s="260"/>
      <c r="R38" s="260"/>
      <c r="S38" s="261"/>
    </row>
    <row r="39" spans="4:19" x14ac:dyDescent="0.25">
      <c r="D39"/>
      <c r="F39"/>
      <c r="G39"/>
      <c r="L39" s="258"/>
      <c r="M39" s="264"/>
      <c r="N39" s="259"/>
      <c r="O39" s="258"/>
      <c r="P39" s="260"/>
      <c r="Q39" s="260"/>
      <c r="R39" s="260"/>
      <c r="S39" s="261"/>
    </row>
    <row r="40" spans="4:19" x14ac:dyDescent="0.25">
      <c r="D40"/>
      <c r="F40"/>
      <c r="G40"/>
      <c r="L40" s="258"/>
      <c r="M40" s="264"/>
      <c r="N40" s="259"/>
      <c r="O40" s="258"/>
      <c r="P40" s="260"/>
      <c r="Q40" s="260"/>
      <c r="R40" s="260"/>
      <c r="S40" s="261"/>
    </row>
    <row r="41" spans="4:19" x14ac:dyDescent="0.25">
      <c r="D41"/>
      <c r="F41"/>
      <c r="G41"/>
      <c r="L41" s="258"/>
      <c r="M41" s="264"/>
      <c r="N41" s="259"/>
      <c r="O41" s="258"/>
      <c r="P41" s="260"/>
      <c r="Q41" s="260"/>
      <c r="R41" s="260"/>
      <c r="S41" s="261"/>
    </row>
    <row r="42" spans="4:19" x14ac:dyDescent="0.25">
      <c r="D42"/>
      <c r="F42"/>
      <c r="G42"/>
      <c r="L42" s="258"/>
      <c r="M42" s="264"/>
      <c r="N42" s="259"/>
      <c r="O42" s="258"/>
      <c r="P42" s="260"/>
      <c r="Q42" s="260"/>
      <c r="R42" s="260"/>
      <c r="S42" s="261"/>
    </row>
    <row r="43" spans="4:19" x14ac:dyDescent="0.25">
      <c r="D43"/>
      <c r="F43"/>
      <c r="G43"/>
      <c r="L43" s="258"/>
      <c r="M43" s="264"/>
      <c r="N43" s="259"/>
      <c r="O43" s="258"/>
      <c r="P43" s="260"/>
      <c r="Q43" s="260"/>
      <c r="R43" s="260"/>
      <c r="S43" s="261"/>
    </row>
    <row r="44" spans="4:19" x14ac:dyDescent="0.25">
      <c r="D44"/>
      <c r="F44"/>
      <c r="G44"/>
      <c r="L44" s="258"/>
      <c r="M44" s="264"/>
      <c r="N44" s="259"/>
      <c r="O44" s="258"/>
      <c r="P44" s="260"/>
      <c r="Q44" s="260"/>
      <c r="R44" s="260"/>
      <c r="S44" s="261"/>
    </row>
    <row r="45" spans="4:19" x14ac:dyDescent="0.25">
      <c r="D45"/>
      <c r="F45"/>
      <c r="G45"/>
      <c r="L45" s="258"/>
      <c r="M45" s="264"/>
      <c r="N45" s="259"/>
      <c r="O45" s="258"/>
      <c r="P45" s="260"/>
      <c r="Q45" s="260"/>
      <c r="R45" s="260"/>
      <c r="S45" s="261"/>
    </row>
    <row r="46" spans="4:19" x14ac:dyDescent="0.25">
      <c r="D46"/>
      <c r="F46"/>
      <c r="G46"/>
      <c r="L46" s="265"/>
      <c r="M46" s="266"/>
      <c r="N46" s="266"/>
      <c r="O46" s="265"/>
      <c r="P46" s="267"/>
      <c r="Q46" s="267"/>
      <c r="R46" s="267"/>
      <c r="S46" s="268"/>
    </row>
    <row r="47" spans="4:19" x14ac:dyDescent="0.25">
      <c r="D47"/>
      <c r="F47"/>
      <c r="G47"/>
      <c r="L47" s="265"/>
      <c r="M47" s="266"/>
      <c r="N47" s="266"/>
      <c r="O47" s="265"/>
      <c r="P47" s="267"/>
      <c r="Q47" s="267"/>
      <c r="R47" s="267"/>
      <c r="S47" s="268"/>
    </row>
    <row r="48" spans="4:19" x14ac:dyDescent="0.25">
      <c r="D48"/>
      <c r="F48"/>
      <c r="G48"/>
      <c r="L48" s="265"/>
      <c r="M48" s="266"/>
      <c r="N48" s="266"/>
      <c r="O48" s="265"/>
      <c r="P48" s="267"/>
      <c r="Q48" s="267"/>
      <c r="R48" s="267"/>
      <c r="S48" s="268"/>
    </row>
    <row r="49" spans="4:19" x14ac:dyDescent="0.25">
      <c r="D49"/>
      <c r="F49"/>
      <c r="G49"/>
      <c r="L49" s="265"/>
      <c r="M49" s="266"/>
      <c r="N49" s="266"/>
      <c r="O49" s="265"/>
      <c r="P49" s="267"/>
      <c r="Q49" s="267"/>
      <c r="R49" s="267"/>
      <c r="S49" s="268"/>
    </row>
    <row r="50" spans="4:19" x14ac:dyDescent="0.25">
      <c r="D50"/>
      <c r="F50"/>
      <c r="G50"/>
      <c r="L50" s="265"/>
      <c r="M50" s="266"/>
      <c r="N50" s="266"/>
      <c r="O50" s="265"/>
      <c r="P50" s="267"/>
      <c r="Q50" s="267"/>
      <c r="R50" s="267"/>
      <c r="S50" s="268"/>
    </row>
    <row r="51" spans="4:19" x14ac:dyDescent="0.25">
      <c r="D51"/>
      <c r="F51"/>
      <c r="G51"/>
      <c r="L51" s="265"/>
      <c r="M51" s="266"/>
      <c r="N51" s="266"/>
      <c r="O51" s="265"/>
      <c r="P51" s="267"/>
      <c r="Q51" s="267"/>
      <c r="R51" s="267"/>
      <c r="S51" s="268"/>
    </row>
    <row r="52" spans="4:19" x14ac:dyDescent="0.25">
      <c r="D52"/>
      <c r="F52"/>
      <c r="G52"/>
      <c r="L52" s="265"/>
      <c r="M52" s="266"/>
      <c r="N52" s="266"/>
      <c r="O52" s="265"/>
      <c r="P52" s="267"/>
      <c r="Q52" s="267"/>
      <c r="R52" s="267"/>
      <c r="S52" s="268"/>
    </row>
    <row r="53" spans="4:19" x14ac:dyDescent="0.25">
      <c r="D53"/>
      <c r="F53"/>
      <c r="G53"/>
    </row>
    <row r="54" spans="4:19" x14ac:dyDescent="0.25">
      <c r="D54"/>
      <c r="F54"/>
      <c r="G54"/>
    </row>
    <row r="55" spans="4:19" x14ac:dyDescent="0.25">
      <c r="D55"/>
      <c r="F55"/>
      <c r="G55"/>
    </row>
    <row r="56" spans="4:19" x14ac:dyDescent="0.25">
      <c r="D56"/>
      <c r="F56"/>
      <c r="G56"/>
    </row>
    <row r="57" spans="4:19" x14ac:dyDescent="0.25">
      <c r="D57"/>
      <c r="F57"/>
      <c r="G57"/>
    </row>
    <row r="58" spans="4:19" x14ac:dyDescent="0.25">
      <c r="D58"/>
      <c r="F58"/>
      <c r="G58"/>
    </row>
    <row r="59" spans="4:19" x14ac:dyDescent="0.25">
      <c r="D59"/>
      <c r="F59"/>
      <c r="G59"/>
    </row>
    <row r="60" spans="4:19" x14ac:dyDescent="0.25">
      <c r="D60"/>
      <c r="F60"/>
      <c r="G60"/>
    </row>
    <row r="61" spans="4:19" x14ac:dyDescent="0.25">
      <c r="D61"/>
      <c r="F61"/>
      <c r="G61"/>
    </row>
    <row r="62" spans="4:19" x14ac:dyDescent="0.25">
      <c r="D62"/>
      <c r="F62"/>
      <c r="G62"/>
    </row>
    <row r="63" spans="4:19" x14ac:dyDescent="0.25">
      <c r="D63"/>
      <c r="F63"/>
      <c r="G63"/>
    </row>
    <row r="64" spans="4:19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  <row r="67" spans="4:7" x14ac:dyDescent="0.25">
      <c r="D67"/>
      <c r="F67"/>
      <c r="G67"/>
    </row>
  </sheetData>
  <sortState xmlns:xlrd2="http://schemas.microsoft.com/office/spreadsheetml/2017/richdata2" ref="M5:S25">
    <sortCondition ref="M5:M8"/>
    <sortCondition ref="N5:N8"/>
    <sortCondition ref="M5:M25"/>
    <sortCondition ref="N5:N25"/>
    <sortCondition ref="M5:M25"/>
    <sortCondition ref="N5:N25"/>
  </sortState>
  <mergeCells count="2">
    <mergeCell ref="C1:H1"/>
    <mergeCell ref="L1:S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5" t="s">
        <v>136</v>
      </c>
      <c r="E1" s="125" t="s">
        <v>183</v>
      </c>
      <c r="F1" s="125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4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4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4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4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4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4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4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4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4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4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4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4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4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4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4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4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4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4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4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4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4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4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4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4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4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4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4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4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4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4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4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4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4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4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4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4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4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4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4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4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4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4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4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4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4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4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4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4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4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4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4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4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4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4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4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4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4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4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4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4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6" t="s">
        <v>99</v>
      </c>
      <c r="E63" s="127" t="s">
        <v>134</v>
      </c>
      <c r="F63" s="128" t="s">
        <v>135</v>
      </c>
    </row>
  </sheetData>
  <conditionalFormatting sqref="D3:F22">
    <cfRule type="expression" dxfId="26" priority="9">
      <formula>#REF!=ROW()</formula>
    </cfRule>
  </conditionalFormatting>
  <conditionalFormatting sqref="D3:F9">
    <cfRule type="expression" dxfId="25" priority="10">
      <formula>AND($K1&lt;&gt;"",MOD(ROW(),2)=0)</formula>
    </cfRule>
  </conditionalFormatting>
  <conditionalFormatting sqref="D3:F63">
    <cfRule type="expression" dxfId="24" priority="8">
      <formula>MOD(ROW(),2)=0</formula>
    </cfRule>
  </conditionalFormatting>
  <conditionalFormatting sqref="D5:F42">
    <cfRule type="expression" dxfId="23" priority="11">
      <formula>AND($K1&lt;&gt;"",MOD(ROW(),2)=0)</formula>
    </cfRule>
  </conditionalFormatting>
  <conditionalFormatting sqref="D8:F9 D3:F3">
    <cfRule type="expression" dxfId="22" priority="7">
      <formula>AND($K1048576&lt;&gt;"",MOD(ROW(),2)=0)</formula>
    </cfRule>
  </conditionalFormatting>
  <conditionalFormatting sqref="D3:D53">
    <cfRule type="expression" dxfId="21" priority="12">
      <formula>AND($L1048564&lt;&gt;"",MOD(ROW(),2)=0)</formula>
    </cfRule>
  </conditionalFormatting>
  <conditionalFormatting sqref="D46:F46">
    <cfRule type="expression" dxfId="20" priority="13">
      <formula>AND(#REF!&lt;&gt;"",MOD(ROW(),2)=0)</formula>
    </cfRule>
  </conditionalFormatting>
  <conditionalFormatting sqref="D50:F53">
    <cfRule type="expression" dxfId="19" priority="14">
      <formula>AND($K84&lt;&gt;"",MOD(ROW(),2)=0)</formula>
    </cfRule>
  </conditionalFormatting>
  <conditionalFormatting sqref="D59:F59">
    <cfRule type="expression" dxfId="18" priority="15">
      <formula>AND(#REF!&lt;&gt;"",MOD(ROW(),2)=0)</formula>
    </cfRule>
  </conditionalFormatting>
  <conditionalFormatting sqref="D63:F63">
    <cfRule type="expression" dxfId="17" priority="16">
      <formula>AND($K84&lt;&gt;"",MOD(ROW(),2)=0)</formula>
    </cfRule>
  </conditionalFormatting>
  <conditionalFormatting sqref="D47:F49">
    <cfRule type="expression" dxfId="16" priority="17">
      <formula>AND($K79&lt;&gt;"",MOD(ROW(),2)=0)</formula>
    </cfRule>
  </conditionalFormatting>
  <conditionalFormatting sqref="D60:F62">
    <cfRule type="expression" dxfId="15" priority="18">
      <formula>AND($K79&lt;&gt;"",MOD(ROW(),2)=0)</formula>
    </cfRule>
  </conditionalFormatting>
  <conditionalFormatting sqref="D4:F4">
    <cfRule type="expression" dxfId="14" priority="19">
      <formula>AND(#REF!&lt;&gt;"",MOD(ROW(),2)=0)</formula>
    </cfRule>
  </conditionalFormatting>
  <conditionalFormatting sqref="D52:F53">
    <cfRule type="expression" dxfId="13" priority="20">
      <formula>AND($K36&lt;&gt;"",MOD(ROW(),2)=0)</formula>
    </cfRule>
  </conditionalFormatting>
  <conditionalFormatting sqref="D43:F43">
    <cfRule type="expression" dxfId="12" priority="26">
      <formula>AND($K50&lt;&gt;"",MOD(ROW(),2)=0)</formula>
    </cfRule>
  </conditionalFormatting>
  <conditionalFormatting sqref="D56:F56">
    <cfRule type="expression" dxfId="11" priority="27">
      <formula>AND($K50&lt;&gt;"",MOD(ROW(),2)=0)</formula>
    </cfRule>
  </conditionalFormatting>
  <conditionalFormatting sqref="D44:F45">
    <cfRule type="expression" dxfId="10" priority="28">
      <formula>AND($K52&lt;&gt;"",MOD(ROW(),2)=0)</formula>
    </cfRule>
  </conditionalFormatting>
  <conditionalFormatting sqref="C1:C10">
    <cfRule type="expression" dxfId="9" priority="4">
      <formula>#REF!=ROW()</formula>
    </cfRule>
  </conditionalFormatting>
  <conditionalFormatting sqref="C1:C10">
    <cfRule type="expression" dxfId="8" priority="5">
      <formula>AND($K1048575&lt;&gt;"",MOD(ROW(),2)=0)</formula>
    </cfRule>
  </conditionalFormatting>
  <conditionalFormatting sqref="C1:C10">
    <cfRule type="expression" dxfId="7" priority="3">
      <formula>MOD(ROW(),2)=0</formula>
    </cfRule>
  </conditionalFormatting>
  <conditionalFormatting sqref="C1:C10">
    <cfRule type="expression" dxfId="6" priority="6">
      <formula>AND(#REF!&lt;&gt;"",MOD(ROW(),2)=0)</formula>
    </cfRule>
  </conditionalFormatting>
  <conditionalFormatting sqref="D57:F58">
    <cfRule type="expression" dxfId="5" priority="31">
      <formula>AND($K52&lt;&gt;"",MOD(ROW(),2)=0)</formula>
    </cfRule>
  </conditionalFormatting>
  <conditionalFormatting sqref="D53:D63">
    <cfRule type="expression" dxfId="4" priority="34">
      <formula>AND($L37&lt;&gt;"",MOD(ROW(),2)=0)</formula>
    </cfRule>
  </conditionalFormatting>
  <conditionalFormatting sqref="D54:F63">
    <cfRule type="expression" dxfId="3" priority="36">
      <formula>AND($K87&lt;&gt;"",MOD(ROW(),2)=0)</formula>
    </cfRule>
  </conditionalFormatting>
  <conditionalFormatting sqref="D54:F55">
    <cfRule type="expression" dxfId="2" priority="38">
      <formula>AND($K37&lt;&gt;"",MOD(ROW(),2)=0)</formula>
    </cfRule>
  </conditionalFormatting>
  <conditionalFormatting sqref="D53:F53">
    <cfRule type="expression" dxfId="1" priority="1">
      <formula>AND($K86&lt;&gt;"",MOD(ROW(),2)=0)</formula>
    </cfRule>
  </conditionalFormatting>
  <conditionalFormatting sqref="D53:F53">
    <cfRule type="expression" dxfId="0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2023-10-15T12:42:34Z</dcterms:modified>
</cp:coreProperties>
</file>