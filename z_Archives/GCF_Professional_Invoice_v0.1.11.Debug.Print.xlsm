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272BC5E1-F4E2-4EA8-AF87-0E80A910AEFB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List'!$A$3:$A$9989)-1,1)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4" i="9" l="1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<sst xmlns="http://schemas.openxmlformats.org/spreadsheetml/2006/main" count="511" uniqueCount="238">
  <si>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</si>
  <si>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</si>
  <si>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</si>
  <si>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</si>
  <si>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</si>
  <si>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</si>
  <si>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</si>
  <si>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</si>
  <si>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</si>
  <si>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</si>
  <si>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</si>
  <si>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</si>
  <si>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</si>
  <si>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</si>
  <si>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</si>
  <si>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</si>
  <si>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</si>
  <si>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</si>
  <si>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</si>
  <si>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</si>
  <si>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</si>
  <si>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</si>
  <si>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</si>
  <si>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</si>
  <si>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</si>
  <si>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</si>
  <si>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</si>
  <si>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</si>
  <si>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</si>
  <si>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</si>
  <si>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</si>
  <si>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</si>
  <si>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</si>
  <si>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</si>
  <si>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</si>
  <si>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</si>
  <si>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</si>
  <si>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</si>
  <si>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</si>
  <si>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</si>
  <si>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</si>
  <si>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</si>
  <si>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</si>
  <si>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</si>
  <si>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</si>
  <si>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</si>
  <si>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</si>
  <si>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</si>
  <si>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</si>
  <si>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</si>
  <si>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</si>
  <si>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</si>
  <si>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</si>
  <si>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</si>
  <si>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</si>
  <si>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</si>
  <si>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</si>
  <si>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</si>
  <si>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</si>
  <si>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</si>
  <si>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</si>
  <si>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</si>
  <si>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</si>
  <si>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</si>
  <si>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</si>
  <si>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</si>
  <si>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</si>
  <si>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</si>
  <si>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</si>
  <si>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</si>
  <si>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</si>
  <si>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</si>
  <si>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</si>
  <si>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</si>
  <si>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</si>
  <si>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</si>
  <si>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</si>
  <si>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</si>
  <si>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</si>
  <si>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</si>
  <si>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</si>
  <si>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</si>
  <si>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</si>
  <si>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</si>
  <si>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</si>
  <si>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</si>
  <si>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</si>
  <si>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</si>
  <si>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</si>
  <si>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</si>
  <si>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</si>
  <si>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</si>
  <si>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</si>
  <si>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</si>
  <si>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</si>
  <si>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</si>
  <si>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</si>
  <si>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</si>
  <si>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</si>
  <si>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</si>
  <si>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</si>
  <si>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</si>
  <si>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</si>
  <si>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</si>
  <si>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</si>
  <si>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</si>
  <si>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</si>
  <si>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</si>
  <si>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</si>
  <si>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</si>
  <si>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</si>
  <si>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</si>
  <si>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</si>
  <si>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</si>
  <si>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</si>
  <si>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</si>
  <si>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</si>
  <si>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</si>
  <si>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</si>
  <si>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</si>
  <si>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</si>
  <si>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</si>
  <si>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</si>
  <si>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</si>
  <si>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</si>
  <si>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</si>
  <si>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</si>
  <si>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</si>
  <si>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</si>
  <si>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</si>
  <si>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</si>
  <si>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</si>
  <si>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</si>
  <si>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</si>
  <si>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</si>
  <si>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</si>
  <si>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</si>
  <si>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</si>
  <si>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</si>
  <si>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</si>
  <si>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</si>
  <si>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</si>
  <si>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</si>
  <si>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</si>
  <si>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</si>
  <si>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</si>
  <si>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</si>
  <si>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</si>
  <si>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</si>
  <si>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</si>
  <si>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</si>
  <si>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</si>
  <si>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</si>
  <si>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</si>
  <si>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</si>
  <si>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</si>
  <si>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</si>
  <si>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</si>
  <si>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</si>
  <si>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</si>
  <si>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</si>
  <si>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</si>
  <si>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</si>
  <si>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</si>
  <si>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</si>
  <si>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</si>
  <si>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</si>
  <si>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</si>
  <si>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</si>
  <si>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</si>
  <si>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</si>
  <si>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</si>
  <si>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</si>
  <si>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</si>
  <si>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</si>
  <si>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</si>
  <si>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</si>
  <si>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</si>
  <si>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</si>
  <si>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</si>
  <si>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</si>
  <si>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</si>
  <si>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</si>
  <si>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</si>
  <si>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</si>
  <si>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</si>
  <si>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</si>
  <si>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</si>
  <si>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</si>
  <si>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</si>
  <si>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</si>
  <si>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</si>
  <si>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</si>
  <si>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</si>
  <si>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</si>
  <si>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</si>
  <si>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</si>
  <si>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</si>
  <si>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</si>
  <si>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</si>
  <si>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</si>
  <si>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</si>
  <si>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</si>
  <si>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</si>
  <si>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</si>
  <si>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</si>
  <si>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</si>
  <si>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</si>
  <si>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</si>
  <si>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</si>
  <si>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</si>
  <si>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</si>
  <si>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</si>
  <si>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</si>
  <si>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</si>
  <si>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</si>
  <si>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</si>
  <si>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</si>
  <si>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</si>
  <si>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</si>
  <si>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</si>
  <si>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</si>
  <si>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</si>
  <si>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</si>
  <si>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</si>
  <si>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</si>
  <si>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</si>
  <si>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</si>
  <si>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</si>
  <si>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</si>
  <si>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</si>
  <si>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</si>
  <si>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</si>
  <si>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</si>
  <si>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</si>
  <si>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</si>
  <si>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</si>
  <si>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Saint-Hubert, QC, J3Z 0A7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</si>
</sst>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25</xdr:col>
      <xdr:colOff>104775</xdr:colOff>
      <xdr:row>62</xdr:row>
      <xdr:rowOff>95250</xdr:rowOff>
    </xdr:from>
    <xdr:to>
      <xdr:col>29</xdr:col>
      <xdr:colOff>85725</xdr:colOff>
      <xdr:row>68</xdr:row>
      <xdr:rowOff>95250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31623000" y="12153900"/>
          <a:ext cx="1704975" cy="1143000"/>
          <a:chOff x="31623000" y="12153900"/>
          <a:chExt cx="1704975" cy="1143000"/>
        </a:xfrm>
      </xdr:grpSpPr>
      <xdr:sp macro="[0]!Montrer_Heures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25</xdr:col>
      <xdr:colOff>95250</xdr:colOff>
      <xdr:row>71</xdr:row>
      <xdr:rowOff>114299</xdr:rowOff>
    </xdr:from>
    <xdr:to>
      <xdr:col>29</xdr:col>
      <xdr:colOff>76200</xdr:colOff>
      <xdr:row>83</xdr:row>
      <xdr:rowOff>114300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31613475" y="13887449"/>
          <a:ext cx="1704975" cy="2286001"/>
          <a:chOff x="31613475" y="13887449"/>
          <a:chExt cx="1704975" cy="2286001"/>
        </a:xfrm>
      </xdr:grpSpPr>
      <xdr:sp macro="[0]!Invoice_Print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Envoi par courriel</a:t>
            </a:r>
          </a:p>
        </xdr:txBody>
      </xdr:sp>
      <xdr:sp macro="[0]!Invoice_Print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Retour_Gauche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E9" sqref="E9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5" width="5.7109375" customWidth="1"/>
    <col min="26" max="26" width="2.7109375" customWidth="1"/>
    <col min="27" max="29" width="7.7109375" customWidth="1"/>
  </cols>
  <sheetData>
    <row r="1" spans="1:25" ht="30" customHeight="1" x14ac:dyDescent="0.45">
      <c r="A1" s="1"/>
      <c r="B1" s="20"/>
      <c r="C1" s="167" t="s">
        <v>206</v>
      </c>
      <c r="D1" s="167"/>
      <c r="E1" s="167"/>
      <c r="F1" s="167"/>
      <c r="G1" s="167"/>
      <c r="H1" s="167"/>
      <c r="I1" s="167" t="s">
        <v>123</v>
      </c>
      <c r="J1" s="167"/>
      <c r="K1" s="167"/>
      <c r="L1" s="167"/>
      <c r="M1" s="167"/>
      <c r="N1" s="167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75"/>
      <c r="J2" s="175"/>
      <c r="K2" s="175"/>
      <c r="L2" s="175"/>
      <c r="M2" s="175"/>
      <c r="N2" s="175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225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78" t="s">
        <v>233</v>
      </c>
      <c r="K4" s="178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1" t="s">
        <v>3</v>
      </c>
      <c r="E5" s="168" t="s">
        <v>166</v>
      </c>
      <c r="F5" s="28" t="s">
        <v>62</v>
      </c>
      <c r="G5" s="31">
        <v>10</v>
      </c>
      <c r="H5" s="140"/>
      <c r="I5" s="42"/>
      <c r="J5" s="42" t="s">
        <v>230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2"/>
      <c r="E6" s="169"/>
      <c r="F6" s="28" t="s">
        <v>63</v>
      </c>
      <c r="G6" s="47">
        <v>30</v>
      </c>
      <c r="H6" s="140"/>
      <c r="I6" s="42"/>
      <c r="J6" s="42" t="s">
        <v>237</v>
      </c>
      <c r="K6" s="42"/>
      <c r="L6" s="43"/>
      <c r="M6" s="118" t="s">
        <v>159</v>
      </c>
      <c r="N6" s="117">
        <v>16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6</v>
      </c>
      <c r="C7" s="140"/>
      <c r="D7" s="173"/>
      <c r="E7" s="170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6" t="s">
        <v>78</v>
      </c>
      <c r="J8" s="177"/>
      <c r="K8" s="177"/>
      <c r="L8" s="177"/>
      <c r="M8" s="177"/>
      <c r="N8" s="177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74" t="s">
        <v>91</v>
      </c>
      <c r="E10" s="174"/>
      <c r="F10" s="174"/>
      <c r="G10" s="174"/>
      <c r="H10" s="140"/>
      <c r="I10" s="48"/>
      <c r="J10" s="48"/>
      <c r="K10" s="48" t="s">
        <v>178</v>
      </c>
      <c r="L10" s="109">
        <v>6</v>
      </c>
      <c r="M10" s="120">
        <v>325</v>
      </c>
      <c r="N10" s="63">
        <f>IF(L10*M10&lt;&gt;0,L10*M10,"")</f>
        <v>1950</v>
      </c>
      <c r="O10" s="150">
        <v>43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 t="s">
        <v>194</v>
      </c>
      <c r="L11" s="109">
        <v>2</v>
      </c>
      <c r="M11" s="120">
        <v>325</v>
      </c>
      <c r="N11" s="63">
        <f t="shared" ref="N11:N46" si="0">IF(L11*M11&lt;&gt;0,L11*M11,"")</f>
        <v>650</v>
      </c>
      <c r="O11" s="150">
        <v>44</v>
      </c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/>
      <c r="D12" s="24"/>
      <c r="E12" s="25"/>
      <c r="F12" s="26"/>
      <c r="G12" s="27"/>
      <c r="H12" s="119"/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/>
      <c r="D13" s="24"/>
      <c r="E13" s="25"/>
      <c r="F13" s="26"/>
      <c r="G13" s="27"/>
      <c r="H13" s="119"/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/>
      <c r="D14" s="24"/>
      <c r="E14" s="25"/>
      <c r="F14" s="26"/>
      <c r="G14" s="27"/>
      <c r="H14" s="119"/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5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8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19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Marie Guay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17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3467 rue de la Noraye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Saint-Hubert, QC, J3Z 0A7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16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63" t="s">
        <v>210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79" t="s">
        <v>78</v>
      </c>
      <c r="T26" s="179"/>
      <c r="U26" s="179"/>
      <c r="V26" s="179"/>
      <c r="W26" s="179"/>
      <c r="X26" s="179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80" t="str">
        <f>IF(K10&lt;&gt;"",CONCATENATE("   - " &amp; K10),"")</f>
        <v xml:space="preserve">   - Rédaction d'un mémorandum fiscal pour mettre en place la réorganisation fiscale déterminée ;</v>
      </c>
      <c r="U30" s="180"/>
      <c r="V30" s="180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80" t="str">
        <f t="shared" ref="T31:T44" si="2">IF(K11&lt;&gt;"",CONCATENATE("   - " &amp; K11),"")</f>
        <v xml:space="preserve">   - Préparation du formulaire T2027règlement de dette lors de la liquidation de filiale;</v>
      </c>
      <c r="U31" s="180"/>
      <c r="V31" s="180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80" t="str">
        <f t="shared" si="2"/>
        <v/>
      </c>
      <c r="U32" s="180"/>
      <c r="V32" s="180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80" t="str">
        <f t="shared" si="2"/>
        <v/>
      </c>
      <c r="U33" s="180"/>
      <c r="V33" s="180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80" t="str">
        <f t="shared" si="2"/>
        <v/>
      </c>
      <c r="U34" s="180"/>
      <c r="V34" s="180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80" t="str">
        <f t="shared" si="2"/>
        <v/>
      </c>
      <c r="U35" s="180"/>
      <c r="V35" s="180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80" t="str">
        <f t="shared" si="2"/>
        <v/>
      </c>
      <c r="U36" s="180"/>
      <c r="V36" s="180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80" t="str">
        <f t="shared" si="2"/>
        <v/>
      </c>
      <c r="U37" s="180"/>
      <c r="V37" s="180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80" t="str">
        <f t="shared" si="2"/>
        <v/>
      </c>
      <c r="U38" s="180"/>
      <c r="V38" s="180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80" t="str">
        <f t="shared" si="2"/>
        <v/>
      </c>
      <c r="U39" s="180"/>
      <c r="V39" s="180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80" t="str">
        <f t="shared" si="2"/>
        <v/>
      </c>
      <c r="U40" s="180"/>
      <c r="V40" s="180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80" t="str">
        <f t="shared" si="2"/>
        <v/>
      </c>
      <c r="U41" s="180"/>
      <c r="V41" s="180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80" t="str">
        <f t="shared" si="2"/>
        <v/>
      </c>
      <c r="U42" s="180"/>
      <c r="V42" s="180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80" t="str">
        <f t="shared" si="2"/>
        <v/>
      </c>
      <c r="U43" s="180"/>
      <c r="V43" s="180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80" t="str">
        <f t="shared" si="2"/>
        <v/>
      </c>
      <c r="U44" s="180"/>
      <c r="V44" s="180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80" t="str">
        <f>IF(K25&lt;&gt;"",CONCATENATE("   - " &amp; K25),"")</f>
        <v/>
      </c>
      <c r="U45" s="180"/>
      <c r="V45" s="180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80" t="str">
        <f>IF(K26&lt;&gt;"",CONCATENATE("   - " &amp; K26),"")</f>
        <v/>
      </c>
      <c r="U46" s="180"/>
      <c r="V46" s="180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2600</v>
      </c>
      <c r="O47" s="150"/>
      <c r="P47" s="9"/>
      <c r="Q47" s="9"/>
      <c r="R47" s="9"/>
      <c r="S47" s="144"/>
      <c r="T47" s="180" t="str">
        <f>IF(K27&lt;&gt;"",CONCATENATE("   - " &amp; K27),"")</f>
        <v/>
      </c>
      <c r="U47" s="180"/>
      <c r="V47" s="180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80" t="str">
        <f t="shared" ref="T48:T53" si="3">IF(K35&lt;&gt;"",CONCATENATE("   - " &amp; K35),"")</f>
        <v/>
      </c>
      <c r="U48" s="180"/>
      <c r="V48" s="180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80" t="str">
        <f t="shared" si="3"/>
        <v/>
      </c>
      <c r="U49" s="180"/>
      <c r="V49" s="180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2600</v>
      </c>
      <c r="O50" s="150"/>
      <c r="P50" s="9"/>
      <c r="Q50" s="9"/>
      <c r="R50" s="9"/>
      <c r="S50" s="144"/>
      <c r="T50" s="180" t="str">
        <f t="shared" si="3"/>
        <v/>
      </c>
      <c r="U50" s="180"/>
      <c r="V50" s="180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80" t="str">
        <f t="shared" si="3"/>
        <v/>
      </c>
      <c r="U51" s="180"/>
      <c r="V51" s="180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/>
      <c r="O52" s="150"/>
      <c r="P52" s="9"/>
      <c r="Q52" s="9"/>
      <c r="R52" s="9"/>
      <c r="S52" s="144"/>
      <c r="T52" s="180" t="str">
        <f t="shared" si="3"/>
        <v/>
      </c>
      <c r="U52" s="180"/>
      <c r="V52" s="180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80" t="str">
        <f t="shared" si="3"/>
        <v/>
      </c>
      <c r="U53" s="180"/>
      <c r="V53" s="180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80" t="str">
        <f t="shared" ref="T54:T60" si="4">IF(K44&lt;&gt;"",CONCATENATE("   - " &amp; K44),"")</f>
        <v/>
      </c>
      <c r="U54" s="180"/>
      <c r="V54" s="180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80" t="str">
        <f t="shared" si="4"/>
        <v/>
      </c>
      <c r="U55" s="180"/>
      <c r="V55" s="180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80" t="str">
        <f t="shared" si="4"/>
        <v/>
      </c>
      <c r="U56" s="180"/>
      <c r="V56" s="180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80" t="str">
        <f t="shared" si="4"/>
        <v/>
      </c>
      <c r="U57" s="180"/>
      <c r="V57" s="180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80" t="str">
        <f t="shared" si="4"/>
        <v/>
      </c>
      <c r="U58" s="180"/>
      <c r="V58" s="180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80" t="str">
        <f t="shared" si="4"/>
        <v/>
      </c>
      <c r="U59" s="180"/>
      <c r="V59" s="180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80" t="str">
        <f t="shared" si="4"/>
        <v/>
      </c>
      <c r="U60" s="180"/>
      <c r="V60" s="180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80" t="str">
        <f t="shared" ref="T61:T63" si="5">IF(K51&lt;&gt;"",CONCATENATE("   - " &amp; K51),"")</f>
        <v/>
      </c>
      <c r="U61" s="180"/>
      <c r="V61" s="180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80" t="str">
        <f t="shared" si="5"/>
        <v/>
      </c>
      <c r="U62" s="180"/>
      <c r="V62" s="180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80" t="str">
        <f t="shared" si="5"/>
        <v/>
      </c>
      <c r="U63" s="180"/>
      <c r="V63" s="180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64" t="s">
        <v>62</v>
      </c>
      <c r="V65" s="164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65">
        <f>SUM(L10:L46)</f>
        <v>8</v>
      </c>
      <c r="V66" s="166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2600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2600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130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259.35000000000002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2989.35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84"/>
      <c r="U77" s="184"/>
      <c r="V77" s="184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85" t="s">
        <v>76</v>
      </c>
      <c r="U78" s="185"/>
      <c r="V78" s="185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84"/>
      <c r="U79" s="184"/>
      <c r="V79" s="184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2989.35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81"/>
      <c r="U83" s="181"/>
      <c r="V83" s="181"/>
      <c r="W83" s="181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82" t="s">
        <v>67</v>
      </c>
      <c r="T84" s="182"/>
      <c r="U84" s="182"/>
      <c r="V84" s="182"/>
      <c r="W84" s="182"/>
      <c r="X84" s="182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81" t="s">
        <v>68</v>
      </c>
      <c r="T85" s="181"/>
      <c r="U85" s="181"/>
      <c r="V85" s="181"/>
      <c r="W85" s="181"/>
      <c r="X85" s="181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82"/>
      <c r="U87" s="182"/>
      <c r="V87" s="182"/>
      <c r="W87" s="182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83" t="s">
        <v>69</v>
      </c>
      <c r="T88" s="183"/>
      <c r="U88" s="183"/>
      <c r="V88" s="183"/>
      <c r="W88" s="183"/>
      <c r="X88" s="183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  <mergeCell ref="T54:V54"/>
    <mergeCell ref="T55:V55"/>
    <mergeCell ref="T56:V56"/>
    <mergeCell ref="T57:V57"/>
    <mergeCell ref="T58:V58"/>
    <mergeCell ref="T49:V49"/>
    <mergeCell ref="T50:V50"/>
    <mergeCell ref="T51:V51"/>
    <mergeCell ref="T52:V52"/>
    <mergeCell ref="T53:V53"/>
    <mergeCell ref="T44:V44"/>
    <mergeCell ref="T45:V45"/>
    <mergeCell ref="T46:V46"/>
    <mergeCell ref="T47:V47"/>
    <mergeCell ref="T48:V48"/>
    <mergeCell ref="T39:V39"/>
    <mergeCell ref="T40:V40"/>
    <mergeCell ref="T41:V41"/>
    <mergeCell ref="T42:V42"/>
    <mergeCell ref="T43:V43"/>
    <mergeCell ref="T34:V34"/>
    <mergeCell ref="T35:V35"/>
    <mergeCell ref="T36:V36"/>
    <mergeCell ref="T37:V37"/>
    <mergeCell ref="T38:V38"/>
    <mergeCell ref="S26:X26"/>
    <mergeCell ref="T30:V30"/>
    <mergeCell ref="T31:V31"/>
    <mergeCell ref="T32:V32"/>
    <mergeCell ref="T33:V33"/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3"/>
  <sheetViews>
    <sheetView zoomScaleNormal="100" workbookViewId="0">
      <selection activeCell="A20" sqref="A20:XFD20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211</v>
      </c>
      <c r="C1" s="11" t="s">
        <v>46</v>
      </c>
      <c r="D1" s="11" t="s">
        <v>207</v>
      </c>
      <c r="E1" s="11" t="s">
        <v>39</v>
      </c>
      <c r="F1" s="11" t="s">
        <v>220</v>
      </c>
      <c r="G1" s="11" t="s">
        <v>221</v>
      </c>
      <c r="H1" s="11" t="s">
        <v>222</v>
      </c>
      <c r="I1" s="11" t="s">
        <v>216</v>
      </c>
      <c r="J1" s="11" t="s">
        <v>217</v>
      </c>
      <c r="K1" s="22" t="s">
        <v>219</v>
      </c>
      <c r="L1" s="22" t="s">
        <v>218</v>
      </c>
    </row>
    <row r="2" spans="1:12" ht="14.45" customHeight="1" x14ac:dyDescent="0.25">
      <c r="A2" s="186" t="s">
        <v>226</v>
      </c>
      <c r="B2" s="186"/>
      <c r="C2" s="186"/>
      <c r="D2" s="186"/>
      <c r="E2" s="186"/>
      <c r="F2" s="186"/>
      <c r="G2" s="186"/>
      <c r="H2" s="186"/>
      <c r="I2" s="186"/>
      <c r="J2" s="186"/>
      <c r="K2" s="186"/>
      <c r="L2" s="186"/>
    </row>
    <row r="3" spans="1:12" x14ac:dyDescent="0.25">
      <c r="A3" s="50" t="s">
        <v>101</v>
      </c>
      <c r="B3" s="50" t="s">
        <v>227</v>
      </c>
      <c r="C3" s="50" t="s">
        <v>102</v>
      </c>
      <c r="D3" s="50" t="s">
        <v>228</v>
      </c>
      <c r="E3" s="50" t="s">
        <v>229</v>
      </c>
      <c r="F3" s="50" t="s">
        <v>208</v>
      </c>
      <c r="G3" s="50" t="s">
        <v>212</v>
      </c>
      <c r="H3" s="50" t="s">
        <v>213</v>
      </c>
      <c r="I3" s="50" t="s">
        <v>214</v>
      </c>
      <c r="J3" s="50" t="s">
        <v>215</v>
      </c>
      <c r="K3" s="84" t="s">
        <v>223</v>
      </c>
      <c r="L3" s="84" t="s">
        <v>224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2069.5500000000002</v>
      </c>
      <c r="L11" s="153">
        <v>0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2759.4</v>
      </c>
      <c r="L12" s="153">
        <v>500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344.93</v>
      </c>
      <c r="L13" s="153">
        <v>0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233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>
        <v>14</v>
      </c>
      <c r="B17" s="21">
        <v>45199</v>
      </c>
      <c r="C17" s="2">
        <v>4</v>
      </c>
      <c r="D17" s="161" t="s">
        <v>160</v>
      </c>
      <c r="E17" s="21">
        <v>45229</v>
      </c>
      <c r="F17" s="154">
        <v>4375</v>
      </c>
      <c r="G17" s="154">
        <v>0</v>
      </c>
      <c r="H17" s="154">
        <v>0</v>
      </c>
      <c r="I17" s="154">
        <v>218.75</v>
      </c>
      <c r="J17" s="154">
        <v>436.41</v>
      </c>
      <c r="K17" s="154">
        <v>5030.16</v>
      </c>
      <c r="L17" s="154">
        <v>0</v>
      </c>
    </row>
    <row r="18" spans="1:12" x14ac:dyDescent="0.25">
      <c r="A18" s="2">
        <v>15</v>
      </c>
      <c r="B18" s="21">
        <v>45199</v>
      </c>
      <c r="C18" s="2">
        <v>2</v>
      </c>
      <c r="D18" s="161" t="s">
        <v>86</v>
      </c>
      <c r="E18" s="21">
        <v>45229</v>
      </c>
      <c r="F18" s="154">
        <v>1575</v>
      </c>
      <c r="G18" s="154">
        <v>0</v>
      </c>
      <c r="H18" s="154">
        <v>0</v>
      </c>
      <c r="I18" s="154">
        <v>78.75</v>
      </c>
      <c r="J18" s="154">
        <v>157.11000000000001</v>
      </c>
      <c r="K18" s="154">
        <v>1810.8600000000001</v>
      </c>
      <c r="L18" s="154">
        <v>499.99</v>
      </c>
    </row>
    <row r="19" spans="1:12" x14ac:dyDescent="0.25">
      <c r="A19" s="2">
        <v>16</v>
      </c>
      <c r="B19" s="21">
        <v>45199</v>
      </c>
      <c r="C19" s="2">
        <v>5</v>
      </c>
      <c r="D19" t="s">
        <v>233</v>
      </c>
      <c r="E19" s="21">
        <v>45229</v>
      </c>
      <c r="F19" s="154">
        <v>2600</v>
      </c>
      <c r="G19" s="154">
        <v>0</v>
      </c>
      <c r="H19" s="154">
        <v>0</v>
      </c>
      <c r="I19" s="154">
        <v>130</v>
      </c>
      <c r="J19" s="154">
        <v>259.35000000000002</v>
      </c>
      <c r="K19" s="154">
        <v>2989.35</v>
      </c>
      <c r="L19" s="154">
        <v>0</v>
      </c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C28" s="2"/>
    </row>
    <row r="29" spans="1:12" x14ac:dyDescent="0.25">
      <c r="A29" s="2"/>
      <c r="C29" s="2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</sheetData>
  <mergeCells count="1">
    <mergeCell ref="A2:L2"/>
  </mergeCells>
  <conditionalFormatting sqref="A4:C7 E4:L7 A13:C13 A14:D15 A8:L12 A16:C18 E13:L18 A19:L33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8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pane ySplit="3" topLeftCell="A15" activePane="bottomLeft" state="frozen"/>
      <selection pane="bottomLeft" activeCell="F44" sqref="F44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7" t="s">
        <v>25</v>
      </c>
      <c r="B1" s="187"/>
      <c r="C1" s="187"/>
      <c r="D1" s="187"/>
      <c r="E1" s="187"/>
      <c r="F1" s="187"/>
      <c r="G1" s="187"/>
      <c r="L1" s="15" t="s">
        <v>38</v>
      </c>
      <c r="N1" s="186" t="s">
        <v>38</v>
      </c>
      <c r="O1" s="186"/>
      <c r="P1" s="186"/>
      <c r="Q1" s="186"/>
      <c r="R1" s="186"/>
      <c r="S1" s="186"/>
      <c r="T1" s="186"/>
    </row>
    <row r="2" spans="1:20" ht="14.45" customHeight="1" x14ac:dyDescent="0.25">
      <c r="A2" s="186"/>
      <c r="B2" s="186"/>
      <c r="C2" s="186"/>
      <c r="D2" s="186"/>
      <c r="E2" s="186"/>
      <c r="F2" s="186"/>
      <c r="G2" s="186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10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11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12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13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14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15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16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10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11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10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10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11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10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11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12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13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10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11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10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10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10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10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11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  <c r="T30" s="2"/>
    </row>
    <row r="31" spans="1:20" x14ac:dyDescent="0.25">
      <c r="A31" s="2">
        <v>13</v>
      </c>
      <c r="B31" t="s">
        <v>164</v>
      </c>
      <c r="C31" s="156">
        <v>1</v>
      </c>
      <c r="D31" s="154">
        <v>300</v>
      </c>
      <c r="E31" s="154">
        <v>300</v>
      </c>
      <c r="F31" s="2">
        <v>10</v>
      </c>
      <c r="G31" s="2">
        <f>ROW()</f>
        <v>31</v>
      </c>
      <c r="Q31" s="2"/>
      <c r="R31" s="2"/>
      <c r="S31" s="2"/>
      <c r="T31" s="2"/>
    </row>
    <row r="32" spans="1:20" x14ac:dyDescent="0.25">
      <c r="A32" s="2">
        <v>13</v>
      </c>
      <c r="B32" t="s">
        <v>165</v>
      </c>
      <c r="C32" s="156">
        <v>2</v>
      </c>
      <c r="D32" s="154">
        <v>300</v>
      </c>
      <c r="E32" s="154">
        <v>600</v>
      </c>
      <c r="F32" s="2">
        <v>11</v>
      </c>
      <c r="G32" s="2">
        <f>ROW()</f>
        <v>32</v>
      </c>
      <c r="Q32" s="2"/>
      <c r="R32" s="2"/>
      <c r="S32" s="2"/>
      <c r="T32" s="2"/>
    </row>
    <row r="33" spans="1:20" x14ac:dyDescent="0.25">
      <c r="A33" s="2">
        <v>13</v>
      </c>
      <c r="B33" t="s">
        <v>166</v>
      </c>
      <c r="C33" s="156">
        <v>3</v>
      </c>
      <c r="D33" s="154">
        <v>300</v>
      </c>
      <c r="E33" s="154">
        <v>900</v>
      </c>
      <c r="F33" s="2">
        <v>12</v>
      </c>
      <c r="G33" s="2">
        <f>ROW()</f>
        <v>33</v>
      </c>
      <c r="Q33" s="2"/>
      <c r="R33" s="2"/>
      <c r="S33" s="2"/>
      <c r="T33" s="2"/>
    </row>
    <row r="34" spans="1:20" x14ac:dyDescent="0.25">
      <c r="A34" s="2">
        <v>13</v>
      </c>
      <c r="B34" t="s">
        <v>167</v>
      </c>
      <c r="C34" s="156">
        <v>4</v>
      </c>
      <c r="D34" s="154">
        <v>300</v>
      </c>
      <c r="E34" s="154">
        <v>1200</v>
      </c>
      <c r="F34" s="2">
        <v>13</v>
      </c>
      <c r="G34" s="2">
        <f>ROW()</f>
        <v>34</v>
      </c>
      <c r="Q34" s="2"/>
      <c r="R34" s="2"/>
      <c r="S34" s="2"/>
      <c r="T34" s="2"/>
    </row>
    <row r="35" spans="1:20" x14ac:dyDescent="0.25">
      <c r="A35" s="2">
        <v>13</v>
      </c>
      <c r="B35" t="s">
        <v>168</v>
      </c>
      <c r="C35" s="156">
        <v>5</v>
      </c>
      <c r="D35" s="154">
        <v>300</v>
      </c>
      <c r="E35" s="154">
        <v>1500</v>
      </c>
      <c r="F35" s="2">
        <v>14</v>
      </c>
      <c r="G35" s="2">
        <f>ROW()</f>
        <v>35</v>
      </c>
      <c r="Q35" s="2"/>
      <c r="R35" s="2"/>
      <c r="S35" s="2"/>
      <c r="T35" s="2"/>
    </row>
    <row r="36" spans="1:20" x14ac:dyDescent="0.25">
      <c r="A36" s="2">
        <v>13</v>
      </c>
      <c r="B36" t="s">
        <v>169</v>
      </c>
      <c r="C36" s="156">
        <v>4</v>
      </c>
      <c r="D36" s="154">
        <v>300</v>
      </c>
      <c r="E36" s="154">
        <v>1200</v>
      </c>
      <c r="F36" s="2">
        <v>15</v>
      </c>
      <c r="G36" s="2">
        <f>ROW()</f>
        <v>36</v>
      </c>
      <c r="Q36" s="2"/>
      <c r="R36" s="2"/>
      <c r="S36" s="2"/>
      <c r="T36" s="2"/>
    </row>
    <row r="37" spans="1:20" x14ac:dyDescent="0.25">
      <c r="A37" s="2">
        <v>13</v>
      </c>
      <c r="B37" t="s">
        <v>171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  <c r="T37" s="2"/>
    </row>
    <row r="38" spans="1:20" x14ac:dyDescent="0.25">
      <c r="A38" s="2">
        <v>14</v>
      </c>
      <c r="B38" t="s">
        <v>197</v>
      </c>
      <c r="C38" s="156">
        <v>2</v>
      </c>
      <c r="D38" s="154">
        <v>350</v>
      </c>
      <c r="E38" s="154">
        <v>700</v>
      </c>
      <c r="F38" s="2">
        <v>10</v>
      </c>
      <c r="G38" s="2">
        <f>ROW()</f>
        <v>38</v>
      </c>
      <c r="Q38" s="2"/>
      <c r="R38" s="2"/>
      <c r="S38" s="2"/>
      <c r="T38" s="2"/>
    </row>
    <row r="39" spans="1:20" x14ac:dyDescent="0.25">
      <c r="A39" s="2">
        <v>14</v>
      </c>
      <c r="B39" t="s">
        <v>167</v>
      </c>
      <c r="C39" s="156">
        <v>0.5</v>
      </c>
      <c r="D39" s="154">
        <v>350</v>
      </c>
      <c r="E39" s="154">
        <v>175</v>
      </c>
      <c r="F39" s="2">
        <v>11</v>
      </c>
      <c r="G39" s="2">
        <f>ROW()</f>
        <v>39</v>
      </c>
      <c r="Q39" s="2"/>
      <c r="R39" s="2"/>
      <c r="S39" s="2"/>
      <c r="T39" s="2"/>
    </row>
    <row r="40" spans="1:20" x14ac:dyDescent="0.25">
      <c r="A40" s="2">
        <v>14</v>
      </c>
      <c r="B40" t="s">
        <v>236</v>
      </c>
      <c r="C40" s="156">
        <v>10</v>
      </c>
      <c r="D40" s="154">
        <v>350</v>
      </c>
      <c r="E40" s="154">
        <v>3500</v>
      </c>
      <c r="F40" s="2">
        <v>12</v>
      </c>
      <c r="G40" s="2">
        <f>ROW()</f>
        <v>40</v>
      </c>
      <c r="Q40" s="2"/>
      <c r="R40" s="2"/>
      <c r="S40" s="2"/>
      <c r="T40" s="2"/>
    </row>
    <row r="41" spans="1:20" x14ac:dyDescent="0.25">
      <c r="A41" s="2">
        <v>15</v>
      </c>
      <c r="B41" t="s">
        <v>170</v>
      </c>
      <c r="C41" s="156">
        <v>1.75</v>
      </c>
      <c r="D41" s="154">
        <v>350</v>
      </c>
      <c r="E41" s="154">
        <v>612.5</v>
      </c>
      <c r="F41" s="2">
        <v>10</v>
      </c>
      <c r="G41" s="2">
        <f>ROW()</f>
        <v>41</v>
      </c>
      <c r="Q41" s="2"/>
      <c r="R41" s="2"/>
      <c r="S41" s="2"/>
      <c r="T41" s="2"/>
    </row>
    <row r="42" spans="1:20" x14ac:dyDescent="0.25">
      <c r="A42" s="2">
        <v>15</v>
      </c>
      <c r="B42" t="s">
        <v>175</v>
      </c>
      <c r="C42" s="156">
        <v>2.75</v>
      </c>
      <c r="D42" s="154">
        <v>350</v>
      </c>
      <c r="E42" s="154">
        <v>962.5</v>
      </c>
      <c r="F42" s="2">
        <v>11</v>
      </c>
      <c r="G42" s="2">
        <f>ROW()</f>
        <v>42</v>
      </c>
      <c r="Q42" s="2"/>
      <c r="R42" s="2"/>
      <c r="S42" s="2"/>
      <c r="T42" s="2"/>
    </row>
    <row r="43" spans="1:20" x14ac:dyDescent="0.25">
      <c r="A43" s="2">
        <v>16</v>
      </c>
      <c r="B43" t="s">
        <v>178</v>
      </c>
      <c r="C43" s="156">
        <v>6</v>
      </c>
      <c r="D43" s="154">
        <v>325</v>
      </c>
      <c r="E43" s="154">
        <v>1950</v>
      </c>
      <c r="F43" s="2">
        <v>10</v>
      </c>
      <c r="G43" s="2">
        <f>ROW()</f>
        <v>43</v>
      </c>
      <c r="Q43" s="2"/>
      <c r="R43" s="2"/>
      <c r="S43" s="2"/>
      <c r="T43" s="2"/>
    </row>
    <row r="44" spans="1:20" x14ac:dyDescent="0.25">
      <c r="A44" s="2">
        <v>16</v>
      </c>
      <c r="B44" t="s">
        <v>194</v>
      </c>
      <c r="C44" s="156">
        <v>2</v>
      </c>
      <c r="D44" s="154">
        <v>325</v>
      </c>
      <c r="E44" s="154">
        <v>650</v>
      </c>
      <c r="F44" s="2">
        <v>11</v>
      </c>
      <c r="G44" s="2">
        <f>ROW()</f>
        <v>44</v>
      </c>
      <c r="Q44" s="2"/>
      <c r="R44" s="2"/>
      <c r="S44" s="2"/>
      <c r="T44" s="2"/>
    </row>
    <row r="45" spans="1:20" x14ac:dyDescent="0.25">
      <c r="C45" s="156"/>
      <c r="D45" s="154"/>
      <c r="F45" s="2"/>
      <c r="G45" s="2"/>
      <c r="Q45" s="2"/>
      <c r="R45" s="2"/>
      <c r="S45" s="2"/>
      <c r="T45" s="2"/>
    </row>
    <row r="46" spans="1:20" x14ac:dyDescent="0.25">
      <c r="C46" s="156"/>
      <c r="D46" s="154"/>
      <c r="F46" s="2"/>
      <c r="G46" s="2"/>
      <c r="Q46" s="2"/>
      <c r="R46" s="2"/>
      <c r="S46" s="2"/>
      <c r="T46" s="2"/>
    </row>
    <row r="47" spans="1:20" x14ac:dyDescent="0.25">
      <c r="C47" s="156"/>
      <c r="D47" s="154"/>
      <c r="F47" s="2"/>
      <c r="G47" s="2"/>
      <c r="Q47" s="2"/>
      <c r="R47" s="2"/>
      <c r="S47" s="2"/>
      <c r="T47" s="2"/>
    </row>
    <row r="48" spans="1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90" t="s">
        <v>38</v>
      </c>
      <c r="R1" s="191"/>
      <c r="U1" s="188" t="s">
        <v>92</v>
      </c>
      <c r="V1" s="189"/>
      <c r="W1" s="189"/>
      <c r="X1" s="189"/>
      <c r="Y1" s="189"/>
      <c r="Z1" s="189"/>
    </row>
    <row r="2" spans="1:26" ht="25.5" x14ac:dyDescent="0.25">
      <c r="A2" s="187" t="s">
        <v>91</v>
      </c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5</v>
      </c>
      <c r="R3" s="57" t="str">
        <f>IF(Invoice!B16=TRUE,"&lt;&gt;","No")</f>
        <v>&lt;&gt;</v>
      </c>
      <c r="U3" s="2"/>
      <c r="V3" s="21"/>
      <c r="X3" s="83"/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/>
      <c r="V4" s="21"/>
      <c r="X4" s="83"/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/>
      <c r="V5" s="21"/>
      <c r="X5" s="83"/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7" t="s">
        <v>121</v>
      </c>
      <c r="B1" s="187"/>
      <c r="C1" s="187"/>
      <c r="D1" s="192"/>
    </row>
    <row r="2" spans="1:5" x14ac:dyDescent="0.25">
      <c r="A2" s="186"/>
      <c r="B2" s="186"/>
      <c r="C2" s="186"/>
      <c r="D2" s="193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7" t="s">
        <v>16</v>
      </c>
      <c r="B1" s="187"/>
      <c r="C1" s="187"/>
      <c r="D1" s="187"/>
      <c r="E1" s="187"/>
      <c r="F1" s="187"/>
      <c r="G1" s="187"/>
      <c r="H1" s="187"/>
      <c r="K1" s="13" t="s">
        <v>38</v>
      </c>
      <c r="M1" s="64" t="s">
        <v>42</v>
      </c>
    </row>
    <row r="2" spans="1:13" ht="14.45" customHeight="1" x14ac:dyDescent="0.25">
      <c r="A2" s="186"/>
      <c r="B2" s="186"/>
      <c r="C2" s="186"/>
      <c r="D2" s="186"/>
      <c r="E2" s="186"/>
      <c r="F2" s="186"/>
      <c r="G2" s="186"/>
      <c r="H2" s="186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7" t="s">
        <v>8</v>
      </c>
      <c r="B1" s="187"/>
      <c r="C1" s="187"/>
      <c r="D1" s="187"/>
      <c r="E1" s="187"/>
      <c r="F1" s="187"/>
      <c r="G1" s="187"/>
      <c r="H1" s="187"/>
      <c r="I1" s="187"/>
    </row>
    <row r="2" spans="1:9" x14ac:dyDescent="0.25">
      <c r="A2" s="186"/>
      <c r="B2" s="186"/>
      <c r="C2" s="186"/>
      <c r="D2" s="186"/>
      <c r="E2" s="186"/>
      <c r="F2" s="186"/>
      <c r="G2" s="186"/>
      <c r="H2" s="186"/>
      <c r="I2" s="186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>
        <v>4</v>
      </c>
      <c r="B7" t="s">
        <v>160</v>
      </c>
      <c r="C7" t="s">
        <v>230</v>
      </c>
      <c r="D7" t="s">
        <v>231</v>
      </c>
      <c r="E7" t="s">
        <v>82</v>
      </c>
      <c r="F7" s="2" t="s">
        <v>232</v>
      </c>
      <c r="G7" t="s">
        <v>84</v>
      </c>
      <c r="H7" t="s">
        <v>160</v>
      </c>
      <c r="I7" s="46" t="s">
        <v>85</v>
      </c>
    </row>
    <row r="8" spans="1:9" x14ac:dyDescent="0.25">
      <c r="A8" s="2">
        <v>5</v>
      </c>
      <c r="B8" t="s">
        <v>233</v>
      </c>
      <c r="C8" t="s">
        <v>230</v>
      </c>
      <c r="D8" t="s">
        <v>231</v>
      </c>
      <c r="E8" t="s">
        <v>82</v>
      </c>
      <c r="F8" s="2" t="s">
        <v>232</v>
      </c>
      <c r="G8" t="s">
        <v>234</v>
      </c>
      <c r="H8" t="s">
        <v>233</v>
      </c>
      <c r="I8" s="46" t="s">
        <v>235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2023-10-01T11:15:24Z</cp:lastPrinted>
  <dcterms:created xsi:type="dcterms:W3CDTF">2023-05-08T04:58:50Z</dcterms:created>
  <dcterms:modified xsi:type="dcterms:W3CDTF">2023-10-01T11:22:58Z</dcterms:modified>
</cp:coreProperties>
</file>