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B899AED-70B3-4310-A80B-94809EF22130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6" i="9" l="1"/>
  <c r="G65" i="9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W38" i="3" s="1"/>
  <c r="U39" i="3"/>
  <c r="U40" i="3"/>
  <c r="W40" i="3" s="1"/>
  <c r="U41" i="3"/>
  <c r="W41" i="3" s="1"/>
  <c r="U42" i="3"/>
  <c r="U43" i="3"/>
  <c r="U44" i="3"/>
  <c r="U45" i="3"/>
  <c r="U46" i="3"/>
  <c r="W46" i="3" s="1"/>
  <c r="U47" i="3"/>
  <c r="U48" i="3"/>
  <c r="W48" i="3" s="1"/>
  <c r="U49" i="3"/>
  <c r="W49" i="3" s="1"/>
  <c r="U50" i="3"/>
  <c r="W50" i="3" s="1"/>
  <c r="U51" i="3"/>
  <c r="U52" i="3"/>
  <c r="U53" i="3"/>
  <c r="W53" i="3" s="1"/>
  <c r="U54" i="3"/>
  <c r="W54" i="3" s="1"/>
  <c r="U55" i="3"/>
  <c r="U56" i="3"/>
  <c r="W56" i="3" s="1"/>
  <c r="U57" i="3"/>
  <c r="W57" i="3" s="1"/>
  <c r="U58" i="3"/>
  <c r="W58" i="3" s="1"/>
  <c r="U59" i="3"/>
  <c r="U60" i="3"/>
  <c r="U61" i="3"/>
  <c r="W61" i="3" s="1"/>
  <c r="U62" i="3"/>
  <c r="W62" i="3" s="1"/>
  <c r="U63" i="3"/>
  <c r="U64" i="3"/>
  <c r="W64" i="3" s="1"/>
  <c r="U31" i="3"/>
  <c r="U32" i="3"/>
  <c r="W32" i="3" s="1"/>
  <c r="U33" i="3"/>
  <c r="W33" i="3" s="1"/>
  <c r="U34" i="3"/>
  <c r="W34" i="3" s="1"/>
  <c r="U35" i="3"/>
  <c r="U36" i="3"/>
  <c r="U37" i="3"/>
  <c r="W37" i="3" s="1"/>
  <c r="U30" i="3"/>
  <c r="W30" i="3" s="1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42" i="3" l="1"/>
  <c r="W31" i="3"/>
  <c r="W55" i="3"/>
  <c r="W47" i="3"/>
  <c r="W39" i="3"/>
  <c r="W63" i="3"/>
  <c r="W59" i="3"/>
  <c r="W51" i="3"/>
  <c r="W43" i="3"/>
  <c r="W35" i="3"/>
  <c r="W45" i="3"/>
  <c r="W36" i="3"/>
  <c r="W60" i="3"/>
  <c r="W52" i="3"/>
  <c r="W44" i="3"/>
  <c r="W74" i="3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<sst xmlns="http://schemas.openxmlformats.org/spreadsheetml/2006/main" count="583" uniqueCount="251">
  <si>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</si>
  <si>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</si>
  <si>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</si>
  <si>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</si>
  <si>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</si>
  <si>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</si>
  <si>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</si>
  <si>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</si>
  <si>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</si>
  <si>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</si>
  <si>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</si>
  <si>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</si>
  <si>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</si>
  <si>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</si>
  <si>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</si>
  <si>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</si>
  <si>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</si>
  <si>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</si>
  <si>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</si>
  <si>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</si>
  <si>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</si>
  <si>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</si>
  <si>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</si>
  <si>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</si>
  <si>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</si>
  <si>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</si>
  <si>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</si>
  <si>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</si>
  <si>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</si>
  <si>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</si>
  <si>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</si>
  <si>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</si>
  <si>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</si>
  <si>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</si>
  <si>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</si>
  <si>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</si>
  <si>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</si>
  <si>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</si>
  <si>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</si>
  <si>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</si>
  <si>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</si>
  <si>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</si>
  <si>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</si>
  <si>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</si>
  <si>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</si>
  <si>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</si>
  <si>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</si>
  <si>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</si>
  <si>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</si>
  <si>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</si>
  <si>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</si>
  <si>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</si>
  <si>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</si>
  <si>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</si>
  <si>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</si>
  <si>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</si>
  <si>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</si>
  <si>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</si>
  <si>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</si>
  <si>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</si>
  <si>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</si>
  <si>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</si>
  <si>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</si>
  <si>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</si>
  <si>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</si>
  <si>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</si>
  <si>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</si>
  <si>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</si>
  <si>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</si>
  <si>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</si>
  <si>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</si>
  <si>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</si>
  <si>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</si>
  <si>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</si>
  <si>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</si>
  <si>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</si>
  <si>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</si>
  <si>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</si>
  <si>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</si>
  <si>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</si>
  <si>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</si>
  <si>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</si>
  <si>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</si>
  <si>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</si>
  <si>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</si>
  <si>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</si>
  <si>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</si>
  <si>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</si>
  <si>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</si>
  <si>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</si>
  <si>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</si>
  <si>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</si>
  <si>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</si>
  <si>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</si>
  <si>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</si>
  <si>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</si>
  <si>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</si>
  <si>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</si>
  <si>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</si>
  <si>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</si>
  <si>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</si>
  <si>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</si>
  <si>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</si>
  <si>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</si>
  <si>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</si>
  <si>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</si>
  <si>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</si>
  <si>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</si>
  <si>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</si>
  <si>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</si>
  <si>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</si>
  <si>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</si>
  <si>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</si>
  <si>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</si>
  <si>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</si>
  <si>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</si>
  <si>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</si>
  <si>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</si>
  <si>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</si>
  <si>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</si>
  <si>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</si>
  <si>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</si>
  <si>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</si>
  <si>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</si>
  <si>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</si>
  <si>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</si>
  <si>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</si>
  <si>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</si>
  <si>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</si>
  <si>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</si>
  <si>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</si>
  <si>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</si>
  <si>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</si>
  <si>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</si>
  <si>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</si>
  <si>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</si>
  <si>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</si>
  <si>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</si>
  <si>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</si>
  <si>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</si>
  <si>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</si>
  <si>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</si>
  <si>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</si>
  <si>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</si>
  <si>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</si>
  <si>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</si>
  <si>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</si>
  <si>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</si>
  <si>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</si>
  <si>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</si>
  <si>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</si>
  <si>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</si>
  <si>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</si>
  <si>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</si>
  <si>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</si>
  <si>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</si>
  <si>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</si>
  <si>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</si>
  <si>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</si>
  <si>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</si>
  <si>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</si>
  <si>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</si>
  <si>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</si>
  <si>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</si>
  <si>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</si>
  <si>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</si>
  <si>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</si>
  <si>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</si>
  <si>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</si>
  <si>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</si>
  <si>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</si>
  <si>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</si>
  <si>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</si>
  <si>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</si>
  <si>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</si>
  <si>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</si>
  <si>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</si>
  <si>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</si>
  <si>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</si>
  <si>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</si>
  <si>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</si>
  <si>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</si>
  <si>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</si>
  <si>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</si>
  <si>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</si>
  <si>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</si>
  <si>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</si>
  <si>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</si>
  <si>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</si>
  <si>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</si>
  <si>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</si>
  <si>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</si>
  <si>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</si>
  <si>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</si>
  <si>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</si>
  <si>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</si>
  <si>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</si>
  <si>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</si>
  <si>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</si>
  <si>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</si>
  <si>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</si>
  <si>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</si>
  <si>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</si>
  <si>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</si>
  <si>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</si>
  <si>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</si>
  <si>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</si>
  <si>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</si>
  <si>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</si>
  <si>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</si>
  <si>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</si>
  <si>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</si>
  <si>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</si>
  <si>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</si>
  <si>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</si>
  <si>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</si>
  <si>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</si>
  <si>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</si>
  <si>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</si>
  <si>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</si>
  <si>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</si>
  <si>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</si>
  <si>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</si>
  <si>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</si>
  <si>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</si>
  <si>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</si>
  <si>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</si>
  <si>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</si>
  <si>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</si>
  <si>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</si>
  <si>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</si>
  <si>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</si>
  <si>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</si>
  <si>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</si>
  <si>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</si>
  <si>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</si>
  <si>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</si>
  <si>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</si>
  <si>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</si>
  <si>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</si>
  <si>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</si>
  <si>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</si>
  <si>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</si>
  <si>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</si>
  <si>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</si>
  <si>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</si>
  <si>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</si>
  <si>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</si>
  <si>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</si>
  <si>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Brand New Invoice</t>
  </si>
  <si>
    <t>Mascouche, QC, J7K 3C1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</si>
</sst>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right" wrapText="1" shrinkToFit="1"/>
    </xf>
    <xf numFmtId="170" fontId="35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89922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88970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N6" sqref="N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2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9" t="s">
        <v>205</v>
      </c>
      <c r="D1" s="179"/>
      <c r="E1" s="179"/>
      <c r="F1" s="179"/>
      <c r="G1" s="179"/>
      <c r="H1" s="179"/>
      <c r="I1" s="179" t="s">
        <v>122</v>
      </c>
      <c r="J1" s="179"/>
      <c r="K1" s="179"/>
      <c r="L1" s="179"/>
      <c r="M1" s="179"/>
      <c r="N1" s="179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7"/>
      <c r="J2" s="187"/>
      <c r="K2" s="187"/>
      <c r="L2" s="187"/>
      <c r="M2" s="187"/>
      <c r="N2" s="187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248</v>
      </c>
      <c r="K3" s="107"/>
      <c r="L3" s="43"/>
      <c r="M3" s="160" t="s">
        <v>236</v>
      </c>
      <c r="N3" s="44">
        <v>45203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90" t="s">
        <v>85</v>
      </c>
      <c r="K4" s="190"/>
      <c r="L4" s="43"/>
      <c r="M4" s="160" t="s">
        <v>235</v>
      </c>
      <c r="N4" s="44">
        <v>45234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83" t="s">
        <v>3</v>
      </c>
      <c r="E5" s="180" t="s">
        <v>165</v>
      </c>
      <c r="F5" s="28" t="s">
        <v>61</v>
      </c>
      <c r="G5" s="31">
        <v>10</v>
      </c>
      <c r="H5" s="137"/>
      <c r="I5" s="42"/>
      <c r="J5" s="42" t="s">
        <v>98</v>
      </c>
      <c r="K5" s="42"/>
      <c r="L5" s="43"/>
      <c r="M5" s="160" t="s">
        <v>237</v>
      </c>
      <c r="N5" s="120">
        <v>325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4"/>
      <c r="E6" s="181"/>
      <c r="F6" s="28" t="s">
        <v>62</v>
      </c>
      <c r="G6" s="46">
        <v>30</v>
      </c>
      <c r="H6" s="137"/>
      <c r="I6" s="42"/>
      <c r="J6" s="42" t="s">
        <v>250</v>
      </c>
      <c r="K6" s="42"/>
      <c r="L6" s="43"/>
      <c r="M6" s="117" t="s">
        <v>158</v>
      </c>
      <c r="N6" s="116">
        <v>22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5"/>
      <c r="E7" s="182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8" t="s">
        <v>77</v>
      </c>
      <c r="J8" s="189"/>
      <c r="K8" s="189"/>
      <c r="L8" s="189"/>
      <c r="M8" s="189"/>
      <c r="N8" s="189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6" t="s">
        <v>90</v>
      </c>
      <c r="E10" s="186"/>
      <c r="F10" s="186"/>
      <c r="G10" s="186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>
        <v>65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 t="s">
        <v>188</v>
      </c>
      <c r="L11" s="108">
        <v>3.25</v>
      </c>
      <c r="M11" s="119">
        <v>325</v>
      </c>
      <c r="N11" s="62">
        <f t="shared" ref="N11:N46" si="0">IF(L11*M11&lt;&gt;0,L11*M11,"")</f>
        <v>1056.25</v>
      </c>
      <c r="O11" s="147">
        <v>66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4</v>
      </c>
      <c r="D12" s="24">
        <v>45142</v>
      </c>
      <c r="E12" s="25" t="s">
        <v>166</v>
      </c>
      <c r="F12" s="26">
        <v>6</v>
      </c>
      <c r="G12" s="27" t="s">
        <v>2</v>
      </c>
      <c r="H12" s="118">
        <v>7</v>
      </c>
      <c r="I12" s="47"/>
      <c r="J12" s="47"/>
      <c r="K12" s="47"/>
      <c r="L12" s="108"/>
      <c r="M12" s="120"/>
      <c r="N12" s="62" t="str">
        <f t="shared" si="0"/>
        <v/>
      </c>
      <c r="O12" s="147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6</v>
      </c>
      <c r="D13" s="24">
        <v>45144</v>
      </c>
      <c r="E13" s="25" t="s">
        <v>165</v>
      </c>
      <c r="F13" s="26">
        <v>20</v>
      </c>
      <c r="G13" s="27" t="s">
        <v>2</v>
      </c>
      <c r="H13" s="118">
        <v>9</v>
      </c>
      <c r="I13" s="47"/>
      <c r="J13" s="47"/>
      <c r="K13" s="161"/>
      <c r="L13" s="108"/>
      <c r="M13" s="120"/>
      <c r="N13" s="62" t="str">
        <f t="shared" si="0"/>
        <v/>
      </c>
      <c r="O13" s="147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13</v>
      </c>
      <c r="D14" s="24">
        <v>45151</v>
      </c>
      <c r="E14" s="25" t="s">
        <v>166</v>
      </c>
      <c r="F14" s="26">
        <v>16</v>
      </c>
      <c r="G14" s="27" t="s">
        <v>2</v>
      </c>
      <c r="H14" s="118">
        <v>16</v>
      </c>
      <c r="I14" s="47"/>
      <c r="J14" s="47"/>
      <c r="K14" s="47"/>
      <c r="L14" s="108"/>
      <c r="M14" s="120"/>
      <c r="N14" s="62" t="str">
        <f t="shared" si="0"/>
        <v/>
      </c>
      <c r="O14" s="147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>
        <v>15</v>
      </c>
      <c r="D15" s="24">
        <v>45153</v>
      </c>
      <c r="E15" s="25" t="s">
        <v>165</v>
      </c>
      <c r="F15" s="26">
        <v>10</v>
      </c>
      <c r="G15" s="27" t="s">
        <v>2</v>
      </c>
      <c r="H15" s="118">
        <v>18</v>
      </c>
      <c r="I15" s="47"/>
      <c r="J15" s="47"/>
      <c r="K15" s="161"/>
      <c r="L15" s="108"/>
      <c r="M15" s="120"/>
      <c r="N15" s="62" t="str">
        <f t="shared" si="0"/>
        <v/>
      </c>
      <c r="O15" s="147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>
        <v>16</v>
      </c>
      <c r="D16" s="24">
        <v>45154</v>
      </c>
      <c r="E16" s="25" t="s">
        <v>166</v>
      </c>
      <c r="F16" s="26">
        <v>26</v>
      </c>
      <c r="G16" s="27" t="s">
        <v>2</v>
      </c>
      <c r="H16" s="118">
        <v>19</v>
      </c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>
        <v>15</v>
      </c>
      <c r="C17" s="118">
        <v>18</v>
      </c>
      <c r="D17" s="24">
        <v>45156</v>
      </c>
      <c r="E17" s="25" t="s">
        <v>165</v>
      </c>
      <c r="F17" s="26">
        <v>5</v>
      </c>
      <c r="G17" s="27" t="s">
        <v>2</v>
      </c>
      <c r="H17" s="118">
        <v>21</v>
      </c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2</v>
      </c>
      <c r="C18" s="118">
        <v>28</v>
      </c>
      <c r="D18" s="24">
        <v>45175</v>
      </c>
      <c r="E18" s="25" t="s">
        <v>165</v>
      </c>
      <c r="F18" s="26">
        <v>10</v>
      </c>
      <c r="G18" s="27" t="s">
        <v>2</v>
      </c>
      <c r="H18" s="118">
        <v>31</v>
      </c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5</v>
      </c>
      <c r="C19" s="118">
        <v>29</v>
      </c>
      <c r="D19" s="24">
        <v>45173</v>
      </c>
      <c r="E19" s="25" t="s">
        <v>166</v>
      </c>
      <c r="F19" s="26">
        <v>26</v>
      </c>
      <c r="G19" s="27" t="s">
        <v>2</v>
      </c>
      <c r="H19" s="118">
        <v>32</v>
      </c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25</v>
      </c>
      <c r="C20" s="118">
        <v>30</v>
      </c>
      <c r="D20" s="24">
        <v>45175</v>
      </c>
      <c r="E20" s="64" t="s">
        <v>165</v>
      </c>
      <c r="F20" s="26">
        <v>5</v>
      </c>
      <c r="G20" s="24" t="s">
        <v>2</v>
      </c>
      <c r="H20" s="118">
        <v>33</v>
      </c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CANPLEX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23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3175 de la Gare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Mascouche, QC, J7K 3C1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22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246</v>
      </c>
      <c r="B26" s="163" t="b">
        <v>0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8" t="s">
        <v>77</v>
      </c>
      <c r="T26" s="178"/>
      <c r="U26" s="178"/>
      <c r="V26" s="178"/>
      <c r="W26" s="178"/>
      <c r="X26" s="178"/>
      <c r="Y26" s="9"/>
    </row>
    <row r="27" spans="1:25" ht="15" customHeight="1" x14ac:dyDescent="0.25">
      <c r="A27" s="162" t="s">
        <v>249</v>
      </c>
      <c r="B27" s="163" t="b">
        <v>1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4" t="s">
        <v>208</v>
      </c>
      <c r="B28" s="167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/>
      </c>
      <c r="U30" s="168" t="str">
        <f>IF($B$26=TRUE,$L10,"")</f>
        <v/>
      </c>
      <c r="V30" s="168" t="str">
        <f>IF($B$26=TRUE,$M10,"")</f>
        <v/>
      </c>
      <c r="W30" s="169" t="str">
        <f>IF(U30&lt;&gt;"",IF(V30&lt;&gt;"",U30*V30,""),"")</f>
        <v/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 xml:space="preserve">   - Préparation des formulaires d'obtention des numéros de fiducie fédéral et provincial pour la nouvelle fiducie ;</v>
      </c>
      <c r="U31" s="168" t="str">
        <f t="shared" ref="U31:U64" si="3">IF($B$26=TRUE,$L11,"")</f>
        <v/>
      </c>
      <c r="V31" s="168" t="str">
        <f t="shared" ref="V31:V64" si="4">IF($B$26=TRUE,$M11,"")</f>
        <v/>
      </c>
      <c r="W31" s="169" t="str">
        <f t="shared" ref="W31:W64" si="5">IF(U31&lt;&gt;"",IF(V31&lt;&gt;"",U31*V31,""),"")</f>
        <v/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 t="str">
        <f t="shared" si="3"/>
        <v/>
      </c>
      <c r="V32" s="168" t="str">
        <f t="shared" si="4"/>
        <v/>
      </c>
      <c r="W32" s="169" t="str">
        <f t="shared" si="5"/>
        <v/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/>
      </c>
      <c r="U33" s="168" t="str">
        <f t="shared" si="3"/>
        <v/>
      </c>
      <c r="V33" s="168" t="str">
        <f t="shared" si="4"/>
        <v/>
      </c>
      <c r="W33" s="169" t="str">
        <f t="shared" si="5"/>
        <v/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 t="str">
        <f t="shared" si="3"/>
        <v/>
      </c>
      <c r="V34" s="168" t="str">
        <f t="shared" si="4"/>
        <v/>
      </c>
      <c r="W34" s="169" t="str">
        <f t="shared" si="5"/>
        <v/>
      </c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/>
      </c>
      <c r="U35" s="168" t="str">
        <f t="shared" si="3"/>
        <v/>
      </c>
      <c r="V35" s="168" t="str">
        <f t="shared" si="4"/>
        <v/>
      </c>
      <c r="W35" s="169" t="str">
        <f t="shared" si="5"/>
        <v/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 t="str">
        <f t="shared" si="3"/>
        <v/>
      </c>
      <c r="V36" s="168" t="str">
        <f t="shared" si="4"/>
        <v/>
      </c>
      <c r="W36" s="169" t="str">
        <f t="shared" si="5"/>
        <v/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 t="str">
        <f t="shared" si="3"/>
        <v/>
      </c>
      <c r="V37" s="168" t="str">
        <f t="shared" si="4"/>
        <v/>
      </c>
      <c r="W37" s="169" t="str">
        <f t="shared" si="5"/>
        <v/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 t="str">
        <f t="shared" si="3"/>
        <v/>
      </c>
      <c r="V38" s="168" t="str">
        <f t="shared" si="4"/>
        <v/>
      </c>
      <c r="W38" s="169" t="str">
        <f t="shared" si="5"/>
        <v/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 t="str">
        <f t="shared" si="3"/>
        <v/>
      </c>
      <c r="V39" s="168" t="str">
        <f t="shared" si="4"/>
        <v/>
      </c>
      <c r="W39" s="169" t="str">
        <f t="shared" si="5"/>
        <v/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 t="str">
        <f t="shared" si="3"/>
        <v/>
      </c>
      <c r="V40" s="168" t="str">
        <f t="shared" si="4"/>
        <v/>
      </c>
      <c r="W40" s="169" t="str">
        <f t="shared" si="5"/>
        <v/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 t="str">
        <f t="shared" si="3"/>
        <v/>
      </c>
      <c r="V41" s="168" t="str">
        <f t="shared" si="4"/>
        <v/>
      </c>
      <c r="W41" s="169" t="str">
        <f t="shared" si="5"/>
        <v/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 t="str">
        <f t="shared" si="3"/>
        <v/>
      </c>
      <c r="V42" s="168" t="str">
        <f t="shared" si="4"/>
        <v/>
      </c>
      <c r="W42" s="169" t="str">
        <f t="shared" si="5"/>
        <v/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 t="str">
        <f t="shared" si="3"/>
        <v/>
      </c>
      <c r="V43" s="168" t="str">
        <f t="shared" si="4"/>
        <v/>
      </c>
      <c r="W43" s="169" t="str">
        <f t="shared" si="5"/>
        <v/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 t="str">
        <f t="shared" si="3"/>
        <v/>
      </c>
      <c r="V44" s="168" t="str">
        <f t="shared" si="4"/>
        <v/>
      </c>
      <c r="W44" s="169" t="str">
        <f t="shared" si="5"/>
        <v/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 t="str">
        <f t="shared" si="3"/>
        <v/>
      </c>
      <c r="V45" s="168" t="str">
        <f t="shared" si="4"/>
        <v/>
      </c>
      <c r="W45" s="169" t="str">
        <f t="shared" si="5"/>
        <v/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 t="str">
        <f t="shared" si="3"/>
        <v/>
      </c>
      <c r="V46" s="168" t="str">
        <f t="shared" si="4"/>
        <v/>
      </c>
      <c r="W46" s="169" t="str">
        <f t="shared" si="5"/>
        <v/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1056.25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 t="str">
        <f t="shared" si="3"/>
        <v/>
      </c>
      <c r="V47" s="168" t="str">
        <f t="shared" si="4"/>
        <v/>
      </c>
      <c r="W47" s="169" t="str">
        <f t="shared" si="5"/>
        <v/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 t="str">
        <f t="shared" si="3"/>
        <v/>
      </c>
      <c r="V48" s="168" t="str">
        <f t="shared" si="4"/>
        <v/>
      </c>
      <c r="W48" s="169" t="str">
        <f t="shared" si="5"/>
        <v/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 t="str">
        <f t="shared" si="3"/>
        <v/>
      </c>
      <c r="V49" s="168" t="str">
        <f t="shared" si="4"/>
        <v/>
      </c>
      <c r="W49" s="169" t="str">
        <f t="shared" si="5"/>
        <v/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1056.25</v>
      </c>
      <c r="O50" s="147"/>
      <c r="P50" s="9"/>
      <c r="Q50" s="9"/>
      <c r="R50" s="9"/>
      <c r="S50" s="141"/>
      <c r="T50" s="141" t="str">
        <f t="shared" si="6"/>
        <v/>
      </c>
      <c r="U50" s="168" t="str">
        <f t="shared" si="3"/>
        <v/>
      </c>
      <c r="V50" s="168" t="str">
        <f t="shared" si="4"/>
        <v/>
      </c>
      <c r="W50" s="169" t="str">
        <f t="shared" si="5"/>
        <v/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 t="str">
        <f t="shared" si="3"/>
        <v/>
      </c>
      <c r="V51" s="168" t="str">
        <f t="shared" si="4"/>
        <v/>
      </c>
      <c r="W51" s="169" t="str">
        <f t="shared" si="5"/>
        <v/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 t="str">
        <f t="shared" si="3"/>
        <v/>
      </c>
      <c r="V52" s="168" t="str">
        <f t="shared" si="4"/>
        <v/>
      </c>
      <c r="W52" s="169" t="str">
        <f t="shared" si="5"/>
        <v/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 t="str">
        <f t="shared" si="3"/>
        <v/>
      </c>
      <c r="V53" s="168" t="str">
        <f t="shared" si="4"/>
        <v/>
      </c>
      <c r="W53" s="169" t="str">
        <f t="shared" si="5"/>
        <v/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 t="str">
        <f t="shared" si="3"/>
        <v/>
      </c>
      <c r="V54" s="168" t="str">
        <f t="shared" si="4"/>
        <v/>
      </c>
      <c r="W54" s="169" t="str">
        <f t="shared" si="5"/>
        <v/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 t="str">
        <f t="shared" si="3"/>
        <v/>
      </c>
      <c r="V55" s="168" t="str">
        <f t="shared" si="4"/>
        <v/>
      </c>
      <c r="W55" s="169" t="str">
        <f t="shared" si="5"/>
        <v/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 t="str">
        <f t="shared" si="3"/>
        <v/>
      </c>
      <c r="V56" s="168" t="str">
        <f t="shared" si="4"/>
        <v/>
      </c>
      <c r="W56" s="169" t="str">
        <f t="shared" si="5"/>
        <v/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 t="str">
        <f t="shared" si="3"/>
        <v/>
      </c>
      <c r="V57" s="168" t="str">
        <f t="shared" si="4"/>
        <v/>
      </c>
      <c r="W57" s="169" t="str">
        <f t="shared" si="5"/>
        <v/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 t="str">
        <f t="shared" si="3"/>
        <v/>
      </c>
      <c r="V58" s="168" t="str">
        <f t="shared" si="4"/>
        <v/>
      </c>
      <c r="W58" s="169" t="str">
        <f t="shared" si="5"/>
        <v/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 t="str">
        <f t="shared" si="3"/>
        <v/>
      </c>
      <c r="V59" s="168" t="str">
        <f t="shared" si="4"/>
        <v/>
      </c>
      <c r="W59" s="169" t="str">
        <f t="shared" si="5"/>
        <v/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 t="str">
        <f t="shared" si="3"/>
        <v/>
      </c>
      <c r="V60" s="168" t="str">
        <f t="shared" si="4"/>
        <v/>
      </c>
      <c r="W60" s="169" t="str">
        <f t="shared" si="5"/>
        <v/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 t="str">
        <f t="shared" si="3"/>
        <v/>
      </c>
      <c r="V61" s="168" t="str">
        <f t="shared" si="4"/>
        <v/>
      </c>
      <c r="W61" s="169" t="str">
        <f t="shared" si="5"/>
        <v/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 t="str">
        <f t="shared" si="3"/>
        <v/>
      </c>
      <c r="V62" s="168" t="str">
        <f t="shared" si="4"/>
        <v/>
      </c>
      <c r="W62" s="169" t="str">
        <f t="shared" si="5"/>
        <v/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 t="str">
        <f t="shared" si="3"/>
        <v/>
      </c>
      <c r="V63" s="168" t="str">
        <f t="shared" si="4"/>
        <v/>
      </c>
      <c r="W63" s="169" t="str">
        <f t="shared" si="5"/>
        <v/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 t="str">
        <f t="shared" si="3"/>
        <v/>
      </c>
      <c r="V64" s="168" t="str">
        <f t="shared" si="4"/>
        <v/>
      </c>
      <c r="W64" s="169" t="str">
        <f t="shared" si="5"/>
        <v/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70" t="s">
        <v>61</v>
      </c>
      <c r="V65" s="17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71">
        <f>SUM(L10:L46)</f>
        <v>3.25</v>
      </c>
      <c r="V66" s="172">
        <v>325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1056.25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1056.25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52.81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105.36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1214.4199999999998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6"/>
      <c r="U77" s="176"/>
      <c r="V77" s="176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7" t="s">
        <v>75</v>
      </c>
      <c r="U78" s="177"/>
      <c r="V78" s="177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6"/>
      <c r="U79" s="176"/>
      <c r="V79" s="176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1214.4199999999998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3"/>
      <c r="U83" s="173"/>
      <c r="V83" s="173"/>
      <c r="W83" s="173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4" t="s">
        <v>66</v>
      </c>
      <c r="T84" s="174"/>
      <c r="U84" s="174"/>
      <c r="V84" s="174"/>
      <c r="W84" s="174"/>
      <c r="X84" s="174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3" t="s">
        <v>67</v>
      </c>
      <c r="T85" s="173"/>
      <c r="U85" s="173"/>
      <c r="V85" s="173"/>
      <c r="W85" s="173"/>
      <c r="X85" s="173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4"/>
      <c r="U87" s="174"/>
      <c r="V87" s="174"/>
      <c r="W87" s="174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5" t="s">
        <v>68</v>
      </c>
      <c r="T88" s="175"/>
      <c r="U88" s="175"/>
      <c r="V88" s="175"/>
      <c r="W88" s="175"/>
      <c r="X88" s="175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1" t="s">
        <v>223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>
        <v>22</v>
      </c>
      <c r="B25" s="21">
        <v>45203</v>
      </c>
      <c r="C25" s="2">
        <v>2</v>
      </c>
      <c r="D25" t="s">
        <v>85</v>
      </c>
      <c r="E25" s="21">
        <v>45234</v>
      </c>
      <c r="F25" s="151">
        <v>1056.25</v>
      </c>
      <c r="G25" s="151">
        <v>0</v>
      </c>
      <c r="H25" s="151">
        <v>0</v>
      </c>
      <c r="I25" s="151">
        <v>52.81</v>
      </c>
      <c r="J25" s="151">
        <v>105.36</v>
      </c>
      <c r="K25" s="151">
        <v>1214.4199999999998</v>
      </c>
      <c r="L25" s="151">
        <v>0</v>
      </c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2" t="s">
        <v>25</v>
      </c>
      <c r="B1" s="192"/>
      <c r="C1" s="192"/>
      <c r="D1" s="192"/>
      <c r="E1" s="192"/>
      <c r="F1" s="192"/>
      <c r="G1" s="192"/>
      <c r="L1" s="15" t="s">
        <v>38</v>
      </c>
      <c r="N1" s="191" t="s">
        <v>38</v>
      </c>
      <c r="O1" s="191"/>
      <c r="P1" s="191"/>
      <c r="Q1" s="191"/>
      <c r="R1" s="191"/>
      <c r="S1" s="191"/>
    </row>
    <row r="2" spans="1:19" ht="14.45" customHeight="1" x14ac:dyDescent="0.25">
      <c r="A2" s="191"/>
      <c r="B2" s="191"/>
      <c r="C2" s="191"/>
      <c r="D2" s="191"/>
      <c r="E2" s="191"/>
      <c r="F2" s="191"/>
      <c r="G2" s="191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244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245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247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53"/>
      <c r="D65" s="150"/>
      <c r="E65" s="150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188</v>
      </c>
      <c r="C66" s="153">
        <v>3.25</v>
      </c>
      <c r="D66" s="150">
        <v>325</v>
      </c>
      <c r="E66" s="150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C67" s="153"/>
      <c r="D67" s="150"/>
      <c r="E67" s="150"/>
      <c r="F67" s="2"/>
      <c r="G67" s="2"/>
      <c r="Q67" s="2"/>
      <c r="R67" s="2"/>
      <c r="S67" s="2"/>
    </row>
    <row r="68" spans="1:19" x14ac:dyDescent="0.25">
      <c r="C68" s="153"/>
      <c r="D68" s="150"/>
      <c r="E68" s="150"/>
      <c r="F68" s="2"/>
      <c r="G68" s="2"/>
      <c r="Q68" s="2"/>
      <c r="R68" s="2"/>
      <c r="S68" s="2"/>
    </row>
    <row r="69" spans="1:19" x14ac:dyDescent="0.25">
      <c r="C69" s="153"/>
      <c r="D69" s="150"/>
      <c r="E69" s="150"/>
      <c r="F69" s="2"/>
      <c r="G69" s="2"/>
      <c r="Q69" s="2"/>
      <c r="R69" s="2"/>
      <c r="S69" s="2"/>
    </row>
    <row r="70" spans="1:19" x14ac:dyDescent="0.25">
      <c r="C70" s="153"/>
      <c r="D70" s="150"/>
      <c r="E70" s="150"/>
      <c r="F70" s="2"/>
      <c r="G70" s="2"/>
      <c r="Q70" s="2"/>
      <c r="R70" s="2"/>
      <c r="S70" s="2"/>
    </row>
    <row r="71" spans="1:19" x14ac:dyDescent="0.25">
      <c r="C71" s="153"/>
      <c r="D71" s="150"/>
      <c r="E71" s="150"/>
      <c r="F71" s="2"/>
      <c r="G71" s="2"/>
      <c r="Q71" s="2"/>
      <c r="R71" s="2"/>
      <c r="S71" s="2"/>
    </row>
    <row r="72" spans="1:19" x14ac:dyDescent="0.25">
      <c r="C72" s="153"/>
      <c r="D72" s="150"/>
      <c r="E72" s="150"/>
      <c r="F72" s="2"/>
      <c r="G72" s="2"/>
      <c r="Q72" s="2"/>
      <c r="R72" s="2"/>
      <c r="S72" s="2"/>
    </row>
    <row r="73" spans="1:19" x14ac:dyDescent="0.25">
      <c r="C73" s="153"/>
      <c r="D73" s="150"/>
      <c r="E73" s="150"/>
      <c r="F73" s="2"/>
      <c r="G73" s="2"/>
      <c r="Q73" s="2"/>
      <c r="R73" s="2"/>
      <c r="S73" s="2"/>
    </row>
    <row r="74" spans="1:19" x14ac:dyDescent="0.25">
      <c r="C74" s="153"/>
      <c r="D74" s="150"/>
      <c r="E74" s="150"/>
      <c r="F74" s="2"/>
      <c r="G74" s="2"/>
      <c r="Q74" s="2"/>
      <c r="R74" s="2"/>
      <c r="S74" s="2"/>
    </row>
    <row r="75" spans="1:19" x14ac:dyDescent="0.25">
      <c r="C75" s="153"/>
      <c r="D75" s="150"/>
      <c r="E75" s="150"/>
      <c r="F75" s="2"/>
      <c r="G75" s="2"/>
      <c r="Q75" s="2"/>
      <c r="R75" s="2"/>
      <c r="S75" s="2"/>
    </row>
    <row r="76" spans="1:19" x14ac:dyDescent="0.25">
      <c r="C76" s="153"/>
      <c r="D76" s="150"/>
      <c r="E76" s="150"/>
      <c r="F76" s="2"/>
      <c r="G76" s="2"/>
    </row>
    <row r="77" spans="1:19" x14ac:dyDescent="0.25">
      <c r="C77" s="153"/>
      <c r="D77" s="150"/>
      <c r="E77" s="150"/>
      <c r="F77" s="2"/>
      <c r="G77" s="2"/>
    </row>
    <row r="78" spans="1:19" x14ac:dyDescent="0.25">
      <c r="C78" s="153"/>
      <c r="D78" s="150"/>
      <c r="E78" s="150"/>
      <c r="F78" s="2"/>
      <c r="G78" s="2"/>
    </row>
    <row r="79" spans="1:19" x14ac:dyDescent="0.25">
      <c r="C79" s="153"/>
      <c r="D79" s="150"/>
      <c r="E79" s="150"/>
      <c r="F79" s="2"/>
      <c r="G79" s="2"/>
    </row>
    <row r="80" spans="1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5" t="s">
        <v>38</v>
      </c>
      <c r="R1" s="196"/>
      <c r="U1" s="193" t="s">
        <v>91</v>
      </c>
      <c r="V1" s="194"/>
      <c r="W1" s="194"/>
      <c r="X1" s="194"/>
      <c r="Y1" s="194"/>
      <c r="Z1" s="194"/>
    </row>
    <row r="2" spans="1:26" ht="25.5" x14ac:dyDescent="0.25">
      <c r="A2" s="192" t="s">
        <v>90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2</v>
      </c>
      <c r="R3" s="56" t="str">
        <f>IF(Invoice!B16=TRUE,"&lt;&gt;","No")</f>
        <v>&lt;&gt;</v>
      </c>
      <c r="U3" s="2">
        <v>4</v>
      </c>
      <c r="V3" s="21">
        <v>45142</v>
      </c>
      <c r="W3" t="s">
        <v>166</v>
      </c>
      <c r="X3" s="82">
        <v>6</v>
      </c>
      <c r="Y3" s="2" t="s">
        <v>2</v>
      </c>
      <c r="Z3" s="2">
        <v>7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6</v>
      </c>
      <c r="V4" s="21">
        <v>45144</v>
      </c>
      <c r="W4" t="s">
        <v>165</v>
      </c>
      <c r="X4" s="82">
        <v>20</v>
      </c>
      <c r="Y4" s="2" t="s">
        <v>2</v>
      </c>
      <c r="Z4" s="2">
        <v>9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13</v>
      </c>
      <c r="V5" s="21">
        <v>45151</v>
      </c>
      <c r="W5" t="s">
        <v>166</v>
      </c>
      <c r="X5" s="82">
        <v>16</v>
      </c>
      <c r="Y5" s="2" t="s">
        <v>2</v>
      </c>
      <c r="Z5" s="2">
        <v>16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>
        <v>15</v>
      </c>
      <c r="V6" s="21">
        <v>45153</v>
      </c>
      <c r="W6" t="s">
        <v>165</v>
      </c>
      <c r="X6" s="82">
        <v>10</v>
      </c>
      <c r="Y6" s="2" t="s">
        <v>2</v>
      </c>
      <c r="Z6" s="2">
        <v>18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>
        <v>16</v>
      </c>
      <c r="V7" s="21">
        <v>45154</v>
      </c>
      <c r="W7" t="s">
        <v>166</v>
      </c>
      <c r="X7" s="82">
        <v>26</v>
      </c>
      <c r="Y7" s="2" t="s">
        <v>2</v>
      </c>
      <c r="Z7" s="2">
        <v>19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>
        <v>18</v>
      </c>
      <c r="V8" s="21">
        <v>45156</v>
      </c>
      <c r="W8" t="s">
        <v>165</v>
      </c>
      <c r="X8" s="82">
        <v>5</v>
      </c>
      <c r="Y8" s="16" t="s">
        <v>2</v>
      </c>
      <c r="Z8" s="2">
        <v>21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>
        <v>28</v>
      </c>
      <c r="V9" s="21">
        <v>45175</v>
      </c>
      <c r="W9" t="s">
        <v>165</v>
      </c>
      <c r="X9" s="82">
        <v>10</v>
      </c>
      <c r="Y9" s="2" t="s">
        <v>2</v>
      </c>
      <c r="Z9" s="2">
        <v>31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>
        <v>29</v>
      </c>
      <c r="V10" s="21">
        <v>45173</v>
      </c>
      <c r="W10" t="s">
        <v>166</v>
      </c>
      <c r="X10" s="82">
        <v>26</v>
      </c>
      <c r="Y10" s="2" t="s">
        <v>2</v>
      </c>
      <c r="Z10" s="2">
        <v>32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>
        <v>30</v>
      </c>
      <c r="V11" s="21">
        <v>45175</v>
      </c>
      <c r="W11" t="s">
        <v>165</v>
      </c>
      <c r="X11" s="82">
        <v>5</v>
      </c>
      <c r="Y11" s="2" t="s">
        <v>2</v>
      </c>
      <c r="Z11" s="2">
        <v>33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2" t="s">
        <v>120</v>
      </c>
      <c r="B1" s="192"/>
      <c r="C1" s="192"/>
      <c r="D1" s="197"/>
    </row>
    <row r="2" spans="1:5" x14ac:dyDescent="0.25">
      <c r="A2" s="191"/>
      <c r="B2" s="191"/>
      <c r="C2" s="191"/>
      <c r="D2" s="198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2" t="s">
        <v>16</v>
      </c>
      <c r="B1" s="192"/>
      <c r="C1" s="192"/>
      <c r="D1" s="192"/>
      <c r="E1" s="192"/>
      <c r="F1" s="192"/>
      <c r="G1" s="192"/>
      <c r="H1" s="192"/>
      <c r="K1" s="13" t="s">
        <v>38</v>
      </c>
      <c r="M1" s="63" t="s">
        <v>41</v>
      </c>
    </row>
    <row r="2" spans="1:13" ht="14.45" customHeight="1" x14ac:dyDescent="0.25">
      <c r="A2" s="191"/>
      <c r="B2" s="191"/>
      <c r="C2" s="191"/>
      <c r="D2" s="191"/>
      <c r="E2" s="191"/>
      <c r="F2" s="191"/>
      <c r="G2" s="191"/>
      <c r="H2" s="191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2" t="s">
        <v>8</v>
      </c>
      <c r="B1" s="192"/>
      <c r="C1" s="192"/>
      <c r="D1" s="192"/>
      <c r="E1" s="192"/>
      <c r="F1" s="192"/>
      <c r="G1" s="192"/>
      <c r="H1" s="192"/>
      <c r="I1" s="192"/>
    </row>
    <row r="2" spans="1:9" x14ac:dyDescent="0.25">
      <c r="A2" s="191"/>
      <c r="B2" s="191"/>
      <c r="C2" s="191"/>
      <c r="D2" s="191"/>
      <c r="E2" s="191"/>
      <c r="F2" s="191"/>
      <c r="G2" s="191"/>
      <c r="H2" s="191"/>
      <c r="I2" s="191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2023-10-04T19:02:19Z</cp:lastPrinted>
  <dcterms:created xsi:type="dcterms:W3CDTF">2023-05-08T04:58:50Z</dcterms:created>
  <dcterms:modified xsi:type="dcterms:W3CDTF">2023-10-04T19:07:11Z</dcterms:modified>
</cp:coreProperties>
</file>