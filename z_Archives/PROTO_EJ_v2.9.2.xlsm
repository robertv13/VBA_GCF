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068606CB-FBF1-43C6-8976-A5291E591A7B}" xr6:coauthVersionLast="47" xr6:coauthVersionMax="47" xr10:uidLastSave="{00000000-0000-0000-0000-000000000000}"/>
  <bookViews>
    <workbookView xWindow="-120" yWindow="-120" windowWidth="29040" windowHeight="15840" xr2:uid="{8B896088-70BB-4C60-BB21-C1E442DA7D5A}"/>
  </bookViews>
  <sheets>
    <sheet name="EJ" sheetId="1" r:id="rId1"/>
    <sheet name="Trans" sheetId="3" r:id="rId2"/>
    <sheet name="EJ_Auto" sheetId="5" r:id="rId3"/>
    <sheet name="BV" sheetId="4" r:id="rId4"/>
    <sheet name="PlanComptable" sheetId="2" r:id="rId5"/>
  </sheets>
  <functionGroups builtInGroupCount="19"/>
  <definedNames>
    <definedName name="_xlnm._FilterDatabase" localSheetId="1" hidden="1">Trans!$C$1:$L$269</definedName>
    <definedName name="COA" localSheetId="4">PlanComptable!$A$3:$B$62</definedName>
    <definedName name="DescEJRecurrente">EJ_Auto!$K$1:$L$5</definedName>
    <definedName name="_xlnm.Print_Titles" localSheetId="3">BV!$1:$3</definedName>
    <definedName name="_xlnm.Print_Titles" localSheetId="1">Trans!$1:$1</definedName>
    <definedName name="wshJEAutoDesc">EJ_Auto!$K$1:$L$5</definedName>
    <definedName name="_xlnm.Print_Area" localSheetId="3">BV!$D$4:$G$66</definedName>
    <definedName name="_xlnm.Print_Area" localSheetId="1">Trans!$D$1:$K$159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0" i="5" l="1"/>
  <c r="I29" i="5"/>
  <c r="I28" i="5"/>
  <c r="I27" i="5"/>
  <c r="I26" i="5"/>
  <c r="I25" i="5"/>
  <c r="L279" i="3"/>
  <c r="L278" i="3"/>
  <c r="L277" i="3"/>
  <c r="L276" i="3"/>
  <c r="L275" i="3"/>
  <c r="L274" i="3"/>
  <c r="A53" i="2" l="1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L273" i="3"/>
  <c r="L272" i="3"/>
  <c r="L271" i="3"/>
  <c r="L270" i="3"/>
  <c r="I19" i="5"/>
  <c r="I20" i="5"/>
  <c r="I21" i="5"/>
  <c r="I22" i="5"/>
  <c r="I23" i="5"/>
  <c r="I24" i="5"/>
  <c r="L269" i="3"/>
  <c r="L268" i="3"/>
  <c r="L267" i="3"/>
  <c r="L266" i="3"/>
  <c r="L265" i="3"/>
  <c r="L264" i="3"/>
  <c r="I11" i="5"/>
  <c r="I12" i="5"/>
  <c r="I13" i="5"/>
  <c r="I14" i="5"/>
  <c r="I15" i="5"/>
  <c r="I16" i="5"/>
  <c r="I17" i="5"/>
  <c r="I18" i="5"/>
  <c r="L263" i="3"/>
  <c r="L262" i="3"/>
  <c r="L261" i="3"/>
  <c r="L260" i="3"/>
  <c r="L259" i="3"/>
  <c r="L258" i="3"/>
  <c r="G26" i="4"/>
  <c r="F26" i="4"/>
  <c r="I4" i="5"/>
  <c r="I5" i="5"/>
  <c r="I6" i="5"/>
  <c r="I7" i="5"/>
  <c r="I8" i="5"/>
  <c r="I9" i="5"/>
  <c r="I10" i="5"/>
  <c r="L257" i="3"/>
  <c r="L256" i="3"/>
  <c r="L255" i="3"/>
  <c r="L254" i="3"/>
  <c r="L253" i="3"/>
  <c r="L252" i="3"/>
  <c r="L251" i="3"/>
  <c r="I3" i="5"/>
  <c r="I2" i="5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 l="1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3" i="2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3" i="2"/>
  <c r="H25" i="1" l="1"/>
  <c r="G25" i="1"/>
</calcChain>
</file>

<file path=xl/sharedStrings.xml><?xml version="1.0" encoding="utf-8"?>
<sst xmlns="http://schemas.openxmlformats.org/spreadsheetml/2006/main" count="906" uniqueCount="225">
  <si>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</si>
  <si>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</si>
  <si>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</si>
  <si>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</si>
  <si>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</si>
  <si>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</si>
  <si>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</si>
  <si>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</si>
  <si>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</si>
  <si>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</si>
  <si>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</si>
  <si>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</si>
  <si>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</si>
  <si>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</si>
  <si>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</si>
  <si>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</si>
  <si>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</si>
  <si>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</si>
  <si>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</si>
  <si>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</si>
  <si>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</si>
  <si>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</si>
  <si>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</si>
  <si>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</si>
  <si>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</si>
  <si>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</si>
  <si>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</si>
  <si>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</si>
  <si>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</si>
  <si>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</si>
  <si>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</si>
  <si>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</si>
  <si>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</si>
  <si>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</si>
  <si>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</si>
  <si>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</si>
  <si>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</si>
  <si>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</si>
  <si>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</si>
  <si>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</si>
  <si>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</si>
  <si>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</si>
  <si>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</si>
  <si>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</si>
  <si>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</si>
  <si>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</si>
  <si>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</si>
  <si>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</si>
  <si>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</si>
  <si>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</si>
  <si>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</si>
  <si>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</si>
  <si>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</si>
  <si>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</si>
  <si>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</si>
  <si>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</si>
  <si>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</si>
  <si>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</si>
  <si>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</si>
  <si>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</si>
  <si>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</si>
  <si>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</si>
  <si>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</si>
  <si>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</si>
  <si>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</si>
  <si>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</si>
  <si>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</si>
  <si>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</si>
  <si>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</si>
  <si>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</si>
  <si>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</si>
  <si>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</si>
  <si>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</si>
  <si>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</si>
  <si>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</si>
  <si>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</si>
  <si>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</si>
  <si>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</si>
  <si>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</si>
  <si>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</si>
  <si>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</si>
  <si>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</si>
  <si>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</si>
  <si>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</si>
  <si>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</si>
  <si>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</si>
  <si>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</si>
  <si>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</si>
  <si>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</si>
  <si>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</si>
  <si>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</si>
  <si>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</si>
  <si>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</si>
  <si>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</si>
  <si>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</si>
  <si>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</si>
  <si>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</si>
  <si>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</si>
  <si>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</si>
  <si>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</si>
  <si>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</si>
  <si>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</si>
  <si>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</si>
  <si>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</si>
  <si>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</si>
  <si>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</si>
  <si>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</si>
  <si>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</si>
  <si>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</si>
  <si>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</si>
  <si>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</si>
  <si>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</si>
  <si>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</si>
  <si>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</si>
  <si>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</si>
  <si>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</si>
  <si>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</si>
  <si>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</si>
  <si>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</si>
  <si>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</si>
  <si>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</si>
  <si>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</si>
  <si>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</si>
  <si>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</si>
  <si>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</si>
  <si>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</si>
  <si>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</si>
  <si>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</si>
  <si>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</si>
  <si>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</si>
  <si>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</si>
  <si>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</si>
  <si>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</si>
  <si>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</si>
  <si>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</si>
  <si>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</si>
  <si>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</si>
  <si>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</si>
  <si>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</si>
  <si>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</si>
  <si>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</si>
  <si>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</si>
  <si>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</si>
  <si>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</si>
  <si>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</si>
  <si>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</si>
  <si>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</si>
  <si>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</si>
  <si>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</si>
  <si>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</si>
  <si>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</si>
  <si>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</si>
  <si>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</si>
  <si>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</si>
  <si>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</si>
  <si>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</si>
  <si>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</si>
  <si>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</si>
  <si>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</si>
  <si>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</si>
  <si>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</si>
  <si>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</si>
  <si>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</si>
  <si>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</si>
  <si>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</si>
  <si>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</si>
  <si>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</si>
  <si>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</si>
  <si>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</si>
  <si>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</si>
  <si>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</si>
  <si>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</si>
  <si>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</si>
  <si>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</si>
  <si>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</si>
  <si>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</si>
  <si>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</si>
  <si>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</si>
  <si>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</si>
  <si>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Assurances Responsabilité (portion mensuelle)</t>
  </si>
  <si>
    <t>FACT-00029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</si>
  <si>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</si>
  <si>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</si>
  <si>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</si>
  <si>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</si>
  <si>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</si>
  <si>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</si>
  <si>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</si>
  <si>
    <t>Test de remarque</t>
  </si>
  <si>
    <t>Test Gras + Italique</t>
  </si>
  <si>
    <t>Cadeau de la banque</t>
  </si>
  <si>
    <t>Remarque pour vérifier que la description se transforme en gras + Italique</t>
  </si>
  <si>
    <t>Test sur les cellules fusionnées</t>
  </si>
  <si>
    <t>Sans description</t>
  </si>
  <si>
    <t>TEST EJ # 37</t>
  </si>
  <si>
    <t>Après avoir réglé des petits soucis avec la date par défaut</t>
  </si>
  <si>
    <t>Test sur E/J # 38</t>
  </si>
  <si>
    <t>La date fonctionne bien, on sauvegarde les EJ récurrentes…</t>
  </si>
  <si>
    <t>Réorganisation du code en sous-routine</t>
  </si>
  <si>
    <t>Test suite à l'intégration en sous-routine</t>
  </si>
  <si>
    <t>AUTE TEST</t>
  </si>
  <si>
    <t>Encore des tests sont requis</t>
  </si>
  <si>
    <t>Encore des tests</t>
  </si>
  <si>
    <t>E/J récurrente</t>
  </si>
  <si>
    <t>Implantation de la logique pour les E/J récurrentes</t>
  </si>
  <si>
    <t>Autre test</t>
  </si>
  <si>
    <t>TEST E/J RÉCURRENTE</t>
  </si>
  <si>
    <t>Test sur la sauvegarde des écritures récurrentes</t>
  </si>
  <si>
    <t>Next Avail</t>
  </si>
  <si>
    <t>Première E/J récurrente (frais de banque)</t>
  </si>
  <si>
    <t>Facture de revenus de consultation</t>
  </si>
  <si>
    <t>31/10/2023</t>
  </si>
  <si>
    <t>HYDRO QUÉBEC</t>
  </si>
  <si>
    <t>LOYER - Facture mensuelle</t>
  </si>
  <si>
    <t>Facture pour revenus de consultation</t>
  </si>
  <si>
    <t>Assurance Loyer</t>
  </si>
  <si>
    <t>No E/J recurrente</t>
  </si>
  <si>
    <t>Auto</t>
  </si>
  <si>
    <t>15/10/2023</t>
  </si>
  <si>
    <t>5007a</t>
  </si>
  <si>
    <t>Électricité</t>
  </si>
  <si>
    <t>New J/E auto</t>
  </si>
  <si>
    <t>14/10/2023</t>
  </si>
  <si>
    <t>Test avec la création d'E/J automatique ou récurrente</t>
  </si>
  <si>
    <t>Imputation automatique le 14 de chaque mois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</si>
</sst>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52">
    <xf numFmtId="0" fontId="0" fillId="0" borderId="0" xfId="0"/>
    <xf numFmtId="0" fontId="0" fillId="0" borderId="10" xfId="0" applyBorder="1" applyAlignment="1">
      <alignment horizontal="lef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2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/>
    </xf>
    <xf numFmtId="0" fontId="14" fillId="0" borderId="0" xfId="0" applyFont="1"/>
    <xf numFmtId="0" fontId="0" fillId="0" borderId="0" xfId="0" applyAlignment="1">
      <alignment horizontal="right" vertical="center"/>
    </xf>
    <xf numFmtId="0" fontId="0" fillId="12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164" fontId="13" fillId="11" borderId="0" xfId="0" applyNumberFormat="1" applyFont="1" applyFill="1" applyAlignment="1">
      <alignment horizontal="right"/>
    </xf>
    <xf numFmtId="164" fontId="12" fillId="11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/>
    </xf>
    <xf numFmtId="0" fontId="0" fillId="0" borderId="56" xfId="0" applyBorder="1" applyAlignment="1">
      <alignment horizontal="left"/>
    </xf>
    <xf numFmtId="0" fontId="1" fillId="13" borderId="19" xfId="0" applyFont="1" applyFill="1" applyBorder="1"/>
    <xf numFmtId="0" fontId="1" fillId="13" borderId="20" xfId="0" applyFont="1" applyFill="1" applyBorder="1"/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3" borderId="60" xfId="0" applyFont="1" applyFill="1" applyBorder="1"/>
    <xf numFmtId="0" fontId="1" fillId="13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3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3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14" fontId="2" fillId="0" borderId="24" xfId="0" applyNumberFormat="1" applyFont="1" applyBorder="1" applyAlignment="1">
      <alignment horizontal="center"/>
    </xf>
    <xf numFmtId="7" fontId="0" fillId="0" borderId="0" xfId="0" applyNumberFormat="1"/>
    <xf numFmtId="164" fontId="1" fillId="0" borderId="62" xfId="0" applyNumberFormat="1" applyFont="1" applyBorder="1"/>
    <xf numFmtId="14" fontId="0" fillId="0" borderId="63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4" xfId="0" applyBorder="1"/>
    <xf numFmtId="14" fontId="10" fillId="0" borderId="65" xfId="0" applyNumberFormat="1" applyFont="1" applyBorder="1" applyAlignment="1">
      <alignment horizontal="center"/>
    </xf>
    <xf numFmtId="0" fontId="0" fillId="0" borderId="66" xfId="0" applyBorder="1"/>
    <xf numFmtId="14" fontId="10" fillId="0" borderId="67" xfId="0" applyNumberFormat="1" applyFont="1" applyBorder="1" applyAlignment="1">
      <alignment horizontal="center"/>
    </xf>
    <xf numFmtId="0" fontId="10" fillId="0" borderId="68" xfId="0" applyFont="1" applyBorder="1" applyAlignment="1">
      <alignment horizontal="center"/>
    </xf>
    <xf numFmtId="0" fontId="10" fillId="0" borderId="68" xfId="0" applyFont="1" applyBorder="1" applyAlignment="1">
      <alignment horizontal="left"/>
    </xf>
    <xf numFmtId="49" fontId="0" fillId="0" borderId="68" xfId="0" applyNumberForma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14" fontId="2" fillId="0" borderId="70" xfId="0" applyNumberFormat="1" applyFont="1" applyBorder="1" applyAlignment="1">
      <alignment horizontal="center"/>
    </xf>
    <xf numFmtId="14" fontId="2" fillId="0" borderId="71" xfId="0" applyNumberFormat="1" applyFont="1" applyBorder="1" applyAlignment="1">
      <alignment horizontal="center"/>
    </xf>
    <xf numFmtId="0" fontId="8" fillId="14" borderId="68" xfId="0" applyFont="1" applyFill="1" applyBorder="1" applyAlignment="1">
      <alignment horizontal="left"/>
    </xf>
    <xf numFmtId="164" fontId="8" fillId="14" borderId="68" xfId="0" applyNumberFormat="1" applyFont="1" applyFill="1" applyBorder="1"/>
    <xf numFmtId="0" fontId="8" fillId="14" borderId="69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>
      <alignment vertical="center"/>
    </xf>
    <xf numFmtId="4" fontId="0" fillId="0" borderId="0" xfId="0" applyNumberFormat="1" applyAlignment="1">
      <alignment horizontal="right" vertical="center"/>
    </xf>
    <xf numFmtId="7" fontId="0" fillId="2" borderId="0" xfId="0" applyNumberForma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64" fontId="0" fillId="0" borderId="9" xfId="0" applyNumberFormat="1" applyBorder="1" applyAlignment="1" applyProtection="1">
      <alignment horizontal="right" vertical="center"/>
      <protection locked="0"/>
    </xf>
    <xf numFmtId="164" fontId="0" fillId="10" borderId="9" xfId="0" applyNumberFormat="1" applyFill="1" applyBorder="1" applyAlignment="1" applyProtection="1">
      <alignment horizontal="right" vertical="center"/>
      <protection locked="0"/>
    </xf>
    <xf numFmtId="164" fontId="0" fillId="3" borderId="9" xfId="0" applyNumberFormat="1" applyFill="1" applyBorder="1" applyAlignment="1" applyProtection="1">
      <alignment horizontal="right" vertical="center"/>
      <protection locked="0"/>
    </xf>
    <xf numFmtId="164" fontId="0" fillId="3" borderId="12" xfId="0" applyNumberFormat="1" applyFill="1" applyBorder="1" applyAlignment="1" applyProtection="1">
      <alignment horizontal="right" vertical="center"/>
      <protection locked="0"/>
    </xf>
    <xf numFmtId="0" fontId="0" fillId="2" borderId="44" xfId="0" applyFill="1" applyBorder="1" applyAlignment="1">
      <alignment horizontal="right" vertical="center"/>
    </xf>
    <xf numFmtId="0" fontId="0" fillId="2" borderId="45" xfId="0" applyFill="1" applyBorder="1" applyAlignment="1">
      <alignment vertical="center"/>
    </xf>
    <xf numFmtId="0" fontId="0" fillId="2" borderId="46" xfId="0" applyFill="1" applyBorder="1" applyAlignment="1">
      <alignment vertical="center"/>
    </xf>
    <xf numFmtId="0" fontId="0" fillId="2" borderId="38" xfId="0" applyFill="1" applyBorder="1" applyAlignment="1">
      <alignment horizontal="right" vertical="center"/>
    </xf>
    <xf numFmtId="0" fontId="0" fillId="2" borderId="39" xfId="0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0" fontId="0" fillId="2" borderId="41" xfId="0" applyFill="1" applyBorder="1" applyAlignment="1">
      <alignment horizontal="right" vertical="center"/>
    </xf>
    <xf numFmtId="0" fontId="0" fillId="2" borderId="42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8" xfId="0" applyFill="1" applyBorder="1" applyAlignment="1">
      <alignment horizontal="right" vertic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8" fillId="14" borderId="12" xfId="0" applyFont="1" applyFill="1" applyBorder="1" applyAlignment="1">
      <alignment horizontal="left"/>
    </xf>
    <xf numFmtId="164" fontId="8" fillId="14" borderId="12" xfId="0" applyNumberFormat="1" applyFont="1" applyFill="1" applyBorder="1"/>
    <xf numFmtId="0" fontId="8" fillId="14" borderId="72" xfId="0" applyFont="1" applyFill="1" applyBorder="1"/>
    <xf numFmtId="0" fontId="0" fillId="0" borderId="73" xfId="0" applyBorder="1"/>
    <xf numFmtId="14" fontId="0" fillId="0" borderId="0" xfId="0" applyNumberFormat="1" applyAlignment="1">
      <alignment horizontal="center"/>
    </xf>
    <xf numFmtId="14" fontId="10" fillId="0" borderId="73" xfId="0" applyNumberFormat="1" applyFont="1" applyBorder="1" applyAlignment="1">
      <alignment horizontal="center"/>
    </xf>
    <xf numFmtId="0" fontId="0" fillId="0" borderId="74" xfId="0" applyBorder="1"/>
    <xf numFmtId="14" fontId="11" fillId="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0" fillId="0" borderId="56" xfId="0" applyNumberFormat="1" applyFont="1" applyBorder="1" applyAlignment="1">
      <alignment horizontal="center"/>
    </xf>
    <xf numFmtId="0" fontId="8" fillId="0" borderId="68" xfId="0" applyFont="1" applyBorder="1" applyAlignment="1">
      <alignment horizontal="left"/>
    </xf>
    <xf numFmtId="164" fontId="0" fillId="0" borderId="68" xfId="0" applyNumberFormat="1" applyBorder="1"/>
    <xf numFmtId="0" fontId="0" fillId="0" borderId="69" xfId="0" applyBorder="1"/>
    <xf numFmtId="49" fontId="0" fillId="0" borderId="63" xfId="0" applyNumberFormat="1" applyBorder="1" applyAlignment="1">
      <alignment horizontal="center"/>
    </xf>
    <xf numFmtId="49" fontId="0" fillId="0" borderId="65" xfId="0" applyNumberFormat="1" applyBorder="1" applyAlignment="1">
      <alignment horizontal="center"/>
    </xf>
    <xf numFmtId="49" fontId="0" fillId="0" borderId="67" xfId="0" applyNumberFormat="1" applyBorder="1" applyAlignment="1">
      <alignment horizontal="center"/>
    </xf>
    <xf numFmtId="0" fontId="15" fillId="0" borderId="0" xfId="0" applyFont="1" applyAlignment="1">
      <alignment horizontal="center" vertical="center"/>
    </xf>
    <xf numFmtId="49" fontId="0" fillId="0" borderId="49" xfId="0" applyNumberFormat="1" applyBorder="1" applyAlignment="1">
      <alignment horizontal="center"/>
    </xf>
    <xf numFmtId="49" fontId="0" fillId="0" borderId="52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164" fontId="0" fillId="0" borderId="55" xfId="0" applyNumberFormat="1" applyBorder="1"/>
    <xf numFmtId="0" fontId="0" fillId="0" borderId="75" xfId="0" applyBorder="1"/>
    <xf numFmtId="0" fontId="8" fillId="0" borderId="55" xfId="0" applyFont="1" applyBorder="1" applyAlignment="1">
      <alignment horizontal="left"/>
    </xf>
    <xf numFmtId="0" fontId="8" fillId="0" borderId="0" xfId="0" applyFont="1" applyAlignment="1">
      <alignment horizontal="left"/>
    </xf>
    <xf numFmtId="49" fontId="0" fillId="10" borderId="15" xfId="0" applyNumberFormat="1" applyFill="1" applyBorder="1" applyAlignment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vertical="center"/>
      <protection locked="0"/>
    </xf>
    <xf numFmtId="49" fontId="0" fillId="3" borderId="15" xfId="0" applyNumberFormat="1" applyFill="1" applyBorder="1" applyAlignment="1" applyProtection="1">
      <alignment vertical="center"/>
      <protection locked="0"/>
    </xf>
    <xf numFmtId="49" fontId="0" fillId="3" borderId="17" xfId="0" applyNumberFormat="1" applyFill="1" applyBorder="1" applyAlignment="1" applyProtection="1">
      <alignment vertical="center"/>
      <protection locked="0"/>
    </xf>
    <xf numFmtId="0" fontId="0" fillId="10" borderId="26" xfId="0" applyFill="1" applyBorder="1" applyAlignment="1" applyProtection="1">
      <alignment vertical="center"/>
      <protection locked="0"/>
    </xf>
    <xf numFmtId="0" fontId="0" fillId="10" borderId="16" xfId="0" applyFill="1" applyBorder="1" applyAlignment="1" applyProtection="1">
      <alignment vertical="center"/>
      <protection locked="0"/>
    </xf>
    <xf numFmtId="0" fontId="0" fillId="10" borderId="27" xfId="0" applyFill="1" applyBorder="1" applyAlignment="1" applyProtection="1">
      <alignment vertical="center"/>
      <protection locked="0"/>
    </xf>
    <xf numFmtId="0" fontId="0" fillId="3" borderId="26" xfId="0" applyFill="1" applyBorder="1" applyAlignment="1" applyProtection="1">
      <alignment vertical="center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7" xfId="0" applyFill="1" applyBorder="1" applyAlignment="1" applyProtection="1">
      <alignment vertical="center"/>
      <protection locked="0"/>
    </xf>
    <xf numFmtId="49" fontId="0" fillId="3" borderId="18" xfId="0" applyNumberFormat="1" applyFill="1" applyBorder="1" applyAlignment="1" applyProtection="1">
      <alignment vertical="center"/>
      <protection locked="0"/>
    </xf>
    <xf numFmtId="49" fontId="0" fillId="3" borderId="20" xfId="0" applyNumberFormat="1" applyFill="1" applyBorder="1" applyAlignment="1" applyProtection="1">
      <alignment vertical="center"/>
      <protection locked="0"/>
    </xf>
    <xf numFmtId="0" fontId="0" fillId="3" borderId="2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9" xfId="0" applyFill="1" applyBorder="1" applyAlignment="1" applyProtection="1">
      <alignment vertical="center"/>
      <protection locked="0"/>
    </xf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0" fontId="13" fillId="11" borderId="0" xfId="0" applyFont="1" applyFill="1" applyAlignment="1">
      <alignment horizontal="center"/>
    </xf>
    <xf numFmtId="164" fontId="16" fillId="0" borderId="0" xfId="0" applyNumberFormat="1" applyFont="1" applyFill="1" applyAlignment="1">
      <alignment vertical="center"/>
    </xf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/>
    </xf>
    <xf numFmtId="164" fontId="0" fillId="0" borderId="0" xfId="0" applyNumberFormat="1" applyBorder="1"/>
  </cellXfs>
  <cellStyles count="1">
    <cellStyle name="Normal" xfId="0" builtinId="0"/>
  </cellStyles>
  <dxfs count="33"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1571626</xdr:colOff>
      <xdr:row>23</xdr:row>
      <xdr:rowOff>152399</xdr:rowOff>
    </xdr:from>
    <xdr:to>
      <xdr:col>9</xdr:col>
      <xdr:colOff>937126</xdr:colOff>
      <xdr:row>25</xdr:row>
      <xdr:rowOff>49874</xdr:rowOff>
    </xdr:to>
    <xdr:sp macro="[0]!JE_Pos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05801" y="4552949"/>
          <a:ext cx="1080000" cy="28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2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342900</xdr:colOff>
          <xdr:row>25</xdr:row>
          <xdr:rowOff>38100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180976</xdr:rowOff>
    </xdr:from>
    <xdr:to>
      <xdr:col>12</xdr:col>
      <xdr:colOff>180975</xdr:colOff>
      <xdr:row>2</xdr:row>
      <xdr:rowOff>104776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991350" y="180976"/>
          <a:ext cx="165735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3" totalsRowShown="0" headerRowDxfId="5" headerRowBorderDxfId="4" tableBorderDxfId="3">
  <autoFilter ref="D1:F63" xr:uid="{14C329C6-94DF-42A8-8109-86AAE4155542}"/>
  <tableColumns count="3">
    <tableColumn id="1" xr3:uid="{2BCE0A9E-D1F1-433B-A4C2-C16E4ED5F5E4}" name="Plan Comptable" dataDxfId="2"/>
    <tableColumn id="2" xr3:uid="{4E36B198-8028-4579-8C2C-2E84B10968B2}" name="Colonne1" dataDxfId="1"/>
    <tableColumn id="3" xr3:uid="{0F108B7D-E7FE-4F3B-8C2C-2AE9049BAF19}" name="Colonn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0AD659-1F45-4AA8-8D58-AC07F25F0CC5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K145"/>
  <sheetViews>
    <sheetView showGridLines="0" tabSelected="1" workbookViewId="0">
      <selection activeCell="E6" sqref="E6:J6"/>
    </sheetView>
  </sheetViews>
  <sheetFormatPr baseColWidth="10" defaultRowHeight="15" x14ac:dyDescent="0.25"/>
  <cols>
    <col min="1" max="1" width="17" style="124" bestFit="1" customWidth="1"/>
    <col min="2" max="2" width="11.42578125" style="177"/>
    <col min="3" max="3" width="5.7109375" style="173" customWidth="1"/>
    <col min="4" max="4" width="13" style="176" customWidth="1"/>
    <col min="5" max="5" width="14.7109375" style="173" customWidth="1"/>
    <col min="6" max="6" width="9.7109375" style="173" customWidth="1"/>
    <col min="7" max="8" width="14.7109375" style="173" customWidth="1"/>
    <col min="9" max="9" width="25.7109375" style="173" customWidth="1"/>
    <col min="10" max="10" width="14.140625" style="173" customWidth="1"/>
    <col min="11" max="11" width="5.7109375" style="173" customWidth="1"/>
    <col min="12" max="16384" width="11.42578125" style="173"/>
  </cols>
  <sheetData>
    <row r="1" spans="1:11" x14ac:dyDescent="0.25">
      <c r="A1" s="124" t="s">
        <v>144</v>
      </c>
      <c r="B1" s="172">
        <v>53</v>
      </c>
      <c r="D1" s="237" t="s">
        <v>8</v>
      </c>
      <c r="E1" s="237"/>
      <c r="F1" s="237"/>
      <c r="G1" s="237"/>
      <c r="H1" s="237"/>
      <c r="I1" s="237"/>
      <c r="J1" s="237"/>
    </row>
    <row r="2" spans="1:11" x14ac:dyDescent="0.25">
      <c r="B2" s="174"/>
      <c r="C2" s="175"/>
      <c r="D2" s="237"/>
      <c r="E2" s="237"/>
      <c r="F2" s="237"/>
      <c r="G2" s="237"/>
      <c r="H2" s="237"/>
      <c r="I2" s="237"/>
      <c r="J2" s="237"/>
    </row>
    <row r="3" spans="1:11" x14ac:dyDescent="0.25">
      <c r="B3" s="174"/>
    </row>
    <row r="4" spans="1:11" x14ac:dyDescent="0.25">
      <c r="D4" s="178" t="s">
        <v>4</v>
      </c>
      <c r="E4" s="179"/>
      <c r="I4" s="178" t="s">
        <v>7</v>
      </c>
      <c r="J4" s="194"/>
    </row>
    <row r="6" spans="1:11" x14ac:dyDescent="0.25">
      <c r="D6" s="178" t="s">
        <v>5</v>
      </c>
      <c r="E6" s="242"/>
      <c r="F6" s="243"/>
      <c r="G6" s="243"/>
      <c r="H6" s="243"/>
      <c r="I6" s="243"/>
      <c r="J6" s="244"/>
    </row>
    <row r="7" spans="1:11" ht="15.75" thickBot="1" x14ac:dyDescent="0.3"/>
    <row r="8" spans="1:11" x14ac:dyDescent="0.25">
      <c r="D8" s="238" t="s">
        <v>1</v>
      </c>
      <c r="E8" s="239"/>
      <c r="F8" s="239"/>
      <c r="G8" s="2" t="s">
        <v>2</v>
      </c>
      <c r="H8" s="2" t="s">
        <v>3</v>
      </c>
      <c r="I8" s="240" t="s">
        <v>6</v>
      </c>
      <c r="J8" s="241"/>
    </row>
    <row r="9" spans="1:11" x14ac:dyDescent="0.25">
      <c r="D9" s="229"/>
      <c r="E9" s="230"/>
      <c r="F9" s="231"/>
      <c r="G9" s="180"/>
      <c r="H9" s="180"/>
      <c r="I9" s="224"/>
      <c r="J9" s="225"/>
      <c r="K9" s="195"/>
    </row>
    <row r="10" spans="1:11" x14ac:dyDescent="0.25">
      <c r="D10" s="226"/>
      <c r="E10" s="227"/>
      <c r="F10" s="228"/>
      <c r="G10" s="181"/>
      <c r="H10" s="181"/>
      <c r="I10" s="222"/>
      <c r="J10" s="223"/>
      <c r="K10" s="195"/>
    </row>
    <row r="11" spans="1:11" x14ac:dyDescent="0.25">
      <c r="D11" s="229"/>
      <c r="E11" s="230"/>
      <c r="F11" s="231"/>
      <c r="G11" s="182"/>
      <c r="H11" s="182"/>
      <c r="I11" s="224"/>
      <c r="J11" s="225"/>
      <c r="K11" s="195"/>
    </row>
    <row r="12" spans="1:11" x14ac:dyDescent="0.25">
      <c r="D12" s="226"/>
      <c r="E12" s="227"/>
      <c r="F12" s="228"/>
      <c r="G12" s="181"/>
      <c r="H12" s="181"/>
      <c r="I12" s="222"/>
      <c r="J12" s="223"/>
      <c r="K12" s="195"/>
    </row>
    <row r="13" spans="1:11" x14ac:dyDescent="0.25">
      <c r="D13" s="229"/>
      <c r="E13" s="230"/>
      <c r="F13" s="231"/>
      <c r="G13" s="182"/>
      <c r="H13" s="182"/>
      <c r="I13" s="224"/>
      <c r="J13" s="225"/>
      <c r="K13" s="195"/>
    </row>
    <row r="14" spans="1:11" x14ac:dyDescent="0.25">
      <c r="D14" s="226"/>
      <c r="E14" s="227"/>
      <c r="F14" s="228"/>
      <c r="G14" s="181"/>
      <c r="H14" s="181"/>
      <c r="I14" s="222"/>
      <c r="J14" s="223"/>
      <c r="K14" s="195"/>
    </row>
    <row r="15" spans="1:11" x14ac:dyDescent="0.25">
      <c r="D15" s="229"/>
      <c r="E15" s="230"/>
      <c r="F15" s="231"/>
      <c r="G15" s="182"/>
      <c r="H15" s="182"/>
      <c r="I15" s="224"/>
      <c r="J15" s="225"/>
      <c r="K15" s="195"/>
    </row>
    <row r="16" spans="1:11" x14ac:dyDescent="0.25">
      <c r="D16" s="226"/>
      <c r="E16" s="227"/>
      <c r="F16" s="228"/>
      <c r="G16" s="181"/>
      <c r="H16" s="181"/>
      <c r="I16" s="222"/>
      <c r="J16" s="223"/>
      <c r="K16" s="195"/>
    </row>
    <row r="17" spans="4:11" x14ac:dyDescent="0.25">
      <c r="D17" s="229"/>
      <c r="E17" s="230"/>
      <c r="F17" s="231"/>
      <c r="G17" s="182"/>
      <c r="H17" s="182"/>
      <c r="I17" s="224"/>
      <c r="J17" s="225"/>
      <c r="K17" s="195"/>
    </row>
    <row r="18" spans="4:11" x14ac:dyDescent="0.25">
      <c r="D18" s="226"/>
      <c r="E18" s="227"/>
      <c r="F18" s="228"/>
      <c r="G18" s="181"/>
      <c r="H18" s="181"/>
      <c r="I18" s="222"/>
      <c r="J18" s="223"/>
      <c r="K18" s="195"/>
    </row>
    <row r="19" spans="4:11" x14ac:dyDescent="0.25">
      <c r="D19" s="229"/>
      <c r="E19" s="230"/>
      <c r="F19" s="231"/>
      <c r="G19" s="182"/>
      <c r="H19" s="182"/>
      <c r="I19" s="224"/>
      <c r="J19" s="225"/>
      <c r="K19" s="195"/>
    </row>
    <row r="20" spans="4:11" x14ac:dyDescent="0.25">
      <c r="D20" s="226"/>
      <c r="E20" s="227"/>
      <c r="F20" s="228"/>
      <c r="G20" s="181"/>
      <c r="H20" s="181"/>
      <c r="I20" s="222"/>
      <c r="J20" s="223"/>
      <c r="K20" s="195"/>
    </row>
    <row r="21" spans="4:11" x14ac:dyDescent="0.25">
      <c r="D21" s="229"/>
      <c r="E21" s="230"/>
      <c r="F21" s="231"/>
      <c r="G21" s="182"/>
      <c r="H21" s="182"/>
      <c r="I21" s="224"/>
      <c r="J21" s="225"/>
      <c r="K21" s="195"/>
    </row>
    <row r="22" spans="4:11" x14ac:dyDescent="0.25">
      <c r="D22" s="226"/>
      <c r="E22" s="227"/>
      <c r="F22" s="228"/>
      <c r="G22" s="181"/>
      <c r="H22" s="181"/>
      <c r="I22" s="222"/>
      <c r="J22" s="223"/>
      <c r="K22" s="195"/>
    </row>
    <row r="23" spans="4:11" ht="15.75" thickBot="1" x14ac:dyDescent="0.3">
      <c r="D23" s="234"/>
      <c r="E23" s="235"/>
      <c r="F23" s="236"/>
      <c r="G23" s="183"/>
      <c r="H23" s="183"/>
      <c r="I23" s="232"/>
      <c r="J23" s="233"/>
      <c r="K23" s="195"/>
    </row>
    <row r="25" spans="4:11" ht="15.75" x14ac:dyDescent="0.25">
      <c r="G25" s="246">
        <f>SUM(G9:G23)</f>
        <v>0</v>
      </c>
      <c r="H25" s="246">
        <f>SUM(H9:H23)</f>
        <v>0</v>
      </c>
    </row>
    <row r="117" spans="4:10" ht="15.75" thickBot="1" x14ac:dyDescent="0.3"/>
    <row r="118" spans="4:10" ht="16.5" thickTop="1" thickBot="1" x14ac:dyDescent="0.3">
      <c r="D118" s="184"/>
      <c r="E118" s="185"/>
      <c r="F118" s="185"/>
      <c r="G118" s="185"/>
      <c r="H118" s="185"/>
      <c r="I118" s="185"/>
      <c r="J118" s="186"/>
    </row>
    <row r="119" spans="4:10" ht="15.75" thickTop="1" x14ac:dyDescent="0.25">
      <c r="D119" s="187"/>
      <c r="E119" s="188"/>
      <c r="F119" s="188"/>
      <c r="G119" s="188"/>
      <c r="H119" s="188"/>
      <c r="I119" s="188"/>
      <c r="J119" s="189"/>
    </row>
    <row r="120" spans="4:10" ht="15.75" thickBot="1" x14ac:dyDescent="0.3">
      <c r="D120" s="190"/>
      <c r="E120" s="191"/>
      <c r="F120" s="191"/>
      <c r="G120" s="191"/>
      <c r="H120" s="191"/>
      <c r="I120" s="191"/>
      <c r="J120" s="192"/>
    </row>
    <row r="121" spans="4:10" ht="16.5" thickTop="1" thickBot="1" x14ac:dyDescent="0.3">
      <c r="D121" s="190"/>
      <c r="E121" s="191"/>
      <c r="F121" s="191"/>
      <c r="G121" s="191"/>
      <c r="H121" s="191"/>
      <c r="I121" s="191"/>
      <c r="J121" s="192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93"/>
    </row>
    <row r="145" ht="15.75" thickTop="1" x14ac:dyDescent="0.25"/>
  </sheetData>
  <sheetProtection algorithmName="SHA-512" hashValue="IjnLy14XD9RqczMuLA2DYVVcxxKfoXoYDh8i1+CtxdTBA8cOusYlk27FRif1M+fTyjw4jH9WaWmCSn8/EwrhlA==" saltValue="PQ1pipB+uXDJgin5kzNGaw==" spinCount="100000" sheet="1" formatCells="0" selectLockedCells="1" autoFilter="0" pivotTables="0"/>
  <mergeCells count="34">
    <mergeCell ref="I11:J11"/>
    <mergeCell ref="I12:J12"/>
    <mergeCell ref="D1:J2"/>
    <mergeCell ref="D8:F8"/>
    <mergeCell ref="I8:J8"/>
    <mergeCell ref="D9:F9"/>
    <mergeCell ref="D10:F10"/>
    <mergeCell ref="E6:J6"/>
    <mergeCell ref="I9:J9"/>
    <mergeCell ref="I10:J10"/>
    <mergeCell ref="D11:F11"/>
    <mergeCell ref="D12:F12"/>
    <mergeCell ref="D13:F13"/>
    <mergeCell ref="D14:F14"/>
    <mergeCell ref="D15:F15"/>
    <mergeCell ref="I13:J13"/>
    <mergeCell ref="I14:J14"/>
    <mergeCell ref="I15:J15"/>
    <mergeCell ref="I21:J21"/>
    <mergeCell ref="I22:J22"/>
    <mergeCell ref="I23:J23"/>
    <mergeCell ref="D21:F21"/>
    <mergeCell ref="D22:F22"/>
    <mergeCell ref="D23:F23"/>
    <mergeCell ref="I18:J18"/>
    <mergeCell ref="I19:J19"/>
    <mergeCell ref="I20:J20"/>
    <mergeCell ref="D16:F16"/>
    <mergeCell ref="D17:F17"/>
    <mergeCell ref="D18:F18"/>
    <mergeCell ref="D19:F19"/>
    <mergeCell ref="D20:F20"/>
    <mergeCell ref="I16:J16"/>
    <mergeCell ref="I17:J17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Fill="0" autoLine="0" autoPict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342900</xdr:colOff>
                <xdr:row>25</xdr:row>
                <xdr:rowOff>38100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D9:F9 D10:F10 D11:F23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B1:L279"/>
  <sheetViews>
    <sheetView workbookViewId="0">
      <pane ySplit="1" topLeftCell="A251" activePane="bottomLeft" state="frozen"/>
      <selection pane="bottomLeft" activeCell="H270" sqref="H270"/>
    </sheetView>
  </sheetViews>
  <sheetFormatPr baseColWidth="10" defaultRowHeight="15" x14ac:dyDescent="0.25"/>
  <cols>
    <col min="2" max="2" width="11.42578125" style="10"/>
    <col min="3" max="3" width="5.7109375" style="9" customWidth="1"/>
    <col min="4" max="4" width="12.7109375" style="202" customWidth="1"/>
    <col min="5" max="5" width="8.7109375" style="10" customWidth="1"/>
    <col min="6" max="6" width="17.85546875" style="45" bestFit="1" customWidth="1"/>
    <col min="7" max="7" width="8.7109375" style="103" customWidth="1"/>
    <col min="8" max="8" width="37.5703125" style="45" customWidth="1"/>
    <col min="9" max="10" width="13.7109375" style="28" customWidth="1"/>
    <col min="11" max="11" width="42.42578125" bestFit="1" customWidth="1"/>
    <col min="12" max="12" width="5.7109375" style="9" customWidth="1"/>
  </cols>
  <sheetData>
    <row r="1" spans="2:12" s="120" customFormat="1" ht="26.25" thickBot="1" x14ac:dyDescent="0.3">
      <c r="B1" s="206"/>
      <c r="C1" s="115" t="s">
        <v>143</v>
      </c>
      <c r="D1" s="205" t="s">
        <v>141</v>
      </c>
      <c r="E1" s="117" t="s">
        <v>140</v>
      </c>
      <c r="F1" s="116" t="s">
        <v>0</v>
      </c>
      <c r="G1" s="117" t="s">
        <v>181</v>
      </c>
      <c r="H1" s="141" t="s">
        <v>1</v>
      </c>
      <c r="I1" s="118" t="s">
        <v>2</v>
      </c>
      <c r="J1" s="118" t="s">
        <v>3</v>
      </c>
      <c r="K1" s="116" t="s">
        <v>142</v>
      </c>
      <c r="L1" s="119"/>
    </row>
    <row r="2" spans="2:12" x14ac:dyDescent="0.25">
      <c r="B2"/>
      <c r="C2" s="9">
        <v>1</v>
      </c>
      <c r="D2" s="16">
        <v>45204</v>
      </c>
      <c r="E2" s="20">
        <v>1</v>
      </c>
      <c r="F2" s="21" t="s">
        <v>139</v>
      </c>
      <c r="G2" s="100">
        <v>1000</v>
      </c>
      <c r="H2" s="46">
        <f>EJ!D9</f>
        <v>0</v>
      </c>
      <c r="I2" s="22">
        <f>EJ!G9</f>
        <v>0</v>
      </c>
      <c r="J2" s="22"/>
      <c r="K2" s="8"/>
      <c r="L2" s="9">
        <f>ROW()</f>
        <v>2</v>
      </c>
    </row>
    <row r="3" spans="2:12" ht="15.75" x14ac:dyDescent="0.25">
      <c r="B3"/>
      <c r="C3" s="9">
        <v>1</v>
      </c>
      <c r="D3" s="17">
        <v>45204</v>
      </c>
      <c r="E3" s="23">
        <v>1</v>
      </c>
      <c r="F3" s="24" t="s">
        <v>139</v>
      </c>
      <c r="G3" s="101">
        <v>1100</v>
      </c>
      <c r="H3" s="142">
        <f>EJ!D10</f>
        <v>0</v>
      </c>
      <c r="I3" s="25"/>
      <c r="J3" s="25">
        <f>EJ!H10</f>
        <v>0</v>
      </c>
      <c r="K3" s="1"/>
      <c r="L3" s="9">
        <f>ROW()</f>
        <v>3</v>
      </c>
    </row>
    <row r="4" spans="2:12" ht="16.5" thickBot="1" x14ac:dyDescent="0.3">
      <c r="B4"/>
      <c r="C4" s="9">
        <v>1</v>
      </c>
      <c r="D4" s="18">
        <v>45204</v>
      </c>
      <c r="E4" s="26">
        <v>1</v>
      </c>
      <c r="F4" s="27"/>
      <c r="G4" s="102"/>
      <c r="H4" s="143" t="s">
        <v>145</v>
      </c>
      <c r="I4" s="135"/>
      <c r="J4" s="135"/>
      <c r="K4" s="136"/>
      <c r="L4" s="9">
        <f>ROW()</f>
        <v>4</v>
      </c>
    </row>
    <row r="5" spans="2:12" ht="15.75" thickBot="1" x14ac:dyDescent="0.3">
      <c r="B5"/>
      <c r="C5" s="9">
        <v>1</v>
      </c>
      <c r="D5" s="11">
        <v>45204</v>
      </c>
      <c r="E5" s="74">
        <v>1</v>
      </c>
      <c r="F5"/>
      <c r="L5" s="9">
        <f>ROW()</f>
        <v>5</v>
      </c>
    </row>
    <row r="6" spans="2:12" x14ac:dyDescent="0.25">
      <c r="B6"/>
      <c r="C6" s="9">
        <v>2</v>
      </c>
      <c r="D6" s="12">
        <v>45204</v>
      </c>
      <c r="E6" s="20">
        <v>2</v>
      </c>
      <c r="F6" s="21" t="s">
        <v>139</v>
      </c>
      <c r="G6" s="100" t="s">
        <v>106</v>
      </c>
      <c r="H6" s="46" t="s">
        <v>107</v>
      </c>
      <c r="I6" s="22">
        <v>250</v>
      </c>
      <c r="J6" s="22"/>
      <c r="K6" s="29"/>
      <c r="L6" s="9">
        <f>ROW()</f>
        <v>6</v>
      </c>
    </row>
    <row r="7" spans="2:12" x14ac:dyDescent="0.25">
      <c r="B7"/>
      <c r="C7" s="9">
        <v>2</v>
      </c>
      <c r="D7" s="13">
        <v>45204</v>
      </c>
      <c r="E7" s="30">
        <v>2</v>
      </c>
      <c r="F7" s="24" t="s">
        <v>139</v>
      </c>
      <c r="G7" s="101" t="s">
        <v>12</v>
      </c>
      <c r="H7" s="142" t="s">
        <v>13</v>
      </c>
      <c r="I7" s="25"/>
      <c r="J7" s="25">
        <v>250</v>
      </c>
      <c r="K7" s="31"/>
      <c r="L7" s="9">
        <f>ROW()</f>
        <v>7</v>
      </c>
    </row>
    <row r="8" spans="2:12" ht="15.75" thickBot="1" x14ac:dyDescent="0.3">
      <c r="B8"/>
      <c r="C8" s="9">
        <v>2</v>
      </c>
      <c r="D8" s="15">
        <v>45230</v>
      </c>
      <c r="E8" s="32"/>
      <c r="F8" s="33"/>
      <c r="G8" s="104"/>
      <c r="H8" s="143" t="s">
        <v>145</v>
      </c>
      <c r="I8" s="135"/>
      <c r="J8" s="135"/>
      <c r="K8" s="136"/>
      <c r="L8" s="9">
        <f>ROW()</f>
        <v>8</v>
      </c>
    </row>
    <row r="9" spans="2:12" ht="15.75" thickBot="1" x14ac:dyDescent="0.3">
      <c r="B9"/>
      <c r="C9" s="9">
        <v>2</v>
      </c>
      <c r="D9" s="154">
        <v>45230</v>
      </c>
      <c r="E9" s="14"/>
      <c r="F9" s="34"/>
      <c r="G9" s="105"/>
      <c r="H9" s="144"/>
      <c r="I9" s="35"/>
      <c r="J9" s="35"/>
      <c r="K9" s="34"/>
      <c r="L9" s="9">
        <f>ROW()</f>
        <v>9</v>
      </c>
    </row>
    <row r="10" spans="2:12" x14ac:dyDescent="0.25">
      <c r="B10"/>
      <c r="C10" s="9">
        <v>3</v>
      </c>
      <c r="D10" s="12">
        <v>45204</v>
      </c>
      <c r="E10" s="20">
        <v>3</v>
      </c>
      <c r="F10" s="21" t="s">
        <v>139</v>
      </c>
      <c r="G10" s="100" t="s">
        <v>106</v>
      </c>
      <c r="H10" s="46" t="s">
        <v>107</v>
      </c>
      <c r="I10" s="22">
        <v>49.95</v>
      </c>
      <c r="J10" s="22"/>
      <c r="K10" s="29"/>
      <c r="L10" s="9">
        <f>ROW()</f>
        <v>10</v>
      </c>
    </row>
    <row r="11" spans="2:12" x14ac:dyDescent="0.25">
      <c r="B11"/>
      <c r="C11" s="9">
        <v>3</v>
      </c>
      <c r="D11" s="13">
        <v>45204</v>
      </c>
      <c r="E11" s="30">
        <v>2</v>
      </c>
      <c r="F11" s="24" t="s">
        <v>139</v>
      </c>
      <c r="G11" s="101" t="s">
        <v>12</v>
      </c>
      <c r="H11" s="142" t="s">
        <v>13</v>
      </c>
      <c r="I11" s="25"/>
      <c r="J11" s="25">
        <v>49.95</v>
      </c>
      <c r="K11" s="31"/>
      <c r="L11" s="9">
        <f>ROW()</f>
        <v>11</v>
      </c>
    </row>
    <row r="12" spans="2:12" ht="15.75" thickBot="1" x14ac:dyDescent="0.3">
      <c r="B12"/>
      <c r="C12" s="9">
        <v>3</v>
      </c>
      <c r="D12" s="15">
        <v>45204</v>
      </c>
      <c r="E12" s="36">
        <v>2</v>
      </c>
      <c r="F12" s="37" t="s">
        <v>139</v>
      </c>
      <c r="G12" s="104"/>
      <c r="H12" s="143" t="s">
        <v>145</v>
      </c>
      <c r="I12" s="135"/>
      <c r="J12" s="135"/>
      <c r="K12" s="136"/>
      <c r="L12" s="9">
        <f>ROW()</f>
        <v>12</v>
      </c>
    </row>
    <row r="13" spans="2:12" ht="15.75" thickBot="1" x14ac:dyDescent="0.3">
      <c r="B13"/>
      <c r="C13" s="9">
        <v>3</v>
      </c>
      <c r="D13" s="75">
        <v>45204</v>
      </c>
      <c r="E13" s="74"/>
      <c r="F13" s="76"/>
      <c r="L13" s="9">
        <f>ROW()</f>
        <v>13</v>
      </c>
    </row>
    <row r="14" spans="2:12" x14ac:dyDescent="0.25">
      <c r="B14"/>
      <c r="C14" s="9">
        <v>4</v>
      </c>
      <c r="D14" s="12">
        <v>45203</v>
      </c>
      <c r="E14" s="20">
        <v>4</v>
      </c>
      <c r="F14" s="21" t="s">
        <v>146</v>
      </c>
      <c r="G14" s="100" t="s">
        <v>22</v>
      </c>
      <c r="H14" s="46" t="s">
        <v>23</v>
      </c>
      <c r="I14" s="22">
        <v>286.18</v>
      </c>
      <c r="J14" s="22"/>
      <c r="K14" s="29"/>
      <c r="L14" s="9">
        <f>ROW()</f>
        <v>14</v>
      </c>
    </row>
    <row r="15" spans="2:12" x14ac:dyDescent="0.25">
      <c r="B15"/>
      <c r="C15" s="9">
        <v>4</v>
      </c>
      <c r="D15" s="13">
        <v>45203</v>
      </c>
      <c r="E15" s="30">
        <v>4</v>
      </c>
      <c r="F15" s="24" t="s">
        <v>146</v>
      </c>
      <c r="G15" s="101" t="s">
        <v>18</v>
      </c>
      <c r="H15" s="142" t="s">
        <v>19</v>
      </c>
      <c r="I15" s="25"/>
      <c r="J15" s="25">
        <v>0</v>
      </c>
      <c r="K15" s="31"/>
      <c r="L15" s="9">
        <f>ROW()</f>
        <v>15</v>
      </c>
    </row>
    <row r="16" spans="2:12" x14ac:dyDescent="0.25">
      <c r="B16"/>
      <c r="C16" s="9">
        <v>4</v>
      </c>
      <c r="D16" s="13">
        <v>45203</v>
      </c>
      <c r="E16" s="30">
        <v>4</v>
      </c>
      <c r="F16" s="24" t="s">
        <v>146</v>
      </c>
      <c r="G16" s="101" t="s">
        <v>24</v>
      </c>
      <c r="H16" s="142" t="s">
        <v>25</v>
      </c>
      <c r="I16" s="25">
        <v>570.91999999999996</v>
      </c>
      <c r="J16" s="25"/>
      <c r="K16" s="31"/>
      <c r="L16" s="9">
        <f>ROW()</f>
        <v>16</v>
      </c>
    </row>
    <row r="17" spans="3:12" customFormat="1" x14ac:dyDescent="0.25">
      <c r="C17" s="9">
        <v>4</v>
      </c>
      <c r="D17" s="13">
        <v>45203</v>
      </c>
      <c r="E17" s="30">
        <v>4</v>
      </c>
      <c r="F17" s="24" t="s">
        <v>146</v>
      </c>
      <c r="G17" s="101" t="s">
        <v>20</v>
      </c>
      <c r="H17" s="142" t="s">
        <v>21</v>
      </c>
      <c r="I17" s="25"/>
      <c r="J17" s="25">
        <v>0</v>
      </c>
      <c r="K17" s="31"/>
      <c r="L17" s="9">
        <f>ROW()</f>
        <v>17</v>
      </c>
    </row>
    <row r="18" spans="3:12" customFormat="1" x14ac:dyDescent="0.25">
      <c r="C18" s="9">
        <v>4</v>
      </c>
      <c r="D18" s="13">
        <v>45203</v>
      </c>
      <c r="E18" s="30">
        <v>4</v>
      </c>
      <c r="F18" s="24" t="s">
        <v>146</v>
      </c>
      <c r="G18" s="101" t="s">
        <v>12</v>
      </c>
      <c r="H18" s="142" t="s">
        <v>13</v>
      </c>
      <c r="I18" s="25"/>
      <c r="J18" s="25">
        <v>857.1</v>
      </c>
      <c r="K18" s="31"/>
      <c r="L18" s="9">
        <f>ROW()</f>
        <v>18</v>
      </c>
    </row>
    <row r="19" spans="3:12" customFormat="1" ht="15.75" thickBot="1" x14ac:dyDescent="0.3">
      <c r="C19" s="9">
        <v>4</v>
      </c>
      <c r="D19" s="15">
        <v>45203</v>
      </c>
      <c r="E19" s="36">
        <v>4</v>
      </c>
      <c r="F19" s="37" t="s">
        <v>146</v>
      </c>
      <c r="G19" s="104"/>
      <c r="H19" s="143" t="s">
        <v>147</v>
      </c>
      <c r="I19" s="135"/>
      <c r="J19" s="135"/>
      <c r="K19" s="136"/>
      <c r="L19" s="9">
        <f>ROW()</f>
        <v>19</v>
      </c>
    </row>
    <row r="20" spans="3:12" customFormat="1" ht="15.75" thickBot="1" x14ac:dyDescent="0.3">
      <c r="C20" s="9">
        <v>4</v>
      </c>
      <c r="D20" s="75">
        <v>45203</v>
      </c>
      <c r="E20" s="74">
        <v>4</v>
      </c>
      <c r="F20" s="76" t="s">
        <v>146</v>
      </c>
      <c r="G20" s="103"/>
      <c r="H20" s="45"/>
      <c r="I20" s="28"/>
      <c r="J20" s="28"/>
      <c r="L20" s="9">
        <f>ROW()</f>
        <v>20</v>
      </c>
    </row>
    <row r="21" spans="3:12" customFormat="1" x14ac:dyDescent="0.25">
      <c r="C21" s="9">
        <v>5</v>
      </c>
      <c r="D21" s="12">
        <v>45204</v>
      </c>
      <c r="E21" s="20">
        <v>5</v>
      </c>
      <c r="F21" s="21" t="s">
        <v>148</v>
      </c>
      <c r="G21" s="100">
        <v>1100</v>
      </c>
      <c r="H21" s="46" t="s">
        <v>15</v>
      </c>
      <c r="I21" s="22">
        <v>1228.72</v>
      </c>
      <c r="J21" s="22"/>
      <c r="K21" s="29"/>
      <c r="L21" s="9">
        <f>ROW()</f>
        <v>21</v>
      </c>
    </row>
    <row r="22" spans="3:12" customFormat="1" x14ac:dyDescent="0.25">
      <c r="C22" s="9">
        <v>5</v>
      </c>
      <c r="D22" s="13">
        <v>45204</v>
      </c>
      <c r="E22" s="30">
        <v>5</v>
      </c>
      <c r="F22" s="24" t="s">
        <v>148</v>
      </c>
      <c r="G22" s="101" t="s">
        <v>87</v>
      </c>
      <c r="H22" s="142" t="s">
        <v>88</v>
      </c>
      <c r="I22" s="25"/>
      <c r="J22" s="25">
        <v>1625</v>
      </c>
      <c r="K22" s="31"/>
      <c r="L22" s="9">
        <f>ROW()</f>
        <v>22</v>
      </c>
    </row>
    <row r="23" spans="3:12" customFormat="1" x14ac:dyDescent="0.25">
      <c r="C23" s="9">
        <v>5</v>
      </c>
      <c r="D23" s="13">
        <v>45204</v>
      </c>
      <c r="E23" s="30">
        <v>5</v>
      </c>
      <c r="F23" s="24" t="s">
        <v>148</v>
      </c>
      <c r="G23" s="101" t="s">
        <v>120</v>
      </c>
      <c r="H23" s="142" t="s">
        <v>121</v>
      </c>
      <c r="I23" s="25"/>
      <c r="J23" s="25">
        <v>31</v>
      </c>
      <c r="K23" s="31"/>
      <c r="L23" s="9">
        <f>ROW()</f>
        <v>23</v>
      </c>
    </row>
    <row r="24" spans="3:12" customFormat="1" x14ac:dyDescent="0.25">
      <c r="C24" s="9">
        <v>5</v>
      </c>
      <c r="D24" s="13">
        <v>45204</v>
      </c>
      <c r="E24" s="30">
        <v>5</v>
      </c>
      <c r="F24" s="24" t="s">
        <v>148</v>
      </c>
      <c r="G24" s="101" t="s">
        <v>118</v>
      </c>
      <c r="H24" s="142" t="s">
        <v>119</v>
      </c>
      <c r="I24" s="25"/>
      <c r="J24" s="25">
        <v>32</v>
      </c>
      <c r="K24" s="31"/>
      <c r="L24" s="9">
        <f>ROW()</f>
        <v>24</v>
      </c>
    </row>
    <row r="25" spans="3:12" customFormat="1" x14ac:dyDescent="0.25">
      <c r="C25" s="9">
        <v>5</v>
      </c>
      <c r="D25" s="13">
        <v>45204</v>
      </c>
      <c r="E25" s="30">
        <v>5</v>
      </c>
      <c r="F25" s="24" t="s">
        <v>148</v>
      </c>
      <c r="G25" s="101" t="s">
        <v>122</v>
      </c>
      <c r="H25" s="142" t="s">
        <v>123</v>
      </c>
      <c r="I25" s="25"/>
      <c r="J25" s="25">
        <v>33</v>
      </c>
      <c r="K25" s="31"/>
      <c r="L25" s="9">
        <f>ROW()</f>
        <v>25</v>
      </c>
    </row>
    <row r="26" spans="3:12" customFormat="1" x14ac:dyDescent="0.25">
      <c r="C26" s="9">
        <v>5</v>
      </c>
      <c r="D26" s="13">
        <v>45204</v>
      </c>
      <c r="E26" s="30">
        <v>5</v>
      </c>
      <c r="F26" s="24" t="s">
        <v>148</v>
      </c>
      <c r="G26" s="101" t="s">
        <v>22</v>
      </c>
      <c r="H26" s="142" t="s">
        <v>23</v>
      </c>
      <c r="I26" s="25"/>
      <c r="J26" s="25">
        <v>86.05</v>
      </c>
      <c r="K26" s="31"/>
      <c r="L26" s="9">
        <f>ROW()</f>
        <v>26</v>
      </c>
    </row>
    <row r="27" spans="3:12" customFormat="1" x14ac:dyDescent="0.25">
      <c r="C27" s="9">
        <v>5</v>
      </c>
      <c r="D27" s="13">
        <v>45204</v>
      </c>
      <c r="E27" s="30">
        <v>5</v>
      </c>
      <c r="F27" s="24" t="s">
        <v>148</v>
      </c>
      <c r="G27" s="101" t="s">
        <v>24</v>
      </c>
      <c r="H27" s="142" t="s">
        <v>25</v>
      </c>
      <c r="I27" s="25"/>
      <c r="J27" s="25">
        <v>171.67</v>
      </c>
      <c r="K27" s="31"/>
      <c r="L27" s="9">
        <f>ROW()</f>
        <v>27</v>
      </c>
    </row>
    <row r="28" spans="3:12" customFormat="1" x14ac:dyDescent="0.25">
      <c r="C28" s="9">
        <v>5</v>
      </c>
      <c r="D28" s="13">
        <v>45204</v>
      </c>
      <c r="E28" s="30">
        <v>5</v>
      </c>
      <c r="F28" s="24" t="s">
        <v>148</v>
      </c>
      <c r="G28" s="101" t="s">
        <v>32</v>
      </c>
      <c r="H28" s="142" t="s">
        <v>33</v>
      </c>
      <c r="I28" s="25">
        <v>750</v>
      </c>
      <c r="J28" s="25"/>
      <c r="K28" s="31"/>
      <c r="L28" s="9">
        <f>ROW()</f>
        <v>28</v>
      </c>
    </row>
    <row r="29" spans="3:12" customFormat="1" ht="15.75" thickBot="1" x14ac:dyDescent="0.3">
      <c r="C29" s="9">
        <v>5</v>
      </c>
      <c r="D29" s="15">
        <v>45204</v>
      </c>
      <c r="E29" s="36">
        <v>5</v>
      </c>
      <c r="F29" s="37" t="s">
        <v>148</v>
      </c>
      <c r="G29" s="106"/>
      <c r="H29" s="143" t="s">
        <v>149</v>
      </c>
      <c r="I29" s="135"/>
      <c r="J29" s="135"/>
      <c r="K29" s="136"/>
      <c r="L29" s="9">
        <f>ROW()</f>
        <v>29</v>
      </c>
    </row>
    <row r="30" spans="3:12" customFormat="1" ht="15.75" thickBot="1" x14ac:dyDescent="0.3">
      <c r="C30" s="9">
        <v>5</v>
      </c>
      <c r="D30" s="19">
        <v>45204</v>
      </c>
      <c r="E30" s="38">
        <v>5</v>
      </c>
      <c r="F30" s="39" t="s">
        <v>148</v>
      </c>
      <c r="G30" s="107"/>
      <c r="H30" s="145"/>
      <c r="I30" s="41"/>
      <c r="J30" s="41"/>
      <c r="K30" s="40"/>
      <c r="L30" s="9">
        <f>ROW()</f>
        <v>30</v>
      </c>
    </row>
    <row r="31" spans="3:12" customFormat="1" x14ac:dyDescent="0.25">
      <c r="C31" s="9">
        <v>6</v>
      </c>
      <c r="D31" s="12">
        <v>45204</v>
      </c>
      <c r="E31" s="20">
        <v>6</v>
      </c>
      <c r="F31" s="21" t="s">
        <v>148</v>
      </c>
      <c r="G31" s="100">
        <v>1100</v>
      </c>
      <c r="H31" s="46" t="s">
        <v>15</v>
      </c>
      <c r="I31" s="22">
        <v>1228.72</v>
      </c>
      <c r="J31" s="22"/>
      <c r="K31" s="29"/>
      <c r="L31" s="9">
        <f>ROW()</f>
        <v>31</v>
      </c>
    </row>
    <row r="32" spans="3:12" customFormat="1" x14ac:dyDescent="0.25">
      <c r="C32" s="9">
        <v>6</v>
      </c>
      <c r="D32" s="13">
        <v>45204</v>
      </c>
      <c r="E32" s="30">
        <v>6</v>
      </c>
      <c r="F32" s="24" t="s">
        <v>148</v>
      </c>
      <c r="G32" s="101" t="s">
        <v>87</v>
      </c>
      <c r="H32" s="142" t="s">
        <v>88</v>
      </c>
      <c r="I32" s="25"/>
      <c r="J32" s="25">
        <v>1625</v>
      </c>
      <c r="K32" s="31"/>
      <c r="L32" s="9">
        <f>ROW()</f>
        <v>32</v>
      </c>
    </row>
    <row r="33" spans="3:12" customFormat="1" x14ac:dyDescent="0.25">
      <c r="C33" s="9">
        <v>6</v>
      </c>
      <c r="D33" s="13">
        <v>45204</v>
      </c>
      <c r="E33" s="30">
        <v>6</v>
      </c>
      <c r="F33" s="24" t="s">
        <v>148</v>
      </c>
      <c r="G33" s="101" t="s">
        <v>120</v>
      </c>
      <c r="H33" s="142" t="s">
        <v>121</v>
      </c>
      <c r="I33" s="25"/>
      <c r="J33" s="25">
        <v>31</v>
      </c>
      <c r="K33" s="31"/>
      <c r="L33" s="9">
        <f>ROW()</f>
        <v>33</v>
      </c>
    </row>
    <row r="34" spans="3:12" customFormat="1" x14ac:dyDescent="0.25">
      <c r="C34" s="9">
        <v>6</v>
      </c>
      <c r="D34" s="13">
        <v>45204</v>
      </c>
      <c r="E34" s="30">
        <v>6</v>
      </c>
      <c r="F34" s="24" t="s">
        <v>148</v>
      </c>
      <c r="G34" s="101" t="s">
        <v>118</v>
      </c>
      <c r="H34" s="142" t="s">
        <v>119</v>
      </c>
      <c r="I34" s="25"/>
      <c r="J34" s="25">
        <v>32</v>
      </c>
      <c r="K34" s="31"/>
      <c r="L34" s="9">
        <f>ROW()</f>
        <v>34</v>
      </c>
    </row>
    <row r="35" spans="3:12" customFormat="1" x14ac:dyDescent="0.25">
      <c r="C35" s="9">
        <v>6</v>
      </c>
      <c r="D35" s="13">
        <v>45204</v>
      </c>
      <c r="E35" s="30">
        <v>6</v>
      </c>
      <c r="F35" s="24" t="s">
        <v>148</v>
      </c>
      <c r="G35" s="101" t="s">
        <v>122</v>
      </c>
      <c r="H35" s="142" t="s">
        <v>123</v>
      </c>
      <c r="I35" s="25"/>
      <c r="J35" s="25">
        <v>33</v>
      </c>
      <c r="K35" s="31"/>
      <c r="L35" s="9">
        <f>ROW()</f>
        <v>35</v>
      </c>
    </row>
    <row r="36" spans="3:12" customFormat="1" x14ac:dyDescent="0.25">
      <c r="C36" s="9">
        <v>6</v>
      </c>
      <c r="D36" s="13">
        <v>45204</v>
      </c>
      <c r="E36" s="30">
        <v>6</v>
      </c>
      <c r="F36" s="24" t="s">
        <v>148</v>
      </c>
      <c r="G36" s="101" t="s">
        <v>22</v>
      </c>
      <c r="H36" s="142" t="s">
        <v>23</v>
      </c>
      <c r="I36" s="25"/>
      <c r="J36" s="25">
        <v>86.05</v>
      </c>
      <c r="K36" s="31"/>
      <c r="L36" s="9">
        <f>ROW()</f>
        <v>36</v>
      </c>
    </row>
    <row r="37" spans="3:12" customFormat="1" x14ac:dyDescent="0.25">
      <c r="C37" s="9">
        <v>6</v>
      </c>
      <c r="D37" s="13">
        <v>45204</v>
      </c>
      <c r="E37" s="30">
        <v>6</v>
      </c>
      <c r="F37" s="24" t="s">
        <v>148</v>
      </c>
      <c r="G37" s="101" t="s">
        <v>24</v>
      </c>
      <c r="H37" s="142" t="s">
        <v>25</v>
      </c>
      <c r="I37" s="25"/>
      <c r="J37" s="25">
        <v>171.67</v>
      </c>
      <c r="K37" s="31"/>
      <c r="L37" s="9">
        <f>ROW()</f>
        <v>37</v>
      </c>
    </row>
    <row r="38" spans="3:12" customFormat="1" x14ac:dyDescent="0.25">
      <c r="C38" s="9">
        <v>6</v>
      </c>
      <c r="D38" s="13">
        <v>45204</v>
      </c>
      <c r="E38" s="30">
        <v>6</v>
      </c>
      <c r="F38" s="24" t="s">
        <v>148</v>
      </c>
      <c r="G38" s="101" t="s">
        <v>32</v>
      </c>
      <c r="H38" s="142" t="s">
        <v>33</v>
      </c>
      <c r="I38" s="25">
        <v>750</v>
      </c>
      <c r="J38" s="25"/>
      <c r="K38" s="31"/>
      <c r="L38" s="9">
        <f>ROW()</f>
        <v>38</v>
      </c>
    </row>
    <row r="39" spans="3:12" customFormat="1" ht="15.75" thickBot="1" x14ac:dyDescent="0.3">
      <c r="C39" s="9">
        <v>6</v>
      </c>
      <c r="D39" s="15">
        <v>45204</v>
      </c>
      <c r="E39" s="36">
        <v>6</v>
      </c>
      <c r="F39" s="37" t="s">
        <v>148</v>
      </c>
      <c r="G39" s="104"/>
      <c r="H39" s="143" t="s">
        <v>149</v>
      </c>
      <c r="I39" s="135"/>
      <c r="J39" s="135"/>
      <c r="K39" s="136"/>
      <c r="L39" s="9">
        <f>ROW()</f>
        <v>39</v>
      </c>
    </row>
    <row r="40" spans="3:12" customFormat="1" ht="15.75" thickBot="1" x14ac:dyDescent="0.3">
      <c r="C40" s="9">
        <v>6</v>
      </c>
      <c r="D40" s="75">
        <v>45204</v>
      </c>
      <c r="E40" s="74">
        <v>6</v>
      </c>
      <c r="F40" s="76" t="s">
        <v>148</v>
      </c>
      <c r="G40" s="103"/>
      <c r="H40" s="45"/>
      <c r="I40" s="28"/>
      <c r="J40" s="28"/>
      <c r="L40" s="9"/>
    </row>
    <row r="41" spans="3:12" customFormat="1" x14ac:dyDescent="0.25">
      <c r="C41" s="9">
        <v>7</v>
      </c>
      <c r="D41" s="12">
        <v>45203</v>
      </c>
      <c r="E41" s="20">
        <v>7</v>
      </c>
      <c r="F41" s="21" t="s">
        <v>150</v>
      </c>
      <c r="G41" s="100">
        <v>1100</v>
      </c>
      <c r="H41" s="46" t="s">
        <v>15</v>
      </c>
      <c r="I41" s="22">
        <v>430.11</v>
      </c>
      <c r="J41" s="22"/>
      <c r="K41" s="29"/>
      <c r="L41" s="9">
        <f>ROW()</f>
        <v>41</v>
      </c>
    </row>
    <row r="42" spans="3:12" customFormat="1" x14ac:dyDescent="0.25">
      <c r="C42" s="9">
        <v>7</v>
      </c>
      <c r="D42" s="13">
        <v>45203</v>
      </c>
      <c r="E42" s="30">
        <v>7</v>
      </c>
      <c r="F42" s="24" t="s">
        <v>150</v>
      </c>
      <c r="G42" s="101" t="s">
        <v>87</v>
      </c>
      <c r="H42" s="142" t="s">
        <v>88</v>
      </c>
      <c r="I42" s="25"/>
      <c r="J42" s="25">
        <v>612.5</v>
      </c>
      <c r="K42" s="31"/>
      <c r="L42" s="9">
        <f>ROW()</f>
        <v>42</v>
      </c>
    </row>
    <row r="43" spans="3:12" customFormat="1" x14ac:dyDescent="0.25">
      <c r="C43" s="9">
        <v>7</v>
      </c>
      <c r="D43" s="13">
        <v>45203</v>
      </c>
      <c r="E43" s="30">
        <v>7</v>
      </c>
      <c r="F43" s="24" t="s">
        <v>150</v>
      </c>
      <c r="G43" s="101" t="s">
        <v>120</v>
      </c>
      <c r="H43" s="142" t="s">
        <v>121</v>
      </c>
      <c r="I43" s="25"/>
      <c r="J43" s="25">
        <v>21</v>
      </c>
      <c r="K43" s="31"/>
      <c r="L43" s="9">
        <f>ROW()</f>
        <v>43</v>
      </c>
    </row>
    <row r="44" spans="3:12" customFormat="1" x14ac:dyDescent="0.25">
      <c r="C44" s="9">
        <v>7</v>
      </c>
      <c r="D44" s="13">
        <v>45203</v>
      </c>
      <c r="E44" s="30">
        <v>7</v>
      </c>
      <c r="F44" s="24" t="s">
        <v>150</v>
      </c>
      <c r="G44" s="101" t="s">
        <v>118</v>
      </c>
      <c r="H44" s="142" t="s">
        <v>119</v>
      </c>
      <c r="I44" s="25"/>
      <c r="J44" s="25">
        <v>22</v>
      </c>
      <c r="K44" s="31"/>
      <c r="L44" s="9">
        <f>ROW()</f>
        <v>44</v>
      </c>
    </row>
    <row r="45" spans="3:12" customFormat="1" x14ac:dyDescent="0.25">
      <c r="C45" s="9">
        <v>7</v>
      </c>
      <c r="D45" s="13">
        <v>45203</v>
      </c>
      <c r="E45" s="30">
        <v>7</v>
      </c>
      <c r="F45" s="24" t="s">
        <v>150</v>
      </c>
      <c r="G45" s="101" t="s">
        <v>122</v>
      </c>
      <c r="H45" s="142" t="s">
        <v>123</v>
      </c>
      <c r="I45" s="25"/>
      <c r="J45" s="25">
        <v>23</v>
      </c>
      <c r="K45" s="31"/>
      <c r="L45" s="9">
        <f>ROW()</f>
        <v>45</v>
      </c>
    </row>
    <row r="46" spans="3:12" customFormat="1" x14ac:dyDescent="0.25">
      <c r="C46" s="9">
        <v>7</v>
      </c>
      <c r="D46" s="13">
        <v>45203</v>
      </c>
      <c r="E46" s="30">
        <v>7</v>
      </c>
      <c r="F46" s="24" t="s">
        <v>150</v>
      </c>
      <c r="G46" s="101" t="s">
        <v>22</v>
      </c>
      <c r="H46" s="142" t="s">
        <v>23</v>
      </c>
      <c r="I46" s="25"/>
      <c r="J46" s="25">
        <v>33.93</v>
      </c>
      <c r="K46" s="31"/>
      <c r="L46" s="9">
        <f>ROW()</f>
        <v>46</v>
      </c>
    </row>
    <row r="47" spans="3:12" customFormat="1" x14ac:dyDescent="0.25">
      <c r="C47" s="9">
        <v>7</v>
      </c>
      <c r="D47" s="13">
        <v>45203</v>
      </c>
      <c r="E47" s="30">
        <v>7</v>
      </c>
      <c r="F47" s="24" t="s">
        <v>150</v>
      </c>
      <c r="G47" s="101" t="s">
        <v>24</v>
      </c>
      <c r="H47" s="142" t="s">
        <v>25</v>
      </c>
      <c r="I47" s="25"/>
      <c r="J47" s="25">
        <v>67.680000000000007</v>
      </c>
      <c r="K47" s="31"/>
      <c r="L47" s="9">
        <f>ROW()</f>
        <v>47</v>
      </c>
    </row>
    <row r="48" spans="3:12" customFormat="1" x14ac:dyDescent="0.25">
      <c r="C48" s="9">
        <v>7</v>
      </c>
      <c r="D48" s="13">
        <v>45203</v>
      </c>
      <c r="E48" s="30">
        <v>7</v>
      </c>
      <c r="F48" s="24" t="s">
        <v>150</v>
      </c>
      <c r="G48" s="101" t="s">
        <v>32</v>
      </c>
      <c r="H48" s="142" t="s">
        <v>33</v>
      </c>
      <c r="I48" s="25">
        <v>350</v>
      </c>
      <c r="J48" s="25"/>
      <c r="K48" s="31"/>
      <c r="L48" s="9">
        <f>ROW()</f>
        <v>48</v>
      </c>
    </row>
    <row r="49" spans="3:12" customFormat="1" ht="15.75" thickBot="1" x14ac:dyDescent="0.3">
      <c r="C49" s="9">
        <v>7</v>
      </c>
      <c r="D49" s="15">
        <v>45203</v>
      </c>
      <c r="E49" s="36">
        <v>7</v>
      </c>
      <c r="F49" s="37" t="s">
        <v>150</v>
      </c>
      <c r="G49" s="104"/>
      <c r="H49" s="143" t="s">
        <v>151</v>
      </c>
      <c r="I49" s="135"/>
      <c r="J49" s="135"/>
      <c r="K49" s="136"/>
      <c r="L49" s="9">
        <f>ROW()</f>
        <v>49</v>
      </c>
    </row>
    <row r="50" spans="3:12" customFormat="1" ht="15.75" thickBot="1" x14ac:dyDescent="0.3">
      <c r="C50" s="9">
        <v>7</v>
      </c>
      <c r="D50" s="75">
        <v>45203</v>
      </c>
      <c r="E50" s="74">
        <v>7</v>
      </c>
      <c r="F50" s="76" t="s">
        <v>150</v>
      </c>
      <c r="G50" s="103"/>
      <c r="H50" s="45"/>
      <c r="I50" s="28"/>
      <c r="J50" s="28"/>
      <c r="L50" s="9">
        <f>ROW()</f>
        <v>50</v>
      </c>
    </row>
    <row r="51" spans="3:12" customFormat="1" x14ac:dyDescent="0.25">
      <c r="C51" s="9">
        <v>8</v>
      </c>
      <c r="D51" s="12">
        <v>45204</v>
      </c>
      <c r="E51" s="20">
        <v>8</v>
      </c>
      <c r="F51" s="21" t="s">
        <v>152</v>
      </c>
      <c r="G51" s="100">
        <v>1100</v>
      </c>
      <c r="H51" s="46" t="s">
        <v>15</v>
      </c>
      <c r="I51" s="22">
        <v>1248.6300000000001</v>
      </c>
      <c r="J51" s="22"/>
      <c r="K51" s="29"/>
      <c r="L51" s="9">
        <f>ROW()</f>
        <v>51</v>
      </c>
    </row>
    <row r="52" spans="3:12" customFormat="1" x14ac:dyDescent="0.25">
      <c r="C52" s="9">
        <v>8</v>
      </c>
      <c r="D52" s="13">
        <v>45204</v>
      </c>
      <c r="E52" s="30">
        <v>8</v>
      </c>
      <c r="F52" s="24" t="s">
        <v>152</v>
      </c>
      <c r="G52" s="101" t="s">
        <v>87</v>
      </c>
      <c r="H52" s="142" t="s">
        <v>88</v>
      </c>
      <c r="I52" s="25"/>
      <c r="J52" s="25">
        <v>1050</v>
      </c>
      <c r="K52" s="31"/>
      <c r="L52" s="9">
        <f>ROW()</f>
        <v>52</v>
      </c>
    </row>
    <row r="53" spans="3:12" customFormat="1" x14ac:dyDescent="0.25">
      <c r="C53" s="9">
        <v>8</v>
      </c>
      <c r="D53" s="13">
        <v>45204</v>
      </c>
      <c r="E53" s="30">
        <v>8</v>
      </c>
      <c r="F53" s="24" t="s">
        <v>152</v>
      </c>
      <c r="G53" s="101" t="s">
        <v>120</v>
      </c>
      <c r="H53" s="142" t="s">
        <v>121</v>
      </c>
      <c r="I53" s="25"/>
      <c r="J53" s="25">
        <v>11</v>
      </c>
      <c r="K53" s="31"/>
      <c r="L53" s="9">
        <f>ROW()</f>
        <v>53</v>
      </c>
    </row>
    <row r="54" spans="3:12" customFormat="1" x14ac:dyDescent="0.25">
      <c r="C54" s="9">
        <v>8</v>
      </c>
      <c r="D54" s="13">
        <v>45204</v>
      </c>
      <c r="E54" s="30">
        <v>8</v>
      </c>
      <c r="F54" s="24" t="s">
        <v>152</v>
      </c>
      <c r="G54" s="101" t="s">
        <v>118</v>
      </c>
      <c r="H54" s="142" t="s">
        <v>119</v>
      </c>
      <c r="I54" s="25"/>
      <c r="J54" s="25">
        <v>12</v>
      </c>
      <c r="K54" s="31"/>
      <c r="L54" s="9">
        <f>ROW()</f>
        <v>54</v>
      </c>
    </row>
    <row r="55" spans="3:12" customFormat="1" x14ac:dyDescent="0.25">
      <c r="C55" s="9">
        <v>8</v>
      </c>
      <c r="D55" s="13">
        <v>45204</v>
      </c>
      <c r="E55" s="30">
        <v>8</v>
      </c>
      <c r="F55" s="24" t="s">
        <v>152</v>
      </c>
      <c r="G55" s="101" t="s">
        <v>122</v>
      </c>
      <c r="H55" s="142" t="s">
        <v>123</v>
      </c>
      <c r="I55" s="25"/>
      <c r="J55" s="25">
        <v>13</v>
      </c>
      <c r="K55" s="31"/>
      <c r="L55" s="9">
        <f>ROW()</f>
        <v>55</v>
      </c>
    </row>
    <row r="56" spans="3:12" customFormat="1" x14ac:dyDescent="0.25">
      <c r="C56" s="9">
        <v>8</v>
      </c>
      <c r="D56" s="13">
        <v>45204</v>
      </c>
      <c r="E56" s="30">
        <v>8</v>
      </c>
      <c r="F56" s="24" t="s">
        <v>152</v>
      </c>
      <c r="G56" s="101" t="s">
        <v>22</v>
      </c>
      <c r="H56" s="142" t="s">
        <v>23</v>
      </c>
      <c r="I56" s="25"/>
      <c r="J56" s="25">
        <v>54.3</v>
      </c>
      <c r="K56" s="31"/>
      <c r="L56" s="9">
        <f>ROW()</f>
        <v>56</v>
      </c>
    </row>
    <row r="57" spans="3:12" customFormat="1" x14ac:dyDescent="0.25">
      <c r="C57" s="9">
        <v>8</v>
      </c>
      <c r="D57" s="13">
        <v>45204</v>
      </c>
      <c r="E57" s="30">
        <v>8</v>
      </c>
      <c r="F57" s="24" t="s">
        <v>152</v>
      </c>
      <c r="G57" s="101" t="s">
        <v>24</v>
      </c>
      <c r="H57" s="142" t="s">
        <v>25</v>
      </c>
      <c r="I57" s="25"/>
      <c r="J57" s="25">
        <v>108.33</v>
      </c>
      <c r="K57" s="31"/>
      <c r="L57" s="9">
        <f>ROW()</f>
        <v>57</v>
      </c>
    </row>
    <row r="58" spans="3:12" customFormat="1" ht="15.75" thickBot="1" x14ac:dyDescent="0.3">
      <c r="C58" s="9">
        <v>8</v>
      </c>
      <c r="D58" s="15">
        <v>45204</v>
      </c>
      <c r="E58" s="36">
        <v>8</v>
      </c>
      <c r="F58" s="37" t="s">
        <v>152</v>
      </c>
      <c r="G58" s="104"/>
      <c r="H58" s="143" t="s">
        <v>153</v>
      </c>
      <c r="I58" s="135"/>
      <c r="J58" s="135"/>
      <c r="K58" s="136"/>
      <c r="L58" s="9">
        <f>ROW()</f>
        <v>58</v>
      </c>
    </row>
    <row r="59" spans="3:12" customFormat="1" ht="15.75" thickBot="1" x14ac:dyDescent="0.3">
      <c r="C59" s="9">
        <v>8</v>
      </c>
      <c r="D59" s="75">
        <v>45204</v>
      </c>
      <c r="E59" s="74">
        <v>8</v>
      </c>
      <c r="F59" s="76" t="s">
        <v>152</v>
      </c>
      <c r="G59" s="103"/>
      <c r="H59" s="45"/>
      <c r="I59" s="28"/>
      <c r="J59" s="28"/>
      <c r="L59" s="9">
        <f>ROW()</f>
        <v>59</v>
      </c>
    </row>
    <row r="60" spans="3:12" customFormat="1" x14ac:dyDescent="0.25">
      <c r="C60" s="9">
        <v>9</v>
      </c>
      <c r="D60" s="12">
        <v>45205</v>
      </c>
      <c r="E60" s="20">
        <v>9</v>
      </c>
      <c r="F60" s="21" t="s">
        <v>154</v>
      </c>
      <c r="G60" s="100" t="s">
        <v>12</v>
      </c>
      <c r="H60" s="46" t="s">
        <v>13</v>
      </c>
      <c r="I60" s="22">
        <v>1248.6300000000001</v>
      </c>
      <c r="J60" s="22"/>
      <c r="K60" s="29"/>
      <c r="L60" s="9">
        <f>ROW()</f>
        <v>60</v>
      </c>
    </row>
    <row r="61" spans="3:12" customFormat="1" x14ac:dyDescent="0.25">
      <c r="C61" s="9">
        <v>9</v>
      </c>
      <c r="D61" s="13">
        <v>45205</v>
      </c>
      <c r="E61" s="30">
        <v>9</v>
      </c>
      <c r="F61" s="24" t="s">
        <v>154</v>
      </c>
      <c r="G61" s="101" t="s">
        <v>14</v>
      </c>
      <c r="H61" s="142" t="s">
        <v>15</v>
      </c>
      <c r="I61" s="25"/>
      <c r="J61" s="25">
        <v>1248.6300000000001</v>
      </c>
      <c r="K61" s="31"/>
      <c r="L61" s="9">
        <f>ROW()</f>
        <v>61</v>
      </c>
    </row>
    <row r="62" spans="3:12" customFormat="1" ht="15.75" thickBot="1" x14ac:dyDescent="0.3">
      <c r="C62" s="9">
        <v>9</v>
      </c>
      <c r="D62" s="15">
        <v>45205</v>
      </c>
      <c r="E62" s="36">
        <v>9</v>
      </c>
      <c r="F62" s="37" t="s">
        <v>154</v>
      </c>
      <c r="G62" s="104"/>
      <c r="H62" s="143" t="s">
        <v>155</v>
      </c>
      <c r="I62" s="135"/>
      <c r="J62" s="135"/>
      <c r="K62" s="136"/>
      <c r="L62" s="9">
        <f>ROW()</f>
        <v>62</v>
      </c>
    </row>
    <row r="63" spans="3:12" customFormat="1" ht="15.75" thickBot="1" x14ac:dyDescent="0.3">
      <c r="C63" s="9">
        <v>9</v>
      </c>
      <c r="D63" s="75">
        <v>45205</v>
      </c>
      <c r="E63" s="74">
        <v>9</v>
      </c>
      <c r="F63" s="76" t="s">
        <v>154</v>
      </c>
      <c r="G63" s="103"/>
      <c r="H63" s="45"/>
      <c r="I63" s="28"/>
      <c r="J63" s="28"/>
      <c r="L63" s="9">
        <f>ROW()</f>
        <v>63</v>
      </c>
    </row>
    <row r="64" spans="3:12" customFormat="1" x14ac:dyDescent="0.25">
      <c r="C64" s="9">
        <v>10</v>
      </c>
      <c r="D64" s="12">
        <v>45205</v>
      </c>
      <c r="E64" s="20">
        <v>10</v>
      </c>
      <c r="F64" s="21" t="s">
        <v>154</v>
      </c>
      <c r="G64" s="100" t="s">
        <v>12</v>
      </c>
      <c r="H64" s="46" t="s">
        <v>13</v>
      </c>
      <c r="I64" s="22">
        <v>1228.72</v>
      </c>
      <c r="J64" s="22"/>
      <c r="K64" s="29"/>
      <c r="L64" s="9">
        <f>ROW()</f>
        <v>64</v>
      </c>
    </row>
    <row r="65" spans="3:12" customFormat="1" x14ac:dyDescent="0.25">
      <c r="C65" s="9">
        <v>10</v>
      </c>
      <c r="D65" s="13">
        <v>45205</v>
      </c>
      <c r="E65" s="30">
        <v>10</v>
      </c>
      <c r="F65" s="24" t="s">
        <v>154</v>
      </c>
      <c r="G65" s="101">
        <v>1100</v>
      </c>
      <c r="H65" s="142" t="s">
        <v>15</v>
      </c>
      <c r="I65" s="25"/>
      <c r="J65" s="25">
        <v>1228.72</v>
      </c>
      <c r="K65" s="31"/>
      <c r="L65" s="9">
        <f>ROW()</f>
        <v>65</v>
      </c>
    </row>
    <row r="66" spans="3:12" customFormat="1" ht="15.75" thickBot="1" x14ac:dyDescent="0.3">
      <c r="C66" s="9">
        <v>10</v>
      </c>
      <c r="D66" s="15">
        <v>45205</v>
      </c>
      <c r="E66" s="36">
        <v>10</v>
      </c>
      <c r="F66" s="37" t="s">
        <v>154</v>
      </c>
      <c r="G66" s="104"/>
      <c r="H66" s="143" t="s">
        <v>149</v>
      </c>
      <c r="I66" s="135"/>
      <c r="J66" s="135"/>
      <c r="K66" s="136"/>
      <c r="L66" s="9">
        <f>ROW()</f>
        <v>66</v>
      </c>
    </row>
    <row r="67" spans="3:12" customFormat="1" ht="15.75" thickBot="1" x14ac:dyDescent="0.3">
      <c r="C67" s="9">
        <v>10</v>
      </c>
      <c r="D67" s="75">
        <v>45205</v>
      </c>
      <c r="E67" s="10"/>
      <c r="G67" s="103"/>
      <c r="H67" s="45"/>
      <c r="I67" s="28"/>
      <c r="J67" s="28"/>
      <c r="L67" s="9">
        <v>67</v>
      </c>
    </row>
    <row r="68" spans="3:12" customFormat="1" x14ac:dyDescent="0.25">
      <c r="C68" s="9">
        <v>11</v>
      </c>
      <c r="D68" s="12">
        <v>45205</v>
      </c>
      <c r="E68" s="20">
        <v>11</v>
      </c>
      <c r="F68" s="21" t="s">
        <v>156</v>
      </c>
      <c r="G68" s="100" t="s">
        <v>84</v>
      </c>
      <c r="H68" s="46" t="s">
        <v>85</v>
      </c>
      <c r="I68" s="22">
        <v>5000</v>
      </c>
      <c r="J68" s="22"/>
      <c r="K68" s="29"/>
      <c r="L68" s="9">
        <f>ROW()</f>
        <v>68</v>
      </c>
    </row>
    <row r="69" spans="3:12" customFormat="1" x14ac:dyDescent="0.25">
      <c r="C69" s="9">
        <v>11</v>
      </c>
      <c r="D69" s="13">
        <v>45205</v>
      </c>
      <c r="E69" s="30">
        <v>11</v>
      </c>
      <c r="F69" s="24" t="s">
        <v>156</v>
      </c>
      <c r="G69" s="101" t="s">
        <v>12</v>
      </c>
      <c r="H69" s="142" t="s">
        <v>13</v>
      </c>
      <c r="I69" s="25"/>
      <c r="J69" s="25">
        <v>5000</v>
      </c>
      <c r="K69" s="31"/>
      <c r="L69" s="9">
        <f>ROW()</f>
        <v>69</v>
      </c>
    </row>
    <row r="70" spans="3:12" customFormat="1" ht="15.75" thickBot="1" x14ac:dyDescent="0.3">
      <c r="C70" s="9">
        <v>11</v>
      </c>
      <c r="D70" s="15">
        <v>45205</v>
      </c>
      <c r="E70" s="36">
        <v>11</v>
      </c>
      <c r="F70" s="37" t="s">
        <v>156</v>
      </c>
      <c r="G70" s="104"/>
      <c r="H70" s="143" t="s">
        <v>157</v>
      </c>
      <c r="I70" s="135"/>
      <c r="J70" s="135"/>
      <c r="K70" s="136"/>
      <c r="L70" s="9">
        <f>ROW()</f>
        <v>70</v>
      </c>
    </row>
    <row r="71" spans="3:12" customFormat="1" ht="15.75" thickBot="1" x14ac:dyDescent="0.3">
      <c r="C71" s="9">
        <v>11</v>
      </c>
      <c r="D71" s="75">
        <v>45205</v>
      </c>
      <c r="E71" s="74">
        <v>11</v>
      </c>
      <c r="F71" s="76" t="s">
        <v>156</v>
      </c>
      <c r="G71" s="103"/>
      <c r="H71" s="45"/>
      <c r="I71" s="28"/>
      <c r="J71" s="28"/>
      <c r="L71" s="9">
        <f>ROW()</f>
        <v>71</v>
      </c>
    </row>
    <row r="72" spans="3:12" customFormat="1" x14ac:dyDescent="0.25">
      <c r="C72" s="9">
        <v>12</v>
      </c>
      <c r="D72" s="12">
        <v>45205</v>
      </c>
      <c r="E72" s="20">
        <v>12</v>
      </c>
      <c r="F72" s="21"/>
      <c r="G72" s="100" t="s">
        <v>34</v>
      </c>
      <c r="H72" s="46" t="s">
        <v>35</v>
      </c>
      <c r="I72" s="22">
        <v>3995.99</v>
      </c>
      <c r="J72" s="22"/>
      <c r="K72" s="29"/>
      <c r="L72" s="9">
        <f>ROW()</f>
        <v>72</v>
      </c>
    </row>
    <row r="73" spans="3:12" customFormat="1" x14ac:dyDescent="0.25">
      <c r="C73" s="9">
        <v>12</v>
      </c>
      <c r="D73" s="13">
        <v>45205</v>
      </c>
      <c r="E73" s="30">
        <v>12</v>
      </c>
      <c r="F73" s="24"/>
      <c r="G73" s="101" t="s">
        <v>18</v>
      </c>
      <c r="H73" s="142" t="s">
        <v>19</v>
      </c>
      <c r="I73" s="25">
        <v>199.8</v>
      </c>
      <c r="J73" s="25"/>
      <c r="K73" s="31"/>
      <c r="L73" s="9">
        <f>ROW()</f>
        <v>73</v>
      </c>
    </row>
    <row r="74" spans="3:12" customFormat="1" x14ac:dyDescent="0.25">
      <c r="C74" s="9">
        <v>12</v>
      </c>
      <c r="D74" s="13">
        <v>45205</v>
      </c>
      <c r="E74" s="30">
        <v>12</v>
      </c>
      <c r="F74" s="24"/>
      <c r="G74" s="101" t="s">
        <v>20</v>
      </c>
      <c r="H74" s="142" t="s">
        <v>21</v>
      </c>
      <c r="I74" s="25">
        <v>389.61</v>
      </c>
      <c r="J74" s="25"/>
      <c r="K74" s="31"/>
      <c r="L74" s="9">
        <f>ROW()</f>
        <v>74</v>
      </c>
    </row>
    <row r="75" spans="3:12" customFormat="1" x14ac:dyDescent="0.25">
      <c r="C75" s="9">
        <v>12</v>
      </c>
      <c r="D75" s="13">
        <v>45205</v>
      </c>
      <c r="E75" s="30">
        <v>12</v>
      </c>
      <c r="F75" s="24"/>
      <c r="G75" s="101" t="s">
        <v>53</v>
      </c>
      <c r="H75" s="142" t="s">
        <v>54</v>
      </c>
      <c r="I75" s="25"/>
      <c r="J75" s="25">
        <v>4585.3999999999996</v>
      </c>
      <c r="K75" s="31"/>
      <c r="L75" s="9">
        <f>ROW()</f>
        <v>75</v>
      </c>
    </row>
    <row r="76" spans="3:12" customFormat="1" ht="15.75" thickBot="1" x14ac:dyDescent="0.3">
      <c r="C76" s="9">
        <v>12</v>
      </c>
      <c r="D76" s="15">
        <v>45205</v>
      </c>
      <c r="E76" s="36">
        <v>12</v>
      </c>
      <c r="F76" s="37"/>
      <c r="G76" s="104"/>
      <c r="H76" s="143" t="s">
        <v>159</v>
      </c>
      <c r="I76" s="135"/>
      <c r="J76" s="135"/>
      <c r="K76" s="136"/>
      <c r="L76" s="9">
        <f>ROW()</f>
        <v>76</v>
      </c>
    </row>
    <row r="77" spans="3:12" customFormat="1" ht="15.75" thickBot="1" x14ac:dyDescent="0.3">
      <c r="C77" s="9">
        <v>12</v>
      </c>
      <c r="D77" s="75">
        <v>45205</v>
      </c>
      <c r="E77" s="74">
        <v>12</v>
      </c>
      <c r="F77" s="76"/>
      <c r="G77" s="103"/>
      <c r="H77" s="45"/>
      <c r="I77" s="28"/>
      <c r="J77" s="28"/>
      <c r="L77" s="9">
        <f>ROW()</f>
        <v>77</v>
      </c>
    </row>
    <row r="78" spans="3:12" customFormat="1" x14ac:dyDescent="0.25">
      <c r="C78" s="9">
        <v>13</v>
      </c>
      <c r="D78" s="12">
        <v>45205</v>
      </c>
      <c r="E78" s="20">
        <v>13</v>
      </c>
      <c r="F78" s="21" t="s">
        <v>158</v>
      </c>
      <c r="G78" s="100" t="s">
        <v>106</v>
      </c>
      <c r="H78" s="46" t="s">
        <v>107</v>
      </c>
      <c r="I78" s="22">
        <v>120</v>
      </c>
      <c r="J78" s="22"/>
      <c r="K78" s="29"/>
      <c r="L78" s="9">
        <f>ROW()</f>
        <v>78</v>
      </c>
    </row>
    <row r="79" spans="3:12" customFormat="1" x14ac:dyDescent="0.25">
      <c r="C79" s="9">
        <v>13</v>
      </c>
      <c r="D79" s="13">
        <v>45205</v>
      </c>
      <c r="E79" s="30">
        <v>13</v>
      </c>
      <c r="F79" s="24" t="s">
        <v>158</v>
      </c>
      <c r="G79" s="101" t="s">
        <v>18</v>
      </c>
      <c r="H79" s="142" t="s">
        <v>19</v>
      </c>
      <c r="I79" s="25">
        <v>5</v>
      </c>
      <c r="J79" s="25"/>
      <c r="K79" s="31"/>
      <c r="L79" s="9">
        <f>ROW()</f>
        <v>79</v>
      </c>
    </row>
    <row r="80" spans="3:12" customFormat="1" x14ac:dyDescent="0.25">
      <c r="C80" s="9">
        <v>13</v>
      </c>
      <c r="D80" s="13">
        <v>45205</v>
      </c>
      <c r="E80" s="30">
        <v>13</v>
      </c>
      <c r="F80" s="24" t="s">
        <v>158</v>
      </c>
      <c r="G80" s="101" t="s">
        <v>20</v>
      </c>
      <c r="H80" s="142" t="s">
        <v>21</v>
      </c>
      <c r="I80" s="25">
        <v>9.75</v>
      </c>
      <c r="J80" s="25"/>
      <c r="K80" s="31"/>
      <c r="L80" s="9">
        <f>ROW()</f>
        <v>80</v>
      </c>
    </row>
    <row r="81" spans="3:12" customFormat="1" x14ac:dyDescent="0.25">
      <c r="C81" s="9">
        <v>13</v>
      </c>
      <c r="D81" s="13">
        <v>45205</v>
      </c>
      <c r="E81" s="30">
        <v>13</v>
      </c>
      <c r="F81" s="24" t="s">
        <v>158</v>
      </c>
      <c r="G81" s="101" t="s">
        <v>53</v>
      </c>
      <c r="H81" s="142" t="s">
        <v>54</v>
      </c>
      <c r="I81" s="25"/>
      <c r="J81" s="25">
        <v>134.75</v>
      </c>
      <c r="K81" s="31"/>
      <c r="L81" s="9">
        <f>ROW()</f>
        <v>81</v>
      </c>
    </row>
    <row r="82" spans="3:12" customFormat="1" ht="15.75" thickBot="1" x14ac:dyDescent="0.3">
      <c r="C82" s="9">
        <v>13</v>
      </c>
      <c r="D82" s="15">
        <v>45205</v>
      </c>
      <c r="E82" s="36">
        <v>13</v>
      </c>
      <c r="F82" s="37" t="s">
        <v>158</v>
      </c>
      <c r="G82" s="104"/>
      <c r="H82" s="143" t="s">
        <v>160</v>
      </c>
      <c r="I82" s="135"/>
      <c r="J82" s="135"/>
      <c r="K82" s="136"/>
      <c r="L82" s="9">
        <f>ROW()</f>
        <v>82</v>
      </c>
    </row>
    <row r="83" spans="3:12" customFormat="1" ht="15.75" thickBot="1" x14ac:dyDescent="0.3">
      <c r="C83" s="9">
        <v>13</v>
      </c>
      <c r="D83" s="75">
        <v>45205</v>
      </c>
      <c r="E83" s="74">
        <v>13</v>
      </c>
      <c r="F83" s="76" t="s">
        <v>158</v>
      </c>
      <c r="G83" s="103"/>
      <c r="H83" s="45"/>
      <c r="I83" s="28"/>
      <c r="J83" s="28"/>
      <c r="L83" s="9">
        <f>ROW()</f>
        <v>83</v>
      </c>
    </row>
    <row r="84" spans="3:12" customFormat="1" x14ac:dyDescent="0.25">
      <c r="C84" s="9">
        <v>14</v>
      </c>
      <c r="D84" s="12">
        <v>45204</v>
      </c>
      <c r="E84" s="20">
        <v>14</v>
      </c>
      <c r="F84" s="21" t="s">
        <v>161</v>
      </c>
      <c r="G84" s="100">
        <v>1100</v>
      </c>
      <c r="H84" s="46" t="s">
        <v>15</v>
      </c>
      <c r="I84" s="22">
        <v>1034.9100000000001</v>
      </c>
      <c r="J84" s="22"/>
      <c r="K84" s="29"/>
      <c r="L84" s="9">
        <f>ROW()</f>
        <v>84</v>
      </c>
    </row>
    <row r="85" spans="3:12" customFormat="1" x14ac:dyDescent="0.25">
      <c r="C85" s="9">
        <v>14</v>
      </c>
      <c r="D85" s="13">
        <v>45204</v>
      </c>
      <c r="E85" s="30">
        <v>14</v>
      </c>
      <c r="F85" s="24" t="s">
        <v>161</v>
      </c>
      <c r="G85" s="101" t="s">
        <v>87</v>
      </c>
      <c r="H85" s="142" t="s">
        <v>88</v>
      </c>
      <c r="I85" s="25"/>
      <c r="J85" s="25">
        <v>3062.5</v>
      </c>
      <c r="K85" s="31"/>
      <c r="L85" s="9">
        <f>ROW()</f>
        <v>85</v>
      </c>
    </row>
    <row r="86" spans="3:12" customFormat="1" x14ac:dyDescent="0.25">
      <c r="C86" s="9">
        <v>14</v>
      </c>
      <c r="D86" s="13">
        <v>45204</v>
      </c>
      <c r="E86" s="30">
        <v>14</v>
      </c>
      <c r="F86" s="24" t="s">
        <v>161</v>
      </c>
      <c r="G86" s="101" t="s">
        <v>22</v>
      </c>
      <c r="H86" s="142" t="s">
        <v>23</v>
      </c>
      <c r="I86" s="25"/>
      <c r="J86" s="25">
        <v>153.72999999999999</v>
      </c>
      <c r="K86" s="31"/>
      <c r="L86" s="9">
        <f>ROW()</f>
        <v>86</v>
      </c>
    </row>
    <row r="87" spans="3:12" customFormat="1" x14ac:dyDescent="0.25">
      <c r="C87" s="9">
        <v>14</v>
      </c>
      <c r="D87" s="13">
        <v>45204</v>
      </c>
      <c r="E87" s="30">
        <v>14</v>
      </c>
      <c r="F87" s="24" t="s">
        <v>161</v>
      </c>
      <c r="G87" s="101" t="s">
        <v>24</v>
      </c>
      <c r="H87" s="142" t="s">
        <v>25</v>
      </c>
      <c r="I87" s="25"/>
      <c r="J87" s="25">
        <v>306.68</v>
      </c>
      <c r="K87" s="31"/>
      <c r="L87" s="9">
        <f>ROW()</f>
        <v>87</v>
      </c>
    </row>
    <row r="88" spans="3:12" customFormat="1" x14ac:dyDescent="0.25">
      <c r="C88" s="9">
        <v>14</v>
      </c>
      <c r="D88" s="13">
        <v>45204</v>
      </c>
      <c r="E88" s="30">
        <v>14</v>
      </c>
      <c r="F88" s="24" t="s">
        <v>161</v>
      </c>
      <c r="G88" s="101" t="s">
        <v>120</v>
      </c>
      <c r="H88" s="142" t="s">
        <v>121</v>
      </c>
      <c r="I88" s="25"/>
      <c r="J88" s="25">
        <v>3</v>
      </c>
      <c r="K88" s="31"/>
      <c r="L88" s="9">
        <f>ROW()</f>
        <v>88</v>
      </c>
    </row>
    <row r="89" spans="3:12" customFormat="1" x14ac:dyDescent="0.25">
      <c r="C89" s="9">
        <v>14</v>
      </c>
      <c r="D89" s="13">
        <v>45204</v>
      </c>
      <c r="E89" s="30">
        <v>14</v>
      </c>
      <c r="F89" s="24" t="s">
        <v>161</v>
      </c>
      <c r="G89" s="101" t="s">
        <v>118</v>
      </c>
      <c r="H89" s="142" t="s">
        <v>119</v>
      </c>
      <c r="I89" s="25"/>
      <c r="J89" s="25">
        <v>4</v>
      </c>
      <c r="K89" s="31"/>
      <c r="L89" s="9">
        <f>ROW()</f>
        <v>89</v>
      </c>
    </row>
    <row r="90" spans="3:12" customFormat="1" x14ac:dyDescent="0.25">
      <c r="C90" s="9">
        <v>14</v>
      </c>
      <c r="D90" s="13">
        <v>45204</v>
      </c>
      <c r="E90" s="30">
        <v>14</v>
      </c>
      <c r="F90" s="24" t="s">
        <v>161</v>
      </c>
      <c r="G90" s="101" t="s">
        <v>126</v>
      </c>
      <c r="H90" s="142" t="s">
        <v>127</v>
      </c>
      <c r="I90" s="25"/>
      <c r="J90" s="25">
        <v>5</v>
      </c>
      <c r="K90" s="31"/>
      <c r="L90" s="9">
        <f>ROW()</f>
        <v>90</v>
      </c>
    </row>
    <row r="91" spans="3:12" customFormat="1" x14ac:dyDescent="0.25">
      <c r="C91" s="9">
        <v>14</v>
      </c>
      <c r="D91" s="13">
        <v>45204</v>
      </c>
      <c r="E91" s="30">
        <v>14</v>
      </c>
      <c r="F91" s="24" t="s">
        <v>161</v>
      </c>
      <c r="G91" s="101" t="s">
        <v>32</v>
      </c>
      <c r="H91" s="142" t="s">
        <v>33</v>
      </c>
      <c r="I91" s="25">
        <v>2500</v>
      </c>
      <c r="J91" s="25"/>
      <c r="K91" s="31"/>
      <c r="L91" s="9">
        <f>ROW()</f>
        <v>91</v>
      </c>
    </row>
    <row r="92" spans="3:12" customFormat="1" ht="15.75" thickBot="1" x14ac:dyDescent="0.3">
      <c r="C92" s="9">
        <v>14</v>
      </c>
      <c r="D92" s="15">
        <v>45204</v>
      </c>
      <c r="E92" s="36">
        <v>14</v>
      </c>
      <c r="F92" s="37" t="s">
        <v>161</v>
      </c>
      <c r="G92" s="104"/>
      <c r="H92" s="143" t="s">
        <v>149</v>
      </c>
      <c r="I92" s="135"/>
      <c r="J92" s="135"/>
      <c r="K92" s="136"/>
      <c r="L92" s="9">
        <f>ROW()</f>
        <v>92</v>
      </c>
    </row>
    <row r="93" spans="3:12" customFormat="1" ht="15.75" thickBot="1" x14ac:dyDescent="0.3">
      <c r="C93" s="9">
        <v>14</v>
      </c>
      <c r="D93" s="75">
        <v>45204</v>
      </c>
      <c r="E93" s="74">
        <v>14</v>
      </c>
      <c r="F93" s="76" t="s">
        <v>161</v>
      </c>
      <c r="G93" s="103"/>
      <c r="H93" s="45"/>
      <c r="I93" s="28"/>
      <c r="J93" s="28"/>
      <c r="L93" s="9">
        <f>ROW()</f>
        <v>93</v>
      </c>
    </row>
    <row r="94" spans="3:12" customFormat="1" x14ac:dyDescent="0.25">
      <c r="C94" s="9">
        <v>15</v>
      </c>
      <c r="D94" s="12">
        <v>45203</v>
      </c>
      <c r="E94" s="20">
        <v>15</v>
      </c>
      <c r="F94" s="21" t="s">
        <v>162</v>
      </c>
      <c r="G94" s="100">
        <v>1100</v>
      </c>
      <c r="H94" s="46" t="s">
        <v>15</v>
      </c>
      <c r="I94" s="22">
        <v>980.31</v>
      </c>
      <c r="J94" s="22"/>
      <c r="K94" s="29"/>
      <c r="L94" s="9">
        <f>ROW()</f>
        <v>94</v>
      </c>
    </row>
    <row r="95" spans="3:12" customFormat="1" x14ac:dyDescent="0.25">
      <c r="C95" s="9">
        <v>15</v>
      </c>
      <c r="D95" s="13">
        <v>45203</v>
      </c>
      <c r="E95" s="30">
        <v>15</v>
      </c>
      <c r="F95" s="24" t="s">
        <v>162</v>
      </c>
      <c r="G95" s="101" t="s">
        <v>87</v>
      </c>
      <c r="H95" s="142" t="s">
        <v>88</v>
      </c>
      <c r="I95" s="25"/>
      <c r="J95" s="25">
        <v>1137.5</v>
      </c>
      <c r="K95" s="31"/>
      <c r="L95" s="9">
        <f>ROW()</f>
        <v>95</v>
      </c>
    </row>
    <row r="96" spans="3:12" customFormat="1" x14ac:dyDescent="0.25">
      <c r="C96" s="9">
        <v>15</v>
      </c>
      <c r="D96" s="13">
        <v>45203</v>
      </c>
      <c r="E96" s="30">
        <v>15</v>
      </c>
      <c r="F96" s="24" t="s">
        <v>162</v>
      </c>
      <c r="G96" s="101" t="s">
        <v>22</v>
      </c>
      <c r="H96" s="142" t="s">
        <v>23</v>
      </c>
      <c r="I96" s="25"/>
      <c r="J96" s="25">
        <v>64.38</v>
      </c>
      <c r="K96" s="31"/>
      <c r="L96" s="9">
        <f>ROW()</f>
        <v>96</v>
      </c>
    </row>
    <row r="97" spans="3:12" customFormat="1" x14ac:dyDescent="0.25">
      <c r="C97" s="9">
        <v>15</v>
      </c>
      <c r="D97" s="13">
        <v>45203</v>
      </c>
      <c r="E97" s="30">
        <v>15</v>
      </c>
      <c r="F97" s="24" t="s">
        <v>162</v>
      </c>
      <c r="G97" s="101" t="s">
        <v>24</v>
      </c>
      <c r="H97" s="142" t="s">
        <v>25</v>
      </c>
      <c r="I97" s="25"/>
      <c r="J97" s="25">
        <v>128.43</v>
      </c>
      <c r="K97" s="31"/>
      <c r="L97" s="9">
        <f>ROW()</f>
        <v>97</v>
      </c>
    </row>
    <row r="98" spans="3:12" customFormat="1" x14ac:dyDescent="0.25">
      <c r="C98" s="9">
        <v>15</v>
      </c>
      <c r="D98" s="13">
        <v>45203</v>
      </c>
      <c r="E98" s="30">
        <v>15</v>
      </c>
      <c r="F98" s="24" t="s">
        <v>162</v>
      </c>
      <c r="G98" s="101" t="s">
        <v>120</v>
      </c>
      <c r="H98" s="142" t="s">
        <v>121</v>
      </c>
      <c r="I98" s="25"/>
      <c r="J98" s="25">
        <v>25</v>
      </c>
      <c r="K98" s="31"/>
      <c r="L98" s="9">
        <f>ROW()</f>
        <v>98</v>
      </c>
    </row>
    <row r="99" spans="3:12" customFormat="1" x14ac:dyDescent="0.25">
      <c r="C99" s="9">
        <v>15</v>
      </c>
      <c r="D99" s="13">
        <v>45203</v>
      </c>
      <c r="E99" s="30">
        <v>15</v>
      </c>
      <c r="F99" s="24" t="s">
        <v>162</v>
      </c>
      <c r="G99" s="101" t="s">
        <v>118</v>
      </c>
      <c r="H99" s="142" t="s">
        <v>119</v>
      </c>
      <c r="I99" s="25"/>
      <c r="J99" s="25">
        <v>50</v>
      </c>
      <c r="K99" s="31"/>
      <c r="L99" s="9">
        <f>ROW()</f>
        <v>99</v>
      </c>
    </row>
    <row r="100" spans="3:12" customFormat="1" x14ac:dyDescent="0.25">
      <c r="C100" s="9">
        <v>15</v>
      </c>
      <c r="D100" s="13">
        <v>45203</v>
      </c>
      <c r="E100" s="30">
        <v>15</v>
      </c>
      <c r="F100" s="24" t="s">
        <v>162</v>
      </c>
      <c r="G100" s="101" t="s">
        <v>126</v>
      </c>
      <c r="H100" s="142" t="s">
        <v>127</v>
      </c>
      <c r="I100" s="25"/>
      <c r="J100" s="25">
        <v>75</v>
      </c>
      <c r="K100" s="31"/>
      <c r="L100" s="9">
        <f>ROW()</f>
        <v>100</v>
      </c>
    </row>
    <row r="101" spans="3:12" customFormat="1" x14ac:dyDescent="0.25">
      <c r="C101" s="9">
        <v>15</v>
      </c>
      <c r="D101" s="13">
        <v>45203</v>
      </c>
      <c r="E101" s="30">
        <v>15</v>
      </c>
      <c r="F101" s="24" t="s">
        <v>162</v>
      </c>
      <c r="G101" s="101" t="s">
        <v>32</v>
      </c>
      <c r="H101" s="142" t="s">
        <v>33</v>
      </c>
      <c r="I101" s="25">
        <v>500</v>
      </c>
      <c r="J101" s="25"/>
      <c r="K101" s="31" t="s">
        <v>163</v>
      </c>
      <c r="L101" s="9">
        <f>ROW()</f>
        <v>101</v>
      </c>
    </row>
    <row r="102" spans="3:12" customFormat="1" ht="15.75" thickBot="1" x14ac:dyDescent="0.3">
      <c r="C102" s="9">
        <v>15</v>
      </c>
      <c r="D102" s="15">
        <v>45203</v>
      </c>
      <c r="E102" s="36">
        <v>15</v>
      </c>
      <c r="F102" s="37" t="s">
        <v>162</v>
      </c>
      <c r="G102" s="104"/>
      <c r="H102" s="143" t="s">
        <v>149</v>
      </c>
      <c r="I102" s="135"/>
      <c r="J102" s="135"/>
      <c r="K102" s="136"/>
      <c r="L102" s="9">
        <f>ROW()</f>
        <v>102</v>
      </c>
    </row>
    <row r="103" spans="3:12" customFormat="1" ht="15.75" thickBot="1" x14ac:dyDescent="0.3">
      <c r="C103" s="9">
        <v>15</v>
      </c>
      <c r="D103" s="75">
        <v>45203</v>
      </c>
      <c r="E103" s="74">
        <v>15</v>
      </c>
      <c r="F103" s="76" t="s">
        <v>162</v>
      </c>
      <c r="G103" s="103"/>
      <c r="H103" s="45"/>
      <c r="I103" s="28"/>
      <c r="J103" s="28"/>
      <c r="L103" s="9">
        <f>ROW()</f>
        <v>103</v>
      </c>
    </row>
    <row r="104" spans="3:12" customFormat="1" x14ac:dyDescent="0.25">
      <c r="C104" s="9">
        <v>16</v>
      </c>
      <c r="D104" s="12">
        <v>45205</v>
      </c>
      <c r="E104" s="20">
        <v>16</v>
      </c>
      <c r="F104" s="21" t="s">
        <v>154</v>
      </c>
      <c r="G104" s="100" t="s">
        <v>12</v>
      </c>
      <c r="H104" s="46" t="s">
        <v>13</v>
      </c>
      <c r="I104" s="22">
        <v>1034.9100000000001</v>
      </c>
      <c r="J104" s="22"/>
      <c r="K104" s="29"/>
      <c r="L104" s="9">
        <f>ROW()</f>
        <v>104</v>
      </c>
    </row>
    <row r="105" spans="3:12" customFormat="1" x14ac:dyDescent="0.25">
      <c r="C105" s="9">
        <v>16</v>
      </c>
      <c r="D105" s="13">
        <v>45205</v>
      </c>
      <c r="E105" s="30">
        <v>16</v>
      </c>
      <c r="F105" s="24" t="s">
        <v>154</v>
      </c>
      <c r="G105" s="101">
        <v>1100</v>
      </c>
      <c r="H105" s="142" t="s">
        <v>15</v>
      </c>
      <c r="I105" s="25"/>
      <c r="J105" s="25">
        <v>1034.9100000000001</v>
      </c>
      <c r="K105" s="31"/>
      <c r="L105" s="9">
        <f>ROW()</f>
        <v>105</v>
      </c>
    </row>
    <row r="106" spans="3:12" customFormat="1" ht="15.75" thickBot="1" x14ac:dyDescent="0.3">
      <c r="C106" s="9">
        <v>16</v>
      </c>
      <c r="D106" s="15">
        <v>45205</v>
      </c>
      <c r="E106" s="36">
        <v>16</v>
      </c>
      <c r="F106" s="37" t="s">
        <v>154</v>
      </c>
      <c r="G106" s="104"/>
      <c r="H106" s="143" t="s">
        <v>149</v>
      </c>
      <c r="I106" s="135"/>
      <c r="J106" s="135"/>
      <c r="K106" s="136"/>
      <c r="L106" s="9">
        <f>ROW()</f>
        <v>106</v>
      </c>
    </row>
    <row r="107" spans="3:12" customFormat="1" ht="15.75" thickBot="1" x14ac:dyDescent="0.3">
      <c r="C107" s="9">
        <v>16</v>
      </c>
      <c r="D107" s="75">
        <v>45205</v>
      </c>
      <c r="E107" s="74">
        <v>16</v>
      </c>
      <c r="F107" s="76" t="s">
        <v>154</v>
      </c>
      <c r="G107" s="103"/>
      <c r="H107" s="45"/>
      <c r="I107" s="28"/>
      <c r="J107" s="28"/>
      <c r="L107" s="9">
        <f>ROW()</f>
        <v>107</v>
      </c>
    </row>
    <row r="108" spans="3:12" customFormat="1" x14ac:dyDescent="0.25">
      <c r="C108" s="9">
        <v>17</v>
      </c>
      <c r="D108" s="12">
        <v>45205</v>
      </c>
      <c r="E108" s="20">
        <v>17</v>
      </c>
      <c r="F108" s="21" t="s">
        <v>154</v>
      </c>
      <c r="G108" s="100" t="s">
        <v>12</v>
      </c>
      <c r="H108" s="46" t="s">
        <v>13</v>
      </c>
      <c r="I108" s="22">
        <v>980.31</v>
      </c>
      <c r="J108" s="22"/>
      <c r="K108" s="29" t="s">
        <v>164</v>
      </c>
      <c r="L108" s="9">
        <f>ROW()</f>
        <v>108</v>
      </c>
    </row>
    <row r="109" spans="3:12" customFormat="1" x14ac:dyDescent="0.25">
      <c r="C109" s="9">
        <v>17</v>
      </c>
      <c r="D109" s="13">
        <v>45205</v>
      </c>
      <c r="E109" s="30">
        <v>17</v>
      </c>
      <c r="F109" s="24" t="s">
        <v>154</v>
      </c>
      <c r="G109" s="101">
        <v>1100</v>
      </c>
      <c r="H109" s="142" t="s">
        <v>15</v>
      </c>
      <c r="I109" s="25"/>
      <c r="J109" s="25">
        <v>980.31</v>
      </c>
      <c r="K109" s="31" t="s">
        <v>165</v>
      </c>
      <c r="L109" s="9">
        <f>ROW()</f>
        <v>109</v>
      </c>
    </row>
    <row r="110" spans="3:12" customFormat="1" ht="15.75" thickBot="1" x14ac:dyDescent="0.3">
      <c r="C110" s="9">
        <v>17</v>
      </c>
      <c r="D110" s="15">
        <v>45205</v>
      </c>
      <c r="E110" s="36">
        <v>17</v>
      </c>
      <c r="F110" s="37" t="s">
        <v>154</v>
      </c>
      <c r="G110" s="104"/>
      <c r="H110" s="143" t="s">
        <v>149</v>
      </c>
      <c r="I110" s="135"/>
      <c r="J110" s="135"/>
      <c r="K110" s="136"/>
      <c r="L110" s="9">
        <f>ROW()</f>
        <v>110</v>
      </c>
    </row>
    <row r="111" spans="3:12" customFormat="1" ht="15.75" thickBot="1" x14ac:dyDescent="0.3">
      <c r="C111" s="9">
        <v>17</v>
      </c>
      <c r="D111" s="75">
        <v>45205</v>
      </c>
      <c r="E111" s="74">
        <v>17</v>
      </c>
      <c r="F111" s="76" t="s">
        <v>154</v>
      </c>
      <c r="G111" s="103"/>
      <c r="H111" s="45"/>
      <c r="I111" s="28"/>
      <c r="J111" s="28"/>
      <c r="L111" s="9">
        <f>ROW()</f>
        <v>111</v>
      </c>
    </row>
    <row r="112" spans="3:12" customFormat="1" x14ac:dyDescent="0.25">
      <c r="C112" s="9">
        <v>18</v>
      </c>
      <c r="D112" s="12">
        <v>44927</v>
      </c>
      <c r="E112" s="20">
        <v>18</v>
      </c>
      <c r="F112" s="42" t="s">
        <v>166</v>
      </c>
      <c r="G112" s="100">
        <v>1100</v>
      </c>
      <c r="H112" s="46" t="s">
        <v>15</v>
      </c>
      <c r="I112" s="22">
        <v>3923.53</v>
      </c>
      <c r="J112" s="22"/>
      <c r="K112" s="29"/>
      <c r="L112" s="9">
        <f>ROW()</f>
        <v>112</v>
      </c>
    </row>
    <row r="113" spans="2:12" x14ac:dyDescent="0.25">
      <c r="B113"/>
      <c r="C113" s="9">
        <v>18</v>
      </c>
      <c r="D113" s="13">
        <v>44927</v>
      </c>
      <c r="E113" s="30">
        <v>18</v>
      </c>
      <c r="F113" s="43" t="s">
        <v>166</v>
      </c>
      <c r="G113" s="101" t="s">
        <v>87</v>
      </c>
      <c r="H113" s="142" t="s">
        <v>88</v>
      </c>
      <c r="I113" s="25"/>
      <c r="J113" s="25">
        <v>3412.5</v>
      </c>
      <c r="K113" s="31"/>
      <c r="L113" s="9">
        <f>ROW()</f>
        <v>113</v>
      </c>
    </row>
    <row r="114" spans="2:12" x14ac:dyDescent="0.25">
      <c r="B114"/>
      <c r="C114" s="9">
        <v>18</v>
      </c>
      <c r="D114" s="13">
        <v>44927</v>
      </c>
      <c r="E114" s="30">
        <v>18</v>
      </c>
      <c r="F114" s="43" t="s">
        <v>166</v>
      </c>
      <c r="G114" s="101" t="s">
        <v>22</v>
      </c>
      <c r="H114" s="142" t="s">
        <v>23</v>
      </c>
      <c r="I114" s="25"/>
      <c r="J114" s="25">
        <v>170.63</v>
      </c>
      <c r="K114" s="31"/>
      <c r="L114" s="9">
        <f>ROW()</f>
        <v>114</v>
      </c>
    </row>
    <row r="115" spans="2:12" x14ac:dyDescent="0.25">
      <c r="B115"/>
      <c r="C115" s="9">
        <v>18</v>
      </c>
      <c r="D115" s="13">
        <v>44927</v>
      </c>
      <c r="E115" s="30">
        <v>18</v>
      </c>
      <c r="F115" s="43" t="s">
        <v>166</v>
      </c>
      <c r="G115" s="101" t="s">
        <v>24</v>
      </c>
      <c r="H115" s="142" t="s">
        <v>25</v>
      </c>
      <c r="I115" s="25"/>
      <c r="J115" s="25">
        <v>340.4</v>
      </c>
      <c r="K115" s="31"/>
      <c r="L115" s="9">
        <f>ROW()</f>
        <v>115</v>
      </c>
    </row>
    <row r="116" spans="2:12" ht="15.75" thickBot="1" x14ac:dyDescent="0.3">
      <c r="B116"/>
      <c r="C116" s="9">
        <v>18</v>
      </c>
      <c r="D116" s="15">
        <v>44927</v>
      </c>
      <c r="E116" s="36">
        <v>18</v>
      </c>
      <c r="F116" s="44" t="s">
        <v>166</v>
      </c>
      <c r="G116" s="104"/>
      <c r="H116" s="143" t="s">
        <v>167</v>
      </c>
      <c r="I116" s="135"/>
      <c r="J116" s="135"/>
      <c r="K116" s="136"/>
      <c r="L116" s="9">
        <f>ROW()</f>
        <v>116</v>
      </c>
    </row>
    <row r="117" spans="2:12" ht="15.75" thickBot="1" x14ac:dyDescent="0.3">
      <c r="B117"/>
      <c r="C117" s="9">
        <v>18</v>
      </c>
      <c r="D117" s="75">
        <v>44927</v>
      </c>
      <c r="E117" s="74">
        <v>18</v>
      </c>
      <c r="F117" s="77" t="s">
        <v>166</v>
      </c>
      <c r="L117" s="9">
        <f>ROW()</f>
        <v>117</v>
      </c>
    </row>
    <row r="118" spans="2:12" x14ac:dyDescent="0.25">
      <c r="B118"/>
      <c r="C118" s="9">
        <v>19</v>
      </c>
      <c r="D118" s="12">
        <v>45205</v>
      </c>
      <c r="E118" s="20">
        <v>19</v>
      </c>
      <c r="F118" s="46" t="s">
        <v>154</v>
      </c>
      <c r="G118" s="100" t="s">
        <v>12</v>
      </c>
      <c r="H118" s="46" t="s">
        <v>13</v>
      </c>
      <c r="I118" s="22">
        <v>3923.53</v>
      </c>
      <c r="J118" s="22"/>
      <c r="K118" s="29"/>
      <c r="L118" s="9">
        <f>ROW()</f>
        <v>118</v>
      </c>
    </row>
    <row r="119" spans="2:12" x14ac:dyDescent="0.25">
      <c r="B119"/>
      <c r="C119" s="9">
        <v>19</v>
      </c>
      <c r="D119" s="13">
        <v>45205</v>
      </c>
      <c r="E119" s="30">
        <v>19</v>
      </c>
      <c r="F119" s="43" t="s">
        <v>154</v>
      </c>
      <c r="G119" s="101" t="s">
        <v>14</v>
      </c>
      <c r="H119" s="142" t="s">
        <v>15</v>
      </c>
      <c r="I119" s="25"/>
      <c r="J119" s="25">
        <v>3923.53</v>
      </c>
      <c r="K119" s="31"/>
      <c r="L119" s="9">
        <f>ROW()</f>
        <v>119</v>
      </c>
    </row>
    <row r="120" spans="2:12" ht="15.75" thickBot="1" x14ac:dyDescent="0.3">
      <c r="B120"/>
      <c r="C120" s="9">
        <v>19</v>
      </c>
      <c r="D120" s="15">
        <v>45205</v>
      </c>
      <c r="E120" s="36">
        <v>19</v>
      </c>
      <c r="F120" s="44" t="s">
        <v>154</v>
      </c>
      <c r="G120" s="104"/>
      <c r="H120" s="143" t="s">
        <v>167</v>
      </c>
      <c r="I120" s="135"/>
      <c r="J120" s="135"/>
      <c r="K120" s="136"/>
      <c r="L120" s="9">
        <f>ROW()</f>
        <v>120</v>
      </c>
    </row>
    <row r="121" spans="2:12" ht="15.75" thickBot="1" x14ac:dyDescent="0.3">
      <c r="B121"/>
      <c r="C121" s="9">
        <v>19</v>
      </c>
      <c r="D121" s="75">
        <v>45205</v>
      </c>
      <c r="E121" s="74">
        <v>19</v>
      </c>
      <c r="F121" s="77" t="s">
        <v>154</v>
      </c>
      <c r="L121" s="9">
        <f>ROW()</f>
        <v>121</v>
      </c>
    </row>
    <row r="122" spans="2:12" x14ac:dyDescent="0.25">
      <c r="C122" s="9">
        <v>20</v>
      </c>
      <c r="D122" s="47">
        <v>45213</v>
      </c>
      <c r="E122" s="48">
        <v>20</v>
      </c>
      <c r="F122" s="49" t="s">
        <v>156</v>
      </c>
      <c r="G122" s="108" t="s">
        <v>84</v>
      </c>
      <c r="H122" s="49" t="s">
        <v>85</v>
      </c>
      <c r="I122" s="50">
        <v>5000</v>
      </c>
      <c r="J122" s="50"/>
      <c r="K122" s="51"/>
      <c r="L122" s="9">
        <f>ROW()</f>
        <v>122</v>
      </c>
    </row>
    <row r="123" spans="2:12" x14ac:dyDescent="0.25">
      <c r="C123" s="9">
        <v>20</v>
      </c>
      <c r="D123" s="52">
        <v>45213</v>
      </c>
      <c r="E123" s="53">
        <v>20</v>
      </c>
      <c r="F123" s="54" t="s">
        <v>156</v>
      </c>
      <c r="G123" s="109" t="s">
        <v>12</v>
      </c>
      <c r="H123" s="146" t="s">
        <v>13</v>
      </c>
      <c r="I123" s="55"/>
      <c r="J123" s="55">
        <v>5000</v>
      </c>
      <c r="K123" s="56"/>
      <c r="L123" s="9">
        <f>ROW()</f>
        <v>123</v>
      </c>
    </row>
    <row r="124" spans="2:12" ht="15.75" thickBot="1" x14ac:dyDescent="0.3">
      <c r="C124" s="9">
        <v>20</v>
      </c>
      <c r="D124" s="57">
        <v>45213</v>
      </c>
      <c r="E124" s="58">
        <v>20</v>
      </c>
      <c r="F124" s="59" t="s">
        <v>156</v>
      </c>
      <c r="G124" s="104"/>
      <c r="H124" s="143" t="s">
        <v>157</v>
      </c>
      <c r="I124" s="135"/>
      <c r="J124" s="135"/>
      <c r="K124" s="136"/>
      <c r="L124" s="9">
        <f>ROW()</f>
        <v>124</v>
      </c>
    </row>
    <row r="125" spans="2:12" ht="15.75" thickBot="1" x14ac:dyDescent="0.3">
      <c r="C125" s="9">
        <v>20</v>
      </c>
      <c r="D125" s="75">
        <v>45213</v>
      </c>
      <c r="E125" s="74">
        <v>20</v>
      </c>
      <c r="F125" s="77" t="s">
        <v>156</v>
      </c>
      <c r="L125" s="9">
        <f>ROW()</f>
        <v>125</v>
      </c>
    </row>
    <row r="126" spans="2:12" x14ac:dyDescent="0.25">
      <c r="B126"/>
      <c r="C126" s="9">
        <v>21</v>
      </c>
      <c r="D126" s="47">
        <v>45219</v>
      </c>
      <c r="E126" s="48">
        <v>21</v>
      </c>
      <c r="F126" s="49" t="s">
        <v>156</v>
      </c>
      <c r="G126" s="108" t="s">
        <v>84</v>
      </c>
      <c r="H126" s="49" t="s">
        <v>85</v>
      </c>
      <c r="I126" s="50">
        <v>5000</v>
      </c>
      <c r="J126" s="50"/>
      <c r="K126" s="51"/>
      <c r="L126" s="9">
        <f>ROW()</f>
        <v>126</v>
      </c>
    </row>
    <row r="127" spans="2:12" x14ac:dyDescent="0.25">
      <c r="B127"/>
      <c r="C127" s="9">
        <v>21</v>
      </c>
      <c r="D127" s="52">
        <v>45219</v>
      </c>
      <c r="E127" s="53">
        <v>21</v>
      </c>
      <c r="F127" s="54" t="s">
        <v>156</v>
      </c>
      <c r="G127" s="109" t="s">
        <v>12</v>
      </c>
      <c r="H127" s="146" t="s">
        <v>13</v>
      </c>
      <c r="I127" s="55"/>
      <c r="J127" s="55">
        <v>5000</v>
      </c>
      <c r="K127" s="56"/>
      <c r="L127" s="9">
        <f>ROW()</f>
        <v>127</v>
      </c>
    </row>
    <row r="128" spans="2:12" ht="15.75" thickBot="1" x14ac:dyDescent="0.3">
      <c r="B128"/>
      <c r="C128" s="9">
        <v>21</v>
      </c>
      <c r="D128" s="57">
        <v>45219</v>
      </c>
      <c r="E128" s="58">
        <v>21</v>
      </c>
      <c r="F128" s="59" t="s">
        <v>156</v>
      </c>
      <c r="G128" s="104"/>
      <c r="H128" s="143" t="s">
        <v>168</v>
      </c>
      <c r="I128" s="135"/>
      <c r="J128" s="135"/>
      <c r="K128" s="136"/>
      <c r="L128" s="9">
        <f>ROW()</f>
        <v>128</v>
      </c>
    </row>
    <row r="129" spans="3:12" customFormat="1" ht="15.75" thickBot="1" x14ac:dyDescent="0.3">
      <c r="C129" s="9">
        <v>21</v>
      </c>
      <c r="D129" s="75">
        <v>45219</v>
      </c>
      <c r="E129" s="74">
        <v>21</v>
      </c>
      <c r="F129" s="77" t="s">
        <v>156</v>
      </c>
      <c r="G129" s="103"/>
      <c r="H129" s="45"/>
      <c r="I129" s="28"/>
      <c r="J129" s="28"/>
      <c r="L129" s="9">
        <f>ROW()</f>
        <v>129</v>
      </c>
    </row>
    <row r="130" spans="3:12" customFormat="1" x14ac:dyDescent="0.25">
      <c r="C130" s="9">
        <v>22</v>
      </c>
      <c r="D130" s="12">
        <v>45230</v>
      </c>
      <c r="E130" s="20">
        <v>22</v>
      </c>
      <c r="F130" s="46" t="s">
        <v>169</v>
      </c>
      <c r="G130" s="100" t="s">
        <v>126</v>
      </c>
      <c r="H130" s="46" t="s">
        <v>127</v>
      </c>
      <c r="I130" s="22">
        <v>25.99</v>
      </c>
      <c r="J130" s="22"/>
      <c r="K130" s="29" t="s">
        <v>171</v>
      </c>
      <c r="L130" s="9">
        <f>ROW()</f>
        <v>130</v>
      </c>
    </row>
    <row r="131" spans="3:12" customFormat="1" x14ac:dyDescent="0.25">
      <c r="C131" s="9">
        <v>22</v>
      </c>
      <c r="D131" s="13">
        <v>45230</v>
      </c>
      <c r="E131" s="30">
        <v>22</v>
      </c>
      <c r="F131" s="43" t="s">
        <v>169</v>
      </c>
      <c r="G131" s="101" t="s">
        <v>12</v>
      </c>
      <c r="H131" s="142" t="s">
        <v>13</v>
      </c>
      <c r="I131" s="25"/>
      <c r="J131" s="25">
        <v>25.99</v>
      </c>
      <c r="K131" s="31"/>
      <c r="L131" s="9">
        <f>ROW()</f>
        <v>131</v>
      </c>
    </row>
    <row r="132" spans="3:12" customFormat="1" ht="15.75" thickBot="1" x14ac:dyDescent="0.3">
      <c r="C132" s="9">
        <v>22</v>
      </c>
      <c r="D132" s="15">
        <v>45230</v>
      </c>
      <c r="E132" s="36">
        <v>22</v>
      </c>
      <c r="F132" s="44" t="s">
        <v>169</v>
      </c>
      <c r="G132" s="104"/>
      <c r="H132" s="143" t="s">
        <v>170</v>
      </c>
      <c r="I132" s="135"/>
      <c r="J132" s="135"/>
      <c r="K132" s="136"/>
      <c r="L132" s="9">
        <f>ROW()</f>
        <v>132</v>
      </c>
    </row>
    <row r="133" spans="3:12" customFormat="1" ht="15.75" thickBot="1" x14ac:dyDescent="0.3">
      <c r="C133" s="9">
        <v>22</v>
      </c>
      <c r="D133" s="75">
        <v>45230</v>
      </c>
      <c r="E133" s="74">
        <v>22</v>
      </c>
      <c r="F133" s="77" t="s">
        <v>169</v>
      </c>
      <c r="G133" s="103"/>
      <c r="H133" s="45"/>
      <c r="I133" s="28"/>
      <c r="J133" s="28"/>
      <c r="L133" s="9">
        <f>ROW()</f>
        <v>133</v>
      </c>
    </row>
    <row r="134" spans="3:12" customFormat="1" x14ac:dyDescent="0.25">
      <c r="C134" s="9">
        <v>23</v>
      </c>
      <c r="D134" s="47">
        <v>45206</v>
      </c>
      <c r="E134" s="48">
        <v>23</v>
      </c>
      <c r="F134" s="49" t="s">
        <v>172</v>
      </c>
      <c r="G134" s="108" t="s">
        <v>12</v>
      </c>
      <c r="H134" s="49" t="s">
        <v>13</v>
      </c>
      <c r="I134" s="50">
        <v>159.94999999999999</v>
      </c>
      <c r="J134" s="50"/>
      <c r="K134" s="51"/>
      <c r="L134" s="9">
        <f>ROW()</f>
        <v>134</v>
      </c>
    </row>
    <row r="135" spans="3:12" customFormat="1" x14ac:dyDescent="0.25">
      <c r="C135" s="9">
        <v>23</v>
      </c>
      <c r="D135" s="60">
        <v>45206</v>
      </c>
      <c r="E135" s="61">
        <v>23</v>
      </c>
      <c r="F135" s="62" t="s">
        <v>172</v>
      </c>
      <c r="G135" s="109" t="s">
        <v>14</v>
      </c>
      <c r="H135" s="146" t="s">
        <v>15</v>
      </c>
      <c r="I135" s="55"/>
      <c r="J135" s="55">
        <v>149.94999999999999</v>
      </c>
      <c r="K135" s="56"/>
      <c r="L135" s="9">
        <f>ROW()</f>
        <v>135</v>
      </c>
    </row>
    <row r="136" spans="3:12" customFormat="1" x14ac:dyDescent="0.25">
      <c r="C136" s="9">
        <v>23</v>
      </c>
      <c r="D136" s="60">
        <v>45206</v>
      </c>
      <c r="E136" s="61">
        <v>23</v>
      </c>
      <c r="F136" s="62" t="s">
        <v>172</v>
      </c>
      <c r="G136" s="109" t="s">
        <v>18</v>
      </c>
      <c r="H136" s="146" t="s">
        <v>19</v>
      </c>
      <c r="I136" s="55">
        <v>10</v>
      </c>
      <c r="J136" s="55"/>
      <c r="K136" s="56"/>
      <c r="L136" s="9">
        <f>ROW()</f>
        <v>136</v>
      </c>
    </row>
    <row r="137" spans="3:12" customFormat="1" x14ac:dyDescent="0.25">
      <c r="C137" s="9">
        <v>23</v>
      </c>
      <c r="D137" s="60">
        <v>45206</v>
      </c>
      <c r="E137" s="61">
        <v>23</v>
      </c>
      <c r="F137" s="62" t="s">
        <v>172</v>
      </c>
      <c r="G137" s="109" t="s">
        <v>20</v>
      </c>
      <c r="H137" s="146" t="s">
        <v>21</v>
      </c>
      <c r="I137" s="55"/>
      <c r="J137" s="55">
        <v>20</v>
      </c>
      <c r="K137" s="56"/>
      <c r="L137" s="9">
        <f>ROW()</f>
        <v>137</v>
      </c>
    </row>
    <row r="138" spans="3:12" customFormat="1" ht="15.75" thickBot="1" x14ac:dyDescent="0.3">
      <c r="C138" s="9">
        <v>23</v>
      </c>
      <c r="D138" s="63">
        <v>45206</v>
      </c>
      <c r="E138" s="64">
        <v>23</v>
      </c>
      <c r="F138" s="65" t="s">
        <v>172</v>
      </c>
      <c r="G138" s="104"/>
      <c r="H138" s="143" t="s">
        <v>173</v>
      </c>
      <c r="I138" s="135"/>
      <c r="J138" s="135"/>
      <c r="K138" s="136"/>
      <c r="L138" s="9">
        <f>ROW()</f>
        <v>138</v>
      </c>
    </row>
    <row r="139" spans="3:12" customFormat="1" ht="15.75" thickBot="1" x14ac:dyDescent="0.3">
      <c r="C139" s="9">
        <v>23</v>
      </c>
      <c r="D139" s="78">
        <v>45206</v>
      </c>
      <c r="E139" s="79">
        <v>23</v>
      </c>
      <c r="F139" s="80" t="s">
        <v>172</v>
      </c>
      <c r="G139" s="103"/>
      <c r="H139" s="45"/>
      <c r="I139" s="28"/>
      <c r="J139" s="28"/>
      <c r="L139" s="9">
        <f>ROW()</f>
        <v>139</v>
      </c>
    </row>
    <row r="140" spans="3:12" customFormat="1" x14ac:dyDescent="0.25">
      <c r="C140" s="9">
        <v>24</v>
      </c>
      <c r="D140" s="47">
        <v>45179</v>
      </c>
      <c r="E140" s="48">
        <v>24</v>
      </c>
      <c r="F140" s="49" t="s">
        <v>172</v>
      </c>
      <c r="G140" s="108" t="s">
        <v>12</v>
      </c>
      <c r="H140" s="49" t="s">
        <v>13</v>
      </c>
      <c r="I140" s="50">
        <v>15</v>
      </c>
      <c r="J140" s="50"/>
      <c r="K140" s="51"/>
      <c r="L140" s="9">
        <f>ROW()</f>
        <v>140</v>
      </c>
    </row>
    <row r="141" spans="3:12" customFormat="1" x14ac:dyDescent="0.25">
      <c r="C141" s="9">
        <v>24</v>
      </c>
      <c r="D141" s="60">
        <v>45179</v>
      </c>
      <c r="E141" s="61">
        <v>24</v>
      </c>
      <c r="F141" s="62" t="s">
        <v>172</v>
      </c>
      <c r="G141" s="109" t="s">
        <v>106</v>
      </c>
      <c r="H141" s="146" t="s">
        <v>107</v>
      </c>
      <c r="I141" s="55"/>
      <c r="J141" s="55">
        <v>15</v>
      </c>
      <c r="K141" s="56"/>
      <c r="L141" s="9">
        <f>ROW()</f>
        <v>141</v>
      </c>
    </row>
    <row r="142" spans="3:12" customFormat="1" ht="15.75" thickBot="1" x14ac:dyDescent="0.3">
      <c r="C142" s="9">
        <v>24</v>
      </c>
      <c r="D142" s="63">
        <v>45179</v>
      </c>
      <c r="E142" s="64">
        <v>24</v>
      </c>
      <c r="F142" s="65" t="s">
        <v>172</v>
      </c>
      <c r="G142" s="110"/>
      <c r="H142" s="143" t="s">
        <v>174</v>
      </c>
      <c r="I142" s="135"/>
      <c r="J142" s="135"/>
      <c r="K142" s="136"/>
      <c r="L142" s="9">
        <f>ROW()</f>
        <v>142</v>
      </c>
    </row>
    <row r="143" spans="3:12" customFormat="1" ht="15.75" thickBot="1" x14ac:dyDescent="0.3">
      <c r="C143" s="9">
        <v>24</v>
      </c>
      <c r="D143" s="78">
        <v>45179</v>
      </c>
      <c r="E143" s="79">
        <v>24</v>
      </c>
      <c r="F143" s="80" t="s">
        <v>172</v>
      </c>
      <c r="G143" s="103"/>
      <c r="H143" s="45"/>
      <c r="I143" s="28"/>
      <c r="J143" s="28"/>
      <c r="L143" s="9">
        <f>ROW()</f>
        <v>143</v>
      </c>
    </row>
    <row r="144" spans="3:12" customFormat="1" x14ac:dyDescent="0.25">
      <c r="C144" s="9">
        <v>25</v>
      </c>
      <c r="D144" s="47">
        <v>45230</v>
      </c>
      <c r="E144" s="48">
        <v>25</v>
      </c>
      <c r="F144" s="49" t="s">
        <v>175</v>
      </c>
      <c r="G144" s="108" t="s">
        <v>126</v>
      </c>
      <c r="H144" s="49" t="s">
        <v>127</v>
      </c>
      <c r="I144" s="50">
        <v>19.95</v>
      </c>
      <c r="J144" s="50"/>
      <c r="K144" s="51"/>
      <c r="L144" s="9">
        <f>ROW()</f>
        <v>144</v>
      </c>
    </row>
    <row r="145" spans="3:12" customFormat="1" x14ac:dyDescent="0.25">
      <c r="C145" s="9">
        <v>25</v>
      </c>
      <c r="D145" s="60">
        <v>45230</v>
      </c>
      <c r="E145" s="61">
        <v>25</v>
      </c>
      <c r="F145" s="62" t="s">
        <v>175</v>
      </c>
      <c r="G145" s="109" t="s">
        <v>12</v>
      </c>
      <c r="H145" s="146" t="s">
        <v>13</v>
      </c>
      <c r="I145" s="55"/>
      <c r="J145" s="55">
        <v>19.95</v>
      </c>
      <c r="K145" s="56"/>
      <c r="L145" s="9">
        <f>ROW()</f>
        <v>145</v>
      </c>
    </row>
    <row r="146" spans="3:12" customFormat="1" ht="15.75" thickBot="1" x14ac:dyDescent="0.3">
      <c r="C146" s="9">
        <v>25</v>
      </c>
      <c r="D146" s="63">
        <v>45230</v>
      </c>
      <c r="E146" s="64">
        <v>25</v>
      </c>
      <c r="F146" s="65" t="s">
        <v>175</v>
      </c>
      <c r="G146" s="110"/>
      <c r="H146" s="143" t="s">
        <v>176</v>
      </c>
      <c r="I146" s="135"/>
      <c r="J146" s="135"/>
      <c r="K146" s="136"/>
      <c r="L146" s="9">
        <f>ROW()</f>
        <v>146</v>
      </c>
    </row>
    <row r="147" spans="3:12" customFormat="1" ht="15.75" thickBot="1" x14ac:dyDescent="0.3">
      <c r="C147" s="9">
        <v>25</v>
      </c>
      <c r="D147" s="78">
        <v>45230</v>
      </c>
      <c r="E147" s="79">
        <v>25</v>
      </c>
      <c r="F147" s="80" t="s">
        <v>175</v>
      </c>
      <c r="G147" s="103"/>
      <c r="H147" s="45"/>
      <c r="I147" s="28"/>
      <c r="J147" s="28"/>
      <c r="L147" s="9">
        <f>ROW()</f>
        <v>147</v>
      </c>
    </row>
    <row r="148" spans="3:12" customFormat="1" x14ac:dyDescent="0.25">
      <c r="C148" s="9">
        <v>26</v>
      </c>
      <c r="D148" s="47">
        <v>45148</v>
      </c>
      <c r="E148" s="48">
        <v>26</v>
      </c>
      <c r="F148" s="49" t="s">
        <v>175</v>
      </c>
      <c r="G148" s="108" t="s">
        <v>126</v>
      </c>
      <c r="H148" s="49" t="s">
        <v>127</v>
      </c>
      <c r="I148" s="50">
        <v>25</v>
      </c>
      <c r="J148" s="50"/>
      <c r="K148" s="51"/>
      <c r="L148" s="9">
        <f>ROW()</f>
        <v>148</v>
      </c>
    </row>
    <row r="149" spans="3:12" customFormat="1" x14ac:dyDescent="0.25">
      <c r="C149" s="9">
        <v>26</v>
      </c>
      <c r="D149" s="52">
        <v>45148</v>
      </c>
      <c r="E149" s="61">
        <v>26</v>
      </c>
      <c r="F149" s="62" t="s">
        <v>175</v>
      </c>
      <c r="G149" s="109" t="s">
        <v>12</v>
      </c>
      <c r="H149" s="146" t="s">
        <v>13</v>
      </c>
      <c r="I149" s="55"/>
      <c r="J149" s="55">
        <v>25</v>
      </c>
      <c r="K149" s="56"/>
      <c r="L149" s="9">
        <f>ROW()</f>
        <v>149</v>
      </c>
    </row>
    <row r="150" spans="3:12" customFormat="1" ht="15.75" thickBot="1" x14ac:dyDescent="0.3">
      <c r="C150" s="9">
        <v>26</v>
      </c>
      <c r="D150" s="57">
        <v>45148</v>
      </c>
      <c r="E150" s="64">
        <v>26</v>
      </c>
      <c r="F150" s="65" t="s">
        <v>175</v>
      </c>
      <c r="G150" s="110"/>
      <c r="H150" s="143" t="s">
        <v>177</v>
      </c>
      <c r="I150" s="135"/>
      <c r="J150" s="135"/>
      <c r="K150" s="136"/>
      <c r="L150" s="9">
        <f>ROW()</f>
        <v>150</v>
      </c>
    </row>
    <row r="151" spans="3:12" customFormat="1" ht="15.75" thickBot="1" x14ac:dyDescent="0.3">
      <c r="C151" s="9">
        <v>26</v>
      </c>
      <c r="D151" s="75">
        <v>45148</v>
      </c>
      <c r="E151" s="74">
        <v>26</v>
      </c>
      <c r="F151" s="77" t="s">
        <v>175</v>
      </c>
      <c r="G151" s="103"/>
      <c r="H151" s="45"/>
      <c r="I151" s="28"/>
      <c r="J151" s="28"/>
      <c r="L151" s="9">
        <f>ROW()</f>
        <v>151</v>
      </c>
    </row>
    <row r="152" spans="3:12" customFormat="1" x14ac:dyDescent="0.25">
      <c r="C152" s="9">
        <v>27</v>
      </c>
      <c r="D152" s="12">
        <v>45148</v>
      </c>
      <c r="E152" s="20">
        <v>27</v>
      </c>
      <c r="F152" s="46" t="s">
        <v>175</v>
      </c>
      <c r="G152" s="100" t="s">
        <v>126</v>
      </c>
      <c r="H152" s="46" t="s">
        <v>127</v>
      </c>
      <c r="I152" s="22">
        <v>25</v>
      </c>
      <c r="J152" s="22"/>
      <c r="K152" s="29"/>
      <c r="L152" s="9">
        <f>ROW()</f>
        <v>152</v>
      </c>
    </row>
    <row r="153" spans="3:12" customFormat="1" x14ac:dyDescent="0.25">
      <c r="C153" s="9">
        <v>27</v>
      </c>
      <c r="D153" s="68">
        <v>45148</v>
      </c>
      <c r="E153" s="69">
        <v>26</v>
      </c>
      <c r="F153" s="70" t="s">
        <v>175</v>
      </c>
      <c r="G153" s="101" t="s">
        <v>12</v>
      </c>
      <c r="H153" s="142" t="s">
        <v>13</v>
      </c>
      <c r="I153" s="25"/>
      <c r="J153" s="25">
        <v>25</v>
      </c>
      <c r="K153" s="31"/>
      <c r="L153" s="9">
        <f>ROW()</f>
        <v>153</v>
      </c>
    </row>
    <row r="154" spans="3:12" customFormat="1" ht="15.75" thickBot="1" x14ac:dyDescent="0.3">
      <c r="C154" s="9">
        <v>27</v>
      </c>
      <c r="D154" s="71">
        <v>45148</v>
      </c>
      <c r="E154" s="72">
        <v>26</v>
      </c>
      <c r="F154" s="73" t="s">
        <v>175</v>
      </c>
      <c r="G154" s="104"/>
      <c r="H154" s="143" t="s">
        <v>177</v>
      </c>
      <c r="I154" s="135"/>
      <c r="J154" s="135"/>
      <c r="K154" s="136"/>
      <c r="L154" s="9">
        <f>ROW()</f>
        <v>154</v>
      </c>
    </row>
    <row r="155" spans="3:12" customFormat="1" ht="15.75" thickBot="1" x14ac:dyDescent="0.3">
      <c r="C155" s="9">
        <v>27</v>
      </c>
      <c r="D155" s="78">
        <v>45148</v>
      </c>
      <c r="E155" s="79">
        <v>26</v>
      </c>
      <c r="F155" s="80" t="s">
        <v>175</v>
      </c>
      <c r="G155" s="103"/>
      <c r="H155" s="45"/>
      <c r="I155" s="28"/>
      <c r="J155" s="28"/>
      <c r="L155" s="9">
        <f>ROW()</f>
        <v>155</v>
      </c>
    </row>
    <row r="156" spans="3:12" customFormat="1" x14ac:dyDescent="0.25">
      <c r="C156" s="9">
        <v>28</v>
      </c>
      <c r="D156" s="12">
        <v>45199</v>
      </c>
      <c r="E156" s="20">
        <v>28</v>
      </c>
      <c r="F156" s="46" t="s">
        <v>178</v>
      </c>
      <c r="G156" s="100" t="s">
        <v>124</v>
      </c>
      <c r="H156" s="46" t="s">
        <v>125</v>
      </c>
      <c r="I156" s="22">
        <v>795</v>
      </c>
      <c r="J156" s="22"/>
      <c r="K156" s="29"/>
      <c r="L156" s="9">
        <f>ROW()</f>
        <v>156</v>
      </c>
    </row>
    <row r="157" spans="3:12" customFormat="1" x14ac:dyDescent="0.25">
      <c r="C157" s="9">
        <v>28</v>
      </c>
      <c r="D157" s="68">
        <v>45199</v>
      </c>
      <c r="E157" s="69">
        <v>28</v>
      </c>
      <c r="F157" s="70" t="s">
        <v>178</v>
      </c>
      <c r="G157" s="101" t="s">
        <v>32</v>
      </c>
      <c r="H157" s="142" t="s">
        <v>33</v>
      </c>
      <c r="I157" s="25"/>
      <c r="J157" s="25">
        <v>795</v>
      </c>
      <c r="K157" s="31"/>
      <c r="L157" s="9">
        <f>ROW()</f>
        <v>157</v>
      </c>
    </row>
    <row r="158" spans="3:12" customFormat="1" ht="15.75" thickBot="1" x14ac:dyDescent="0.3">
      <c r="C158" s="9">
        <v>28</v>
      </c>
      <c r="D158" s="71">
        <v>45199</v>
      </c>
      <c r="E158" s="72">
        <v>28</v>
      </c>
      <c r="F158" s="73" t="s">
        <v>178</v>
      </c>
      <c r="G158" s="106"/>
      <c r="H158" s="143" t="s">
        <v>179</v>
      </c>
      <c r="I158" s="135"/>
      <c r="J158" s="135"/>
      <c r="K158" s="136"/>
      <c r="L158" s="9">
        <f>ROW()</f>
        <v>158</v>
      </c>
    </row>
    <row r="159" spans="3:12" customFormat="1" ht="15.75" thickBot="1" x14ac:dyDescent="0.3">
      <c r="C159" s="9">
        <v>28</v>
      </c>
      <c r="D159" s="78">
        <v>45199</v>
      </c>
      <c r="E159" s="79">
        <v>28</v>
      </c>
      <c r="F159" s="80" t="s">
        <v>178</v>
      </c>
      <c r="G159" s="103"/>
      <c r="H159" s="45"/>
      <c r="I159" s="28"/>
      <c r="J159" s="28"/>
      <c r="L159" s="9">
        <f>ROW()</f>
        <v>159</v>
      </c>
    </row>
    <row r="160" spans="3:12" customFormat="1" x14ac:dyDescent="0.25">
      <c r="C160" s="9">
        <v>29</v>
      </c>
      <c r="D160" s="81">
        <v>45087</v>
      </c>
      <c r="E160" s="82">
        <v>29</v>
      </c>
      <c r="F160" s="83" t="s">
        <v>180</v>
      </c>
      <c r="G160" s="111" t="s">
        <v>14</v>
      </c>
      <c r="H160" s="83" t="s">
        <v>15</v>
      </c>
      <c r="I160" s="84">
        <v>2157.0700000000002</v>
      </c>
      <c r="J160" s="84"/>
      <c r="K160" s="85"/>
      <c r="L160" s="9">
        <f>ROW()</f>
        <v>160</v>
      </c>
    </row>
    <row r="161" spans="3:12" customFormat="1" x14ac:dyDescent="0.25">
      <c r="C161" s="9">
        <v>29</v>
      </c>
      <c r="D161" s="86">
        <v>45087</v>
      </c>
      <c r="E161" s="66">
        <v>29</v>
      </c>
      <c r="F161" s="67" t="s">
        <v>180</v>
      </c>
      <c r="G161" s="112" t="s">
        <v>87</v>
      </c>
      <c r="H161" s="147" t="s">
        <v>88</v>
      </c>
      <c r="I161" s="87"/>
      <c r="J161" s="87">
        <v>2275</v>
      </c>
      <c r="K161" s="88"/>
      <c r="L161" s="9">
        <f>ROW()</f>
        <v>161</v>
      </c>
    </row>
    <row r="162" spans="3:12" customFormat="1" x14ac:dyDescent="0.25">
      <c r="C162" s="9">
        <v>29</v>
      </c>
      <c r="D162" s="86">
        <v>45087</v>
      </c>
      <c r="E162" s="66">
        <v>29</v>
      </c>
      <c r="F162" s="67" t="s">
        <v>180</v>
      </c>
      <c r="G162" s="112" t="s">
        <v>120</v>
      </c>
      <c r="H162" s="147" t="s">
        <v>121</v>
      </c>
      <c r="I162" s="87"/>
      <c r="J162" s="87">
        <v>11</v>
      </c>
      <c r="K162" s="88"/>
      <c r="L162" s="9">
        <f>ROW()</f>
        <v>162</v>
      </c>
    </row>
    <row r="163" spans="3:12" customFormat="1" x14ac:dyDescent="0.25">
      <c r="C163" s="9">
        <v>29</v>
      </c>
      <c r="D163" s="86">
        <v>45087</v>
      </c>
      <c r="E163" s="66">
        <v>29</v>
      </c>
      <c r="F163" s="67" t="s">
        <v>180</v>
      </c>
      <c r="G163" s="112" t="s">
        <v>118</v>
      </c>
      <c r="H163" s="147" t="s">
        <v>119</v>
      </c>
      <c r="I163" s="87"/>
      <c r="J163" s="87">
        <v>12</v>
      </c>
      <c r="K163" s="88"/>
      <c r="L163" s="9">
        <f>ROW()</f>
        <v>163</v>
      </c>
    </row>
    <row r="164" spans="3:12" customFormat="1" x14ac:dyDescent="0.25">
      <c r="C164" s="9">
        <v>29</v>
      </c>
      <c r="D164" s="86">
        <v>45087</v>
      </c>
      <c r="E164" s="66">
        <v>29</v>
      </c>
      <c r="F164" s="67" t="s">
        <v>180</v>
      </c>
      <c r="G164" s="112" t="s">
        <v>126</v>
      </c>
      <c r="H164" s="147" t="s">
        <v>127</v>
      </c>
      <c r="I164" s="87"/>
      <c r="J164" s="87">
        <v>13</v>
      </c>
      <c r="K164" s="88"/>
      <c r="L164" s="9">
        <f>ROW()</f>
        <v>164</v>
      </c>
    </row>
    <row r="165" spans="3:12" customFormat="1" x14ac:dyDescent="0.25">
      <c r="C165" s="9">
        <v>29</v>
      </c>
      <c r="D165" s="86">
        <v>45087</v>
      </c>
      <c r="E165" s="66">
        <v>29</v>
      </c>
      <c r="F165" s="67" t="s">
        <v>180</v>
      </c>
      <c r="G165" s="112" t="s">
        <v>22</v>
      </c>
      <c r="H165" s="147" t="s">
        <v>23</v>
      </c>
      <c r="I165" s="87"/>
      <c r="J165" s="87">
        <v>115.55</v>
      </c>
      <c r="K165" s="88"/>
      <c r="L165" s="9">
        <f>ROW()</f>
        <v>165</v>
      </c>
    </row>
    <row r="166" spans="3:12" customFormat="1" x14ac:dyDescent="0.25">
      <c r="C166" s="9">
        <v>29</v>
      </c>
      <c r="D166" s="89">
        <v>45087</v>
      </c>
      <c r="E166" s="90">
        <v>29</v>
      </c>
      <c r="F166" s="91" t="s">
        <v>180</v>
      </c>
      <c r="G166" s="112" t="s">
        <v>24</v>
      </c>
      <c r="H166" s="147" t="s">
        <v>25</v>
      </c>
      <c r="I166" s="87"/>
      <c r="J166" s="87">
        <v>230.52</v>
      </c>
      <c r="K166" s="88"/>
      <c r="L166" s="9">
        <f>ROW()</f>
        <v>166</v>
      </c>
    </row>
    <row r="167" spans="3:12" customFormat="1" x14ac:dyDescent="0.25">
      <c r="C167" s="9">
        <v>29</v>
      </c>
      <c r="D167" s="89">
        <v>45087</v>
      </c>
      <c r="E167" s="90">
        <v>29</v>
      </c>
      <c r="F167" s="91" t="s">
        <v>180</v>
      </c>
      <c r="G167" s="112" t="s">
        <v>32</v>
      </c>
      <c r="H167" s="147" t="s">
        <v>33</v>
      </c>
      <c r="I167" s="87">
        <v>500</v>
      </c>
      <c r="J167" s="87"/>
      <c r="K167" s="88"/>
      <c r="L167" s="9">
        <f>ROW()</f>
        <v>167</v>
      </c>
    </row>
    <row r="168" spans="3:12" customFormat="1" ht="15.75" thickBot="1" x14ac:dyDescent="0.3">
      <c r="C168" s="9">
        <v>29</v>
      </c>
      <c r="D168" s="92">
        <v>45087</v>
      </c>
      <c r="E168" s="93">
        <v>29</v>
      </c>
      <c r="F168" s="94" t="s">
        <v>180</v>
      </c>
      <c r="G168" s="113"/>
      <c r="H168" s="143" t="s">
        <v>149</v>
      </c>
      <c r="I168" s="135"/>
      <c r="J168" s="135"/>
      <c r="K168" s="136"/>
      <c r="L168" s="9">
        <f>ROW()</f>
        <v>168</v>
      </c>
    </row>
    <row r="169" spans="3:12" customFormat="1" ht="15.75" thickBot="1" x14ac:dyDescent="0.3">
      <c r="C169" s="9">
        <v>29</v>
      </c>
      <c r="D169" s="95">
        <v>45087</v>
      </c>
      <c r="E169" s="96">
        <v>29</v>
      </c>
      <c r="F169" s="97" t="s">
        <v>180</v>
      </c>
      <c r="G169" s="114"/>
      <c r="H169" s="134"/>
      <c r="I169" s="99"/>
      <c r="J169" s="99"/>
      <c r="K169" s="98"/>
      <c r="L169" s="9">
        <f>ROW()</f>
        <v>169</v>
      </c>
    </row>
    <row r="170" spans="3:12" customFormat="1" ht="15.75" thickBot="1" x14ac:dyDescent="0.3">
      <c r="C170" s="9">
        <v>30</v>
      </c>
      <c r="D170" s="81">
        <v>45211</v>
      </c>
      <c r="E170" s="82">
        <v>30</v>
      </c>
      <c r="F170" s="83" t="s">
        <v>185</v>
      </c>
      <c r="G170" s="111" t="s">
        <v>12</v>
      </c>
      <c r="H170" s="83" t="s">
        <v>15</v>
      </c>
      <c r="I170" s="84">
        <v>16374.3</v>
      </c>
      <c r="J170" s="84"/>
      <c r="K170" s="85"/>
      <c r="L170" s="9">
        <f>ROW()</f>
        <v>170</v>
      </c>
    </row>
    <row r="171" spans="3:12" customFormat="1" x14ac:dyDescent="0.25">
      <c r="C171" s="9">
        <v>30</v>
      </c>
      <c r="D171" s="166">
        <v>45211</v>
      </c>
      <c r="E171" s="66">
        <v>30</v>
      </c>
      <c r="F171" s="67" t="s">
        <v>185</v>
      </c>
      <c r="G171" s="112" t="s">
        <v>87</v>
      </c>
      <c r="H171" s="147" t="s">
        <v>88</v>
      </c>
      <c r="I171" s="87"/>
      <c r="J171" s="87">
        <v>15750</v>
      </c>
      <c r="K171" s="88"/>
      <c r="L171" s="9">
        <f>ROW()</f>
        <v>171</v>
      </c>
    </row>
    <row r="172" spans="3:12" customFormat="1" x14ac:dyDescent="0.25">
      <c r="C172" s="9">
        <v>30</v>
      </c>
      <c r="D172" s="89">
        <v>45211</v>
      </c>
      <c r="E172" s="66">
        <v>30</v>
      </c>
      <c r="F172" s="67" t="s">
        <v>185</v>
      </c>
      <c r="G172" s="112" t="s">
        <v>118</v>
      </c>
      <c r="H172" s="147" t="s">
        <v>119</v>
      </c>
      <c r="I172" s="87"/>
      <c r="J172" s="87">
        <v>111</v>
      </c>
      <c r="K172" s="88"/>
      <c r="L172" s="9">
        <f>ROW()</f>
        <v>172</v>
      </c>
    </row>
    <row r="173" spans="3:12" customFormat="1" x14ac:dyDescent="0.25">
      <c r="C173" s="9">
        <v>30</v>
      </c>
      <c r="D173" s="89">
        <v>45211</v>
      </c>
      <c r="E173" s="66">
        <v>30</v>
      </c>
      <c r="F173" s="67" t="s">
        <v>185</v>
      </c>
      <c r="G173" s="112" t="s">
        <v>120</v>
      </c>
      <c r="H173" s="147" t="s">
        <v>121</v>
      </c>
      <c r="I173" s="87"/>
      <c r="J173" s="87">
        <v>222</v>
      </c>
      <c r="K173" s="88"/>
      <c r="L173" s="9">
        <f>ROW()</f>
        <v>173</v>
      </c>
    </row>
    <row r="174" spans="3:12" customFormat="1" x14ac:dyDescent="0.25">
      <c r="C174" s="9">
        <v>30</v>
      </c>
      <c r="D174" s="89">
        <v>45211</v>
      </c>
      <c r="E174" s="66">
        <v>30</v>
      </c>
      <c r="F174" s="67" t="s">
        <v>185</v>
      </c>
      <c r="G174" s="112" t="s">
        <v>126</v>
      </c>
      <c r="H174" s="147" t="s">
        <v>127</v>
      </c>
      <c r="I174" s="87"/>
      <c r="J174" s="87">
        <v>333</v>
      </c>
      <c r="K174" s="88"/>
      <c r="L174" s="9">
        <f>ROW()</f>
        <v>174</v>
      </c>
    </row>
    <row r="175" spans="3:12" customFormat="1" x14ac:dyDescent="0.25">
      <c r="C175" s="9">
        <v>30</v>
      </c>
      <c r="D175" s="89">
        <v>45211</v>
      </c>
      <c r="E175" s="66">
        <v>30</v>
      </c>
      <c r="F175" s="67" t="s">
        <v>185</v>
      </c>
      <c r="G175" s="112" t="s">
        <v>22</v>
      </c>
      <c r="H175" s="147" t="s">
        <v>23</v>
      </c>
      <c r="I175" s="87"/>
      <c r="J175" s="87">
        <v>820.8</v>
      </c>
      <c r="K175" s="88"/>
      <c r="L175" s="9">
        <f>ROW()</f>
        <v>175</v>
      </c>
    </row>
    <row r="176" spans="3:12" customFormat="1" x14ac:dyDescent="0.25">
      <c r="C176" s="9">
        <v>30</v>
      </c>
      <c r="D176" s="89">
        <v>45211</v>
      </c>
      <c r="E176" s="66">
        <v>30</v>
      </c>
      <c r="F176" s="67" t="s">
        <v>185</v>
      </c>
      <c r="G176" s="112" t="s">
        <v>24</v>
      </c>
      <c r="H176" s="147" t="s">
        <v>25</v>
      </c>
      <c r="I176" s="87"/>
      <c r="J176" s="87">
        <v>1637.5</v>
      </c>
      <c r="K176" s="88"/>
      <c r="L176" s="9">
        <f>ROW()</f>
        <v>176</v>
      </c>
    </row>
    <row r="177" spans="2:12" x14ac:dyDescent="0.25">
      <c r="B177"/>
      <c r="C177" s="9">
        <v>30</v>
      </c>
      <c r="D177" s="89">
        <v>45211</v>
      </c>
      <c r="E177" s="66">
        <v>30</v>
      </c>
      <c r="F177" s="67" t="s">
        <v>185</v>
      </c>
      <c r="G177" s="112" t="s">
        <v>32</v>
      </c>
      <c r="H177" s="147" t="s">
        <v>51</v>
      </c>
      <c r="I177" s="87">
        <v>2500</v>
      </c>
      <c r="J177" s="87"/>
      <c r="K177" s="88"/>
      <c r="L177" s="9">
        <f>ROW()</f>
        <v>177</v>
      </c>
    </row>
    <row r="178" spans="2:12" ht="15.75" thickBot="1" x14ac:dyDescent="0.3">
      <c r="B178"/>
      <c r="C178" s="9">
        <v>30</v>
      </c>
      <c r="D178" s="167">
        <v>45211</v>
      </c>
      <c r="E178" s="137">
        <v>30</v>
      </c>
      <c r="F178" s="138" t="s">
        <v>185</v>
      </c>
      <c r="G178" s="113"/>
      <c r="H178" s="148" t="s">
        <v>149</v>
      </c>
      <c r="I178" s="139"/>
      <c r="J178" s="139"/>
      <c r="K178" s="140"/>
      <c r="L178" s="9">
        <f>ROW()</f>
        <v>178</v>
      </c>
    </row>
    <row r="179" spans="2:12" ht="15.75" thickBot="1" x14ac:dyDescent="0.3">
      <c r="B179"/>
      <c r="C179" s="9">
        <v>30</v>
      </c>
      <c r="D179" s="168">
        <v>45211</v>
      </c>
      <c r="E179" s="79">
        <v>30</v>
      </c>
      <c r="F179" s="80" t="s">
        <v>185</v>
      </c>
      <c r="L179" s="9">
        <f>ROW()</f>
        <v>179</v>
      </c>
    </row>
    <row r="180" spans="2:12" x14ac:dyDescent="0.25">
      <c r="B180"/>
      <c r="C180" s="9">
        <v>31</v>
      </c>
      <c r="D180" s="81">
        <v>45211</v>
      </c>
      <c r="E180" s="82">
        <v>31</v>
      </c>
      <c r="F180" s="83" t="s">
        <v>186</v>
      </c>
      <c r="G180" s="111" t="s">
        <v>126</v>
      </c>
      <c r="H180" s="150" t="s">
        <v>127</v>
      </c>
      <c r="I180" s="84">
        <v>15.91</v>
      </c>
      <c r="J180" s="84"/>
      <c r="K180" s="151"/>
      <c r="L180" s="9">
        <f>ROW()</f>
        <v>180</v>
      </c>
    </row>
    <row r="181" spans="2:12" x14ac:dyDescent="0.25">
      <c r="B181"/>
      <c r="C181" s="9">
        <v>31</v>
      </c>
      <c r="D181" s="167">
        <v>45211</v>
      </c>
      <c r="E181" s="66">
        <v>31</v>
      </c>
      <c r="F181" s="67" t="s">
        <v>186</v>
      </c>
      <c r="G181" s="112" t="s">
        <v>12</v>
      </c>
      <c r="H181" s="152" t="s">
        <v>13</v>
      </c>
      <c r="I181" s="87"/>
      <c r="J181" s="87">
        <v>15.91</v>
      </c>
      <c r="K181" s="153"/>
      <c r="L181" s="9">
        <f>ROW()</f>
        <v>181</v>
      </c>
    </row>
    <row r="182" spans="2:12" ht="15.75" thickBot="1" x14ac:dyDescent="0.3">
      <c r="B182"/>
      <c r="C182" s="9">
        <v>31</v>
      </c>
      <c r="D182" s="167">
        <v>45211</v>
      </c>
      <c r="E182" s="137">
        <v>31</v>
      </c>
      <c r="F182" s="138" t="s">
        <v>186</v>
      </c>
      <c r="G182" s="113"/>
      <c r="H182" s="148" t="s">
        <v>187</v>
      </c>
      <c r="I182" s="139"/>
      <c r="J182" s="139"/>
      <c r="K182" s="140"/>
      <c r="L182" s="9">
        <f>ROW()</f>
        <v>182</v>
      </c>
    </row>
    <row r="183" spans="2:12" ht="15.75" thickBot="1" x14ac:dyDescent="0.3">
      <c r="B183"/>
      <c r="C183" s="9">
        <v>31</v>
      </c>
      <c r="D183" s="95">
        <v>45211</v>
      </c>
      <c r="E183" s="79">
        <v>31</v>
      </c>
      <c r="F183" s="80" t="s">
        <v>186</v>
      </c>
      <c r="H183" s="149"/>
      <c r="K183" s="28"/>
      <c r="L183" s="9">
        <f>ROW()</f>
        <v>183</v>
      </c>
    </row>
    <row r="184" spans="2:12" x14ac:dyDescent="0.25">
      <c r="B184"/>
      <c r="C184" s="9">
        <v>32</v>
      </c>
      <c r="D184" s="157">
        <v>45210</v>
      </c>
      <c r="E184" s="158">
        <v>32</v>
      </c>
      <c r="F184" s="134" t="s">
        <v>172</v>
      </c>
      <c r="G184" s="114" t="s">
        <v>126</v>
      </c>
      <c r="H184" s="134" t="s">
        <v>127</v>
      </c>
      <c r="I184" s="99">
        <v>24.99</v>
      </c>
      <c r="J184" s="99"/>
      <c r="K184" s="159"/>
      <c r="L184" s="9">
        <f>ROW()</f>
        <v>184</v>
      </c>
    </row>
    <row r="185" spans="2:12" x14ac:dyDescent="0.25">
      <c r="B185"/>
      <c r="C185" s="9">
        <v>32</v>
      </c>
      <c r="D185" s="160">
        <v>45210</v>
      </c>
      <c r="E185" s="79">
        <v>32</v>
      </c>
      <c r="F185" s="80" t="s">
        <v>172</v>
      </c>
      <c r="G185" s="103" t="s">
        <v>12</v>
      </c>
      <c r="H185" s="45" t="s">
        <v>13</v>
      </c>
      <c r="J185" s="28">
        <v>24.99</v>
      </c>
      <c r="K185" s="161"/>
      <c r="L185" s="9">
        <f>ROW()</f>
        <v>185</v>
      </c>
    </row>
    <row r="186" spans="2:12" ht="15.75" thickBot="1" x14ac:dyDescent="0.3">
      <c r="B186"/>
      <c r="C186" s="9">
        <v>32</v>
      </c>
      <c r="D186" s="162">
        <v>45210</v>
      </c>
      <c r="E186" s="163">
        <v>32</v>
      </c>
      <c r="F186" s="164" t="s">
        <v>172</v>
      </c>
      <c r="G186" s="165"/>
      <c r="H186" s="148" t="s">
        <v>188</v>
      </c>
      <c r="I186" s="139"/>
      <c r="J186" s="139"/>
      <c r="K186" s="140"/>
      <c r="L186" s="9">
        <f>ROW()</f>
        <v>186</v>
      </c>
    </row>
    <row r="187" spans="2:12" ht="15.75" thickBot="1" x14ac:dyDescent="0.3">
      <c r="B187"/>
      <c r="C187" s="9">
        <v>32</v>
      </c>
      <c r="D187" s="78">
        <v>45210</v>
      </c>
      <c r="E187" s="79">
        <v>32</v>
      </c>
      <c r="F187" s="80" t="s">
        <v>172</v>
      </c>
      <c r="L187" s="9">
        <f>ROW()</f>
        <v>187</v>
      </c>
    </row>
    <row r="188" spans="2:12" x14ac:dyDescent="0.25">
      <c r="C188" s="9">
        <v>33</v>
      </c>
      <c r="D188" s="157">
        <v>45213</v>
      </c>
      <c r="E188" s="158">
        <v>33</v>
      </c>
      <c r="F188" s="134" t="s">
        <v>189</v>
      </c>
      <c r="G188" s="114" t="s">
        <v>12</v>
      </c>
      <c r="H188" s="134" t="s">
        <v>13</v>
      </c>
      <c r="I188" s="99">
        <v>5000</v>
      </c>
      <c r="J188" s="99"/>
      <c r="K188" s="159"/>
      <c r="L188" s="9">
        <f>ROW()</f>
        <v>188</v>
      </c>
    </row>
    <row r="189" spans="2:12" x14ac:dyDescent="0.25">
      <c r="C189" s="9">
        <v>33</v>
      </c>
      <c r="D189" s="160">
        <v>45213</v>
      </c>
      <c r="E189" s="79">
        <v>33</v>
      </c>
      <c r="F189" s="80" t="s">
        <v>189</v>
      </c>
      <c r="G189" s="103" t="s">
        <v>126</v>
      </c>
      <c r="H189" s="45" t="s">
        <v>127</v>
      </c>
      <c r="J189" s="28">
        <v>5000</v>
      </c>
      <c r="K189" s="161" t="s">
        <v>190</v>
      </c>
      <c r="L189" s="9">
        <f>ROW()</f>
        <v>189</v>
      </c>
    </row>
    <row r="190" spans="2:12" ht="15.75" thickBot="1" x14ac:dyDescent="0.3">
      <c r="C190" s="9">
        <v>33</v>
      </c>
      <c r="D190" s="162">
        <v>45213</v>
      </c>
      <c r="E190" s="163">
        <v>33</v>
      </c>
      <c r="F190" s="164" t="s">
        <v>189</v>
      </c>
      <c r="G190" s="165"/>
      <c r="H190" s="169" t="s">
        <v>191</v>
      </c>
      <c r="I190" s="170"/>
      <c r="J190" s="170"/>
      <c r="K190" s="171"/>
      <c r="L190" s="9">
        <f>ROW()</f>
        <v>190</v>
      </c>
    </row>
    <row r="191" spans="2:12" ht="15.75" thickBot="1" x14ac:dyDescent="0.3">
      <c r="C191" s="9">
        <v>33</v>
      </c>
      <c r="D191" s="78">
        <v>45213</v>
      </c>
      <c r="E191" s="79">
        <v>33</v>
      </c>
      <c r="F191" s="80" t="s">
        <v>189</v>
      </c>
      <c r="L191" s="9">
        <f>ROW()</f>
        <v>191</v>
      </c>
    </row>
    <row r="192" spans="2:12" x14ac:dyDescent="0.25">
      <c r="C192" s="9">
        <v>34</v>
      </c>
      <c r="D192" s="157">
        <v>45213</v>
      </c>
      <c r="E192" s="158">
        <v>34</v>
      </c>
      <c r="F192" s="134" t="s">
        <v>172</v>
      </c>
      <c r="G192" s="114" t="s">
        <v>12</v>
      </c>
      <c r="H192" s="134" t="s">
        <v>13</v>
      </c>
      <c r="I192" s="99">
        <v>2000</v>
      </c>
      <c r="J192" s="99"/>
      <c r="K192" s="159"/>
      <c r="L192" s="9">
        <f>ROW()</f>
        <v>192</v>
      </c>
    </row>
    <row r="193" spans="3:12" x14ac:dyDescent="0.25">
      <c r="C193" s="9">
        <v>34</v>
      </c>
      <c r="D193" s="160">
        <v>45213</v>
      </c>
      <c r="E193" s="79">
        <v>34</v>
      </c>
      <c r="F193" s="80" t="s">
        <v>172</v>
      </c>
      <c r="G193" s="103" t="s">
        <v>126</v>
      </c>
      <c r="H193" s="45" t="s">
        <v>127</v>
      </c>
      <c r="J193" s="28">
        <v>2000</v>
      </c>
      <c r="K193" s="161"/>
      <c r="L193" s="9">
        <f>ROW()</f>
        <v>193</v>
      </c>
    </row>
    <row r="194" spans="3:12" ht="15.75" thickBot="1" x14ac:dyDescent="0.3">
      <c r="C194" s="9">
        <v>34</v>
      </c>
      <c r="D194" s="162">
        <v>45213</v>
      </c>
      <c r="E194" s="163">
        <v>34</v>
      </c>
      <c r="F194" s="164" t="s">
        <v>172</v>
      </c>
      <c r="G194" s="165"/>
      <c r="H194" s="169" t="s">
        <v>172</v>
      </c>
      <c r="I194" s="170"/>
      <c r="J194" s="170"/>
      <c r="K194" s="171"/>
      <c r="L194" s="9">
        <f>ROW()</f>
        <v>194</v>
      </c>
    </row>
    <row r="195" spans="3:12" ht="15.75" thickBot="1" x14ac:dyDescent="0.3">
      <c r="C195" s="9">
        <v>34</v>
      </c>
      <c r="D195" s="207">
        <v>45213</v>
      </c>
      <c r="E195" s="79">
        <v>34</v>
      </c>
      <c r="F195" s="80" t="s">
        <v>172</v>
      </c>
      <c r="L195" s="9">
        <f>ROW()</f>
        <v>195</v>
      </c>
    </row>
    <row r="196" spans="3:12" x14ac:dyDescent="0.25">
      <c r="C196" s="9">
        <v>35</v>
      </c>
      <c r="D196" s="157">
        <v>45212</v>
      </c>
      <c r="E196" s="158">
        <v>35</v>
      </c>
      <c r="F196" s="134" t="s">
        <v>172</v>
      </c>
      <c r="G196" s="114" t="s">
        <v>12</v>
      </c>
      <c r="H196" s="134" t="s">
        <v>13</v>
      </c>
      <c r="I196" s="99">
        <v>25.99</v>
      </c>
      <c r="J196" s="99"/>
      <c r="K196" s="159"/>
      <c r="L196" s="9">
        <f>ROW()</f>
        <v>196</v>
      </c>
    </row>
    <row r="197" spans="3:12" x14ac:dyDescent="0.25">
      <c r="C197" s="9">
        <v>35</v>
      </c>
      <c r="D197" s="160">
        <v>45212</v>
      </c>
      <c r="E197" s="79">
        <v>35</v>
      </c>
      <c r="F197" s="80" t="s">
        <v>172</v>
      </c>
      <c r="G197" s="103" t="s">
        <v>126</v>
      </c>
      <c r="H197" s="45" t="s">
        <v>127</v>
      </c>
      <c r="J197" s="28">
        <v>25.99</v>
      </c>
      <c r="K197" s="161"/>
      <c r="L197" s="9">
        <f>ROW()</f>
        <v>197</v>
      </c>
    </row>
    <row r="198" spans="3:12" ht="15.75" thickBot="1" x14ac:dyDescent="0.3">
      <c r="C198" s="9">
        <v>35</v>
      </c>
      <c r="D198" s="162">
        <v>45212</v>
      </c>
      <c r="E198" s="163">
        <v>35</v>
      </c>
      <c r="F198" s="164" t="s">
        <v>172</v>
      </c>
      <c r="G198" s="165"/>
      <c r="H198" s="169" t="s">
        <v>192</v>
      </c>
      <c r="I198" s="170"/>
      <c r="J198" s="170"/>
      <c r="K198" s="171"/>
      <c r="L198" s="9">
        <f>ROW()</f>
        <v>198</v>
      </c>
    </row>
    <row r="199" spans="3:12" ht="15.75" thickBot="1" x14ac:dyDescent="0.3">
      <c r="C199" s="9">
        <v>35</v>
      </c>
      <c r="D199" s="207">
        <v>45212</v>
      </c>
      <c r="E199" s="79">
        <v>35</v>
      </c>
      <c r="F199" s="80" t="s">
        <v>172</v>
      </c>
      <c r="L199" s="9">
        <f>ROW()</f>
        <v>199</v>
      </c>
    </row>
    <row r="200" spans="3:12" x14ac:dyDescent="0.25">
      <c r="C200" s="9">
        <v>36</v>
      </c>
      <c r="D200" s="157">
        <v>45213</v>
      </c>
      <c r="E200" s="158">
        <v>36</v>
      </c>
      <c r="F200" s="134"/>
      <c r="G200" s="114">
        <v>1000</v>
      </c>
      <c r="H200" s="134" t="s">
        <v>13</v>
      </c>
      <c r="I200" s="99">
        <v>1</v>
      </c>
      <c r="J200" s="99"/>
      <c r="K200" s="159"/>
      <c r="L200" s="9">
        <f>ROW()</f>
        <v>200</v>
      </c>
    </row>
    <row r="201" spans="3:12" x14ac:dyDescent="0.25">
      <c r="C201" s="9">
        <v>36</v>
      </c>
      <c r="D201" s="160">
        <v>45213</v>
      </c>
      <c r="E201" s="79">
        <v>36</v>
      </c>
      <c r="F201" s="80"/>
      <c r="G201" s="103">
        <v>1200</v>
      </c>
      <c r="H201" s="45" t="s">
        <v>19</v>
      </c>
      <c r="J201" s="28">
        <v>1</v>
      </c>
      <c r="K201" s="161"/>
      <c r="L201" s="9">
        <f>ROW()</f>
        <v>201</v>
      </c>
    </row>
    <row r="202" spans="3:12" ht="15.75" thickBot="1" x14ac:dyDescent="0.3">
      <c r="C202" s="9">
        <v>36</v>
      </c>
      <c r="D202" s="162">
        <v>45213</v>
      </c>
      <c r="E202" s="163">
        <v>36</v>
      </c>
      <c r="F202" s="164"/>
      <c r="G202" s="165"/>
      <c r="H202" s="169" t="s">
        <v>193</v>
      </c>
      <c r="I202" s="170"/>
      <c r="J202" s="170"/>
      <c r="K202" s="171"/>
      <c r="L202" s="9">
        <f>ROW()</f>
        <v>202</v>
      </c>
    </row>
    <row r="203" spans="3:12" ht="15.75" thickBot="1" x14ac:dyDescent="0.3">
      <c r="C203" s="9">
        <v>36</v>
      </c>
      <c r="D203" s="207">
        <v>45213</v>
      </c>
      <c r="E203" s="79">
        <v>36</v>
      </c>
      <c r="F203" s="80"/>
      <c r="L203" s="9">
        <f>ROW()</f>
        <v>203</v>
      </c>
    </row>
    <row r="204" spans="3:12" x14ac:dyDescent="0.25">
      <c r="C204" s="9">
        <v>37</v>
      </c>
      <c r="D204" s="157">
        <v>45212</v>
      </c>
      <c r="E204" s="158">
        <v>37</v>
      </c>
      <c r="F204" s="134" t="s">
        <v>194</v>
      </c>
      <c r="G204" s="114">
        <v>1000</v>
      </c>
      <c r="H204" s="134" t="s">
        <v>13</v>
      </c>
      <c r="I204" s="99">
        <v>25000</v>
      </c>
      <c r="J204" s="99"/>
      <c r="K204" s="159"/>
      <c r="L204" s="9">
        <f>ROW()</f>
        <v>204</v>
      </c>
    </row>
    <row r="205" spans="3:12" x14ac:dyDescent="0.25">
      <c r="C205" s="9">
        <v>37</v>
      </c>
      <c r="D205" s="160">
        <v>45212</v>
      </c>
      <c r="E205" s="79">
        <v>37</v>
      </c>
      <c r="F205" s="80" t="s">
        <v>194</v>
      </c>
      <c r="G205" s="103">
        <v>2011</v>
      </c>
      <c r="H205" s="45" t="s">
        <v>58</v>
      </c>
      <c r="J205" s="28">
        <v>25000</v>
      </c>
      <c r="K205" s="161"/>
      <c r="L205" s="9">
        <f>ROW()</f>
        <v>205</v>
      </c>
    </row>
    <row r="206" spans="3:12" ht="15.75" thickBot="1" x14ac:dyDescent="0.3">
      <c r="C206" s="9">
        <v>37</v>
      </c>
      <c r="D206" s="162">
        <v>45212</v>
      </c>
      <c r="E206" s="163">
        <v>37</v>
      </c>
      <c r="F206" s="164" t="s">
        <v>194</v>
      </c>
      <c r="G206" s="165"/>
      <c r="H206" s="169" t="s">
        <v>195</v>
      </c>
      <c r="I206" s="170"/>
      <c r="J206" s="170"/>
      <c r="K206" s="171"/>
      <c r="L206" s="9">
        <f>ROW()</f>
        <v>206</v>
      </c>
    </row>
    <row r="207" spans="3:12" ht="15.75" thickBot="1" x14ac:dyDescent="0.3">
      <c r="C207" s="9">
        <v>37</v>
      </c>
      <c r="D207" s="207">
        <v>45212</v>
      </c>
      <c r="E207" s="79">
        <v>37</v>
      </c>
      <c r="F207" s="80" t="s">
        <v>194</v>
      </c>
      <c r="L207" s="9">
        <f>ROW()</f>
        <v>207</v>
      </c>
    </row>
    <row r="208" spans="3:12" x14ac:dyDescent="0.25">
      <c r="C208" s="9">
        <v>38</v>
      </c>
      <c r="D208" s="157">
        <v>45214</v>
      </c>
      <c r="E208" s="158">
        <v>38</v>
      </c>
      <c r="F208" s="134" t="s">
        <v>196</v>
      </c>
      <c r="G208" s="114">
        <v>5013</v>
      </c>
      <c r="H208" s="134" t="s">
        <v>127</v>
      </c>
      <c r="I208" s="99">
        <v>19.95</v>
      </c>
      <c r="J208" s="99"/>
      <c r="K208" s="159"/>
      <c r="L208" s="9">
        <f>ROW()</f>
        <v>208</v>
      </c>
    </row>
    <row r="209" spans="2:12" x14ac:dyDescent="0.25">
      <c r="C209" s="9">
        <v>38</v>
      </c>
      <c r="D209" s="160">
        <v>45214</v>
      </c>
      <c r="E209" s="79">
        <v>38</v>
      </c>
      <c r="F209" s="80" t="s">
        <v>196</v>
      </c>
      <c r="G209" s="103">
        <v>1000</v>
      </c>
      <c r="H209" s="45" t="s">
        <v>13</v>
      </c>
      <c r="J209" s="28">
        <v>19.95</v>
      </c>
      <c r="K209" s="161"/>
      <c r="L209" s="9">
        <f>ROW()</f>
        <v>209</v>
      </c>
    </row>
    <row r="210" spans="2:12" ht="15.75" thickBot="1" x14ac:dyDescent="0.3">
      <c r="C210" s="9">
        <v>38</v>
      </c>
      <c r="D210" s="162">
        <v>45214</v>
      </c>
      <c r="E210" s="163">
        <v>38</v>
      </c>
      <c r="F210" s="164" t="s">
        <v>196</v>
      </c>
      <c r="G210" s="165"/>
      <c r="H210" s="169" t="s">
        <v>197</v>
      </c>
      <c r="I210" s="170"/>
      <c r="J210" s="170"/>
      <c r="K210" s="171"/>
      <c r="L210" s="9">
        <f>ROW()</f>
        <v>210</v>
      </c>
    </row>
    <row r="211" spans="2:12" ht="15.75" thickBot="1" x14ac:dyDescent="0.3">
      <c r="C211" s="9">
        <v>38</v>
      </c>
      <c r="D211" s="207">
        <v>45214</v>
      </c>
      <c r="E211" s="79">
        <v>38</v>
      </c>
      <c r="F211" s="80" t="s">
        <v>196</v>
      </c>
      <c r="K211" s="98"/>
      <c r="L211" s="9">
        <f>ROW()</f>
        <v>211</v>
      </c>
    </row>
    <row r="212" spans="2:12" x14ac:dyDescent="0.25">
      <c r="B212"/>
      <c r="C212" s="9">
        <v>39</v>
      </c>
      <c r="D212" s="12">
        <v>45211</v>
      </c>
      <c r="E212" s="20">
        <v>39</v>
      </c>
      <c r="F212" s="46" t="s">
        <v>172</v>
      </c>
      <c r="G212" s="100">
        <v>1000</v>
      </c>
      <c r="H212" s="46" t="s">
        <v>13</v>
      </c>
      <c r="I212" s="22">
        <v>12</v>
      </c>
      <c r="J212" s="22"/>
      <c r="K212" s="204"/>
      <c r="L212" s="9">
        <f>ROW()</f>
        <v>212</v>
      </c>
    </row>
    <row r="213" spans="2:12" x14ac:dyDescent="0.25">
      <c r="B213"/>
      <c r="C213" s="9">
        <v>39</v>
      </c>
      <c r="D213" s="13">
        <v>45211</v>
      </c>
      <c r="E213" s="30">
        <v>39</v>
      </c>
      <c r="F213" s="43" t="s">
        <v>172</v>
      </c>
      <c r="G213" s="101">
        <v>4015</v>
      </c>
      <c r="H213" s="142" t="s">
        <v>94</v>
      </c>
      <c r="I213" s="25"/>
      <c r="J213" s="25">
        <v>12</v>
      </c>
      <c r="K213" s="31"/>
      <c r="L213" s="9">
        <f>ROW()</f>
        <v>213</v>
      </c>
    </row>
    <row r="214" spans="2:12" ht="15.75" thickBot="1" x14ac:dyDescent="0.3">
      <c r="B214"/>
      <c r="C214" s="9">
        <v>39</v>
      </c>
      <c r="D214" s="15">
        <v>45211</v>
      </c>
      <c r="E214" s="36">
        <v>39</v>
      </c>
      <c r="F214" s="44" t="s">
        <v>172</v>
      </c>
      <c r="G214" s="106"/>
      <c r="H214" s="198" t="s">
        <v>198</v>
      </c>
      <c r="I214" s="199"/>
      <c r="J214" s="199"/>
      <c r="K214" s="200"/>
      <c r="L214" s="9">
        <f>ROW()</f>
        <v>214</v>
      </c>
    </row>
    <row r="215" spans="2:12" ht="15.75" thickBot="1" x14ac:dyDescent="0.3">
      <c r="B215"/>
      <c r="C215" s="9">
        <v>39</v>
      </c>
      <c r="D215" s="203">
        <v>45211</v>
      </c>
      <c r="E215" s="79">
        <v>39</v>
      </c>
      <c r="F215" s="80" t="s">
        <v>172</v>
      </c>
      <c r="K215" s="201"/>
      <c r="L215" s="9">
        <f>ROW()</f>
        <v>215</v>
      </c>
    </row>
    <row r="216" spans="2:12" x14ac:dyDescent="0.25">
      <c r="B216"/>
      <c r="C216" s="9">
        <v>40</v>
      </c>
      <c r="D216" s="157">
        <v>45211</v>
      </c>
      <c r="E216" s="158">
        <v>40</v>
      </c>
      <c r="F216" s="134" t="s">
        <v>172</v>
      </c>
      <c r="G216" s="114">
        <v>1000</v>
      </c>
      <c r="H216" s="134" t="s">
        <v>13</v>
      </c>
      <c r="I216" s="99">
        <v>49.95</v>
      </c>
      <c r="J216" s="99"/>
      <c r="K216" s="159"/>
      <c r="L216" s="9">
        <f>ROW()</f>
        <v>216</v>
      </c>
    </row>
    <row r="217" spans="2:12" x14ac:dyDescent="0.25">
      <c r="B217"/>
      <c r="C217" s="9">
        <v>40</v>
      </c>
      <c r="D217" s="160">
        <v>45211</v>
      </c>
      <c r="E217" s="79">
        <v>40</v>
      </c>
      <c r="F217" s="80" t="s">
        <v>172</v>
      </c>
      <c r="G217" s="103">
        <v>1200</v>
      </c>
      <c r="H217" s="45" t="s">
        <v>19</v>
      </c>
      <c r="J217" s="28">
        <v>16</v>
      </c>
      <c r="K217" s="161"/>
      <c r="L217" s="9">
        <f>ROW()</f>
        <v>217</v>
      </c>
    </row>
    <row r="218" spans="2:12" x14ac:dyDescent="0.25">
      <c r="B218"/>
      <c r="C218" s="9">
        <v>40</v>
      </c>
      <c r="D218" s="160">
        <v>45211</v>
      </c>
      <c r="E218" s="79">
        <v>40</v>
      </c>
      <c r="F218" s="80" t="s">
        <v>172</v>
      </c>
      <c r="G218" s="103">
        <v>1201</v>
      </c>
      <c r="H218" s="45" t="s">
        <v>21</v>
      </c>
      <c r="J218" s="28">
        <v>33.950000000000003</v>
      </c>
      <c r="K218" s="161"/>
      <c r="L218" s="9">
        <f>ROW()</f>
        <v>218</v>
      </c>
    </row>
    <row r="219" spans="2:12" ht="15.75" thickBot="1" x14ac:dyDescent="0.3">
      <c r="B219"/>
      <c r="C219" s="9">
        <v>40</v>
      </c>
      <c r="D219" s="162">
        <v>45211</v>
      </c>
      <c r="E219" s="163">
        <v>40</v>
      </c>
      <c r="F219" s="164" t="s">
        <v>172</v>
      </c>
      <c r="G219" s="165"/>
      <c r="H219" s="169" t="s">
        <v>199</v>
      </c>
      <c r="I219" s="170"/>
      <c r="J219" s="170"/>
      <c r="K219" s="171"/>
      <c r="L219" s="9">
        <f>ROW()</f>
        <v>219</v>
      </c>
    </row>
    <row r="220" spans="2:12" ht="15.75" thickBot="1" x14ac:dyDescent="0.3">
      <c r="B220"/>
      <c r="C220" s="9">
        <v>40</v>
      </c>
      <c r="D220" s="78">
        <v>45211</v>
      </c>
      <c r="E220" s="79">
        <v>40</v>
      </c>
      <c r="F220" s="80" t="s">
        <v>172</v>
      </c>
      <c r="L220" s="9">
        <f>ROW()</f>
        <v>220</v>
      </c>
    </row>
    <row r="221" spans="2:12" x14ac:dyDescent="0.25">
      <c r="B221"/>
      <c r="C221" s="9">
        <v>41</v>
      </c>
      <c r="D221" s="157">
        <v>45211</v>
      </c>
      <c r="E221" s="158">
        <v>41</v>
      </c>
      <c r="F221" s="134" t="s">
        <v>200</v>
      </c>
      <c r="G221" s="114">
        <v>5013</v>
      </c>
      <c r="H221" s="134" t="s">
        <v>127</v>
      </c>
      <c r="I221" s="99">
        <v>19.95</v>
      </c>
      <c r="J221" s="99"/>
      <c r="K221" s="159"/>
      <c r="L221" s="9">
        <f>ROW()</f>
        <v>221</v>
      </c>
    </row>
    <row r="222" spans="2:12" x14ac:dyDescent="0.25">
      <c r="B222"/>
      <c r="C222" s="9">
        <v>41</v>
      </c>
      <c r="D222" s="160">
        <v>45211</v>
      </c>
      <c r="E222" s="79">
        <v>41</v>
      </c>
      <c r="F222" s="80" t="s">
        <v>200</v>
      </c>
      <c r="G222" s="103">
        <v>1000</v>
      </c>
      <c r="H222" s="45" t="s">
        <v>13</v>
      </c>
      <c r="J222" s="28">
        <v>19.95</v>
      </c>
      <c r="K222" s="161"/>
      <c r="L222" s="9">
        <f>ROW()</f>
        <v>222</v>
      </c>
    </row>
    <row r="223" spans="2:12" ht="15.75" thickBot="1" x14ac:dyDescent="0.3">
      <c r="B223"/>
      <c r="C223" s="9">
        <v>41</v>
      </c>
      <c r="D223" s="162">
        <v>45211</v>
      </c>
      <c r="E223" s="163">
        <v>41</v>
      </c>
      <c r="F223" s="164" t="s">
        <v>200</v>
      </c>
      <c r="G223" s="165"/>
      <c r="H223" s="169" t="s">
        <v>201</v>
      </c>
      <c r="I223" s="170"/>
      <c r="J223" s="170"/>
      <c r="K223" s="171"/>
      <c r="L223" s="9">
        <f>ROW()</f>
        <v>223</v>
      </c>
    </row>
    <row r="224" spans="2:12" ht="15.75" thickBot="1" x14ac:dyDescent="0.3">
      <c r="B224"/>
      <c r="C224" s="9">
        <v>41</v>
      </c>
      <c r="D224" s="78">
        <v>45211</v>
      </c>
      <c r="E224" s="79">
        <v>41</v>
      </c>
      <c r="F224" s="80" t="s">
        <v>200</v>
      </c>
      <c r="L224" s="9">
        <f>ROW()</f>
        <v>224</v>
      </c>
    </row>
    <row r="225" spans="3:12" x14ac:dyDescent="0.25">
      <c r="C225" s="9">
        <v>42</v>
      </c>
      <c r="D225" s="157">
        <v>45214</v>
      </c>
      <c r="E225" s="158">
        <v>42</v>
      </c>
      <c r="F225" s="134" t="s">
        <v>202</v>
      </c>
      <c r="G225" s="114">
        <v>1000</v>
      </c>
      <c r="H225" s="134" t="s">
        <v>13</v>
      </c>
      <c r="I225" s="99">
        <v>9.99</v>
      </c>
      <c r="J225" s="99"/>
      <c r="K225" s="159"/>
      <c r="L225" s="9">
        <f>ROW()</f>
        <v>225</v>
      </c>
    </row>
    <row r="226" spans="3:12" x14ac:dyDescent="0.25">
      <c r="C226" s="9">
        <v>42</v>
      </c>
      <c r="D226" s="160">
        <v>45214</v>
      </c>
      <c r="E226" s="79">
        <v>42</v>
      </c>
      <c r="F226" s="80" t="s">
        <v>202</v>
      </c>
      <c r="G226" s="103">
        <v>4001</v>
      </c>
      <c r="H226" s="45" t="s">
        <v>90</v>
      </c>
      <c r="J226" s="28">
        <v>9.99</v>
      </c>
      <c r="K226" s="161"/>
      <c r="L226" s="9">
        <f>ROW()</f>
        <v>226</v>
      </c>
    </row>
    <row r="227" spans="3:12" ht="15.75" thickBot="1" x14ac:dyDescent="0.3">
      <c r="C227" s="9">
        <v>42</v>
      </c>
      <c r="D227" s="162">
        <v>45214</v>
      </c>
      <c r="E227" s="163">
        <v>42</v>
      </c>
      <c r="F227" s="164" t="s">
        <v>202</v>
      </c>
      <c r="G227" s="165"/>
      <c r="H227" s="169" t="s">
        <v>202</v>
      </c>
      <c r="I227" s="170"/>
      <c r="J227" s="170"/>
      <c r="K227" s="171"/>
      <c r="L227" s="9">
        <f>ROW()</f>
        <v>227</v>
      </c>
    </row>
    <row r="228" spans="3:12" ht="15.75" thickBot="1" x14ac:dyDescent="0.3">
      <c r="C228" s="9">
        <v>42</v>
      </c>
      <c r="D228" s="78">
        <v>45214</v>
      </c>
      <c r="E228" s="79">
        <v>42</v>
      </c>
      <c r="F228" s="80" t="s">
        <v>202</v>
      </c>
      <c r="L228" s="9">
        <f>ROW()</f>
        <v>228</v>
      </c>
    </row>
    <row r="229" spans="3:12" x14ac:dyDescent="0.25">
      <c r="C229" s="9">
        <v>43</v>
      </c>
      <c r="D229" s="157">
        <v>45213</v>
      </c>
      <c r="E229" s="158">
        <v>43</v>
      </c>
      <c r="F229" s="134" t="s">
        <v>203</v>
      </c>
      <c r="G229" s="114">
        <v>5013</v>
      </c>
      <c r="H229" s="134" t="s">
        <v>127</v>
      </c>
      <c r="I229" s="99">
        <v>29.95</v>
      </c>
      <c r="J229" s="99"/>
      <c r="K229" s="159"/>
      <c r="L229" s="9">
        <f>ROW()</f>
        <v>229</v>
      </c>
    </row>
    <row r="230" spans="3:12" x14ac:dyDescent="0.25">
      <c r="C230" s="9">
        <v>43</v>
      </c>
      <c r="D230" s="160">
        <v>45213</v>
      </c>
      <c r="E230" s="79">
        <v>43</v>
      </c>
      <c r="F230" s="80" t="s">
        <v>203</v>
      </c>
      <c r="G230" s="103">
        <v>1000</v>
      </c>
      <c r="H230" s="45" t="s">
        <v>13</v>
      </c>
      <c r="J230" s="28">
        <v>29.95</v>
      </c>
      <c r="K230" s="161"/>
      <c r="L230" s="9">
        <f>ROW()</f>
        <v>230</v>
      </c>
    </row>
    <row r="231" spans="3:12" ht="15.75" thickBot="1" x14ac:dyDescent="0.3">
      <c r="C231" s="9">
        <v>43</v>
      </c>
      <c r="D231" s="162">
        <v>45213</v>
      </c>
      <c r="E231" s="163">
        <v>43</v>
      </c>
      <c r="F231" s="164" t="s">
        <v>203</v>
      </c>
      <c r="G231" s="165"/>
      <c r="H231" s="169" t="s">
        <v>204</v>
      </c>
      <c r="I231" s="170"/>
      <c r="J231" s="170"/>
      <c r="K231" s="171"/>
      <c r="L231" s="9">
        <f>ROW()</f>
        <v>231</v>
      </c>
    </row>
    <row r="232" spans="3:12" ht="15.75" thickBot="1" x14ac:dyDescent="0.3">
      <c r="C232" s="9">
        <v>43</v>
      </c>
      <c r="D232" s="78">
        <v>45213</v>
      </c>
      <c r="E232" s="79">
        <v>43</v>
      </c>
      <c r="F232" s="80" t="s">
        <v>203</v>
      </c>
      <c r="L232" s="9">
        <f>ROW()</f>
        <v>232</v>
      </c>
    </row>
    <row r="233" spans="3:12" x14ac:dyDescent="0.25">
      <c r="C233" s="9">
        <v>44</v>
      </c>
      <c r="D233" s="157">
        <v>45211</v>
      </c>
      <c r="E233" s="158">
        <v>44</v>
      </c>
      <c r="F233" s="134" t="s">
        <v>187</v>
      </c>
      <c r="G233" s="114">
        <v>5013</v>
      </c>
      <c r="H233" s="134" t="s">
        <v>127</v>
      </c>
      <c r="I233" s="99">
        <v>29.88</v>
      </c>
      <c r="J233" s="99"/>
      <c r="K233" s="159"/>
      <c r="L233" s="9">
        <f>ROW()</f>
        <v>233</v>
      </c>
    </row>
    <row r="234" spans="3:12" x14ac:dyDescent="0.25">
      <c r="C234" s="9">
        <v>44</v>
      </c>
      <c r="D234" s="160">
        <v>45211</v>
      </c>
      <c r="E234" s="79">
        <v>44</v>
      </c>
      <c r="F234" s="80" t="s">
        <v>187</v>
      </c>
      <c r="G234" s="103">
        <v>1000</v>
      </c>
      <c r="H234" s="45" t="s">
        <v>13</v>
      </c>
      <c r="J234" s="28">
        <v>29.88</v>
      </c>
      <c r="K234" s="161"/>
      <c r="L234" s="9">
        <f>ROW()</f>
        <v>234</v>
      </c>
    </row>
    <row r="235" spans="3:12" ht="15.75" thickBot="1" x14ac:dyDescent="0.3">
      <c r="C235" s="9">
        <v>44</v>
      </c>
      <c r="D235" s="162">
        <v>45211</v>
      </c>
      <c r="E235" s="163">
        <v>44</v>
      </c>
      <c r="F235" s="164" t="s">
        <v>187</v>
      </c>
      <c r="G235" s="165"/>
      <c r="H235" s="169" t="s">
        <v>205</v>
      </c>
      <c r="I235" s="170"/>
      <c r="J235" s="170"/>
      <c r="K235" s="171"/>
      <c r="L235" s="9">
        <f>ROW()</f>
        <v>235</v>
      </c>
    </row>
    <row r="236" spans="3:12" ht="15.75" thickBot="1" x14ac:dyDescent="0.3">
      <c r="C236" s="9">
        <v>44</v>
      </c>
      <c r="D236" s="78">
        <v>45211</v>
      </c>
      <c r="E236" s="79">
        <v>44</v>
      </c>
      <c r="F236" s="80" t="s">
        <v>187</v>
      </c>
      <c r="L236" s="9">
        <f>ROW()</f>
        <v>236</v>
      </c>
    </row>
    <row r="237" spans="3:12" x14ac:dyDescent="0.25">
      <c r="C237" s="9">
        <v>45</v>
      </c>
      <c r="D237" s="157">
        <v>45212</v>
      </c>
      <c r="E237" s="158">
        <v>45</v>
      </c>
      <c r="F237" s="134" t="s">
        <v>172</v>
      </c>
      <c r="G237" s="114">
        <v>2000</v>
      </c>
      <c r="H237" s="134" t="s">
        <v>54</v>
      </c>
      <c r="I237" s="99"/>
      <c r="J237" s="99">
        <v>259.95</v>
      </c>
      <c r="K237" s="159"/>
      <c r="L237" s="9">
        <f>ROW()</f>
        <v>237</v>
      </c>
    </row>
    <row r="238" spans="3:12" x14ac:dyDescent="0.25">
      <c r="C238" s="9">
        <v>45</v>
      </c>
      <c r="D238" s="160">
        <v>45212</v>
      </c>
      <c r="E238" s="79">
        <v>45</v>
      </c>
      <c r="F238" s="80" t="s">
        <v>172</v>
      </c>
      <c r="G238" s="103">
        <v>1200</v>
      </c>
      <c r="H238" s="45" t="s">
        <v>19</v>
      </c>
      <c r="I238" s="28">
        <v>11.3</v>
      </c>
      <c r="K238" s="161"/>
      <c r="L238" s="9">
        <f>ROW()</f>
        <v>238</v>
      </c>
    </row>
    <row r="239" spans="3:12" x14ac:dyDescent="0.25">
      <c r="C239" s="9">
        <v>45</v>
      </c>
      <c r="D239" s="160">
        <v>45212</v>
      </c>
      <c r="E239" s="79">
        <v>45</v>
      </c>
      <c r="F239" s="80" t="s">
        <v>172</v>
      </c>
      <c r="G239" s="103">
        <v>1201</v>
      </c>
      <c r="H239" s="45" t="s">
        <v>21</v>
      </c>
      <c r="I239" s="28">
        <v>22.55</v>
      </c>
      <c r="K239" s="161"/>
      <c r="L239" s="9">
        <f>ROW()</f>
        <v>239</v>
      </c>
    </row>
    <row r="240" spans="3:12" x14ac:dyDescent="0.25">
      <c r="C240" s="9">
        <v>45</v>
      </c>
      <c r="D240" s="160">
        <v>45212</v>
      </c>
      <c r="E240" s="79">
        <v>45</v>
      </c>
      <c r="F240" s="80" t="s">
        <v>172</v>
      </c>
      <c r="G240" s="103">
        <v>5006</v>
      </c>
      <c r="H240" s="45" t="s">
        <v>115</v>
      </c>
      <c r="I240" s="28">
        <v>226.1</v>
      </c>
      <c r="K240" s="161"/>
      <c r="L240" s="9">
        <f>ROW()</f>
        <v>240</v>
      </c>
    </row>
    <row r="241" spans="3:12" ht="15.75" thickBot="1" x14ac:dyDescent="0.3">
      <c r="C241" s="9">
        <v>45</v>
      </c>
      <c r="D241" s="162">
        <v>45212</v>
      </c>
      <c r="E241" s="163">
        <v>45</v>
      </c>
      <c r="F241" s="164" t="s">
        <v>172</v>
      </c>
      <c r="G241" s="165"/>
      <c r="H241" s="169" t="s">
        <v>172</v>
      </c>
      <c r="I241" s="170"/>
      <c r="J241" s="170"/>
      <c r="K241" s="171"/>
      <c r="L241" s="9">
        <f>ROW()</f>
        <v>241</v>
      </c>
    </row>
    <row r="242" spans="3:12" ht="15.75" thickBot="1" x14ac:dyDescent="0.3">
      <c r="C242" s="9">
        <v>45</v>
      </c>
      <c r="D242" s="78">
        <v>45212</v>
      </c>
      <c r="E242" s="79">
        <v>45</v>
      </c>
      <c r="F242" s="80" t="s">
        <v>172</v>
      </c>
      <c r="L242" s="9">
        <f>ROW()</f>
        <v>242</v>
      </c>
    </row>
    <row r="243" spans="3:12" x14ac:dyDescent="0.25">
      <c r="C243" s="9">
        <v>46</v>
      </c>
      <c r="D243" s="157">
        <v>45270</v>
      </c>
      <c r="E243" s="158">
        <v>46</v>
      </c>
      <c r="F243" s="134" t="s">
        <v>206</v>
      </c>
      <c r="G243" s="114">
        <v>5013</v>
      </c>
      <c r="H243" s="134" t="s">
        <v>127</v>
      </c>
      <c r="I243" s="99">
        <v>9.9499999999999993</v>
      </c>
      <c r="J243" s="99"/>
      <c r="K243" s="159"/>
      <c r="L243" s="9">
        <f>ROW()</f>
        <v>243</v>
      </c>
    </row>
    <row r="244" spans="3:12" x14ac:dyDescent="0.25">
      <c r="C244" s="9">
        <v>46</v>
      </c>
      <c r="D244" s="160">
        <v>45270</v>
      </c>
      <c r="E244" s="79">
        <v>46</v>
      </c>
      <c r="F244" s="80" t="s">
        <v>206</v>
      </c>
      <c r="G244" s="103">
        <v>1000</v>
      </c>
      <c r="H244" s="45" t="s">
        <v>13</v>
      </c>
      <c r="J244" s="28">
        <v>9.9499999999999993</v>
      </c>
      <c r="K244" s="161"/>
      <c r="L244" s="9">
        <f>ROW()</f>
        <v>244</v>
      </c>
    </row>
    <row r="245" spans="3:12" ht="15.75" thickBot="1" x14ac:dyDescent="0.3">
      <c r="C245" s="9">
        <v>46</v>
      </c>
      <c r="D245" s="162">
        <v>45270</v>
      </c>
      <c r="E245" s="163">
        <v>46</v>
      </c>
      <c r="F245" s="164" t="s">
        <v>206</v>
      </c>
      <c r="G245" s="165"/>
      <c r="H245" s="169" t="s">
        <v>207</v>
      </c>
      <c r="I245" s="170"/>
      <c r="J245" s="170"/>
      <c r="K245" s="171"/>
      <c r="L245" s="9">
        <f>ROW()</f>
        <v>245</v>
      </c>
    </row>
    <row r="246" spans="3:12" ht="15.75" thickBot="1" x14ac:dyDescent="0.3">
      <c r="C246" s="9">
        <v>46</v>
      </c>
      <c r="D246" s="78">
        <v>45270</v>
      </c>
      <c r="E246" s="79">
        <v>46</v>
      </c>
      <c r="F246" s="80" t="s">
        <v>206</v>
      </c>
      <c r="L246" s="9">
        <f>ROW()</f>
        <v>246</v>
      </c>
    </row>
    <row r="247" spans="3:12" x14ac:dyDescent="0.25">
      <c r="C247" s="9">
        <v>47</v>
      </c>
      <c r="D247" s="157">
        <v>45211</v>
      </c>
      <c r="E247" s="158">
        <v>47</v>
      </c>
      <c r="F247" s="134"/>
      <c r="G247" s="114">
        <v>5013</v>
      </c>
      <c r="H247" s="134" t="s">
        <v>127</v>
      </c>
      <c r="I247" s="99">
        <v>29.95</v>
      </c>
      <c r="J247" s="99"/>
      <c r="K247" s="159"/>
      <c r="L247" s="9">
        <f>ROW()</f>
        <v>247</v>
      </c>
    </row>
    <row r="248" spans="3:12" x14ac:dyDescent="0.25">
      <c r="C248" s="9">
        <v>47</v>
      </c>
      <c r="D248" s="160">
        <v>45211</v>
      </c>
      <c r="E248" s="79">
        <v>47</v>
      </c>
      <c r="F248" s="80"/>
      <c r="G248" s="103">
        <v>1000</v>
      </c>
      <c r="H248" s="45" t="s">
        <v>13</v>
      </c>
      <c r="J248" s="28">
        <v>29.95</v>
      </c>
      <c r="K248" s="161"/>
      <c r="L248" s="9">
        <f>ROW()</f>
        <v>248</v>
      </c>
    </row>
    <row r="249" spans="3:12" ht="15.75" thickBot="1" x14ac:dyDescent="0.3">
      <c r="C249" s="9">
        <v>47</v>
      </c>
      <c r="D249" s="162">
        <v>45211</v>
      </c>
      <c r="E249" s="163">
        <v>47</v>
      </c>
      <c r="F249" s="164"/>
      <c r="G249" s="165"/>
      <c r="H249" s="169" t="s">
        <v>209</v>
      </c>
      <c r="I249" s="170"/>
      <c r="J249" s="170"/>
      <c r="K249" s="171"/>
      <c r="L249" s="9">
        <f>ROW()</f>
        <v>249</v>
      </c>
    </row>
    <row r="250" spans="3:12" ht="15.75" thickBot="1" x14ac:dyDescent="0.3">
      <c r="C250" s="9">
        <v>47</v>
      </c>
      <c r="D250" s="78">
        <v>45211</v>
      </c>
      <c r="E250" s="79">
        <v>47</v>
      </c>
      <c r="F250" s="80"/>
      <c r="L250" s="9">
        <f>ROW()</f>
        <v>250</v>
      </c>
    </row>
    <row r="251" spans="3:12" x14ac:dyDescent="0.25">
      <c r="C251" s="9">
        <v>48</v>
      </c>
      <c r="D251" s="157">
        <v>45214</v>
      </c>
      <c r="E251" s="158">
        <v>48</v>
      </c>
      <c r="F251" s="134"/>
      <c r="G251" s="114">
        <v>1100</v>
      </c>
      <c r="H251" s="134" t="s">
        <v>15</v>
      </c>
      <c r="I251" s="99">
        <v>262.44</v>
      </c>
      <c r="J251" s="99"/>
      <c r="K251" s="159"/>
      <c r="L251" s="9">
        <f>ROW()</f>
        <v>251</v>
      </c>
    </row>
    <row r="252" spans="3:12" x14ac:dyDescent="0.25">
      <c r="C252" s="9">
        <v>48</v>
      </c>
      <c r="D252" s="160">
        <v>45214</v>
      </c>
      <c r="E252" s="79">
        <v>48</v>
      </c>
      <c r="F252" s="80"/>
      <c r="G252" s="103">
        <v>4000</v>
      </c>
      <c r="H252" s="45" t="s">
        <v>88</v>
      </c>
      <c r="J252" s="28">
        <v>250</v>
      </c>
      <c r="K252" s="161"/>
      <c r="L252" s="9">
        <f>ROW()</f>
        <v>252</v>
      </c>
    </row>
    <row r="253" spans="3:12" x14ac:dyDescent="0.25">
      <c r="C253" s="9">
        <v>48</v>
      </c>
      <c r="D253" s="160">
        <v>45214</v>
      </c>
      <c r="E253" s="79">
        <v>48</v>
      </c>
      <c r="F253" s="80"/>
      <c r="G253" s="103">
        <v>1202</v>
      </c>
      <c r="H253" s="45" t="s">
        <v>23</v>
      </c>
      <c r="J253" s="28">
        <v>12.5</v>
      </c>
      <c r="K253" s="161"/>
      <c r="L253" s="9">
        <f>ROW()</f>
        <v>253</v>
      </c>
    </row>
    <row r="254" spans="3:12" x14ac:dyDescent="0.25">
      <c r="C254" s="9">
        <v>48</v>
      </c>
      <c r="D254" s="160">
        <v>45214</v>
      </c>
      <c r="E254" s="79">
        <v>48</v>
      </c>
      <c r="F254" s="80"/>
      <c r="G254" s="103">
        <v>1201</v>
      </c>
      <c r="H254" s="45" t="s">
        <v>21</v>
      </c>
      <c r="J254" s="28">
        <v>24.94</v>
      </c>
      <c r="K254" s="161"/>
      <c r="L254" s="9">
        <f>ROW()</f>
        <v>254</v>
      </c>
    </row>
    <row r="255" spans="3:12" x14ac:dyDescent="0.25">
      <c r="C255" s="9">
        <v>48</v>
      </c>
      <c r="D255" s="160">
        <v>45214</v>
      </c>
      <c r="E255" s="79">
        <v>48</v>
      </c>
      <c r="F255" s="80"/>
      <c r="G255" s="103">
        <v>1230</v>
      </c>
      <c r="H255" s="45" t="s">
        <v>33</v>
      </c>
      <c r="I255" s="28">
        <v>25</v>
      </c>
      <c r="K255" s="161"/>
      <c r="L255" s="9">
        <f>ROW()</f>
        <v>255</v>
      </c>
    </row>
    <row r="256" spans="3:12" ht="15.75" thickBot="1" x14ac:dyDescent="0.3">
      <c r="C256" s="9">
        <v>48</v>
      </c>
      <c r="D256" s="162">
        <v>45214</v>
      </c>
      <c r="E256" s="163">
        <v>48</v>
      </c>
      <c r="F256" s="164"/>
      <c r="G256" s="165"/>
      <c r="H256" s="169" t="s">
        <v>210</v>
      </c>
      <c r="I256" s="170"/>
      <c r="J256" s="170"/>
      <c r="K256" s="171"/>
      <c r="L256" s="9">
        <f>ROW()</f>
        <v>256</v>
      </c>
    </row>
    <row r="257" spans="3:12" ht="15.75" thickBot="1" x14ac:dyDescent="0.3">
      <c r="C257" s="9">
        <v>48</v>
      </c>
      <c r="D257" s="78">
        <v>45214</v>
      </c>
      <c r="E257" s="79">
        <v>48</v>
      </c>
      <c r="F257" s="80"/>
      <c r="L257" s="9">
        <f>ROW()</f>
        <v>257</v>
      </c>
    </row>
    <row r="258" spans="3:12" x14ac:dyDescent="0.25">
      <c r="C258" s="9">
        <v>49</v>
      </c>
      <c r="D258" s="157">
        <v>45199</v>
      </c>
      <c r="E258" s="158">
        <v>49</v>
      </c>
      <c r="F258" s="134" t="s">
        <v>212</v>
      </c>
      <c r="G258" s="114">
        <v>5007</v>
      </c>
      <c r="H258" s="134" t="s">
        <v>117</v>
      </c>
      <c r="I258" s="99">
        <v>2400</v>
      </c>
      <c r="J258" s="99"/>
      <c r="K258" s="159"/>
      <c r="L258" s="9">
        <f>ROW()</f>
        <v>258</v>
      </c>
    </row>
    <row r="259" spans="3:12" x14ac:dyDescent="0.25">
      <c r="C259" s="9">
        <v>49</v>
      </c>
      <c r="D259" s="160">
        <v>45199</v>
      </c>
      <c r="E259" s="79">
        <v>49</v>
      </c>
      <c r="F259" s="80" t="s">
        <v>212</v>
      </c>
      <c r="G259" s="103">
        <v>1200</v>
      </c>
      <c r="H259" s="45" t="s">
        <v>19</v>
      </c>
      <c r="I259" s="28">
        <v>120</v>
      </c>
      <c r="K259" s="161"/>
      <c r="L259" s="9">
        <f>ROW()</f>
        <v>259</v>
      </c>
    </row>
    <row r="260" spans="3:12" x14ac:dyDescent="0.25">
      <c r="C260" s="9">
        <v>49</v>
      </c>
      <c r="D260" s="160">
        <v>45199</v>
      </c>
      <c r="E260" s="79">
        <v>49</v>
      </c>
      <c r="F260" s="80" t="s">
        <v>212</v>
      </c>
      <c r="G260" s="103">
        <v>1201</v>
      </c>
      <c r="H260" s="45" t="s">
        <v>21</v>
      </c>
      <c r="I260" s="28">
        <v>239.4</v>
      </c>
      <c r="K260" s="161"/>
      <c r="L260" s="9">
        <f>ROW()</f>
        <v>260</v>
      </c>
    </row>
    <row r="261" spans="3:12" x14ac:dyDescent="0.25">
      <c r="C261" s="9">
        <v>49</v>
      </c>
      <c r="D261" s="160">
        <v>45199</v>
      </c>
      <c r="E261" s="79">
        <v>49</v>
      </c>
      <c r="F261" s="80" t="s">
        <v>212</v>
      </c>
      <c r="G261" s="103">
        <v>1000</v>
      </c>
      <c r="H261" s="45" t="s">
        <v>13</v>
      </c>
      <c r="J261" s="28">
        <v>2759.4</v>
      </c>
      <c r="K261" s="161"/>
      <c r="L261" s="9">
        <f>ROW()</f>
        <v>261</v>
      </c>
    </row>
    <row r="262" spans="3:12" ht="15.75" thickBot="1" x14ac:dyDescent="0.3">
      <c r="C262" s="9">
        <v>49</v>
      </c>
      <c r="D262" s="162">
        <v>45199</v>
      </c>
      <c r="E262" s="163">
        <v>49</v>
      </c>
      <c r="F262" s="164" t="s">
        <v>212</v>
      </c>
      <c r="G262" s="165"/>
      <c r="H262" s="169" t="s">
        <v>213</v>
      </c>
      <c r="I262" s="170"/>
      <c r="J262" s="170"/>
      <c r="K262" s="171"/>
      <c r="L262" s="9">
        <f>ROW()</f>
        <v>262</v>
      </c>
    </row>
    <row r="263" spans="3:12" ht="15.75" thickBot="1" x14ac:dyDescent="0.3">
      <c r="C263" s="9">
        <v>49</v>
      </c>
      <c r="D263" s="78">
        <v>45199</v>
      </c>
      <c r="E263" s="79">
        <v>49</v>
      </c>
      <c r="F263" s="80" t="s">
        <v>212</v>
      </c>
      <c r="L263" s="9">
        <f>ROW()</f>
        <v>263</v>
      </c>
    </row>
    <row r="264" spans="3:12" x14ac:dyDescent="0.25">
      <c r="C264" s="9">
        <v>50</v>
      </c>
      <c r="D264" s="157">
        <v>45212</v>
      </c>
      <c r="E264" s="158">
        <v>50</v>
      </c>
      <c r="F264" s="134" t="s">
        <v>187</v>
      </c>
      <c r="G264" s="114">
        <v>5020</v>
      </c>
      <c r="H264" s="134" t="s">
        <v>133</v>
      </c>
      <c r="I264" s="99">
        <v>650</v>
      </c>
      <c r="J264" s="99"/>
      <c r="K264" s="159"/>
      <c r="L264" s="9">
        <f>ROW()</f>
        <v>264</v>
      </c>
    </row>
    <row r="265" spans="3:12" x14ac:dyDescent="0.25">
      <c r="C265" s="9">
        <v>50</v>
      </c>
      <c r="D265" s="160">
        <v>45212</v>
      </c>
      <c r="E265" s="79">
        <v>50</v>
      </c>
      <c r="F265" s="80" t="s">
        <v>187</v>
      </c>
      <c r="G265" s="103">
        <v>1200</v>
      </c>
      <c r="H265" s="45" t="s">
        <v>19</v>
      </c>
      <c r="I265" s="28">
        <v>32.5</v>
      </c>
      <c r="K265" s="161"/>
      <c r="L265" s="9">
        <f>ROW()</f>
        <v>265</v>
      </c>
    </row>
    <row r="266" spans="3:12" x14ac:dyDescent="0.25">
      <c r="C266" s="9">
        <v>50</v>
      </c>
      <c r="D266" s="160">
        <v>45212</v>
      </c>
      <c r="E266" s="79">
        <v>50</v>
      </c>
      <c r="F266" s="80" t="s">
        <v>187</v>
      </c>
      <c r="G266" s="103">
        <v>1201</v>
      </c>
      <c r="H266" s="45" t="s">
        <v>21</v>
      </c>
      <c r="I266" s="28">
        <v>64.84</v>
      </c>
      <c r="K266" s="161"/>
      <c r="L266" s="9">
        <f>ROW()</f>
        <v>266</v>
      </c>
    </row>
    <row r="267" spans="3:12" x14ac:dyDescent="0.25">
      <c r="C267" s="9">
        <v>50</v>
      </c>
      <c r="D267" s="160">
        <v>45212</v>
      </c>
      <c r="E267" s="79">
        <v>50</v>
      </c>
      <c r="F267" s="80" t="s">
        <v>187</v>
      </c>
      <c r="G267" s="103">
        <v>1000</v>
      </c>
      <c r="H267" s="45" t="s">
        <v>13</v>
      </c>
      <c r="J267" s="28">
        <v>747.34</v>
      </c>
      <c r="K267" s="161"/>
      <c r="L267" s="9">
        <f>ROW()</f>
        <v>267</v>
      </c>
    </row>
    <row r="268" spans="3:12" ht="15.75" thickBot="1" x14ac:dyDescent="0.3">
      <c r="C268" s="9">
        <v>50</v>
      </c>
      <c r="D268" s="162">
        <v>45212</v>
      </c>
      <c r="E268" s="163">
        <v>50</v>
      </c>
      <c r="F268" s="164" t="s">
        <v>187</v>
      </c>
      <c r="G268" s="165"/>
      <c r="H268" s="169" t="s">
        <v>215</v>
      </c>
      <c r="I268" s="170"/>
      <c r="J268" s="170"/>
      <c r="K268" s="171"/>
      <c r="L268" s="9">
        <f>ROW()</f>
        <v>268</v>
      </c>
    </row>
    <row r="269" spans="3:12" ht="15.75" thickBot="1" x14ac:dyDescent="0.3">
      <c r="C269" s="9">
        <v>50</v>
      </c>
      <c r="D269" s="78">
        <v>45212</v>
      </c>
      <c r="E269" s="79">
        <v>50</v>
      </c>
      <c r="F269" s="80" t="s">
        <v>187</v>
      </c>
      <c r="L269" s="9">
        <f>ROW()</f>
        <v>269</v>
      </c>
    </row>
    <row r="270" spans="3:12" x14ac:dyDescent="0.25">
      <c r="C270" s="9">
        <v>51</v>
      </c>
      <c r="D270" s="157" t="s">
        <v>218</v>
      </c>
      <c r="E270" s="158">
        <v>51</v>
      </c>
      <c r="F270" s="134" t="s">
        <v>217</v>
      </c>
      <c r="G270" s="114" t="s">
        <v>126</v>
      </c>
      <c r="H270" s="134" t="s">
        <v>127</v>
      </c>
      <c r="I270" s="99">
        <v>29.95</v>
      </c>
      <c r="J270" s="99"/>
      <c r="K270" s="159"/>
      <c r="L270" s="9">
        <f>ROW()</f>
        <v>270</v>
      </c>
    </row>
    <row r="271" spans="3:12" x14ac:dyDescent="0.25">
      <c r="C271" s="9">
        <v>51</v>
      </c>
      <c r="D271" s="160" t="s">
        <v>218</v>
      </c>
      <c r="E271" s="79">
        <v>51</v>
      </c>
      <c r="F271" s="80" t="s">
        <v>217</v>
      </c>
      <c r="G271" s="103" t="s">
        <v>12</v>
      </c>
      <c r="H271" s="45" t="s">
        <v>13</v>
      </c>
      <c r="J271" s="28">
        <v>29.95</v>
      </c>
      <c r="K271" s="161"/>
      <c r="L271" s="9">
        <f>ROW()</f>
        <v>271</v>
      </c>
    </row>
    <row r="272" spans="3:12" ht="15.75" thickBot="1" x14ac:dyDescent="0.3">
      <c r="C272" s="9">
        <v>51</v>
      </c>
      <c r="D272" s="162" t="s">
        <v>218</v>
      </c>
      <c r="E272" s="163">
        <v>51</v>
      </c>
      <c r="F272" s="164" t="s">
        <v>217</v>
      </c>
      <c r="G272" s="165"/>
      <c r="H272" s="169" t="s">
        <v>186</v>
      </c>
      <c r="I272" s="170"/>
      <c r="J272" s="170"/>
      <c r="K272" s="171"/>
      <c r="L272" s="9">
        <f>ROW()</f>
        <v>272</v>
      </c>
    </row>
    <row r="273" spans="3:12" ht="15.75" thickBot="1" x14ac:dyDescent="0.3">
      <c r="C273" s="9">
        <v>51</v>
      </c>
      <c r="D273" s="78" t="s">
        <v>218</v>
      </c>
      <c r="E273" s="79">
        <v>51</v>
      </c>
      <c r="F273" s="80" t="s">
        <v>217</v>
      </c>
      <c r="L273" s="9">
        <f>ROW()</f>
        <v>273</v>
      </c>
    </row>
    <row r="274" spans="3:12" x14ac:dyDescent="0.25">
      <c r="C274" s="9">
        <v>52</v>
      </c>
      <c r="D274" s="157" t="s">
        <v>222</v>
      </c>
      <c r="E274" s="158">
        <v>52</v>
      </c>
      <c r="F274" s="134" t="s">
        <v>221</v>
      </c>
      <c r="G274" s="114" t="s">
        <v>219</v>
      </c>
      <c r="H274" s="134" t="s">
        <v>220</v>
      </c>
      <c r="I274" s="99">
        <v>129.94999999999999</v>
      </c>
      <c r="J274" s="99"/>
      <c r="K274" s="159"/>
      <c r="L274" s="9">
        <f>ROW()</f>
        <v>274</v>
      </c>
    </row>
    <row r="275" spans="3:12" x14ac:dyDescent="0.25">
      <c r="C275" s="9">
        <v>52</v>
      </c>
      <c r="D275" s="160" t="s">
        <v>222</v>
      </c>
      <c r="E275" s="247">
        <v>52</v>
      </c>
      <c r="F275" s="248" t="s">
        <v>221</v>
      </c>
      <c r="G275" s="249">
        <v>1200</v>
      </c>
      <c r="H275" s="250" t="s">
        <v>19</v>
      </c>
      <c r="I275" s="251">
        <v>6.5</v>
      </c>
      <c r="J275" s="251"/>
      <c r="K275" s="161"/>
      <c r="L275" s="9">
        <f>ROW()</f>
        <v>275</v>
      </c>
    </row>
    <row r="276" spans="3:12" x14ac:dyDescent="0.25">
      <c r="C276" s="9">
        <v>52</v>
      </c>
      <c r="D276" s="160" t="s">
        <v>222</v>
      </c>
      <c r="E276" s="247">
        <v>52</v>
      </c>
      <c r="F276" s="248" t="s">
        <v>221</v>
      </c>
      <c r="G276" s="249">
        <v>1201</v>
      </c>
      <c r="H276" s="250" t="s">
        <v>21</v>
      </c>
      <c r="I276" s="251">
        <v>12.96</v>
      </c>
      <c r="J276" s="251"/>
      <c r="K276" s="161"/>
      <c r="L276" s="9">
        <f>ROW()</f>
        <v>276</v>
      </c>
    </row>
    <row r="277" spans="3:12" x14ac:dyDescent="0.25">
      <c r="C277" s="9">
        <v>52</v>
      </c>
      <c r="D277" s="160" t="s">
        <v>222</v>
      </c>
      <c r="E277" s="247">
        <v>52</v>
      </c>
      <c r="F277" s="248" t="s">
        <v>221</v>
      </c>
      <c r="G277" s="249">
        <v>2000</v>
      </c>
      <c r="H277" s="250" t="s">
        <v>54</v>
      </c>
      <c r="I277" s="251"/>
      <c r="J277" s="251">
        <v>149.41</v>
      </c>
      <c r="K277" s="161" t="s">
        <v>224</v>
      </c>
      <c r="L277" s="9">
        <f>ROW()</f>
        <v>277</v>
      </c>
    </row>
    <row r="278" spans="3:12" ht="15.75" thickBot="1" x14ac:dyDescent="0.3">
      <c r="C278" s="9">
        <v>52</v>
      </c>
      <c r="D278" s="162" t="s">
        <v>222</v>
      </c>
      <c r="E278" s="163">
        <v>52</v>
      </c>
      <c r="F278" s="164" t="s">
        <v>221</v>
      </c>
      <c r="G278" s="165"/>
      <c r="H278" s="169" t="s">
        <v>223</v>
      </c>
      <c r="I278" s="170"/>
      <c r="J278" s="170"/>
      <c r="K278" s="171"/>
      <c r="L278" s="9">
        <f>ROW()</f>
        <v>278</v>
      </c>
    </row>
    <row r="279" spans="3:12" x14ac:dyDescent="0.25">
      <c r="C279" s="9">
        <v>52</v>
      </c>
      <c r="D279" s="78" t="s">
        <v>222</v>
      </c>
      <c r="E279" s="79">
        <v>52</v>
      </c>
      <c r="F279" s="80" t="s">
        <v>221</v>
      </c>
      <c r="L279" s="9">
        <f>ROW()</f>
        <v>279</v>
      </c>
    </row>
  </sheetData>
  <autoFilter ref="C1:L269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4E91-FC2C-41DE-8652-E8E97BCDB5DD}">
  <sheetPr codeName="wshJERecurrente"/>
  <dimension ref="A1:L30"/>
  <sheetViews>
    <sheetView workbookViewId="0">
      <selection activeCell="B32" sqref="B32"/>
    </sheetView>
  </sheetViews>
  <sheetFormatPr baseColWidth="10" defaultRowHeight="15" x14ac:dyDescent="0.25"/>
  <cols>
    <col min="3" max="3" width="5.7109375" style="9" customWidth="1"/>
    <col min="4" max="4" width="8.7109375" style="103" customWidth="1"/>
    <col min="5" max="5" width="37.5703125" style="45" customWidth="1"/>
    <col min="6" max="7" width="13.7109375" style="28" customWidth="1"/>
    <col min="8" max="8" width="42.42578125" bestFit="1" customWidth="1"/>
    <col min="9" max="9" width="7.5703125" style="9" bestFit="1" customWidth="1"/>
    <col min="10" max="10" width="3.7109375" customWidth="1"/>
    <col min="11" max="11" width="48.85546875" bestFit="1" customWidth="1"/>
    <col min="12" max="12" width="11.42578125" style="10"/>
  </cols>
  <sheetData>
    <row r="1" spans="1:12" ht="26.25" thickBot="1" x14ac:dyDescent="0.3">
      <c r="A1" s="124" t="s">
        <v>208</v>
      </c>
      <c r="B1" s="214">
        <v>6</v>
      </c>
      <c r="C1" s="115"/>
      <c r="D1" s="117" t="s">
        <v>181</v>
      </c>
      <c r="E1" s="141" t="s">
        <v>1</v>
      </c>
      <c r="F1" s="118" t="s">
        <v>2</v>
      </c>
      <c r="G1" s="118" t="s">
        <v>3</v>
      </c>
      <c r="H1" s="116" t="s">
        <v>142</v>
      </c>
      <c r="I1" s="115"/>
      <c r="K1" s="116" t="s">
        <v>10</v>
      </c>
      <c r="L1" s="117" t="s">
        <v>216</v>
      </c>
    </row>
    <row r="2" spans="1:12" x14ac:dyDescent="0.25">
      <c r="C2" s="9">
        <v>1</v>
      </c>
      <c r="D2" s="215">
        <v>5013</v>
      </c>
      <c r="E2" s="83" t="s">
        <v>127</v>
      </c>
      <c r="F2" s="84">
        <v>29.95</v>
      </c>
      <c r="G2" s="84"/>
      <c r="H2" s="85"/>
      <c r="I2" s="9">
        <f>ROW()</f>
        <v>2</v>
      </c>
      <c r="K2" t="s">
        <v>186</v>
      </c>
      <c r="L2" s="10">
        <v>1</v>
      </c>
    </row>
    <row r="3" spans="1:12" x14ac:dyDescent="0.25">
      <c r="C3" s="9">
        <v>1</v>
      </c>
      <c r="D3" s="216">
        <v>1000</v>
      </c>
      <c r="E3" s="147" t="s">
        <v>13</v>
      </c>
      <c r="F3" s="87"/>
      <c r="G3" s="87">
        <v>29.95</v>
      </c>
      <c r="H3" s="88"/>
      <c r="I3" s="9">
        <f>ROW()</f>
        <v>3</v>
      </c>
      <c r="K3" t="s">
        <v>214</v>
      </c>
      <c r="L3" s="10">
        <v>2</v>
      </c>
    </row>
    <row r="4" spans="1:12" ht="15.75" thickBot="1" x14ac:dyDescent="0.3">
      <c r="C4" s="9">
        <v>1</v>
      </c>
      <c r="D4" s="217"/>
      <c r="E4" s="220" t="s">
        <v>186</v>
      </c>
      <c r="F4" s="218"/>
      <c r="G4" s="218"/>
      <c r="H4" s="219"/>
      <c r="I4" s="9">
        <f>ROW()</f>
        <v>4</v>
      </c>
      <c r="K4" t="s">
        <v>213</v>
      </c>
      <c r="L4" s="10">
        <v>3</v>
      </c>
    </row>
    <row r="5" spans="1:12" ht="15.75" thickBot="1" x14ac:dyDescent="0.3">
      <c r="C5" s="9">
        <v>1</v>
      </c>
      <c r="I5" s="9">
        <f>ROW()</f>
        <v>5</v>
      </c>
      <c r="K5" t="s">
        <v>215</v>
      </c>
      <c r="L5" s="10">
        <v>4</v>
      </c>
    </row>
    <row r="6" spans="1:12" x14ac:dyDescent="0.25">
      <c r="C6" s="9">
        <v>2</v>
      </c>
      <c r="D6" s="215">
        <v>1100</v>
      </c>
      <c r="E6" s="83" t="s">
        <v>15</v>
      </c>
      <c r="F6" s="84">
        <v>262.44</v>
      </c>
      <c r="G6" s="84"/>
      <c r="H6" s="85"/>
      <c r="I6" s="9">
        <f>ROW()</f>
        <v>6</v>
      </c>
      <c r="K6" t="s">
        <v>223</v>
      </c>
      <c r="L6" s="10">
        <v>5</v>
      </c>
    </row>
    <row r="7" spans="1:12" x14ac:dyDescent="0.25">
      <c r="C7" s="9">
        <v>2</v>
      </c>
      <c r="D7" s="216">
        <v>4000</v>
      </c>
      <c r="E7" s="147" t="s">
        <v>88</v>
      </c>
      <c r="F7" s="87"/>
      <c r="G7" s="87">
        <v>250</v>
      </c>
      <c r="H7" s="88"/>
      <c r="I7" s="9">
        <f>ROW()</f>
        <v>7</v>
      </c>
    </row>
    <row r="8" spans="1:12" x14ac:dyDescent="0.25">
      <c r="C8" s="9">
        <v>2</v>
      </c>
      <c r="D8" s="216">
        <v>1202</v>
      </c>
      <c r="E8" s="147" t="s">
        <v>23</v>
      </c>
      <c r="F8" s="87"/>
      <c r="G8" s="87">
        <v>12.5</v>
      </c>
      <c r="H8" s="88"/>
      <c r="I8" s="9">
        <f>ROW()</f>
        <v>8</v>
      </c>
    </row>
    <row r="9" spans="1:12" x14ac:dyDescent="0.25">
      <c r="C9" s="9">
        <v>2</v>
      </c>
      <c r="D9" s="216">
        <v>1201</v>
      </c>
      <c r="E9" s="147" t="s">
        <v>21</v>
      </c>
      <c r="F9" s="87"/>
      <c r="G9" s="87">
        <v>24.94</v>
      </c>
      <c r="H9" s="88"/>
      <c r="I9" s="9">
        <f>ROW()</f>
        <v>9</v>
      </c>
    </row>
    <row r="10" spans="1:12" x14ac:dyDescent="0.25">
      <c r="C10" s="9">
        <v>2</v>
      </c>
      <c r="D10" s="216">
        <v>1230</v>
      </c>
      <c r="E10" s="147" t="s">
        <v>33</v>
      </c>
      <c r="F10" s="87">
        <v>25</v>
      </c>
      <c r="G10" s="87"/>
      <c r="H10" s="88"/>
      <c r="I10" s="9">
        <f>ROW()</f>
        <v>10</v>
      </c>
    </row>
    <row r="11" spans="1:12" ht="15.75" thickBot="1" x14ac:dyDescent="0.3">
      <c r="C11" s="9">
        <v>3</v>
      </c>
      <c r="D11" s="217"/>
      <c r="E11" s="220" t="s">
        <v>214</v>
      </c>
      <c r="F11" s="218"/>
      <c r="G11" s="218"/>
      <c r="H11" s="219"/>
      <c r="I11" s="9">
        <f>ROW()</f>
        <v>11</v>
      </c>
    </row>
    <row r="12" spans="1:12" ht="15.75" thickBot="1" x14ac:dyDescent="0.3">
      <c r="C12" s="9">
        <v>3</v>
      </c>
      <c r="E12" s="221"/>
      <c r="I12" s="9">
        <f>ROW()</f>
        <v>12</v>
      </c>
    </row>
    <row r="13" spans="1:12" x14ac:dyDescent="0.25">
      <c r="C13" s="9">
        <v>3</v>
      </c>
      <c r="D13" s="215">
        <v>5007</v>
      </c>
      <c r="E13" s="83" t="s">
        <v>117</v>
      </c>
      <c r="F13" s="84">
        <v>2400</v>
      </c>
      <c r="G13" s="84"/>
      <c r="H13" s="85"/>
      <c r="I13" s="9">
        <f>ROW()</f>
        <v>13</v>
      </c>
    </row>
    <row r="14" spans="1:12" x14ac:dyDescent="0.25">
      <c r="C14" s="9">
        <v>3</v>
      </c>
      <c r="D14" s="216">
        <v>1200</v>
      </c>
      <c r="E14" s="147" t="s">
        <v>19</v>
      </c>
      <c r="F14" s="87">
        <v>120</v>
      </c>
      <c r="G14" s="87"/>
      <c r="H14" s="88"/>
      <c r="I14" s="9">
        <f>ROW()</f>
        <v>14</v>
      </c>
    </row>
    <row r="15" spans="1:12" x14ac:dyDescent="0.25">
      <c r="C15" s="9">
        <v>3</v>
      </c>
      <c r="D15" s="216">
        <v>1201</v>
      </c>
      <c r="E15" s="147" t="s">
        <v>21</v>
      </c>
      <c r="F15" s="87">
        <v>239.4</v>
      </c>
      <c r="G15" s="87"/>
      <c r="H15" s="88"/>
      <c r="I15" s="9">
        <f>ROW()</f>
        <v>15</v>
      </c>
    </row>
    <row r="16" spans="1:12" x14ac:dyDescent="0.25">
      <c r="C16" s="9">
        <v>3</v>
      </c>
      <c r="D16" s="216">
        <v>1000</v>
      </c>
      <c r="E16" s="147" t="s">
        <v>13</v>
      </c>
      <c r="F16" s="87"/>
      <c r="G16" s="87">
        <v>2759.4</v>
      </c>
      <c r="H16" s="88"/>
      <c r="I16" s="9">
        <f>ROW()</f>
        <v>16</v>
      </c>
    </row>
    <row r="17" spans="3:9" ht="15.75" thickBot="1" x14ac:dyDescent="0.3">
      <c r="C17" s="9">
        <v>3</v>
      </c>
      <c r="D17" s="217"/>
      <c r="E17" s="220" t="s">
        <v>213</v>
      </c>
      <c r="F17" s="218"/>
      <c r="G17" s="218"/>
      <c r="H17" s="219"/>
      <c r="I17" s="9">
        <f>ROW()</f>
        <v>17</v>
      </c>
    </row>
    <row r="18" spans="3:9" ht="15.75" thickBot="1" x14ac:dyDescent="0.3">
      <c r="C18" s="9">
        <v>3</v>
      </c>
      <c r="I18" s="9">
        <f>ROW()</f>
        <v>18</v>
      </c>
    </row>
    <row r="19" spans="3:9" x14ac:dyDescent="0.25">
      <c r="C19" s="9">
        <v>4</v>
      </c>
      <c r="D19" s="211">
        <v>5020</v>
      </c>
      <c r="E19" s="134" t="s">
        <v>133</v>
      </c>
      <c r="F19" s="99">
        <v>650</v>
      </c>
      <c r="G19" s="99"/>
      <c r="H19" s="159"/>
      <c r="I19" s="9">
        <f>ROW()</f>
        <v>19</v>
      </c>
    </row>
    <row r="20" spans="3:9" x14ac:dyDescent="0.25">
      <c r="C20" s="9">
        <v>4</v>
      </c>
      <c r="D20" s="212">
        <v>1200</v>
      </c>
      <c r="E20" s="45" t="s">
        <v>19</v>
      </c>
      <c r="F20" s="28">
        <v>32.5</v>
      </c>
      <c r="H20" s="161"/>
      <c r="I20" s="9">
        <f>ROW()</f>
        <v>20</v>
      </c>
    </row>
    <row r="21" spans="3:9" x14ac:dyDescent="0.25">
      <c r="C21" s="9">
        <v>4</v>
      </c>
      <c r="D21" s="212">
        <v>1201</v>
      </c>
      <c r="E21" s="45" t="s">
        <v>21</v>
      </c>
      <c r="F21" s="28">
        <v>64.84</v>
      </c>
      <c r="H21" s="161"/>
      <c r="I21" s="9">
        <f>ROW()</f>
        <v>21</v>
      </c>
    </row>
    <row r="22" spans="3:9" x14ac:dyDescent="0.25">
      <c r="C22" s="9">
        <v>4</v>
      </c>
      <c r="D22" s="212">
        <v>1000</v>
      </c>
      <c r="E22" s="45" t="s">
        <v>13</v>
      </c>
      <c r="G22" s="28">
        <v>747.34</v>
      </c>
      <c r="H22" s="161"/>
      <c r="I22" s="9">
        <f>ROW()</f>
        <v>22</v>
      </c>
    </row>
    <row r="23" spans="3:9" ht="15.75" thickBot="1" x14ac:dyDescent="0.3">
      <c r="C23" s="9">
        <v>4</v>
      </c>
      <c r="D23" s="213"/>
      <c r="E23" s="208" t="s">
        <v>215</v>
      </c>
      <c r="F23" s="209"/>
      <c r="G23" s="209"/>
      <c r="H23" s="210"/>
      <c r="I23" s="9">
        <f>ROW()</f>
        <v>23</v>
      </c>
    </row>
    <row r="24" spans="3:9" ht="15.75" thickBot="1" x14ac:dyDescent="0.3">
      <c r="C24" s="9">
        <v>4</v>
      </c>
      <c r="I24" s="9">
        <f>ROW()</f>
        <v>24</v>
      </c>
    </row>
    <row r="25" spans="3:9" x14ac:dyDescent="0.25">
      <c r="C25" s="9">
        <v>5</v>
      </c>
      <c r="D25" s="211" t="s">
        <v>219</v>
      </c>
      <c r="E25" s="134" t="s">
        <v>220</v>
      </c>
      <c r="F25" s="99">
        <v>129.94999999999999</v>
      </c>
      <c r="G25" s="99"/>
      <c r="H25" s="159"/>
      <c r="I25" s="9">
        <f>ROW()</f>
        <v>25</v>
      </c>
    </row>
    <row r="26" spans="3:9" x14ac:dyDescent="0.25">
      <c r="C26" s="9">
        <v>5</v>
      </c>
      <c r="D26" s="212">
        <v>1200</v>
      </c>
      <c r="E26" s="250" t="s">
        <v>19</v>
      </c>
      <c r="F26" s="251">
        <v>6.5</v>
      </c>
      <c r="G26" s="251"/>
      <c r="H26" s="161"/>
      <c r="I26" s="9">
        <f>ROW()</f>
        <v>26</v>
      </c>
    </row>
    <row r="27" spans="3:9" x14ac:dyDescent="0.25">
      <c r="C27" s="9">
        <v>5</v>
      </c>
      <c r="D27" s="212">
        <v>1201</v>
      </c>
      <c r="E27" s="250" t="s">
        <v>21</v>
      </c>
      <c r="F27" s="251">
        <v>12.96</v>
      </c>
      <c r="G27" s="251"/>
      <c r="H27" s="161"/>
      <c r="I27" s="9">
        <f>ROW()</f>
        <v>27</v>
      </c>
    </row>
    <row r="28" spans="3:9" x14ac:dyDescent="0.25">
      <c r="C28" s="9">
        <v>5</v>
      </c>
      <c r="D28" s="212">
        <v>2000</v>
      </c>
      <c r="E28" s="250" t="s">
        <v>54</v>
      </c>
      <c r="F28" s="251"/>
      <c r="G28" s="251">
        <v>149.41</v>
      </c>
      <c r="H28" s="161" t="s">
        <v>224</v>
      </c>
      <c r="I28" s="9">
        <f>ROW()</f>
        <v>28</v>
      </c>
    </row>
    <row r="29" spans="3:9" ht="15.75" thickBot="1" x14ac:dyDescent="0.3">
      <c r="C29" s="9">
        <v>5</v>
      </c>
      <c r="D29" s="213"/>
      <c r="E29" s="208" t="s">
        <v>223</v>
      </c>
      <c r="F29" s="209"/>
      <c r="G29" s="209"/>
      <c r="H29" s="210"/>
      <c r="I29" s="9">
        <f>ROW()</f>
        <v>29</v>
      </c>
    </row>
    <row r="30" spans="3:9" x14ac:dyDescent="0.25">
      <c r="C30" s="9">
        <v>5</v>
      </c>
      <c r="I30" s="9">
        <f>ROW()</f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C1:J66"/>
  <sheetViews>
    <sheetView workbookViewId="0">
      <pane ySplit="3" topLeftCell="A4" activePane="bottomLeft" state="frozen"/>
      <selection pane="bottomLeft" activeCell="K2" sqref="K2"/>
    </sheetView>
  </sheetViews>
  <sheetFormatPr baseColWidth="10" defaultRowHeight="15" x14ac:dyDescent="0.25"/>
  <cols>
    <col min="3" max="3" width="5.7109375" style="125" customWidth="1"/>
    <col min="4" max="4" width="11.42578125" style="10"/>
    <col min="5" max="5" width="37.42578125" bestFit="1" customWidth="1"/>
    <col min="6" max="7" width="13.7109375" style="133" customWidth="1"/>
    <col min="8" max="8" width="5.7109375" style="125" customWidth="1"/>
    <col min="10" max="10" width="12.7109375" customWidth="1"/>
  </cols>
  <sheetData>
    <row r="1" spans="3:10" s="123" customFormat="1" ht="20.100000000000001" customHeight="1" x14ac:dyDescent="0.35">
      <c r="C1" s="245" t="s">
        <v>182</v>
      </c>
      <c r="D1" s="245"/>
      <c r="E1" s="245"/>
      <c r="F1" s="245"/>
      <c r="G1" s="245"/>
      <c r="H1" s="245"/>
    </row>
    <row r="2" spans="3:10" s="123" customFormat="1" ht="15" customHeight="1" x14ac:dyDescent="0.35">
      <c r="C2" s="122"/>
      <c r="D2" s="122"/>
      <c r="E2" s="122"/>
      <c r="F2" s="131"/>
      <c r="G2" s="131"/>
      <c r="H2" s="122"/>
      <c r="I2" s="124" t="s">
        <v>7</v>
      </c>
      <c r="J2" s="196" t="s">
        <v>211</v>
      </c>
    </row>
    <row r="3" spans="3:10" ht="21" x14ac:dyDescent="0.35">
      <c r="C3" s="122"/>
      <c r="D3" s="121" t="s">
        <v>181</v>
      </c>
      <c r="E3" s="121" t="s">
        <v>10</v>
      </c>
      <c r="F3" s="132" t="s">
        <v>2</v>
      </c>
      <c r="G3" s="132" t="s">
        <v>3</v>
      </c>
      <c r="H3" s="122"/>
    </row>
    <row r="4" spans="3:10" x14ac:dyDescent="0.25">
      <c r="D4" t="s">
        <v>12</v>
      </c>
      <c r="E4" t="s">
        <v>13</v>
      </c>
      <c r="F4" s="155">
        <v>40640.71</v>
      </c>
      <c r="G4"/>
      <c r="J4" s="197"/>
    </row>
    <row r="5" spans="3:10" x14ac:dyDescent="0.25">
      <c r="D5" t="s">
        <v>14</v>
      </c>
      <c r="E5" t="s">
        <v>15</v>
      </c>
      <c r="F5" s="155">
        <v>3928.39</v>
      </c>
      <c r="G5"/>
    </row>
    <row r="6" spans="3:10" x14ac:dyDescent="0.25">
      <c r="D6" t="s">
        <v>18</v>
      </c>
      <c r="E6" t="s">
        <v>19</v>
      </c>
      <c r="F6" s="155">
        <v>209.1</v>
      </c>
      <c r="G6"/>
    </row>
    <row r="7" spans="3:10" x14ac:dyDescent="0.25">
      <c r="D7" t="s">
        <v>20</v>
      </c>
      <c r="E7" t="s">
        <v>21</v>
      </c>
      <c r="F7" s="155">
        <v>343.02</v>
      </c>
      <c r="G7"/>
    </row>
    <row r="8" spans="3:10" x14ac:dyDescent="0.25">
      <c r="D8" t="s">
        <v>22</v>
      </c>
      <c r="E8" t="s">
        <v>23</v>
      </c>
      <c r="F8"/>
      <c r="G8" s="155">
        <v>1311.74</v>
      </c>
    </row>
    <row r="9" spans="3:10" x14ac:dyDescent="0.25">
      <c r="D9" t="s">
        <v>24</v>
      </c>
      <c r="E9" t="s">
        <v>25</v>
      </c>
      <c r="F9"/>
      <c r="G9" s="155">
        <v>2591.96</v>
      </c>
    </row>
    <row r="10" spans="3:10" x14ac:dyDescent="0.25">
      <c r="D10" t="s">
        <v>32</v>
      </c>
      <c r="E10" t="s">
        <v>33</v>
      </c>
      <c r="F10" s="155">
        <v>7080</v>
      </c>
      <c r="G10"/>
    </row>
    <row r="11" spans="3:10" x14ac:dyDescent="0.25">
      <c r="D11" t="s">
        <v>34</v>
      </c>
      <c r="E11" t="s">
        <v>35</v>
      </c>
      <c r="F11" s="155">
        <v>3995.99</v>
      </c>
      <c r="G11"/>
    </row>
    <row r="12" spans="3:10" x14ac:dyDescent="0.25">
      <c r="D12" t="s">
        <v>53</v>
      </c>
      <c r="E12" t="s">
        <v>54</v>
      </c>
      <c r="F12"/>
      <c r="G12" s="155">
        <v>4980.1000000000004</v>
      </c>
    </row>
    <row r="13" spans="3:10" x14ac:dyDescent="0.25">
      <c r="D13" t="s">
        <v>57</v>
      </c>
      <c r="E13" t="s">
        <v>58</v>
      </c>
      <c r="F13"/>
      <c r="G13" s="155">
        <v>25000</v>
      </c>
    </row>
    <row r="14" spans="3:10" x14ac:dyDescent="0.25">
      <c r="D14" t="s">
        <v>84</v>
      </c>
      <c r="E14" t="s">
        <v>85</v>
      </c>
      <c r="F14" s="155">
        <v>15000</v>
      </c>
      <c r="G14"/>
    </row>
    <row r="15" spans="3:10" x14ac:dyDescent="0.25">
      <c r="D15" t="s">
        <v>87</v>
      </c>
      <c r="E15" t="s">
        <v>88</v>
      </c>
      <c r="F15"/>
      <c r="G15" s="155">
        <v>30800</v>
      </c>
    </row>
    <row r="16" spans="3:10" x14ac:dyDescent="0.25">
      <c r="D16" t="s">
        <v>89</v>
      </c>
      <c r="E16" t="s">
        <v>90</v>
      </c>
      <c r="F16"/>
      <c r="G16" s="155">
        <v>9.99</v>
      </c>
    </row>
    <row r="17" spans="4:7" x14ac:dyDescent="0.25">
      <c r="D17" t="s">
        <v>93</v>
      </c>
      <c r="E17" t="s">
        <v>94</v>
      </c>
      <c r="F17"/>
      <c r="G17" s="155">
        <v>12</v>
      </c>
    </row>
    <row r="18" spans="4:7" x14ac:dyDescent="0.25">
      <c r="D18" t="s">
        <v>106</v>
      </c>
      <c r="E18" t="s">
        <v>107</v>
      </c>
      <c r="F18" s="155">
        <v>404.95</v>
      </c>
      <c r="G18"/>
    </row>
    <row r="19" spans="4:7" x14ac:dyDescent="0.25">
      <c r="D19" t="s">
        <v>114</v>
      </c>
      <c r="E19" t="s">
        <v>115</v>
      </c>
      <c r="F19" s="155">
        <v>226.1</v>
      </c>
      <c r="G19"/>
    </row>
    <row r="20" spans="4:7" x14ac:dyDescent="0.25">
      <c r="D20" t="s">
        <v>118</v>
      </c>
      <c r="E20" t="s">
        <v>119</v>
      </c>
      <c r="F20"/>
      <c r="G20" s="155">
        <v>275</v>
      </c>
    </row>
    <row r="21" spans="4:7" x14ac:dyDescent="0.25">
      <c r="D21" t="s">
        <v>120</v>
      </c>
      <c r="E21" t="s">
        <v>121</v>
      </c>
      <c r="F21"/>
      <c r="G21" s="155">
        <v>355</v>
      </c>
    </row>
    <row r="22" spans="4:7" x14ac:dyDescent="0.25">
      <c r="D22" t="s">
        <v>122</v>
      </c>
      <c r="E22" t="s">
        <v>123</v>
      </c>
      <c r="F22"/>
      <c r="G22" s="155">
        <v>102</v>
      </c>
    </row>
    <row r="23" spans="4:7" x14ac:dyDescent="0.25">
      <c r="D23" t="s">
        <v>124</v>
      </c>
      <c r="E23" t="s">
        <v>125</v>
      </c>
      <c r="F23" s="155">
        <v>795</v>
      </c>
      <c r="G23"/>
    </row>
    <row r="24" spans="4:7" x14ac:dyDescent="0.25">
      <c r="D24" t="s">
        <v>126</v>
      </c>
      <c r="E24" t="s">
        <v>127</v>
      </c>
      <c r="F24"/>
      <c r="G24" s="155">
        <v>7185.47</v>
      </c>
    </row>
    <row r="25" spans="4:7" x14ac:dyDescent="0.25">
      <c r="D25"/>
      <c r="F25"/>
      <c r="G25"/>
    </row>
    <row r="26" spans="4:7" ht="15.75" thickBot="1" x14ac:dyDescent="0.3">
      <c r="D26"/>
      <c r="F26" s="156">
        <f>SUM(F4:F25)</f>
        <v>72623.259999999995</v>
      </c>
      <c r="G26" s="156">
        <f>SUM(G4:G25)</f>
        <v>72623.259999999995</v>
      </c>
    </row>
    <row r="27" spans="4:7" x14ac:dyDescent="0.25">
      <c r="D27"/>
      <c r="F27"/>
      <c r="G27"/>
    </row>
    <row r="28" spans="4:7" x14ac:dyDescent="0.25">
      <c r="D28"/>
      <c r="F28"/>
      <c r="G28"/>
    </row>
    <row r="29" spans="4:7" x14ac:dyDescent="0.25">
      <c r="D29"/>
      <c r="F29"/>
      <c r="G29"/>
    </row>
    <row r="30" spans="4:7" x14ac:dyDescent="0.25">
      <c r="D30"/>
      <c r="F30"/>
      <c r="G30"/>
    </row>
    <row r="31" spans="4:7" x14ac:dyDescent="0.25">
      <c r="D31"/>
      <c r="F31"/>
      <c r="G31"/>
    </row>
    <row r="32" spans="4:7" x14ac:dyDescent="0.25">
      <c r="D32"/>
      <c r="F32"/>
      <c r="G32"/>
    </row>
    <row r="33" spans="4:7" x14ac:dyDescent="0.25">
      <c r="D33"/>
      <c r="F33"/>
      <c r="G33"/>
    </row>
    <row r="34" spans="4:7" x14ac:dyDescent="0.25">
      <c r="D34"/>
      <c r="F34"/>
      <c r="G34"/>
    </row>
    <row r="35" spans="4:7" x14ac:dyDescent="0.25">
      <c r="D35"/>
      <c r="F35"/>
      <c r="G35"/>
    </row>
    <row r="36" spans="4:7" x14ac:dyDescent="0.25">
      <c r="D36"/>
      <c r="F36"/>
      <c r="G36"/>
    </row>
    <row r="37" spans="4:7" x14ac:dyDescent="0.25">
      <c r="D37"/>
      <c r="F37"/>
      <c r="G37"/>
    </row>
    <row r="38" spans="4:7" x14ac:dyDescent="0.25">
      <c r="D38"/>
      <c r="F38"/>
      <c r="G38"/>
    </row>
    <row r="39" spans="4:7" x14ac:dyDescent="0.25">
      <c r="D39"/>
      <c r="F39"/>
      <c r="G39"/>
    </row>
    <row r="40" spans="4:7" x14ac:dyDescent="0.25">
      <c r="D40"/>
      <c r="F40"/>
      <c r="G40"/>
    </row>
    <row r="41" spans="4:7" x14ac:dyDescent="0.25">
      <c r="D41"/>
      <c r="F41"/>
      <c r="G41"/>
    </row>
    <row r="42" spans="4:7" x14ac:dyDescent="0.25">
      <c r="D42"/>
      <c r="F42"/>
      <c r="G42"/>
    </row>
    <row r="43" spans="4:7" x14ac:dyDescent="0.25">
      <c r="D43"/>
      <c r="F43"/>
      <c r="G43"/>
    </row>
    <row r="44" spans="4:7" x14ac:dyDescent="0.25">
      <c r="D44"/>
      <c r="F44"/>
      <c r="G44"/>
    </row>
    <row r="45" spans="4:7" x14ac:dyDescent="0.25">
      <c r="D45"/>
      <c r="F45"/>
      <c r="G45"/>
    </row>
    <row r="46" spans="4:7" x14ac:dyDescent="0.25">
      <c r="D46"/>
      <c r="F46"/>
      <c r="G46"/>
    </row>
    <row r="47" spans="4:7" x14ac:dyDescent="0.25">
      <c r="D47"/>
      <c r="F47"/>
      <c r="G47"/>
    </row>
    <row r="48" spans="4:7" x14ac:dyDescent="0.25">
      <c r="D48"/>
      <c r="F48"/>
      <c r="G48"/>
    </row>
    <row r="49" spans="4:7" x14ac:dyDescent="0.25">
      <c r="D49"/>
      <c r="F49"/>
      <c r="G49"/>
    </row>
    <row r="50" spans="4:7" x14ac:dyDescent="0.25">
      <c r="D50"/>
      <c r="F50"/>
      <c r="G50"/>
    </row>
    <row r="51" spans="4:7" x14ac:dyDescent="0.25">
      <c r="D51"/>
      <c r="F51"/>
      <c r="G51"/>
    </row>
    <row r="52" spans="4:7" x14ac:dyDescent="0.25">
      <c r="D52"/>
      <c r="F52"/>
      <c r="G52"/>
    </row>
    <row r="53" spans="4:7" x14ac:dyDescent="0.25">
      <c r="D53"/>
      <c r="F53"/>
      <c r="G53"/>
    </row>
    <row r="54" spans="4:7" x14ac:dyDescent="0.25">
      <c r="D54"/>
      <c r="F54"/>
      <c r="G54"/>
    </row>
    <row r="55" spans="4:7" x14ac:dyDescent="0.25">
      <c r="D55"/>
      <c r="F55"/>
      <c r="G55"/>
    </row>
    <row r="56" spans="4:7" x14ac:dyDescent="0.25">
      <c r="D56"/>
      <c r="F56"/>
      <c r="G56"/>
    </row>
    <row r="57" spans="4:7" x14ac:dyDescent="0.25">
      <c r="D57"/>
      <c r="F57"/>
      <c r="G57"/>
    </row>
    <row r="58" spans="4:7" x14ac:dyDescent="0.25">
      <c r="D58"/>
      <c r="F58"/>
      <c r="G58"/>
    </row>
    <row r="59" spans="4:7" x14ac:dyDescent="0.25">
      <c r="D59"/>
      <c r="F59"/>
      <c r="G59"/>
    </row>
    <row r="60" spans="4:7" x14ac:dyDescent="0.25">
      <c r="D60"/>
      <c r="F60"/>
      <c r="G60"/>
    </row>
    <row r="61" spans="4:7" x14ac:dyDescent="0.25">
      <c r="D61"/>
      <c r="F61"/>
      <c r="G61"/>
    </row>
    <row r="62" spans="4:7" x14ac:dyDescent="0.25">
      <c r="D62"/>
      <c r="F62"/>
      <c r="G62"/>
    </row>
    <row r="63" spans="4:7" x14ac:dyDescent="0.25">
      <c r="D63"/>
      <c r="F63"/>
      <c r="G63"/>
    </row>
    <row r="64" spans="4:7" x14ac:dyDescent="0.25">
      <c r="D64"/>
      <c r="F64"/>
      <c r="G64"/>
    </row>
    <row r="65" spans="4:7" x14ac:dyDescent="0.25">
      <c r="D65"/>
      <c r="F65"/>
      <c r="G65"/>
    </row>
    <row r="66" spans="4:7" x14ac:dyDescent="0.25">
      <c r="D66"/>
      <c r="F66"/>
      <c r="G66"/>
    </row>
  </sheetData>
  <mergeCells count="1">
    <mergeCell ref="C1:H1"/>
  </mergeCells>
  <pageMargins left="0.70866141732283472" right="0.70866141732283472" top="0.74803149606299213" bottom="0.74803149606299213" header="0.31496062992125984" footer="0.31496062992125984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3"/>
  <sheetViews>
    <sheetView topLeftCell="A30" workbookViewId="0">
      <selection activeCell="A65" sqref="A65"/>
    </sheetView>
  </sheetViews>
  <sheetFormatPr baseColWidth="10" defaultRowHeight="15" x14ac:dyDescent="0.25"/>
  <cols>
    <col min="1" max="1" width="37.42578125" bestFit="1" customWidth="1"/>
    <col min="2" max="2" width="5.7109375" style="10" customWidth="1"/>
    <col min="3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6"/>
      <c r="D1" s="127" t="s">
        <v>136</v>
      </c>
      <c r="E1" s="127" t="s">
        <v>183</v>
      </c>
      <c r="F1" s="127" t="s">
        <v>184</v>
      </c>
    </row>
    <row r="2" spans="1:6" ht="15.75" thickBot="1" x14ac:dyDescent="0.3">
      <c r="A2" t="s">
        <v>138</v>
      </c>
      <c r="C2" s="6"/>
      <c r="D2" s="3" t="s">
        <v>9</v>
      </c>
      <c r="E2" s="3" t="s">
        <v>137</v>
      </c>
      <c r="F2" s="4" t="s">
        <v>10</v>
      </c>
    </row>
    <row r="3" spans="1:6" x14ac:dyDescent="0.25">
      <c r="A3" s="7" t="str">
        <f>F3</f>
        <v>Encaisse</v>
      </c>
      <c r="B3" s="103" t="str">
        <f>PlanComptable[[#This Row],[Colonne1]]</f>
        <v>1000</v>
      </c>
      <c r="C3" s="6"/>
      <c r="D3" s="126" t="s">
        <v>11</v>
      </c>
      <c r="E3" s="5" t="s">
        <v>12</v>
      </c>
      <c r="F3" s="6" t="s">
        <v>13</v>
      </c>
    </row>
    <row r="4" spans="1:6" x14ac:dyDescent="0.25">
      <c r="A4" s="7" t="str">
        <f t="shared" ref="A4:A52" si="0">F4</f>
        <v>Comptes Clients</v>
      </c>
      <c r="B4" s="103" t="str">
        <f>PlanComptable[[#This Row],[Colonne1]]</f>
        <v>1100</v>
      </c>
      <c r="C4" s="6"/>
      <c r="D4" s="126" t="s">
        <v>11</v>
      </c>
      <c r="E4" s="5" t="s">
        <v>14</v>
      </c>
      <c r="F4" s="6" t="s">
        <v>15</v>
      </c>
    </row>
    <row r="5" spans="1:6" x14ac:dyDescent="0.25">
      <c r="A5" s="7" t="str">
        <f t="shared" si="0"/>
        <v>Provision pour mauvaises créances</v>
      </c>
      <c r="B5" s="103" t="str">
        <f>PlanComptable[[#This Row],[Colonne1]]</f>
        <v>1101</v>
      </c>
      <c r="C5" s="6"/>
      <c r="D5" s="126" t="s">
        <v>11</v>
      </c>
      <c r="E5" s="5" t="s">
        <v>16</v>
      </c>
      <c r="F5" s="6" t="s">
        <v>17</v>
      </c>
    </row>
    <row r="6" spans="1:6" x14ac:dyDescent="0.25">
      <c r="A6" s="7" t="str">
        <f t="shared" si="0"/>
        <v>TPS payée</v>
      </c>
      <c r="B6" s="103" t="str">
        <f>PlanComptable[[#This Row],[Colonne1]]</f>
        <v>1200</v>
      </c>
      <c r="C6" s="6"/>
      <c r="D6" s="126" t="s">
        <v>11</v>
      </c>
      <c r="E6" s="5" t="s">
        <v>18</v>
      </c>
      <c r="F6" s="6" t="s">
        <v>19</v>
      </c>
    </row>
    <row r="7" spans="1:6" x14ac:dyDescent="0.25">
      <c r="A7" s="7" t="str">
        <f t="shared" si="0"/>
        <v>TVQ payée</v>
      </c>
      <c r="B7" s="103" t="str">
        <f>PlanComptable[[#This Row],[Colonne1]]</f>
        <v>1201</v>
      </c>
      <c r="C7" s="6"/>
      <c r="D7" s="126" t="s">
        <v>11</v>
      </c>
      <c r="E7" s="5" t="s">
        <v>20</v>
      </c>
      <c r="F7" s="6" t="s">
        <v>21</v>
      </c>
    </row>
    <row r="8" spans="1:6" x14ac:dyDescent="0.25">
      <c r="A8" s="7" t="str">
        <f t="shared" si="0"/>
        <v>TPS facturée</v>
      </c>
      <c r="B8" s="103" t="str">
        <f>PlanComptable[[#This Row],[Colonne1]]</f>
        <v>1202</v>
      </c>
      <c r="C8" s="6"/>
      <c r="D8" s="126" t="s">
        <v>11</v>
      </c>
      <c r="E8" s="5" t="s">
        <v>22</v>
      </c>
      <c r="F8" s="6" t="s">
        <v>23</v>
      </c>
    </row>
    <row r="9" spans="1:6" x14ac:dyDescent="0.25">
      <c r="A9" s="7" t="str">
        <f t="shared" si="0"/>
        <v>TVQ facturée</v>
      </c>
      <c r="B9" s="103" t="str">
        <f>PlanComptable[[#This Row],[Colonne1]]</f>
        <v>1203</v>
      </c>
      <c r="C9" s="6"/>
      <c r="D9" s="126" t="s">
        <v>11</v>
      </c>
      <c r="E9" s="5" t="s">
        <v>24</v>
      </c>
      <c r="F9" s="6" t="s">
        <v>25</v>
      </c>
    </row>
    <row r="10" spans="1:6" x14ac:dyDescent="0.25">
      <c r="A10" s="7" t="str">
        <f t="shared" si="0"/>
        <v>Acomptes provisionnels - TPS</v>
      </c>
      <c r="B10" s="103" t="str">
        <f>PlanComptable[[#This Row],[Colonne1]]</f>
        <v>1204</v>
      </c>
      <c r="C10" s="6"/>
      <c r="D10" s="126" t="s">
        <v>11</v>
      </c>
      <c r="E10" s="5" t="s">
        <v>26</v>
      </c>
      <c r="F10" s="6" t="s">
        <v>27</v>
      </c>
    </row>
    <row r="11" spans="1:6" x14ac:dyDescent="0.25">
      <c r="A11" s="7" t="str">
        <f t="shared" si="0"/>
        <v>Acomptes provisionnels - TVQ</v>
      </c>
      <c r="B11" s="103" t="str">
        <f>PlanComptable[[#This Row],[Colonne1]]</f>
        <v>1205</v>
      </c>
      <c r="D11" s="126" t="s">
        <v>11</v>
      </c>
      <c r="E11" s="5" t="s">
        <v>28</v>
      </c>
      <c r="F11" s="6" t="s">
        <v>29</v>
      </c>
    </row>
    <row r="12" spans="1:6" x14ac:dyDescent="0.25">
      <c r="A12" s="7" t="str">
        <f t="shared" si="0"/>
        <v>Travaux en cours</v>
      </c>
      <c r="B12" s="103" t="str">
        <f>PlanComptable[[#This Row],[Colonne1]]</f>
        <v>1210</v>
      </c>
      <c r="D12" s="126" t="s">
        <v>11</v>
      </c>
      <c r="E12" s="5" t="s">
        <v>30</v>
      </c>
      <c r="F12" s="6" t="s">
        <v>31</v>
      </c>
    </row>
    <row r="13" spans="1:6" x14ac:dyDescent="0.25">
      <c r="A13" s="7" t="str">
        <f t="shared" si="0"/>
        <v>Frais payés d'avance</v>
      </c>
      <c r="B13" s="103" t="str">
        <f>PlanComptable[[#This Row],[Colonne1]]</f>
        <v>1230</v>
      </c>
      <c r="D13" s="126" t="s">
        <v>11</v>
      </c>
      <c r="E13" s="5" t="s">
        <v>32</v>
      </c>
      <c r="F13" s="6" t="s">
        <v>33</v>
      </c>
    </row>
    <row r="14" spans="1:6" x14ac:dyDescent="0.25">
      <c r="A14" s="7" t="str">
        <f t="shared" si="0"/>
        <v>Mobilier de bureau</v>
      </c>
      <c r="B14" s="103" t="str">
        <f>PlanComptable[[#This Row],[Colonne1]]</f>
        <v>1250</v>
      </c>
      <c r="D14" s="126" t="s">
        <v>11</v>
      </c>
      <c r="E14" s="5" t="s">
        <v>34</v>
      </c>
      <c r="F14" s="6" t="s">
        <v>35</v>
      </c>
    </row>
    <row r="15" spans="1:6" x14ac:dyDescent="0.25">
      <c r="A15" s="7" t="str">
        <f t="shared" si="0"/>
        <v>Amort. Cum - mobil. de bureau</v>
      </c>
      <c r="B15" s="103" t="str">
        <f>PlanComptable[[#This Row],[Colonne1]]</f>
        <v>1251</v>
      </c>
      <c r="D15" s="126" t="s">
        <v>11</v>
      </c>
      <c r="E15" s="5" t="s">
        <v>36</v>
      </c>
      <c r="F15" s="6" t="s">
        <v>37</v>
      </c>
    </row>
    <row r="16" spans="1:6" x14ac:dyDescent="0.25">
      <c r="A16" s="7" t="str">
        <f t="shared" si="0"/>
        <v>Matériel informatique</v>
      </c>
      <c r="B16" s="103" t="str">
        <f>PlanComptable[[#This Row],[Colonne1]]</f>
        <v>1260</v>
      </c>
      <c r="D16" s="126" t="s">
        <v>11</v>
      </c>
      <c r="E16" s="5" t="s">
        <v>38</v>
      </c>
      <c r="F16" s="6" t="s">
        <v>39</v>
      </c>
    </row>
    <row r="17" spans="1:6" x14ac:dyDescent="0.25">
      <c r="A17" s="7" t="str">
        <f t="shared" si="0"/>
        <v>Amort. Cum - mat. Inform.</v>
      </c>
      <c r="B17" s="103" t="str">
        <f>PlanComptable[[#This Row],[Colonne1]]</f>
        <v>1261</v>
      </c>
      <c r="D17" s="126" t="s">
        <v>11</v>
      </c>
      <c r="E17" s="5" t="s">
        <v>40</v>
      </c>
      <c r="F17" s="6" t="s">
        <v>41</v>
      </c>
    </row>
    <row r="18" spans="1:6" x14ac:dyDescent="0.25">
      <c r="A18" s="7" t="str">
        <f t="shared" si="0"/>
        <v>Logiciel informatique</v>
      </c>
      <c r="B18" s="103" t="str">
        <f>PlanComptable[[#This Row],[Colonne1]]</f>
        <v>1270</v>
      </c>
      <c r="D18" s="126" t="s">
        <v>11</v>
      </c>
      <c r="E18" s="5" t="s">
        <v>42</v>
      </c>
      <c r="F18" s="6" t="s">
        <v>43</v>
      </c>
    </row>
    <row r="19" spans="1:6" x14ac:dyDescent="0.25">
      <c r="A19" s="7" t="str">
        <f t="shared" si="0"/>
        <v>Amort. Cum - logiciels</v>
      </c>
      <c r="B19" s="103" t="str">
        <f>PlanComptable[[#This Row],[Colonne1]]</f>
        <v>1271</v>
      </c>
      <c r="D19" s="126" t="s">
        <v>11</v>
      </c>
      <c r="E19" s="5" t="s">
        <v>44</v>
      </c>
      <c r="F19" s="6" t="s">
        <v>45</v>
      </c>
    </row>
    <row r="20" spans="1:6" x14ac:dyDescent="0.25">
      <c r="A20" s="7" t="str">
        <f t="shared" si="0"/>
        <v>Achalandage</v>
      </c>
      <c r="B20" s="103" t="str">
        <f>PlanComptable[[#This Row],[Colonne1]]</f>
        <v>1300</v>
      </c>
      <c r="D20" s="126" t="s">
        <v>11</v>
      </c>
      <c r="E20" s="5" t="s">
        <v>46</v>
      </c>
      <c r="F20" s="6" t="s">
        <v>47</v>
      </c>
    </row>
    <row r="21" spans="1:6" x14ac:dyDescent="0.25">
      <c r="A21" s="7" t="str">
        <f t="shared" si="0"/>
        <v>Amort. Cum - Achalandage</v>
      </c>
      <c r="B21" s="103" t="str">
        <f>PlanComptable[[#This Row],[Colonne1]]</f>
        <v>1301</v>
      </c>
      <c r="D21" s="126" t="s">
        <v>11</v>
      </c>
      <c r="E21" s="5" t="s">
        <v>48</v>
      </c>
      <c r="F21" s="6" t="s">
        <v>49</v>
      </c>
    </row>
    <row r="22" spans="1:6" x14ac:dyDescent="0.25">
      <c r="A22" s="7" t="str">
        <f t="shared" si="0"/>
        <v>Avance - Prêt GCP</v>
      </c>
      <c r="B22" s="103" t="str">
        <f>PlanComptable[[#This Row],[Colonne1]]</f>
        <v>1400</v>
      </c>
      <c r="D22" s="126" t="s">
        <v>11</v>
      </c>
      <c r="E22" s="5" t="s">
        <v>50</v>
      </c>
      <c r="F22" s="6" t="s">
        <v>51</v>
      </c>
    </row>
    <row r="23" spans="1:6" x14ac:dyDescent="0.25">
      <c r="A23" s="7" t="str">
        <f t="shared" si="0"/>
        <v>VISA Odyssey Desjardins</v>
      </c>
      <c r="B23" s="103" t="str">
        <f>PlanComptable[[#This Row],[Colonne1]]</f>
        <v>2000</v>
      </c>
      <c r="D23" s="126" t="s">
        <v>52</v>
      </c>
      <c r="E23" s="5" t="s">
        <v>53</v>
      </c>
      <c r="F23" s="6" t="s">
        <v>54</v>
      </c>
    </row>
    <row r="24" spans="1:6" x14ac:dyDescent="0.25">
      <c r="A24" s="7" t="str">
        <f t="shared" si="0"/>
        <v>Avances de Guillaume Charron</v>
      </c>
      <c r="B24" s="103" t="str">
        <f>PlanComptable[[#This Row],[Colonne1]]</f>
        <v>2010</v>
      </c>
      <c r="D24" s="126" t="s">
        <v>52</v>
      </c>
      <c r="E24" s="5" t="s">
        <v>55</v>
      </c>
      <c r="F24" s="6" t="s">
        <v>56</v>
      </c>
    </row>
    <row r="25" spans="1:6" x14ac:dyDescent="0.25">
      <c r="A25" s="7" t="str">
        <f t="shared" si="0"/>
        <v>Avances à Fiducie Famille Charron</v>
      </c>
      <c r="B25" s="103" t="str">
        <f>PlanComptable[[#This Row],[Colonne1]]</f>
        <v>2011</v>
      </c>
      <c r="D25" s="126" t="s">
        <v>52</v>
      </c>
      <c r="E25" s="5" t="s">
        <v>57</v>
      </c>
      <c r="F25" s="6" t="s">
        <v>58</v>
      </c>
    </row>
    <row r="26" spans="1:6" x14ac:dyDescent="0.25">
      <c r="A26" s="7" t="str">
        <f t="shared" si="0"/>
        <v>Compte fournisseur</v>
      </c>
      <c r="B26" s="103" t="str">
        <f>PlanComptable[[#This Row],[Colonne1]]</f>
        <v>2100</v>
      </c>
      <c r="D26" s="126" t="s">
        <v>52</v>
      </c>
      <c r="E26" s="5" t="s">
        <v>59</v>
      </c>
      <c r="F26" s="6" t="s">
        <v>60</v>
      </c>
    </row>
    <row r="27" spans="1:6" x14ac:dyDescent="0.25">
      <c r="A27" s="7" t="str">
        <f t="shared" si="0"/>
        <v>Avances avec 9249-3626 Québec inc.</v>
      </c>
      <c r="B27" s="103" t="str">
        <f>PlanComptable[[#This Row],[Colonne1]]</f>
        <v>2105</v>
      </c>
      <c r="D27" s="126" t="s">
        <v>52</v>
      </c>
      <c r="E27" s="5" t="s">
        <v>61</v>
      </c>
      <c r="F27" s="6" t="s">
        <v>62</v>
      </c>
    </row>
    <row r="28" spans="1:6" x14ac:dyDescent="0.25">
      <c r="A28" s="7" t="str">
        <f t="shared" si="0"/>
        <v>Avances avec 9333-4829 Québec inc</v>
      </c>
      <c r="B28" s="103" t="str">
        <f>PlanComptable[[#This Row],[Colonne1]]</f>
        <v>2106</v>
      </c>
      <c r="D28" s="126" t="s">
        <v>52</v>
      </c>
      <c r="E28" s="5" t="s">
        <v>63</v>
      </c>
      <c r="F28" s="6" t="s">
        <v>64</v>
      </c>
    </row>
    <row r="29" spans="1:6" x14ac:dyDescent="0.25">
      <c r="A29" s="7" t="str">
        <f t="shared" si="0"/>
        <v>Prêt - Compte d'urgence</v>
      </c>
      <c r="B29" s="103" t="str">
        <f>PlanComptable[[#This Row],[Colonne1]]</f>
        <v>2107</v>
      </c>
      <c r="D29" s="126" t="s">
        <v>52</v>
      </c>
      <c r="E29" s="5" t="s">
        <v>65</v>
      </c>
      <c r="F29" s="6" t="s">
        <v>66</v>
      </c>
    </row>
    <row r="30" spans="1:6" x14ac:dyDescent="0.25">
      <c r="A30" s="7" t="str">
        <f t="shared" si="0"/>
        <v>Impôt Fédéral à payer</v>
      </c>
      <c r="B30" s="103" t="str">
        <f>PlanComptable[[#This Row],[Colonne1]]</f>
        <v>2200</v>
      </c>
      <c r="D30" s="126" t="s">
        <v>52</v>
      </c>
      <c r="E30" s="5" t="s">
        <v>67</v>
      </c>
      <c r="F30" s="6" t="s">
        <v>68</v>
      </c>
    </row>
    <row r="31" spans="1:6" x14ac:dyDescent="0.25">
      <c r="A31" s="7" t="str">
        <f t="shared" si="0"/>
        <v>Impôt Québec à payer</v>
      </c>
      <c r="B31" s="103" t="str">
        <f>PlanComptable[[#This Row],[Colonne1]]</f>
        <v>2201</v>
      </c>
      <c r="D31" s="126" t="s">
        <v>52</v>
      </c>
      <c r="E31" s="5" t="s">
        <v>69</v>
      </c>
      <c r="F31" s="6" t="s">
        <v>70</v>
      </c>
    </row>
    <row r="32" spans="1:6" x14ac:dyDescent="0.25">
      <c r="A32" s="7" t="str">
        <f t="shared" si="0"/>
        <v>Acomptes - Impôt Fédéral</v>
      </c>
      <c r="B32" s="103" t="str">
        <f>PlanComptable[[#This Row],[Colonne1]]</f>
        <v>2202</v>
      </c>
      <c r="D32" s="126" t="s">
        <v>52</v>
      </c>
      <c r="E32" s="5" t="s">
        <v>71</v>
      </c>
      <c r="F32" s="6" t="s">
        <v>72</v>
      </c>
    </row>
    <row r="33" spans="1:6" x14ac:dyDescent="0.25">
      <c r="A33" s="7" t="str">
        <f t="shared" si="0"/>
        <v>Acomptes - Impôt Québec</v>
      </c>
      <c r="B33" s="103" t="str">
        <f>PlanComptable[[#This Row],[Colonne1]]</f>
        <v>2203</v>
      </c>
      <c r="D33" s="126" t="s">
        <v>52</v>
      </c>
      <c r="E33" s="5" t="s">
        <v>73</v>
      </c>
      <c r="F33" s="6" t="s">
        <v>74</v>
      </c>
    </row>
    <row r="34" spans="1:6" x14ac:dyDescent="0.25">
      <c r="A34" s="7" t="str">
        <f t="shared" si="0"/>
        <v>Produit perçu d'avance</v>
      </c>
      <c r="B34" s="103" t="str">
        <f>PlanComptable[[#This Row],[Colonne1]]</f>
        <v>2300</v>
      </c>
      <c r="D34" s="126" t="s">
        <v>52</v>
      </c>
      <c r="E34" s="5" t="s">
        <v>75</v>
      </c>
      <c r="F34" s="6" t="s">
        <v>76</v>
      </c>
    </row>
    <row r="35" spans="1:6" x14ac:dyDescent="0.25">
      <c r="A35" s="7" t="str">
        <f t="shared" si="0"/>
        <v>Actions ordinaires</v>
      </c>
      <c r="B35" s="103" t="str">
        <f>PlanComptable[[#This Row],[Colonne1]]</f>
        <v>2500</v>
      </c>
      <c r="D35" s="126" t="s">
        <v>77</v>
      </c>
      <c r="E35" s="5" t="s">
        <v>78</v>
      </c>
      <c r="F35" s="6" t="s">
        <v>79</v>
      </c>
    </row>
    <row r="36" spans="1:6" x14ac:dyDescent="0.25">
      <c r="A36" s="7" t="str">
        <f t="shared" si="0"/>
        <v>Actions privilégiées</v>
      </c>
      <c r="B36" s="103" t="str">
        <f>PlanComptable[[#This Row],[Colonne1]]</f>
        <v>2501</v>
      </c>
      <c r="D36" s="126" t="s">
        <v>77</v>
      </c>
      <c r="E36" s="5" t="s">
        <v>80</v>
      </c>
      <c r="F36" s="6" t="s">
        <v>81</v>
      </c>
    </row>
    <row r="37" spans="1:6" x14ac:dyDescent="0.25">
      <c r="A37" s="7" t="str">
        <f t="shared" si="0"/>
        <v>BNR</v>
      </c>
      <c r="B37" s="103" t="str">
        <f>PlanComptable[[#This Row],[Colonne1]]</f>
        <v>2600</v>
      </c>
      <c r="D37" s="126" t="s">
        <v>77</v>
      </c>
      <c r="E37" s="5" t="s">
        <v>82</v>
      </c>
      <c r="F37" s="6" t="s">
        <v>83</v>
      </c>
    </row>
    <row r="38" spans="1:6" x14ac:dyDescent="0.25">
      <c r="A38" s="7" t="str">
        <f t="shared" si="0"/>
        <v>Dividendes</v>
      </c>
      <c r="B38" s="103" t="str">
        <f>PlanComptable[[#This Row],[Colonne1]]</f>
        <v>2700</v>
      </c>
      <c r="D38" s="126" t="s">
        <v>77</v>
      </c>
      <c r="E38" s="5" t="s">
        <v>84</v>
      </c>
      <c r="F38" s="6" t="s">
        <v>85</v>
      </c>
    </row>
    <row r="39" spans="1:6" x14ac:dyDescent="0.25">
      <c r="A39" s="7" t="str">
        <f t="shared" si="0"/>
        <v>Revenus de consultation</v>
      </c>
      <c r="B39" s="103" t="str">
        <f>PlanComptable[[#This Row],[Colonne1]]</f>
        <v>4000</v>
      </c>
      <c r="D39" s="126" t="s">
        <v>86</v>
      </c>
      <c r="E39" s="5" t="s">
        <v>87</v>
      </c>
      <c r="F39" s="6" t="s">
        <v>88</v>
      </c>
    </row>
    <row r="40" spans="1:6" x14ac:dyDescent="0.25">
      <c r="A40" s="7" t="str">
        <f t="shared" si="0"/>
        <v>Revenus - Sociétés apparentées</v>
      </c>
      <c r="B40" s="103" t="str">
        <f>PlanComptable[[#This Row],[Colonne1]]</f>
        <v>4001</v>
      </c>
      <c r="D40" s="126" t="s">
        <v>86</v>
      </c>
      <c r="E40" s="5" t="s">
        <v>89</v>
      </c>
      <c r="F40" s="6" t="s">
        <v>90</v>
      </c>
    </row>
    <row r="41" spans="1:6" x14ac:dyDescent="0.25">
      <c r="A41" s="7" t="str">
        <f t="shared" si="0"/>
        <v>Revenus - travaux en cours</v>
      </c>
      <c r="B41" s="103" t="str">
        <f>PlanComptable[[#This Row],[Colonne1]]</f>
        <v>4010</v>
      </c>
      <c r="D41" s="126" t="s">
        <v>86</v>
      </c>
      <c r="E41" s="5" t="s">
        <v>91</v>
      </c>
      <c r="F41" s="6" t="s">
        <v>92</v>
      </c>
    </row>
    <row r="42" spans="1:6" x14ac:dyDescent="0.25">
      <c r="A42" s="7" t="str">
        <f t="shared" si="0"/>
        <v>Revenus d'intérêts</v>
      </c>
      <c r="B42" s="103" t="str">
        <f>PlanComptable[[#This Row],[Colonne1]]</f>
        <v>4015</v>
      </c>
      <c r="D42" s="126" t="s">
        <v>86</v>
      </c>
      <c r="E42" s="5" t="s">
        <v>93</v>
      </c>
      <c r="F42" s="6" t="s">
        <v>94</v>
      </c>
    </row>
    <row r="43" spans="1:6" x14ac:dyDescent="0.25">
      <c r="A43" s="7" t="str">
        <f t="shared" si="0"/>
        <v>Revenus de dividendes</v>
      </c>
      <c r="B43" s="103" t="str">
        <f>PlanComptable[[#This Row],[Colonne1]]</f>
        <v>4016</v>
      </c>
      <c r="D43" s="126" t="s">
        <v>86</v>
      </c>
      <c r="E43" s="5" t="s">
        <v>95</v>
      </c>
      <c r="F43" s="6" t="s">
        <v>96</v>
      </c>
    </row>
    <row r="44" spans="1:6" x14ac:dyDescent="0.25">
      <c r="A44" s="7" t="str">
        <f t="shared" si="0"/>
        <v>Prise de valeur - Valeur de consolidation</v>
      </c>
      <c r="B44" s="103" t="str">
        <f>PlanComptable[[#This Row],[Colonne1]]</f>
        <v>4017</v>
      </c>
      <c r="D44" s="126" t="s">
        <v>86</v>
      </c>
      <c r="E44" s="5" t="s">
        <v>97</v>
      </c>
      <c r="F44" s="5" t="s">
        <v>98</v>
      </c>
    </row>
    <row r="45" spans="1:6" x14ac:dyDescent="0.25">
      <c r="A45" s="7" t="str">
        <f t="shared" si="0"/>
        <v>Doc. et outils de recherche</v>
      </c>
      <c r="B45" s="103" t="str">
        <f>PlanComptable[[#This Row],[Colonne1]]</f>
        <v>5000</v>
      </c>
      <c r="D45" s="126" t="s">
        <v>99</v>
      </c>
      <c r="E45" s="5" t="s">
        <v>100</v>
      </c>
      <c r="F45" s="6" t="s">
        <v>101</v>
      </c>
    </row>
    <row r="46" spans="1:6" x14ac:dyDescent="0.25">
      <c r="A46" s="7" t="str">
        <f t="shared" si="0"/>
        <v>Formations</v>
      </c>
      <c r="B46" s="103" t="str">
        <f>PlanComptable[[#This Row],[Colonne1]]</f>
        <v>5001</v>
      </c>
      <c r="D46" s="126" t="s">
        <v>99</v>
      </c>
      <c r="E46" s="5" t="s">
        <v>102</v>
      </c>
      <c r="F46" s="6" t="s">
        <v>103</v>
      </c>
    </row>
    <row r="47" spans="1:6" x14ac:dyDescent="0.25">
      <c r="A47" s="7" t="str">
        <f t="shared" si="0"/>
        <v>Fournitures de bureau</v>
      </c>
      <c r="B47" s="103" t="str">
        <f>PlanComptable[[#This Row],[Colonne1]]</f>
        <v>5002</v>
      </c>
      <c r="D47" s="126" t="s">
        <v>99</v>
      </c>
      <c r="E47" s="5" t="s">
        <v>104</v>
      </c>
      <c r="F47" s="6" t="s">
        <v>105</v>
      </c>
    </row>
    <row r="48" spans="1:6" x14ac:dyDescent="0.25">
      <c r="A48" s="7" t="str">
        <f t="shared" si="0"/>
        <v>Frais de représentation</v>
      </c>
      <c r="B48" s="103" t="str">
        <f>PlanComptable[[#This Row],[Colonne1]]</f>
        <v>5003</v>
      </c>
      <c r="D48" s="126" t="s">
        <v>99</v>
      </c>
      <c r="E48" s="5" t="s">
        <v>106</v>
      </c>
      <c r="F48" s="6" t="s">
        <v>107</v>
      </c>
    </row>
    <row r="49" spans="1:6" x14ac:dyDescent="0.25">
      <c r="A49" s="7" t="str">
        <f t="shared" si="0"/>
        <v>Golf / Pourvoirie</v>
      </c>
      <c r="B49" s="103" t="str">
        <f>PlanComptable[[#This Row],[Colonne1]]</f>
        <v>5003b</v>
      </c>
      <c r="D49" s="126" t="s">
        <v>99</v>
      </c>
      <c r="E49" s="5" t="s">
        <v>108</v>
      </c>
      <c r="F49" s="6" t="s">
        <v>109</v>
      </c>
    </row>
    <row r="50" spans="1:6" x14ac:dyDescent="0.25">
      <c r="A50" s="7" t="str">
        <f t="shared" si="0"/>
        <v>Frais de déplacement</v>
      </c>
      <c r="B50" s="103" t="str">
        <f>PlanComptable[[#This Row],[Colonne1]]</f>
        <v>5004</v>
      </c>
      <c r="D50" s="126" t="s">
        <v>99</v>
      </c>
      <c r="E50" s="5" t="s">
        <v>110</v>
      </c>
      <c r="F50" s="6" t="s">
        <v>111</v>
      </c>
    </row>
    <row r="51" spans="1:6" x14ac:dyDescent="0.25">
      <c r="A51" s="7" t="str">
        <f t="shared" si="0"/>
        <v>Frais de publicité</v>
      </c>
      <c r="B51" s="103" t="str">
        <f>PlanComptable[[#This Row],[Colonne1]]</f>
        <v>5005</v>
      </c>
      <c r="D51" s="126" t="s">
        <v>99</v>
      </c>
      <c r="E51" s="5" t="s">
        <v>112</v>
      </c>
      <c r="F51" s="6" t="s">
        <v>113</v>
      </c>
    </row>
    <row r="52" spans="1:6" x14ac:dyDescent="0.25">
      <c r="A52" s="7" t="str">
        <f t="shared" si="0"/>
        <v>Fournitures informatiques &amp; Site web</v>
      </c>
      <c r="B52" s="103" t="str">
        <f>PlanComptable[[#This Row],[Colonne1]]</f>
        <v>5006</v>
      </c>
      <c r="D52" s="126" t="s">
        <v>99</v>
      </c>
      <c r="E52" s="5" t="s">
        <v>114</v>
      </c>
      <c r="F52" s="6" t="s">
        <v>115</v>
      </c>
    </row>
    <row r="53" spans="1:6" x14ac:dyDescent="0.25">
      <c r="A53" s="7" t="str">
        <f t="shared" ref="A53:A63" si="1">F53</f>
        <v>Loyer</v>
      </c>
      <c r="B53" s="103" t="str">
        <f>PlanComptable[[#This Row],[Colonne1]]</f>
        <v>5007</v>
      </c>
      <c r="D53" s="126" t="s">
        <v>99</v>
      </c>
      <c r="E53" s="5" t="s">
        <v>116</v>
      </c>
      <c r="F53" s="6" t="s">
        <v>117</v>
      </c>
    </row>
    <row r="54" spans="1:6" x14ac:dyDescent="0.25">
      <c r="A54" s="7" t="str">
        <f t="shared" si="1"/>
        <v>Électricité</v>
      </c>
      <c r="B54" s="103" t="str">
        <f>PlanComptable[[#This Row],[Colonne1]]</f>
        <v>5007a</v>
      </c>
      <c r="D54" s="126" t="s">
        <v>99</v>
      </c>
      <c r="E54" s="5" t="s">
        <v>219</v>
      </c>
      <c r="F54" s="6" t="s">
        <v>220</v>
      </c>
    </row>
    <row r="55" spans="1:6" x14ac:dyDescent="0.25">
      <c r="A55" s="7" t="str">
        <f t="shared" si="1"/>
        <v>Frais de communications</v>
      </c>
      <c r="B55" s="103" t="str">
        <f>PlanComptable[[#This Row],[Colonne1]]</f>
        <v>5008</v>
      </c>
      <c r="D55" s="126" t="s">
        <v>99</v>
      </c>
      <c r="E55" s="5" t="s">
        <v>118</v>
      </c>
      <c r="F55" s="6" t="s">
        <v>119</v>
      </c>
    </row>
    <row r="56" spans="1:6" x14ac:dyDescent="0.25">
      <c r="A56" s="7" t="str">
        <f t="shared" si="1"/>
        <v>Frais de poste</v>
      </c>
      <c r="B56" s="103" t="str">
        <f>PlanComptable[[#This Row],[Colonne1]]</f>
        <v>5009</v>
      </c>
      <c r="D56" s="126" t="s">
        <v>99</v>
      </c>
      <c r="E56" s="5" t="s">
        <v>120</v>
      </c>
      <c r="F56" s="6" t="s">
        <v>121</v>
      </c>
    </row>
    <row r="57" spans="1:6" x14ac:dyDescent="0.25">
      <c r="A57" s="7" t="str">
        <f t="shared" si="1"/>
        <v>Salaires et Sous-traitance</v>
      </c>
      <c r="B57" s="103" t="str">
        <f>PlanComptable[[#This Row],[Colonne1]]</f>
        <v>5010</v>
      </c>
      <c r="D57" s="126" t="s">
        <v>99</v>
      </c>
      <c r="E57" s="5" t="s">
        <v>122</v>
      </c>
      <c r="F57" s="6" t="s">
        <v>123</v>
      </c>
    </row>
    <row r="58" spans="1:6" x14ac:dyDescent="0.25">
      <c r="A58" s="7" t="str">
        <f t="shared" si="1"/>
        <v>Assurance &amp; Cotisation professionnelle</v>
      </c>
      <c r="B58" s="103" t="str">
        <f>PlanComptable[[#This Row],[Colonne1]]</f>
        <v>5011</v>
      </c>
      <c r="D58" s="126" t="s">
        <v>99</v>
      </c>
      <c r="E58" s="5" t="s">
        <v>124</v>
      </c>
      <c r="F58" s="6" t="s">
        <v>125</v>
      </c>
    </row>
    <row r="59" spans="1:6" x14ac:dyDescent="0.25">
      <c r="A59" s="7" t="str">
        <f t="shared" si="1"/>
        <v>Frais financiers</v>
      </c>
      <c r="B59" s="103" t="str">
        <f>PlanComptable[[#This Row],[Colonne1]]</f>
        <v>5013</v>
      </c>
      <c r="D59" s="126" t="s">
        <v>99</v>
      </c>
      <c r="E59" s="5" t="s">
        <v>126</v>
      </c>
      <c r="F59" s="6" t="s">
        <v>127</v>
      </c>
    </row>
    <row r="60" spans="1:6" x14ac:dyDescent="0.25">
      <c r="A60" s="7" t="str">
        <f t="shared" si="1"/>
        <v>Amortissement</v>
      </c>
      <c r="B60" s="103" t="str">
        <f>PlanComptable[[#This Row],[Colonne1]]</f>
        <v>5015</v>
      </c>
      <c r="D60" s="126" t="s">
        <v>99</v>
      </c>
      <c r="E60" s="5" t="s">
        <v>128</v>
      </c>
      <c r="F60" s="6" t="s">
        <v>129</v>
      </c>
    </row>
    <row r="61" spans="1:6" x14ac:dyDescent="0.25">
      <c r="A61" s="7" t="str">
        <f t="shared" si="1"/>
        <v>Mauvaises créances</v>
      </c>
      <c r="B61" s="103" t="str">
        <f>PlanComptable[[#This Row],[Colonne1]]</f>
        <v>5016</v>
      </c>
      <c r="D61" s="126" t="s">
        <v>99</v>
      </c>
      <c r="E61" s="5" t="s">
        <v>130</v>
      </c>
      <c r="F61" s="6" t="s">
        <v>131</v>
      </c>
    </row>
    <row r="62" spans="1:6" x14ac:dyDescent="0.25">
      <c r="A62" s="7" t="str">
        <f t="shared" si="1"/>
        <v>Assurance - loyer</v>
      </c>
      <c r="B62" s="103" t="str">
        <f>PlanComptable[[#This Row],[Colonne1]]</f>
        <v>5020</v>
      </c>
      <c r="D62" s="126" t="s">
        <v>99</v>
      </c>
      <c r="E62" s="5" t="s">
        <v>132</v>
      </c>
      <c r="F62" s="6" t="s">
        <v>133</v>
      </c>
    </row>
    <row r="63" spans="1:6" x14ac:dyDescent="0.25">
      <c r="A63" s="7" t="str">
        <f t="shared" si="1"/>
        <v>Impôts exigibles</v>
      </c>
      <c r="B63" s="103" t="str">
        <f>PlanComptable[[#This Row],[Colonne1]]</f>
        <v>9000</v>
      </c>
      <c r="D63" s="128" t="s">
        <v>99</v>
      </c>
      <c r="E63" s="129" t="s">
        <v>134</v>
      </c>
      <c r="F63" s="130" t="s">
        <v>135</v>
      </c>
    </row>
  </sheetData>
  <conditionalFormatting sqref="D3:F22">
    <cfRule type="expression" dxfId="32" priority="9">
      <formula>#REF!=ROW()</formula>
    </cfRule>
  </conditionalFormatting>
  <conditionalFormatting sqref="D3:F9">
    <cfRule type="expression" dxfId="31" priority="10">
      <formula>AND($K1&lt;&gt;"",MOD(ROW(),2)=0)</formula>
    </cfRule>
  </conditionalFormatting>
  <conditionalFormatting sqref="D3:F63">
    <cfRule type="expression" dxfId="30" priority="8">
      <formula>MOD(ROW(),2)=0</formula>
    </cfRule>
  </conditionalFormatting>
  <conditionalFormatting sqref="D5:F42">
    <cfRule type="expression" dxfId="29" priority="11">
      <formula>AND($K1&lt;&gt;"",MOD(ROW(),2)=0)</formula>
    </cfRule>
  </conditionalFormatting>
  <conditionalFormatting sqref="D8:F9 D3:F3">
    <cfRule type="expression" dxfId="28" priority="7">
      <formula>AND($K1048576&lt;&gt;"",MOD(ROW(),2)=0)</formula>
    </cfRule>
  </conditionalFormatting>
  <conditionalFormatting sqref="D3:D53">
    <cfRule type="expression" dxfId="27" priority="12">
      <formula>AND($L1048564&lt;&gt;"",MOD(ROW(),2)=0)</formula>
    </cfRule>
  </conditionalFormatting>
  <conditionalFormatting sqref="D46:F46">
    <cfRule type="expression" dxfId="26" priority="13">
      <formula>AND(#REF!&lt;&gt;"",MOD(ROW(),2)=0)</formula>
    </cfRule>
  </conditionalFormatting>
  <conditionalFormatting sqref="D50:F53">
    <cfRule type="expression" dxfId="25" priority="14">
      <formula>AND($K84&lt;&gt;"",MOD(ROW(),2)=0)</formula>
    </cfRule>
  </conditionalFormatting>
  <conditionalFormatting sqref="D59:F59">
    <cfRule type="expression" dxfId="24" priority="15">
      <formula>AND(#REF!&lt;&gt;"",MOD(ROW(),2)=0)</formula>
    </cfRule>
  </conditionalFormatting>
  <conditionalFormatting sqref="D63:F63">
    <cfRule type="expression" dxfId="23" priority="16">
      <formula>AND($K84&lt;&gt;"",MOD(ROW(),2)=0)</formula>
    </cfRule>
  </conditionalFormatting>
  <conditionalFormatting sqref="D47:F49">
    <cfRule type="expression" dxfId="22" priority="17">
      <formula>AND($K79&lt;&gt;"",MOD(ROW(),2)=0)</formula>
    </cfRule>
  </conditionalFormatting>
  <conditionalFormatting sqref="D60:F62">
    <cfRule type="expression" dxfId="21" priority="18">
      <formula>AND($K79&lt;&gt;"",MOD(ROW(),2)=0)</formula>
    </cfRule>
  </conditionalFormatting>
  <conditionalFormatting sqref="D4:F4">
    <cfRule type="expression" dxfId="20" priority="19">
      <formula>AND(#REF!&lt;&gt;"",MOD(ROW(),2)=0)</formula>
    </cfRule>
  </conditionalFormatting>
  <conditionalFormatting sqref="D52:F53">
    <cfRule type="expression" dxfId="19" priority="20">
      <formula>AND($K36&lt;&gt;"",MOD(ROW(),2)=0)</formula>
    </cfRule>
  </conditionalFormatting>
  <conditionalFormatting sqref="D43:F43">
    <cfRule type="expression" dxfId="18" priority="26">
      <formula>AND($K50&lt;&gt;"",MOD(ROW(),2)=0)</formula>
    </cfRule>
  </conditionalFormatting>
  <conditionalFormatting sqref="D56:F56">
    <cfRule type="expression" dxfId="17" priority="27">
      <formula>AND($K50&lt;&gt;"",MOD(ROW(),2)=0)</formula>
    </cfRule>
  </conditionalFormatting>
  <conditionalFormatting sqref="D44:F45">
    <cfRule type="expression" dxfId="16" priority="28">
      <formula>AND($K52&lt;&gt;"",MOD(ROW(),2)=0)</formula>
    </cfRule>
  </conditionalFormatting>
  <conditionalFormatting sqref="C1:C10">
    <cfRule type="expression" dxfId="15" priority="4">
      <formula>#REF!=ROW()</formula>
    </cfRule>
  </conditionalFormatting>
  <conditionalFormatting sqref="C1:C10">
    <cfRule type="expression" dxfId="14" priority="5">
      <formula>AND($K1048575&lt;&gt;"",MOD(ROW(),2)=0)</formula>
    </cfRule>
  </conditionalFormatting>
  <conditionalFormatting sqref="C1:C10">
    <cfRule type="expression" dxfId="13" priority="3">
      <formula>MOD(ROW(),2)=0</formula>
    </cfRule>
  </conditionalFormatting>
  <conditionalFormatting sqref="C1:C10">
    <cfRule type="expression" dxfId="12" priority="6">
      <formula>AND(#REF!&lt;&gt;"",MOD(ROW(),2)=0)</formula>
    </cfRule>
  </conditionalFormatting>
  <conditionalFormatting sqref="D57:F58">
    <cfRule type="expression" dxfId="11" priority="31">
      <formula>AND($K52&lt;&gt;"",MOD(ROW(),2)=0)</formula>
    </cfRule>
  </conditionalFormatting>
  <conditionalFormatting sqref="D53:D63">
    <cfRule type="expression" dxfId="10" priority="34">
      <formula>AND($L37&lt;&gt;"",MOD(ROW(),2)=0)</formula>
    </cfRule>
  </conditionalFormatting>
  <conditionalFormatting sqref="D54:F63">
    <cfRule type="expression" dxfId="9" priority="36">
      <formula>AND($K87&lt;&gt;"",MOD(ROW(),2)=0)</formula>
    </cfRule>
  </conditionalFormatting>
  <conditionalFormatting sqref="D54:F55">
    <cfRule type="expression" dxfId="8" priority="38">
      <formula>AND($K37&lt;&gt;"",MOD(ROW(),2)=0)</formula>
    </cfRule>
  </conditionalFormatting>
  <conditionalFormatting sqref="D53:F53">
    <cfRule type="expression" dxfId="7" priority="1">
      <formula>AND($K86&lt;&gt;"",MOD(ROW(),2)=0)</formula>
    </cfRule>
  </conditionalFormatting>
  <conditionalFormatting sqref="D53:F53">
    <cfRule type="expression" dxfId="6" priority="2">
      <formula>AND($K36&lt;&gt;"",MOD(ROW(),2)=0)</formula>
    </cfRule>
  </conditionalFormatting>
  <dataValidations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3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</vt:i4>
      </vt:variant>
    </vt:vector>
  </HeadingPairs>
  <TitlesOfParts>
    <vt:vector size="12" baseType="lpstr">
      <vt:lpstr>EJ</vt:lpstr>
      <vt:lpstr>Trans</vt:lpstr>
      <vt:lpstr>EJ_Auto</vt:lpstr>
      <vt:lpstr>BV</vt:lpstr>
      <vt:lpstr>PlanComptable</vt:lpstr>
      <vt:lpstr>PlanComptable!COA</vt:lpstr>
      <vt:lpstr>DescEJRecurrente</vt:lpstr>
      <vt:lpstr>BV!Impression_des_titres</vt:lpstr>
      <vt:lpstr>Trans!Impression_des_titres</vt:lpstr>
      <vt:lpstr>wshJEAutoDesc</vt:lpstr>
      <vt:lpstr>BV!Zone_d_impression</vt:lpstr>
      <vt:lpstr>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2023-10-13T18:29:37Z</cp:lastPrinted>
  <dcterms:created xsi:type="dcterms:W3CDTF">2023-10-05T16:17:00Z</dcterms:created>
  <dcterms:modified xsi:type="dcterms:W3CDTF">2023-10-14T12:10:32Z</dcterms:modified>
</cp:coreProperties>
</file>