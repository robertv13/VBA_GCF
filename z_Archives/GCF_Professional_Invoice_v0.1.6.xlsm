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86E22EF-B281-4628-9FFF-0173A7E860E3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9" l="1"/>
  <c r="G22" i="9"/>
  <c r="G21" i="9"/>
  <c r="G20" i="9"/>
  <c r="G19" i="9"/>
  <c r="G18" i="9"/>
  <c r="G17" i="9"/>
  <c r="G16" i="9"/>
  <c r="G15" i="9"/>
  <c r="G14" i="9"/>
  <c r="G13" i="9"/>
  <c r="G12" i="9"/>
  <c r="G11" i="9"/>
  <c r="T61" i="3"/>
  <c r="T62" i="3"/>
  <c r="T63" i="3"/>
  <c r="G10" i="9"/>
  <c r="G9" i="9"/>
  <c r="G8" i="9"/>
  <c r="G7" i="9"/>
  <c r="G6" i="9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<sst xmlns="http://schemas.openxmlformats.org/spreadsheetml/2006/main" count="491" uniqueCount="220">
  <si>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</si>
  <si>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</si>
  <si>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</si>
  <si>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</si>
  <si>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</si>
  <si>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</si>
  <si>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</si>
  <si>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</si>
  <si>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</si>
  <si>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</si>
  <si>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</si>
  <si>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</si>
  <si>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</si>
  <si>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</si>
  <si>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</si>
  <si>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</si>
  <si>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</si>
  <si>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</si>
  <si>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</si>
  <si>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</si>
  <si>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</si>
  <si>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</si>
  <si>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</si>
  <si>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</si>
  <si>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</si>
  <si>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</si>
  <si>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</si>
  <si>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</si>
  <si>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</si>
  <si>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</si>
  <si>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</si>
  <si>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Entry Load</t>
  </si>
  <si>
    <t>INVOICE LIST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</si>
  <si>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</si>
  <si>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</si>
  <si>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</si>
  <si>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</si>
  <si>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</si>
  <si>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</si>
  <si>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</si>
  <si>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</si>
  <si>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</si>
  <si>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</si>
  <si>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</si>
  <si>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</si>
  <si>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</si>
  <si>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</si>
  <si>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</si>
  <si>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</si>
  <si>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</si>
  <si>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</si>
  <si>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</si>
  <si>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</si>
  <si>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</si>
  <si>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</si>
  <si>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</si>
  <si>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</si>
  <si>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</si>
  <si>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</si>
  <si>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</si>
  <si>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</si>
  <si>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</si>
  <si>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</si>
  <si>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</si>
  <si>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</si>
  <si>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</si>
  <si>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</si>
  <si>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</si>
  <si>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</si>
  <si>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</si>
  <si>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</si>
  <si>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</si>
  <si>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</si>
  <si>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</si>
  <si>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</si>
  <si>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</si>
  <si>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</si>
  <si>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</si>
  <si>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</si>
  <si>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</si>
  <si>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</si>
  <si>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</si>
  <si>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</si>
  <si>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</si>
  <si>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</si>
  <si>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</si>
  <si>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</si>
  <si>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</si>
  <si>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</si>
  <si>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</si>
  <si>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</si>
  <si>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</si>
  <si>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</si>
  <si>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</si>
  <si>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</si>
  <si>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</si>
  <si>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</si>
  <si>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</si>
  <si>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</si>
  <si>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</si>
  <si>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</si>
  <si>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</si>
  <si>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</si>
  <si>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</si>
  <si>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</si>
  <si>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</si>
  <si>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</si>
  <si>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</si>
  <si>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</si>
  <si>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</si>
  <si>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</si>
  <si>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</si>
  <si>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</si>
  <si>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</si>
  <si>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</si>
  <si>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</si>
  <si>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</si>
  <si>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</si>
  <si>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</si>
  <si>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</si>
  <si>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</si>
  <si>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</si>
  <si>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</si>
  <si>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</si>
  <si>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</si>
  <si>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</si>
  <si>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</si>
  <si>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</si>
  <si>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</si>
  <si>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</si>
  <si>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</si>
  <si>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</si>
  <si>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</si>
  <si>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</si>
  <si>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</si>
  <si>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</si>
  <si>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</si>
  <si>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</si>
  <si>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</si>
  <si>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</si>
  <si>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</si>
  <si>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</si>
  <si>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</si>
  <si>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</si>
  <si>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</si>
  <si>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</si>
  <si>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</si>
  <si>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</si>
  <si>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</si>
  <si>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</si>
  <si>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</si>
  <si>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</si>
  <si>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</si>
  <si>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</si>
  <si>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</si>
  <si>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</si>
  <si>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</si>
  <si>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</si>
  <si>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</si>
  <si>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</si>
  <si>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</si>
  <si>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</si>
  <si>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</si>
  <si>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</si>
  <si>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</si>
  <si>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</si>
  <si>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</si>
  <si>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</si>
  <si>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</si>
  <si>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</si>
  <si>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</si>
  <si>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</si>
  <si>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</si>
  <si>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</si>
  <si>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</si>
  <si>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</si>
  <si>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</si>
  <si>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</si>
  <si>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</si>
  <si>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</si>
  <si>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</si>
  <si>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</si>
  <si>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</si>
  <si>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</si>
  <si>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</si>
  <si>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</si>
  <si>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</si>
  <si>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</si>
  <si>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</si>
  <si>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</si>
  <si>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</si>
  <si>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</si>
  <si>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</si>
  <si>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</si>
  <si>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</si>
  <si>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</si>
  <si>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</si>
  <si>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</si>
  <si>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</si>
  <si>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</si>
  <si>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</si>
  <si>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</si>
  <si>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</si>
  <si>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</si>
  <si>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</si>
  <si>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</si>
  <si>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</si>
  <si>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</si>
  <si>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</si>
  <si>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</si>
  <si>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</si>
  <si>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</si>
  <si>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</si>
  <si>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Deposit</t>
  </si>
  <si>
    <t>N52</t>
  </si>
  <si>
    <t>Honoraires</t>
  </si>
  <si>
    <t>Taux/H</t>
  </si>
  <si>
    <t>Le 27 septembre 2023</t>
  </si>
  <si>
    <t>Mascouche, QC, J7K 3C1</t>
  </si>
  <si>
    <t>Debug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</si>
</sst>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center" wrapText="1" shrinkToFit="1"/>
    </xf>
    <xf numFmtId="164" fontId="35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11</xdr:row>
      <xdr:rowOff>74295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087850" y="777207"/>
          <a:ext cx="1858417" cy="1640238"/>
          <a:chOff x="14897539" y="772510"/>
          <a:chExt cx="1182886" cy="137584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974803"/>
            <a:chOff x="14950091" y="972102"/>
            <a:chExt cx="1182886" cy="974803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1716803"/>
              <a:ext cx="1164035" cy="230102"/>
              <a:chOff x="14974387" y="1716803"/>
              <a:chExt cx="1164035" cy="230102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1716803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1731" y="1728160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3390900</xdr:colOff>
          <xdr:row>7</xdr:row>
          <xdr:rowOff>123825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A26" sqref="A26:B2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0"/>
      <c r="C1" s="173" t="s">
        <v>211</v>
      </c>
      <c r="D1" s="173"/>
      <c r="E1" s="173"/>
      <c r="F1" s="173"/>
      <c r="G1" s="173"/>
      <c r="H1" s="173"/>
      <c r="I1" s="173" t="s">
        <v>128</v>
      </c>
      <c r="J1" s="173"/>
      <c r="K1" s="173"/>
      <c r="L1" s="173"/>
      <c r="M1" s="173"/>
      <c r="N1" s="173"/>
      <c r="O1" s="148"/>
      <c r="P1" s="100"/>
      <c r="Q1" s="100"/>
      <c r="R1" s="17"/>
      <c r="Y1" s="9"/>
    </row>
    <row r="2" spans="1:25" ht="20.100000000000001" customHeight="1" x14ac:dyDescent="0.25">
      <c r="A2" s="73" t="s">
        <v>98</v>
      </c>
      <c r="B2" s="85">
        <v>15</v>
      </c>
      <c r="C2" s="139"/>
      <c r="D2" s="8"/>
      <c r="E2" s="8"/>
      <c r="F2" s="8"/>
      <c r="G2" s="8"/>
      <c r="H2" s="139"/>
      <c r="I2" s="181"/>
      <c r="J2" s="181"/>
      <c r="K2" s="181"/>
      <c r="L2" s="181"/>
      <c r="M2" s="181"/>
      <c r="N2" s="181"/>
      <c r="O2" s="149"/>
      <c r="P2" s="29" t="s">
        <v>70</v>
      </c>
      <c r="Q2" s="18"/>
      <c r="R2" s="8"/>
      <c r="Y2" s="9"/>
    </row>
    <row r="3" spans="1:25" ht="15" customHeight="1" x14ac:dyDescent="0.25">
      <c r="A3" s="73" t="s">
        <v>40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217</v>
      </c>
      <c r="K3" s="108"/>
      <c r="L3" s="43"/>
      <c r="M3" s="44"/>
      <c r="N3" s="45">
        <v>45196</v>
      </c>
      <c r="O3" s="150"/>
      <c r="P3" s="9"/>
      <c r="Q3" s="9"/>
      <c r="R3" s="9"/>
      <c r="Y3" s="9"/>
    </row>
    <row r="4" spans="1:25" ht="15" customHeight="1" x14ac:dyDescent="0.25">
      <c r="A4" s="73" t="s">
        <v>41</v>
      </c>
      <c r="B4" s="66">
        <f ca="1">IFERROR(MAX(BillEntry_ID)+1,1)</f>
        <v>31</v>
      </c>
      <c r="C4" s="140"/>
      <c r="D4" s="28" t="s">
        <v>66</v>
      </c>
      <c r="E4" s="103" t="s">
        <v>84</v>
      </c>
      <c r="F4" s="28" t="s">
        <v>5</v>
      </c>
      <c r="G4" s="30">
        <v>45153</v>
      </c>
      <c r="H4" s="140"/>
      <c r="I4" s="43"/>
      <c r="J4" s="184" t="s">
        <v>91</v>
      </c>
      <c r="K4" s="184"/>
      <c r="L4" s="43"/>
      <c r="M4" s="45"/>
      <c r="N4" s="45">
        <v>45228</v>
      </c>
      <c r="O4" s="150"/>
      <c r="P4" s="9"/>
      <c r="Q4" s="9"/>
      <c r="R4" s="9"/>
      <c r="Y4" s="9"/>
    </row>
    <row r="5" spans="1:25" ht="15" customHeight="1" x14ac:dyDescent="0.25">
      <c r="A5" s="74" t="s">
        <v>109</v>
      </c>
      <c r="B5" s="86">
        <f ca="1">IFERROR(INDEX(Cust_ID,MATCH(E4,Cust_Name,0),1),"")</f>
        <v>1</v>
      </c>
      <c r="C5" s="140"/>
      <c r="D5" s="177" t="s">
        <v>4</v>
      </c>
      <c r="E5" s="174" t="s">
        <v>171</v>
      </c>
      <c r="F5" s="28" t="s">
        <v>67</v>
      </c>
      <c r="G5" s="31">
        <v>10</v>
      </c>
      <c r="H5" s="140"/>
      <c r="I5" s="42"/>
      <c r="J5" s="42" t="s">
        <v>104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39</v>
      </c>
      <c r="B6" s="67">
        <f ca="1">IFERROR(MATCH(E4,Cust_Name,0)+3,"")</f>
        <v>4</v>
      </c>
      <c r="C6" s="140"/>
      <c r="D6" s="178"/>
      <c r="E6" s="175"/>
      <c r="F6" s="28" t="s">
        <v>68</v>
      </c>
      <c r="G6" s="47">
        <v>30</v>
      </c>
      <c r="H6" s="140"/>
      <c r="I6" s="42"/>
      <c r="J6" s="42" t="s">
        <v>218</v>
      </c>
      <c r="K6" s="42"/>
      <c r="L6" s="43"/>
      <c r="M6" s="118" t="s">
        <v>164</v>
      </c>
      <c r="N6" s="117">
        <v>9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110</v>
      </c>
      <c r="B7" s="86">
        <f ca="1">IFERROR(MAX(Cust_ID)+1,1)</f>
        <v>4</v>
      </c>
      <c r="C7" s="140"/>
      <c r="D7" s="179"/>
      <c r="E7" s="176"/>
      <c r="F7" s="28" t="s">
        <v>69</v>
      </c>
      <c r="G7" s="32" t="s">
        <v>3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111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82" t="s">
        <v>83</v>
      </c>
      <c r="J8" s="183"/>
      <c r="K8" s="183"/>
      <c r="L8" s="183"/>
      <c r="M8" s="183"/>
      <c r="N8" s="183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62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163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112</v>
      </c>
      <c r="B10" s="87">
        <f ca="1">IFERROR(MAX(Proj_ID)+1,1)</f>
        <v>4</v>
      </c>
      <c r="C10" s="140"/>
      <c r="D10" s="180" t="s">
        <v>96</v>
      </c>
      <c r="E10" s="180"/>
      <c r="F10" s="180"/>
      <c r="G10" s="180"/>
      <c r="H10" s="140"/>
      <c r="I10" s="48"/>
      <c r="J10" s="48"/>
      <c r="K10" s="48"/>
      <c r="L10" s="109"/>
      <c r="M10" s="120"/>
      <c r="N10" s="63" t="str">
        <f>IF(L10*M10&lt;&gt;0,L10*M10,"")</f>
        <v/>
      </c>
      <c r="O10" s="150"/>
      <c r="P10" s="9"/>
      <c r="Q10" s="9"/>
      <c r="R10" s="9"/>
      <c r="Y10" s="9"/>
    </row>
    <row r="11" spans="1:25" ht="15" customHeight="1" x14ac:dyDescent="0.25">
      <c r="A11" s="76" t="s">
        <v>108</v>
      </c>
      <c r="B11" s="88" t="str">
        <f ca="1">IFERROR(INDEX(ServItem_ID,MATCH(E6,ServItem_Name,0),1),"")</f>
        <v/>
      </c>
      <c r="C11" s="140"/>
      <c r="D11" s="33" t="s">
        <v>71</v>
      </c>
      <c r="E11" s="33" t="s">
        <v>4</v>
      </c>
      <c r="F11" s="33" t="s">
        <v>67</v>
      </c>
      <c r="G11" s="33" t="s">
        <v>69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50"/>
      <c r="P11" s="9"/>
      <c r="Q11" s="9"/>
      <c r="R11" s="9"/>
      <c r="Y11" s="9"/>
    </row>
    <row r="12" spans="1:25" ht="15" customHeight="1" x14ac:dyDescent="0.25">
      <c r="A12" s="76" t="s">
        <v>63</v>
      </c>
      <c r="B12" s="69" t="str">
        <f ca="1">IFERROR(MATCH(E6,ServItem_Name,0)+3,"")</f>
        <v/>
      </c>
      <c r="C12" s="119">
        <v>4</v>
      </c>
      <c r="D12" s="24">
        <v>45142</v>
      </c>
      <c r="E12" s="25" t="s">
        <v>172</v>
      </c>
      <c r="F12" s="26">
        <v>6</v>
      </c>
      <c r="G12" s="27" t="s">
        <v>3</v>
      </c>
      <c r="H12" s="119">
        <v>7</v>
      </c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113</v>
      </c>
      <c r="B13" s="88">
        <f ca="1">IFERROR(MAX(ServItem_ID)+1,1)</f>
        <v>41</v>
      </c>
      <c r="C13" s="119">
        <v>6</v>
      </c>
      <c r="D13" s="24">
        <v>45144</v>
      </c>
      <c r="E13" s="25" t="s">
        <v>171</v>
      </c>
      <c r="F13" s="26">
        <v>20</v>
      </c>
      <c r="G13" s="27" t="s">
        <v>3</v>
      </c>
      <c r="H13" s="119">
        <v>9</v>
      </c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64</v>
      </c>
      <c r="B14" s="70">
        <f>COUNTA(E4,E5,E6,G4)</f>
        <v>3</v>
      </c>
      <c r="C14" s="119">
        <v>13</v>
      </c>
      <c r="D14" s="24">
        <v>45151</v>
      </c>
      <c r="E14" s="25" t="s">
        <v>172</v>
      </c>
      <c r="F14" s="26">
        <v>16</v>
      </c>
      <c r="G14" s="27" t="s">
        <v>3</v>
      </c>
      <c r="H14" s="119">
        <v>16</v>
      </c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65</v>
      </c>
      <c r="B15" s="70" t="b">
        <v>0</v>
      </c>
      <c r="C15" s="119">
        <v>15</v>
      </c>
      <c r="D15" s="24">
        <v>45153</v>
      </c>
      <c r="E15" s="25" t="s">
        <v>171</v>
      </c>
      <c r="F15" s="26">
        <v>10</v>
      </c>
      <c r="G15" s="27" t="s">
        <v>3</v>
      </c>
      <c r="H15" s="119">
        <v>18</v>
      </c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6</v>
      </c>
      <c r="B16" s="70" t="b">
        <v>1</v>
      </c>
      <c r="C16" s="119">
        <v>16</v>
      </c>
      <c r="D16" s="24">
        <v>45154</v>
      </c>
      <c r="E16" s="25" t="s">
        <v>172</v>
      </c>
      <c r="F16" s="26">
        <v>26</v>
      </c>
      <c r="G16" s="27" t="s">
        <v>3</v>
      </c>
      <c r="H16" s="119">
        <v>19</v>
      </c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46</v>
      </c>
      <c r="B17" s="70">
        <v>15</v>
      </c>
      <c r="C17" s="119">
        <v>18</v>
      </c>
      <c r="D17" s="24">
        <v>45156</v>
      </c>
      <c r="E17" s="25" t="s">
        <v>171</v>
      </c>
      <c r="F17" s="26">
        <v>5</v>
      </c>
      <c r="G17" s="27" t="s">
        <v>3</v>
      </c>
      <c r="H17" s="119">
        <v>21</v>
      </c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27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114</v>
      </c>
      <c r="B18" s="89">
        <f ca="1">IFERROR(INDEX(Cust_ID,MATCH(J4,Cust_Name,0),1),"")</f>
        <v>2</v>
      </c>
      <c r="C18" s="119">
        <v>28</v>
      </c>
      <c r="D18" s="24">
        <v>45175</v>
      </c>
      <c r="E18" s="25" t="s">
        <v>171</v>
      </c>
      <c r="F18" s="26">
        <v>10</v>
      </c>
      <c r="G18" s="27" t="s">
        <v>3</v>
      </c>
      <c r="H18" s="119">
        <v>31</v>
      </c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48</v>
      </c>
      <c r="B19" s="71">
        <f ca="1">IFERROR(MATCH(J4,Cust_Name,0)+3,"")</f>
        <v>5</v>
      </c>
      <c r="C19" s="119">
        <v>29</v>
      </c>
      <c r="D19" s="24">
        <v>45173</v>
      </c>
      <c r="E19" s="25" t="s">
        <v>172</v>
      </c>
      <c r="F19" s="26">
        <v>26</v>
      </c>
      <c r="G19" s="27" t="s">
        <v>3</v>
      </c>
      <c r="H19" s="119">
        <v>32</v>
      </c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166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26</v>
      </c>
      <c r="B20" s="71">
        <v>12</v>
      </c>
      <c r="C20" s="119">
        <v>30</v>
      </c>
      <c r="D20" s="24">
        <v>45175</v>
      </c>
      <c r="E20" s="65" t="s">
        <v>171</v>
      </c>
      <c r="F20" s="26">
        <v>5</v>
      </c>
      <c r="G20" s="24" t="s">
        <v>3</v>
      </c>
      <c r="H20" s="119">
        <v>33</v>
      </c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CANPLEX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115</v>
      </c>
      <c r="B21" s="89">
        <v>10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3175 de la Gare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38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Mascouche, QC, J7K 3C1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31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49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168</v>
      </c>
      <c r="W24" s="127">
        <f>N6</f>
        <v>9</v>
      </c>
      <c r="X24" s="123"/>
      <c r="Y24" s="9"/>
    </row>
    <row r="25" spans="1:25" ht="15" customHeight="1" thickBot="1" x14ac:dyDescent="0.3">
      <c r="A25" s="79" t="s">
        <v>50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93" t="s">
        <v>219</v>
      </c>
      <c r="B26" s="101" t="b">
        <v>0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2" t="s">
        <v>83</v>
      </c>
      <c r="T26" s="172"/>
      <c r="U26" s="172"/>
      <c r="V26" s="172"/>
      <c r="W26" s="172"/>
      <c r="X26" s="172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163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69" t="str">
        <f>IF(K10&lt;&gt;"",CONCATENATE("   - " &amp; K10),"")</f>
        <v/>
      </c>
      <c r="U30" s="169"/>
      <c r="V30" s="169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69" t="str">
        <f t="shared" ref="T31:T44" si="2">IF(K11&lt;&gt;"",CONCATENATE("   - " &amp; K11),"")</f>
        <v/>
      </c>
      <c r="U31" s="169"/>
      <c r="V31" s="169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69" t="str">
        <f t="shared" si="2"/>
        <v/>
      </c>
      <c r="U32" s="169"/>
      <c r="V32" s="169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69" t="str">
        <f t="shared" si="2"/>
        <v/>
      </c>
      <c r="U33" s="169"/>
      <c r="V33" s="169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69" t="str">
        <f t="shared" si="2"/>
        <v/>
      </c>
      <c r="U34" s="169"/>
      <c r="V34" s="169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69" t="str">
        <f t="shared" si="2"/>
        <v/>
      </c>
      <c r="U35" s="169"/>
      <c r="V35" s="169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69" t="str">
        <f t="shared" si="2"/>
        <v/>
      </c>
      <c r="U36" s="169"/>
      <c r="V36" s="169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69" t="str">
        <f t="shared" si="2"/>
        <v/>
      </c>
      <c r="U37" s="169"/>
      <c r="V37" s="169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69" t="str">
        <f t="shared" si="2"/>
        <v/>
      </c>
      <c r="U38" s="169"/>
      <c r="V38" s="169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69" t="str">
        <f t="shared" si="2"/>
        <v/>
      </c>
      <c r="U39" s="169"/>
      <c r="V39" s="169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69" t="str">
        <f t="shared" si="2"/>
        <v/>
      </c>
      <c r="U40" s="169"/>
      <c r="V40" s="169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69" t="str">
        <f t="shared" si="2"/>
        <v/>
      </c>
      <c r="U41" s="169"/>
      <c r="V41" s="169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69" t="str">
        <f t="shared" si="2"/>
        <v/>
      </c>
      <c r="U42" s="169"/>
      <c r="V42" s="169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69" t="str">
        <f t="shared" si="2"/>
        <v/>
      </c>
      <c r="U43" s="169"/>
      <c r="V43" s="169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69" t="str">
        <f t="shared" si="2"/>
        <v/>
      </c>
      <c r="U44" s="169"/>
      <c r="V44" s="169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69" t="str">
        <f>IF(K25&lt;&gt;"",CONCATENATE("   - " &amp; K25),"")</f>
        <v/>
      </c>
      <c r="U45" s="169"/>
      <c r="V45" s="169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69" t="str">
        <f>IF(K26&lt;&gt;"",CONCATENATE("   - " &amp; K26),"")</f>
        <v/>
      </c>
      <c r="U46" s="169"/>
      <c r="V46" s="169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75</v>
      </c>
      <c r="K47" s="34"/>
      <c r="L47" s="34"/>
      <c r="M47" s="36"/>
      <c r="N47" s="62">
        <f>SUM(N9:N46)</f>
        <v>0</v>
      </c>
      <c r="O47" s="150"/>
      <c r="P47" s="9"/>
      <c r="Q47" s="9"/>
      <c r="R47" s="9"/>
      <c r="S47" s="144"/>
      <c r="T47" s="169" t="str">
        <f>IF(K27&lt;&gt;"",CONCATENATE("   - " &amp; K27),"")</f>
        <v/>
      </c>
      <c r="U47" s="169"/>
      <c r="V47" s="169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78</v>
      </c>
      <c r="M48" s="36"/>
      <c r="N48" s="63"/>
      <c r="O48" s="150"/>
      <c r="P48" s="9"/>
      <c r="Q48" s="9"/>
      <c r="R48" s="9"/>
      <c r="S48" s="144"/>
      <c r="T48" s="169" t="str">
        <f t="shared" ref="T48:T53" si="3">IF(K35&lt;&gt;"",CONCATENATE("   - " &amp; K35),"")</f>
        <v/>
      </c>
      <c r="U48" s="169"/>
      <c r="V48" s="169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79</v>
      </c>
      <c r="M49" s="36"/>
      <c r="N49" s="63"/>
      <c r="O49" s="150"/>
      <c r="P49" s="9"/>
      <c r="Q49" s="9"/>
      <c r="R49" s="9"/>
      <c r="S49" s="144"/>
      <c r="T49" s="169" t="str">
        <f t="shared" si="3"/>
        <v/>
      </c>
      <c r="U49" s="169"/>
      <c r="V49" s="169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0</v>
      </c>
      <c r="O50" s="150"/>
      <c r="P50" s="9"/>
      <c r="Q50" s="9"/>
      <c r="R50" s="9"/>
      <c r="S50" s="144"/>
      <c r="T50" s="169" t="str">
        <f t="shared" si="3"/>
        <v/>
      </c>
      <c r="U50" s="169"/>
      <c r="V50" s="169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69" t="str">
        <f t="shared" si="3"/>
        <v/>
      </c>
      <c r="U51" s="169"/>
      <c r="V51" s="169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81</v>
      </c>
      <c r="K52" s="146"/>
      <c r="L52" s="146"/>
      <c r="M52" s="146"/>
      <c r="N52" s="145"/>
      <c r="O52" s="150"/>
      <c r="P52" s="9"/>
      <c r="Q52" s="9"/>
      <c r="R52" s="9"/>
      <c r="S52" s="144"/>
      <c r="T52" s="169" t="str">
        <f t="shared" si="3"/>
        <v/>
      </c>
      <c r="U52" s="169"/>
      <c r="V52" s="169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69" t="str">
        <f t="shared" si="3"/>
        <v/>
      </c>
      <c r="U53" s="169"/>
      <c r="V53" s="169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69" t="str">
        <f t="shared" ref="T54:T60" si="4">IF(K44&lt;&gt;"",CONCATENATE("   - " &amp; K44),"")</f>
        <v/>
      </c>
      <c r="U54" s="169"/>
      <c r="V54" s="169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69" t="str">
        <f t="shared" si="4"/>
        <v/>
      </c>
      <c r="U55" s="169"/>
      <c r="V55" s="169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69" t="str">
        <f t="shared" si="4"/>
        <v/>
      </c>
      <c r="U56" s="169"/>
      <c r="V56" s="169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69" t="str">
        <f t="shared" si="4"/>
        <v/>
      </c>
      <c r="U57" s="169"/>
      <c r="V57" s="169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69" t="str">
        <f t="shared" si="4"/>
        <v/>
      </c>
      <c r="U58" s="169"/>
      <c r="V58" s="169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69" t="str">
        <f t="shared" si="4"/>
        <v/>
      </c>
      <c r="U59" s="169"/>
      <c r="V59" s="169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69" t="str">
        <f t="shared" si="4"/>
        <v/>
      </c>
      <c r="U60" s="169"/>
      <c r="V60" s="169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69" t="str">
        <f t="shared" ref="T61:T63" si="5">IF(K51&lt;&gt;"",CONCATENATE("   - " &amp; K51),"")</f>
        <v/>
      </c>
      <c r="U61" s="169"/>
      <c r="V61" s="169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69" t="str">
        <f t="shared" si="5"/>
        <v/>
      </c>
      <c r="U62" s="169"/>
      <c r="V62" s="169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69" t="str">
        <f t="shared" si="5"/>
        <v/>
      </c>
      <c r="U63" s="169"/>
      <c r="V63" s="169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3" t="s">
        <v>67</v>
      </c>
      <c r="V65" s="163" t="s">
        <v>68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4">
        <f>SUM(L10:L46)</f>
        <v>0</v>
      </c>
      <c r="V66" s="165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75</v>
      </c>
      <c r="U69" s="129"/>
      <c r="V69" s="129"/>
      <c r="W69" s="130">
        <f>V66*U66</f>
        <v>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78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79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76</v>
      </c>
      <c r="U72" s="129"/>
      <c r="V72" s="129"/>
      <c r="W72" s="130">
        <f>SUM(W69:W71)</f>
        <v>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209</v>
      </c>
      <c r="U73" s="133">
        <v>0.05</v>
      </c>
      <c r="V73" s="129"/>
      <c r="W73" s="134">
        <f>ROUND(W72*U73,2)</f>
        <v>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77</v>
      </c>
      <c r="U74" s="135">
        <v>9.9750000000000005E-2</v>
      </c>
      <c r="V74" s="129"/>
      <c r="W74" s="134">
        <f>ROUND(W72*U74,2)</f>
        <v>0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80</v>
      </c>
      <c r="U76" s="129"/>
      <c r="V76" s="129"/>
      <c r="W76" s="130">
        <f>SUM(W72:W74)</f>
        <v>0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70"/>
      <c r="U77" s="170"/>
      <c r="V77" s="170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71" t="s">
        <v>81</v>
      </c>
      <c r="U78" s="171"/>
      <c r="V78" s="171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70"/>
      <c r="U79" s="170"/>
      <c r="V79" s="170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82</v>
      </c>
      <c r="U80" s="138"/>
      <c r="V80" s="138"/>
      <c r="W80" s="160">
        <f>W76-W78</f>
        <v>0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6"/>
      <c r="U83" s="166"/>
      <c r="V83" s="166"/>
      <c r="W83" s="166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7" t="s">
        <v>72</v>
      </c>
      <c r="T84" s="167"/>
      <c r="U84" s="167"/>
      <c r="V84" s="167"/>
      <c r="W84" s="167"/>
      <c r="X84" s="167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6" t="s">
        <v>73</v>
      </c>
      <c r="T85" s="166"/>
      <c r="U85" s="166"/>
      <c r="V85" s="166"/>
      <c r="W85" s="166"/>
      <c r="X85" s="166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7"/>
      <c r="U87" s="167"/>
      <c r="V87" s="167"/>
      <c r="W87" s="167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8" t="s">
        <v>74</v>
      </c>
      <c r="T88" s="168"/>
      <c r="U88" s="168"/>
      <c r="V88" s="168"/>
      <c r="W88" s="168"/>
      <c r="X88" s="168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3390900</xdr:colOff>
                    <xdr:row>7</xdr:row>
                    <xdr:rowOff>123825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H12" sqref="H12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3" customWidth="1"/>
  </cols>
  <sheetData>
    <row r="1" spans="1:8" ht="14.45" customHeight="1" x14ac:dyDescent="0.25">
      <c r="A1" s="10"/>
      <c r="B1" s="11" t="s">
        <v>44</v>
      </c>
      <c r="C1" s="11" t="s">
        <v>51</v>
      </c>
      <c r="D1" s="11" t="s">
        <v>212</v>
      </c>
      <c r="E1" s="11" t="s">
        <v>44</v>
      </c>
      <c r="F1" s="11"/>
      <c r="G1" s="22" t="s">
        <v>214</v>
      </c>
      <c r="H1" s="22"/>
    </row>
    <row r="2" spans="1:8" ht="14.45" customHeight="1" x14ac:dyDescent="0.25">
      <c r="A2" s="185" t="s">
        <v>32</v>
      </c>
      <c r="B2" s="185"/>
      <c r="C2" s="185"/>
      <c r="D2" s="185"/>
      <c r="E2" s="185"/>
      <c r="F2" s="185"/>
      <c r="G2" s="185"/>
      <c r="H2" s="185"/>
    </row>
    <row r="3" spans="1:8" x14ac:dyDescent="0.25">
      <c r="A3" s="50" t="s">
        <v>106</v>
      </c>
      <c r="B3" s="50" t="s">
        <v>30</v>
      </c>
      <c r="C3" s="50" t="s">
        <v>107</v>
      </c>
      <c r="D3" s="50" t="s">
        <v>10</v>
      </c>
      <c r="E3" s="50" t="s">
        <v>25</v>
      </c>
      <c r="F3" s="50" t="s">
        <v>0</v>
      </c>
      <c r="G3" s="84" t="s">
        <v>213</v>
      </c>
      <c r="H3" s="84" t="s">
        <v>24</v>
      </c>
    </row>
    <row r="4" spans="1:8" x14ac:dyDescent="0.25">
      <c r="A4" s="2">
        <v>1</v>
      </c>
      <c r="B4" s="21">
        <v>45228</v>
      </c>
      <c r="C4" s="2">
        <v>2</v>
      </c>
      <c r="D4" s="161" t="s">
        <v>91</v>
      </c>
      <c r="E4" s="21">
        <v>45228</v>
      </c>
      <c r="G4" s="153">
        <v>0</v>
      </c>
      <c r="H4" s="153">
        <v>8551.27</v>
      </c>
    </row>
    <row r="5" spans="1:8" x14ac:dyDescent="0.25">
      <c r="A5" s="2">
        <v>2</v>
      </c>
      <c r="B5" s="21">
        <v>45228</v>
      </c>
      <c r="C5" s="2">
        <v>1</v>
      </c>
      <c r="D5" s="161" t="s">
        <v>84</v>
      </c>
      <c r="E5" s="21">
        <v>45228</v>
      </c>
      <c r="G5" s="153">
        <v>500</v>
      </c>
      <c r="H5" s="153">
        <v>2213.27</v>
      </c>
    </row>
    <row r="6" spans="1:8" x14ac:dyDescent="0.25">
      <c r="A6" s="2">
        <v>3</v>
      </c>
      <c r="B6" s="21">
        <v>45228</v>
      </c>
      <c r="C6" s="2">
        <v>3</v>
      </c>
      <c r="D6" s="161" t="s">
        <v>116</v>
      </c>
      <c r="E6" s="21">
        <v>45228</v>
      </c>
      <c r="G6" s="153">
        <v>0</v>
      </c>
      <c r="H6" s="153">
        <v>804.83</v>
      </c>
    </row>
    <row r="7" spans="1:8" x14ac:dyDescent="0.25">
      <c r="A7" s="2">
        <v>4</v>
      </c>
      <c r="B7" s="21">
        <v>45228</v>
      </c>
      <c r="C7" s="2">
        <v>1</v>
      </c>
      <c r="D7" s="161" t="s">
        <v>84</v>
      </c>
      <c r="E7" s="21">
        <v>45228</v>
      </c>
      <c r="G7" s="153">
        <v>200</v>
      </c>
      <c r="H7" s="153">
        <v>2414.48</v>
      </c>
    </row>
    <row r="8" spans="1:8" x14ac:dyDescent="0.25">
      <c r="A8" s="2">
        <v>5</v>
      </c>
      <c r="B8" s="21">
        <v>45228</v>
      </c>
      <c r="C8" s="2">
        <v>2</v>
      </c>
      <c r="D8" s="161" t="s">
        <v>91</v>
      </c>
      <c r="E8" s="21">
        <v>45228</v>
      </c>
      <c r="G8" s="153">
        <v>0</v>
      </c>
      <c r="H8" s="153">
        <v>3449.25</v>
      </c>
    </row>
    <row r="9" spans="1:8" x14ac:dyDescent="0.25">
      <c r="A9" s="2">
        <v>6</v>
      </c>
      <c r="B9" s="21">
        <v>45228</v>
      </c>
      <c r="C9" s="2">
        <v>3</v>
      </c>
      <c r="D9" s="161" t="s">
        <v>116</v>
      </c>
      <c r="E9" s="21">
        <v>45228</v>
      </c>
      <c r="G9" s="153">
        <v>0</v>
      </c>
      <c r="H9" s="153">
        <v>689.85</v>
      </c>
    </row>
    <row r="10" spans="1:8" x14ac:dyDescent="0.25">
      <c r="A10" s="2">
        <v>7</v>
      </c>
      <c r="B10" s="21">
        <v>45228</v>
      </c>
      <c r="C10" s="2">
        <v>1</v>
      </c>
      <c r="D10" t="s">
        <v>84</v>
      </c>
      <c r="E10" s="21">
        <v>45228</v>
      </c>
      <c r="G10" s="153">
        <v>500</v>
      </c>
      <c r="H10" s="153">
        <v>1034.78</v>
      </c>
    </row>
    <row r="11" spans="1:8" x14ac:dyDescent="0.25">
      <c r="A11" s="2">
        <v>8</v>
      </c>
      <c r="B11" s="21">
        <v>45228</v>
      </c>
      <c r="C11" s="2">
        <v>2</v>
      </c>
      <c r="D11" t="s">
        <v>91</v>
      </c>
      <c r="E11" s="21">
        <v>45228</v>
      </c>
      <c r="G11" s="153">
        <v>0</v>
      </c>
      <c r="H11" s="153">
        <v>2069.5500000000002</v>
      </c>
    </row>
    <row r="12" spans="1:8" x14ac:dyDescent="0.25">
      <c r="A12" s="2">
        <v>9</v>
      </c>
      <c r="B12" s="21">
        <v>45228</v>
      </c>
      <c r="C12" s="2">
        <v>2</v>
      </c>
      <c r="D12" t="s">
        <v>91</v>
      </c>
      <c r="E12" s="21">
        <v>45228</v>
      </c>
      <c r="G12" s="153"/>
      <c r="H12" s="153">
        <v>0</v>
      </c>
    </row>
    <row r="13" spans="1:8" x14ac:dyDescent="0.25">
      <c r="A13" s="2"/>
      <c r="B13" s="21"/>
      <c r="C13" s="2"/>
      <c r="E13" s="21"/>
      <c r="G13" s="153"/>
      <c r="H13" s="153"/>
    </row>
    <row r="14" spans="1:8" x14ac:dyDescent="0.25">
      <c r="A14" s="2"/>
      <c r="B14" s="21"/>
      <c r="C14" s="2"/>
      <c r="E14" s="21"/>
      <c r="G14" s="153"/>
      <c r="H14" s="153"/>
    </row>
    <row r="15" spans="1:8" x14ac:dyDescent="0.25">
      <c r="A15" s="2"/>
      <c r="B15" s="21"/>
      <c r="C15" s="2"/>
      <c r="E15" s="21"/>
      <c r="G15" s="153"/>
      <c r="H15" s="153"/>
    </row>
    <row r="16" spans="1:8" x14ac:dyDescent="0.25">
      <c r="A16" s="2"/>
      <c r="B16" s="21"/>
      <c r="C16" s="2"/>
      <c r="E16" s="21"/>
      <c r="G16" s="153"/>
      <c r="H16" s="153"/>
    </row>
    <row r="17" spans="1:8" x14ac:dyDescent="0.25">
      <c r="A17" s="2"/>
      <c r="B17" s="21"/>
      <c r="C17" s="2"/>
      <c r="E17" s="21"/>
      <c r="G17" s="153"/>
      <c r="H17" s="153"/>
    </row>
    <row r="18" spans="1:8" x14ac:dyDescent="0.25">
      <c r="A18" s="2"/>
      <c r="B18" s="21"/>
      <c r="C18" s="2"/>
      <c r="E18" s="21"/>
      <c r="G18" s="153"/>
      <c r="H18" s="153"/>
    </row>
    <row r="19" spans="1:8" x14ac:dyDescent="0.25">
      <c r="A19" s="2"/>
      <c r="B19" s="21"/>
      <c r="C19" s="2"/>
      <c r="E19" s="21"/>
      <c r="G19" s="153"/>
      <c r="H19" s="153"/>
    </row>
    <row r="20" spans="1:8" x14ac:dyDescent="0.25">
      <c r="A20" s="2"/>
      <c r="B20" s="21"/>
      <c r="C20" s="2"/>
      <c r="E20" s="21"/>
      <c r="G20" s="153"/>
      <c r="H20" s="153"/>
    </row>
    <row r="21" spans="1:8" x14ac:dyDescent="0.25">
      <c r="A21" s="2"/>
      <c r="B21" s="21"/>
      <c r="C21" s="2"/>
      <c r="E21" s="21"/>
      <c r="G21" s="153"/>
      <c r="H21" s="153"/>
    </row>
    <row r="22" spans="1:8" x14ac:dyDescent="0.25">
      <c r="A22" s="2"/>
      <c r="B22" s="21"/>
      <c r="C22" s="2"/>
      <c r="E22" s="21"/>
      <c r="G22" s="153"/>
      <c r="H22" s="153"/>
    </row>
    <row r="23" spans="1:8" x14ac:dyDescent="0.25">
      <c r="A23" s="2"/>
      <c r="B23" s="21"/>
      <c r="C23" s="2"/>
      <c r="E23" s="21"/>
      <c r="G23" s="153"/>
      <c r="H23" s="153"/>
    </row>
    <row r="24" spans="1:8" x14ac:dyDescent="0.25">
      <c r="A24" s="2"/>
      <c r="B24" s="21"/>
      <c r="C24" s="2"/>
      <c r="E24" s="21"/>
      <c r="G24" s="153"/>
      <c r="H24" s="153"/>
    </row>
    <row r="25" spans="1:8" x14ac:dyDescent="0.25">
      <c r="A25" s="2"/>
      <c r="B25" s="21"/>
      <c r="C25" s="2"/>
      <c r="E25" s="21"/>
      <c r="G25" s="153"/>
      <c r="H25" s="153"/>
    </row>
    <row r="26" spans="1:8" x14ac:dyDescent="0.25">
      <c r="A26" s="2"/>
      <c r="B26" s="21"/>
      <c r="C26" s="2"/>
      <c r="E26" s="21"/>
      <c r="G26" s="153"/>
      <c r="H26" s="153"/>
    </row>
    <row r="27" spans="1:8" x14ac:dyDescent="0.25">
      <c r="A27" s="2"/>
      <c r="B27" s="21"/>
      <c r="C27" s="2"/>
      <c r="E27" s="21"/>
      <c r="G27" s="153"/>
      <c r="H27" s="153"/>
    </row>
    <row r="28" spans="1:8" x14ac:dyDescent="0.25">
      <c r="A28" s="2"/>
      <c r="B28" s="21"/>
      <c r="C28" s="2"/>
      <c r="E28" s="21"/>
      <c r="G28" s="153"/>
      <c r="H28" s="153"/>
    </row>
    <row r="29" spans="1:8" x14ac:dyDescent="0.25">
      <c r="A29" s="2"/>
      <c r="B29" s="21"/>
      <c r="C29" s="2"/>
      <c r="E29" s="21"/>
      <c r="G29" s="153"/>
      <c r="H29" s="153"/>
    </row>
    <row r="30" spans="1:8" x14ac:dyDescent="0.25">
      <c r="A30" s="2"/>
      <c r="C30" s="2"/>
    </row>
    <row r="31" spans="1:8" x14ac:dyDescent="0.25">
      <c r="A31" s="2"/>
      <c r="C31" s="2"/>
    </row>
    <row r="32" spans="1:8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C7 E4:H7 A8:H35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A24" sqref="A24:G24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6" t="s">
        <v>28</v>
      </c>
      <c r="B1" s="186"/>
      <c r="C1" s="186"/>
      <c r="D1" s="186"/>
      <c r="E1" s="186"/>
      <c r="F1" s="186"/>
      <c r="G1" s="186"/>
      <c r="L1" s="15" t="s">
        <v>43</v>
      </c>
      <c r="N1" s="185" t="s">
        <v>43</v>
      </c>
      <c r="O1" s="185"/>
      <c r="P1" s="185"/>
      <c r="Q1" s="185"/>
      <c r="R1" s="185"/>
      <c r="S1" s="185"/>
      <c r="T1" s="185"/>
    </row>
    <row r="2" spans="1:20" ht="14.45" customHeight="1" x14ac:dyDescent="0.25">
      <c r="A2" s="185"/>
      <c r="B2" s="185"/>
      <c r="C2" s="185"/>
      <c r="D2" s="185"/>
      <c r="E2" s="185"/>
      <c r="F2" s="185"/>
      <c r="G2" s="185"/>
      <c r="L2" s="5" t="s">
        <v>29</v>
      </c>
      <c r="N2" s="5"/>
      <c r="O2" s="5"/>
      <c r="P2" s="5" t="s">
        <v>45</v>
      </c>
      <c r="Q2" s="5" t="s">
        <v>67</v>
      </c>
      <c r="R2" s="5" t="s">
        <v>216</v>
      </c>
      <c r="S2" s="5" t="s">
        <v>26</v>
      </c>
      <c r="T2" s="5" t="s">
        <v>27</v>
      </c>
    </row>
    <row r="3" spans="1:20" ht="18.75" x14ac:dyDescent="0.25">
      <c r="A3" s="52" t="s">
        <v>106</v>
      </c>
      <c r="B3" s="56" t="s">
        <v>4</v>
      </c>
      <c r="C3" s="158" t="s">
        <v>67</v>
      </c>
      <c r="D3" s="56" t="s">
        <v>216</v>
      </c>
      <c r="E3" s="162" t="s">
        <v>215</v>
      </c>
      <c r="F3" s="56" t="s">
        <v>26</v>
      </c>
      <c r="G3" s="56" t="s">
        <v>27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170</v>
      </c>
      <c r="C4" s="156">
        <v>2</v>
      </c>
      <c r="D4" s="154">
        <v>350</v>
      </c>
      <c r="E4" s="154">
        <v>700</v>
      </c>
      <c r="F4" s="2">
        <v>10</v>
      </c>
      <c r="G4" s="2"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176</v>
      </c>
      <c r="C5" s="156">
        <v>3</v>
      </c>
      <c r="D5" s="154">
        <v>350</v>
      </c>
      <c r="E5" s="154">
        <v>1050</v>
      </c>
      <c r="F5" s="2">
        <v>11</v>
      </c>
      <c r="G5" s="2"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173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188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179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182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210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170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194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172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170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174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177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172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177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171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208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179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194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194</v>
      </c>
      <c r="C23" s="156">
        <v>6</v>
      </c>
      <c r="D23" s="154">
        <v>275</v>
      </c>
      <c r="E23" s="154">
        <v>1650</v>
      </c>
      <c r="F23" s="2">
        <v>10</v>
      </c>
      <c r="G23" s="2">
        <f>ROW()</f>
        <v>23</v>
      </c>
      <c r="Q23" s="2"/>
      <c r="R23" s="2"/>
      <c r="S23" s="2"/>
      <c r="T23" s="2"/>
    </row>
    <row r="24" spans="1:20" x14ac:dyDescent="0.25">
      <c r="C24" s="156"/>
      <c r="D24" s="154"/>
      <c r="F24" s="2"/>
      <c r="G24" s="2"/>
      <c r="Q24" s="2"/>
      <c r="R24" s="2"/>
      <c r="S24" s="2"/>
      <c r="T24" s="2"/>
    </row>
    <row r="25" spans="1:20" x14ac:dyDescent="0.25">
      <c r="C25" s="156"/>
      <c r="D25" s="154"/>
      <c r="F25" s="2"/>
      <c r="G25" s="2"/>
      <c r="Q25" s="2"/>
      <c r="R25" s="2"/>
      <c r="S25" s="2"/>
      <c r="T25" s="2"/>
    </row>
    <row r="26" spans="1:20" x14ac:dyDescent="0.25">
      <c r="C26" s="156"/>
      <c r="D26" s="154"/>
      <c r="F26" s="2"/>
      <c r="G26" s="2"/>
      <c r="Q26" s="2"/>
      <c r="R26" s="2"/>
      <c r="S26" s="2"/>
      <c r="T26" s="2"/>
    </row>
    <row r="27" spans="1:20" x14ac:dyDescent="0.25">
      <c r="C27" s="156"/>
      <c r="D27" s="154"/>
      <c r="F27" s="2"/>
      <c r="G27" s="2"/>
      <c r="Q27" s="2"/>
      <c r="R27" s="2"/>
      <c r="S27" s="2"/>
      <c r="T27" s="2"/>
    </row>
    <row r="28" spans="1:20" x14ac:dyDescent="0.25">
      <c r="C28" s="156"/>
      <c r="D28" s="154"/>
      <c r="F28" s="2"/>
      <c r="G28" s="2"/>
      <c r="Q28" s="2"/>
      <c r="R28" s="2"/>
      <c r="S28" s="2"/>
      <c r="T28" s="2"/>
    </row>
    <row r="29" spans="1:20" x14ac:dyDescent="0.25">
      <c r="C29" s="156"/>
      <c r="D29" s="154"/>
      <c r="F29" s="2"/>
      <c r="G29" s="2"/>
      <c r="Q29" s="2"/>
      <c r="R29" s="2"/>
      <c r="S29" s="2"/>
      <c r="T29" s="2"/>
    </row>
    <row r="30" spans="1:20" x14ac:dyDescent="0.25">
      <c r="C30" s="156"/>
      <c r="D30" s="154"/>
      <c r="F30" s="2"/>
      <c r="G30" s="2"/>
      <c r="Q30" s="2"/>
      <c r="R30" s="2"/>
      <c r="S30" s="2"/>
      <c r="T30" s="2"/>
    </row>
    <row r="31" spans="1:20" x14ac:dyDescent="0.25">
      <c r="C31" s="156"/>
      <c r="D31" s="154"/>
      <c r="F31" s="2"/>
      <c r="G31" s="2"/>
      <c r="Q31" s="2"/>
      <c r="R31" s="2"/>
      <c r="S31" s="2"/>
      <c r="T31" s="2"/>
    </row>
    <row r="32" spans="1:20" x14ac:dyDescent="0.25">
      <c r="C32" s="156"/>
      <c r="D32" s="154"/>
      <c r="F32" s="2"/>
      <c r="G32" s="2"/>
      <c r="Q32" s="2"/>
      <c r="R32" s="2"/>
      <c r="S32" s="2"/>
      <c r="T32" s="2"/>
    </row>
    <row r="33" spans="3:20" x14ac:dyDescent="0.25">
      <c r="C33" s="156"/>
      <c r="D33" s="154"/>
      <c r="F33" s="2"/>
      <c r="G33" s="2"/>
      <c r="Q33" s="2"/>
      <c r="R33" s="2"/>
      <c r="S33" s="2"/>
      <c r="T33" s="2"/>
    </row>
    <row r="34" spans="3:20" x14ac:dyDescent="0.25">
      <c r="C34" s="156"/>
      <c r="D34" s="154"/>
      <c r="F34" s="2"/>
      <c r="G34" s="2"/>
      <c r="Q34" s="2"/>
      <c r="R34" s="2"/>
      <c r="S34" s="2"/>
      <c r="T34" s="2"/>
    </row>
    <row r="35" spans="3:20" x14ac:dyDescent="0.25">
      <c r="C35" s="156"/>
      <c r="D35" s="154"/>
      <c r="F35" s="2"/>
      <c r="G35" s="2"/>
      <c r="Q35" s="2"/>
      <c r="R35" s="2"/>
      <c r="S35" s="2"/>
      <c r="T35" s="2"/>
    </row>
    <row r="36" spans="3:20" x14ac:dyDescent="0.25">
      <c r="C36" s="156"/>
      <c r="D36" s="154"/>
      <c r="F36" s="2"/>
      <c r="G36" s="2"/>
      <c r="Q36" s="2"/>
      <c r="R36" s="2"/>
      <c r="S36" s="2"/>
      <c r="T36" s="2"/>
    </row>
    <row r="37" spans="3:20" x14ac:dyDescent="0.25">
      <c r="C37" s="156"/>
      <c r="D37" s="154"/>
      <c r="F37" s="2"/>
      <c r="G37" s="2"/>
      <c r="Q37" s="2"/>
      <c r="R37" s="2"/>
      <c r="S37" s="2"/>
      <c r="T37" s="2"/>
    </row>
    <row r="38" spans="3:20" x14ac:dyDescent="0.25">
      <c r="C38" s="156"/>
      <c r="D38" s="154"/>
      <c r="F38" s="2"/>
      <c r="G38" s="2"/>
      <c r="Q38" s="2"/>
      <c r="R38" s="2"/>
      <c r="S38" s="2"/>
      <c r="T38" s="2"/>
    </row>
    <row r="39" spans="3:20" x14ac:dyDescent="0.25">
      <c r="C39" s="156"/>
      <c r="D39" s="154"/>
      <c r="F39" s="2"/>
      <c r="G39" s="2"/>
      <c r="Q39" s="2"/>
      <c r="R39" s="2"/>
      <c r="S39" s="2"/>
      <c r="T39" s="2"/>
    </row>
    <row r="40" spans="3:20" x14ac:dyDescent="0.25">
      <c r="C40" s="156"/>
      <c r="D40" s="154"/>
      <c r="F40" s="2"/>
      <c r="G40" s="2"/>
      <c r="Q40" s="2"/>
      <c r="R40" s="2"/>
      <c r="S40" s="2"/>
      <c r="T40" s="2"/>
    </row>
    <row r="41" spans="3:20" x14ac:dyDescent="0.25">
      <c r="C41" s="156"/>
      <c r="D41" s="154"/>
      <c r="F41" s="2"/>
      <c r="G41" s="2"/>
      <c r="Q41" s="2"/>
      <c r="R41" s="2"/>
      <c r="S41" s="2"/>
      <c r="T41" s="2"/>
    </row>
    <row r="42" spans="3:20" x14ac:dyDescent="0.25">
      <c r="C42" s="156"/>
      <c r="D42" s="154"/>
      <c r="F42" s="2"/>
      <c r="G42" s="2"/>
      <c r="Q42" s="2"/>
      <c r="R42" s="2"/>
      <c r="S42" s="2"/>
      <c r="T42" s="2"/>
    </row>
    <row r="43" spans="3:20" x14ac:dyDescent="0.25">
      <c r="C43" s="156"/>
      <c r="D43" s="154"/>
      <c r="F43" s="2"/>
      <c r="G43" s="2"/>
      <c r="Q43" s="2"/>
      <c r="R43" s="2"/>
      <c r="S43" s="2"/>
      <c r="T43" s="2"/>
    </row>
    <row r="44" spans="3:20" x14ac:dyDescent="0.25">
      <c r="C44" s="156"/>
      <c r="D44" s="154"/>
      <c r="F44" s="2"/>
      <c r="G44" s="2"/>
      <c r="Q44" s="2"/>
      <c r="R44" s="2"/>
      <c r="S44" s="2"/>
      <c r="T44" s="2"/>
    </row>
    <row r="45" spans="3:20" x14ac:dyDescent="0.25">
      <c r="C45" s="156"/>
      <c r="D45" s="154"/>
      <c r="F45" s="2"/>
      <c r="G45" s="2"/>
      <c r="Q45" s="2"/>
      <c r="R45" s="2"/>
      <c r="S45" s="2"/>
      <c r="T45" s="2"/>
    </row>
    <row r="46" spans="3:20" x14ac:dyDescent="0.25">
      <c r="C46" s="156"/>
      <c r="D46" s="154"/>
      <c r="F46" s="2"/>
      <c r="G46" s="2"/>
      <c r="Q46" s="2"/>
      <c r="R46" s="2"/>
      <c r="S46" s="2"/>
      <c r="T46" s="2"/>
    </row>
    <row r="47" spans="3:20" x14ac:dyDescent="0.25">
      <c r="C47" s="156"/>
      <c r="D47" s="154"/>
      <c r="F47" s="2"/>
      <c r="G47" s="2"/>
      <c r="Q47" s="2"/>
      <c r="R47" s="2"/>
      <c r="S47" s="2"/>
      <c r="T47" s="2"/>
    </row>
    <row r="48" spans="3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33</v>
      </c>
      <c r="C1" s="59" t="s">
        <v>35</v>
      </c>
      <c r="D1" s="59" t="s">
        <v>36</v>
      </c>
      <c r="E1" s="59" t="s">
        <v>34</v>
      </c>
      <c r="F1" s="59" t="s">
        <v>42</v>
      </c>
      <c r="G1" s="59" t="s">
        <v>37</v>
      </c>
      <c r="H1" s="59" t="s">
        <v>161</v>
      </c>
      <c r="I1" s="60" t="s">
        <v>162</v>
      </c>
      <c r="J1" s="59" t="s">
        <v>34</v>
      </c>
      <c r="K1" s="59" t="s">
        <v>159</v>
      </c>
      <c r="L1" s="59" t="s">
        <v>160</v>
      </c>
      <c r="M1" s="59"/>
      <c r="Q1" s="189" t="s">
        <v>43</v>
      </c>
      <c r="R1" s="190"/>
      <c r="U1" s="187" t="s">
        <v>97</v>
      </c>
      <c r="V1" s="188"/>
      <c r="W1" s="188"/>
      <c r="X1" s="188"/>
      <c r="Y1" s="188"/>
      <c r="Z1" s="188"/>
    </row>
    <row r="2" spans="1:26" ht="25.5" x14ac:dyDescent="0.25">
      <c r="A2" s="186" t="s">
        <v>96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Q2" s="104" t="s">
        <v>99</v>
      </c>
      <c r="R2" s="104" t="s">
        <v>2</v>
      </c>
      <c r="U2" s="52" t="s">
        <v>98</v>
      </c>
      <c r="V2" s="56" t="s">
        <v>5</v>
      </c>
      <c r="W2" s="56" t="s">
        <v>4</v>
      </c>
      <c r="X2" s="58" t="s">
        <v>1</v>
      </c>
      <c r="Y2" s="56" t="s">
        <v>2</v>
      </c>
      <c r="Z2" s="56" t="s">
        <v>27</v>
      </c>
    </row>
    <row r="3" spans="1:26" ht="25.5" x14ac:dyDescent="0.25">
      <c r="A3" s="52" t="s">
        <v>98</v>
      </c>
      <c r="B3" s="52" t="s">
        <v>107</v>
      </c>
      <c r="C3" s="52" t="s">
        <v>10</v>
      </c>
      <c r="D3" s="52" t="s">
        <v>100</v>
      </c>
      <c r="E3" s="52" t="s">
        <v>18</v>
      </c>
      <c r="F3" s="52" t="s">
        <v>105</v>
      </c>
      <c r="G3" s="52" t="s">
        <v>7</v>
      </c>
      <c r="H3" s="52" t="s">
        <v>5</v>
      </c>
      <c r="I3" s="53" t="s">
        <v>1</v>
      </c>
      <c r="J3" s="52" t="s">
        <v>4</v>
      </c>
      <c r="K3" s="52" t="s">
        <v>23</v>
      </c>
      <c r="L3" s="52" t="s">
        <v>2</v>
      </c>
      <c r="M3" s="52" t="s">
        <v>27</v>
      </c>
      <c r="Q3" s="57">
        <f ca="1">IF(Invoice!B18="","&lt;&gt;",Invoice!B18)</f>
        <v>2</v>
      </c>
      <c r="R3" s="57" t="str">
        <f>IF(Invoice!B16=TRUE,"&lt;&gt;","No")</f>
        <v>&lt;&gt;</v>
      </c>
      <c r="U3" s="2">
        <v>4</v>
      </c>
      <c r="V3" s="21">
        <v>45142</v>
      </c>
      <c r="W3" t="s">
        <v>172</v>
      </c>
      <c r="X3" s="83">
        <v>6</v>
      </c>
      <c r="Y3" s="2" t="s">
        <v>3</v>
      </c>
      <c r="Z3" s="2">
        <v>7</v>
      </c>
    </row>
    <row r="4" spans="1:26" x14ac:dyDescent="0.25">
      <c r="A4" s="2">
        <v>1</v>
      </c>
      <c r="B4" s="2">
        <v>1</v>
      </c>
      <c r="C4" t="s">
        <v>84</v>
      </c>
      <c r="D4" s="2">
        <v>1</v>
      </c>
      <c r="E4" t="s">
        <v>122</v>
      </c>
      <c r="F4" s="2">
        <v>1</v>
      </c>
      <c r="G4" t="s">
        <v>129</v>
      </c>
      <c r="H4" s="21">
        <v>45139</v>
      </c>
      <c r="I4" s="82">
        <v>5</v>
      </c>
      <c r="J4" t="s">
        <v>169</v>
      </c>
      <c r="K4" s="61">
        <v>10</v>
      </c>
      <c r="L4" s="16" t="s">
        <v>3</v>
      </c>
      <c r="M4" s="2">
        <f>ROW()</f>
        <v>4</v>
      </c>
      <c r="U4" s="2">
        <v>6</v>
      </c>
      <c r="V4" s="21">
        <v>45144</v>
      </c>
      <c r="W4" t="s">
        <v>171</v>
      </c>
      <c r="X4" s="83">
        <v>20</v>
      </c>
      <c r="Y4" s="2" t="s">
        <v>3</v>
      </c>
      <c r="Z4" s="2">
        <v>9</v>
      </c>
    </row>
    <row r="5" spans="1:26" x14ac:dyDescent="0.25">
      <c r="A5" s="2">
        <v>2</v>
      </c>
      <c r="B5" s="2">
        <v>1</v>
      </c>
      <c r="C5" t="s">
        <v>84</v>
      </c>
      <c r="D5" s="2">
        <v>1</v>
      </c>
      <c r="E5" t="s">
        <v>122</v>
      </c>
      <c r="F5" s="2">
        <v>2</v>
      </c>
      <c r="G5" t="s">
        <v>130</v>
      </c>
      <c r="H5" s="21">
        <v>45140</v>
      </c>
      <c r="I5" s="83">
        <v>5</v>
      </c>
      <c r="J5" t="s">
        <v>170</v>
      </c>
      <c r="K5" s="61">
        <v>20</v>
      </c>
      <c r="L5" s="2" t="s">
        <v>3</v>
      </c>
      <c r="M5" s="2">
        <f>ROW()</f>
        <v>5</v>
      </c>
      <c r="U5" s="2">
        <v>13</v>
      </c>
      <c r="V5" s="21">
        <v>45151</v>
      </c>
      <c r="W5" t="s">
        <v>172</v>
      </c>
      <c r="X5" s="83">
        <v>16</v>
      </c>
      <c r="Y5" s="2" t="s">
        <v>3</v>
      </c>
      <c r="Z5" s="2">
        <v>16</v>
      </c>
    </row>
    <row r="6" spans="1:26" x14ac:dyDescent="0.25">
      <c r="A6" s="2">
        <v>3</v>
      </c>
      <c r="B6" s="2">
        <v>1</v>
      </c>
      <c r="C6" t="s">
        <v>84</v>
      </c>
      <c r="D6" s="2">
        <v>1</v>
      </c>
      <c r="E6" t="s">
        <v>122</v>
      </c>
      <c r="F6" s="2">
        <v>3</v>
      </c>
      <c r="G6" t="s">
        <v>131</v>
      </c>
      <c r="H6" s="21">
        <v>45141</v>
      </c>
      <c r="I6" s="83">
        <v>6</v>
      </c>
      <c r="J6" t="s">
        <v>171</v>
      </c>
      <c r="K6" s="61">
        <v>30</v>
      </c>
      <c r="L6" s="2" t="s">
        <v>3</v>
      </c>
      <c r="M6" s="2">
        <f>ROW()</f>
        <v>6</v>
      </c>
      <c r="U6" s="2">
        <v>15</v>
      </c>
      <c r="V6" s="21">
        <v>45153</v>
      </c>
      <c r="W6" t="s">
        <v>171</v>
      </c>
      <c r="X6" s="83">
        <v>10</v>
      </c>
      <c r="Y6" s="2" t="s">
        <v>3</v>
      </c>
      <c r="Z6" s="2">
        <v>18</v>
      </c>
    </row>
    <row r="7" spans="1:26" x14ac:dyDescent="0.25">
      <c r="A7" s="2">
        <v>4</v>
      </c>
      <c r="B7" s="2">
        <v>2</v>
      </c>
      <c r="C7" t="s">
        <v>91</v>
      </c>
      <c r="D7" s="2">
        <v>2</v>
      </c>
      <c r="E7" t="s">
        <v>123</v>
      </c>
      <c r="F7" s="2">
        <v>4</v>
      </c>
      <c r="G7" t="s">
        <v>132</v>
      </c>
      <c r="H7" s="21">
        <v>45142</v>
      </c>
      <c r="I7" s="83">
        <v>6</v>
      </c>
      <c r="J7" t="s">
        <v>172</v>
      </c>
      <c r="K7" s="61">
        <v>40</v>
      </c>
      <c r="L7" s="2" t="s">
        <v>3</v>
      </c>
      <c r="M7" s="2">
        <f>ROW()</f>
        <v>7</v>
      </c>
      <c r="U7" s="2">
        <v>16</v>
      </c>
      <c r="V7" s="21">
        <v>45154</v>
      </c>
      <c r="W7" t="s">
        <v>172</v>
      </c>
      <c r="X7" s="83">
        <v>26</v>
      </c>
      <c r="Y7" s="2" t="s">
        <v>3</v>
      </c>
      <c r="Z7" s="2">
        <v>19</v>
      </c>
    </row>
    <row r="8" spans="1:26" x14ac:dyDescent="0.25">
      <c r="A8" s="2">
        <v>5</v>
      </c>
      <c r="B8" s="2">
        <v>3</v>
      </c>
      <c r="C8" t="s">
        <v>116</v>
      </c>
      <c r="D8" s="2">
        <v>3</v>
      </c>
      <c r="E8" t="s">
        <v>124</v>
      </c>
      <c r="F8" s="2">
        <v>5</v>
      </c>
      <c r="G8" t="s">
        <v>133</v>
      </c>
      <c r="H8" s="21">
        <v>45143</v>
      </c>
      <c r="I8" s="83">
        <v>20</v>
      </c>
      <c r="J8" t="s">
        <v>173</v>
      </c>
      <c r="K8" s="61">
        <v>50</v>
      </c>
      <c r="L8" s="2" t="s">
        <v>3</v>
      </c>
      <c r="M8" s="2">
        <f>ROW()</f>
        <v>8</v>
      </c>
      <c r="U8" s="2">
        <v>18</v>
      </c>
      <c r="V8" s="21">
        <v>45156</v>
      </c>
      <c r="W8" t="s">
        <v>171</v>
      </c>
      <c r="X8" s="83">
        <v>5</v>
      </c>
      <c r="Y8" s="16" t="s">
        <v>3</v>
      </c>
      <c r="Z8" s="2">
        <v>21</v>
      </c>
    </row>
    <row r="9" spans="1:26" x14ac:dyDescent="0.25">
      <c r="A9" s="2">
        <v>6</v>
      </c>
      <c r="B9" s="2">
        <v>2</v>
      </c>
      <c r="C9" t="s">
        <v>91</v>
      </c>
      <c r="D9" s="2">
        <v>2</v>
      </c>
      <c r="E9" t="s">
        <v>123</v>
      </c>
      <c r="F9" s="2">
        <v>3</v>
      </c>
      <c r="G9" t="s">
        <v>134</v>
      </c>
      <c r="H9" s="21">
        <v>45144</v>
      </c>
      <c r="I9" s="83">
        <v>20</v>
      </c>
      <c r="J9" t="s">
        <v>171</v>
      </c>
      <c r="K9" s="61">
        <v>30</v>
      </c>
      <c r="L9" s="2" t="s">
        <v>3</v>
      </c>
      <c r="M9" s="2">
        <f>ROW()</f>
        <v>9</v>
      </c>
      <c r="U9" s="2">
        <v>28</v>
      </c>
      <c r="V9" s="21">
        <v>45175</v>
      </c>
      <c r="W9" t="s">
        <v>171</v>
      </c>
      <c r="X9" s="83">
        <v>10</v>
      </c>
      <c r="Y9" s="2" t="s">
        <v>3</v>
      </c>
      <c r="Z9" s="2">
        <v>31</v>
      </c>
    </row>
    <row r="10" spans="1:26" x14ac:dyDescent="0.25">
      <c r="A10" s="2">
        <v>7</v>
      </c>
      <c r="B10" s="2">
        <v>1</v>
      </c>
      <c r="C10" t="s">
        <v>84</v>
      </c>
      <c r="D10" s="2">
        <v>1</v>
      </c>
      <c r="E10" t="s">
        <v>122</v>
      </c>
      <c r="F10" s="2">
        <v>4</v>
      </c>
      <c r="G10" t="s">
        <v>135</v>
      </c>
      <c r="H10" s="21">
        <v>45145</v>
      </c>
      <c r="I10" s="83">
        <v>12</v>
      </c>
      <c r="J10" t="s">
        <v>172</v>
      </c>
      <c r="K10" s="61">
        <v>40</v>
      </c>
      <c r="L10" s="2" t="s">
        <v>3</v>
      </c>
      <c r="M10" s="2">
        <f>ROW()</f>
        <v>10</v>
      </c>
      <c r="U10" s="2">
        <v>29</v>
      </c>
      <c r="V10" s="21">
        <v>45173</v>
      </c>
      <c r="W10" t="s">
        <v>172</v>
      </c>
      <c r="X10" s="83">
        <v>26</v>
      </c>
      <c r="Y10" s="2" t="s">
        <v>3</v>
      </c>
      <c r="Z10" s="2">
        <v>32</v>
      </c>
    </row>
    <row r="11" spans="1:26" x14ac:dyDescent="0.25">
      <c r="A11" s="2">
        <v>8</v>
      </c>
      <c r="B11" s="2">
        <v>1</v>
      </c>
      <c r="C11" t="s">
        <v>84</v>
      </c>
      <c r="D11" s="2">
        <v>1</v>
      </c>
      <c r="E11" t="s">
        <v>122</v>
      </c>
      <c r="F11" s="2">
        <v>5</v>
      </c>
      <c r="G11" t="s">
        <v>136</v>
      </c>
      <c r="H11" s="21">
        <v>45146</v>
      </c>
      <c r="I11" s="83">
        <v>2</v>
      </c>
      <c r="J11" t="s">
        <v>173</v>
      </c>
      <c r="K11" s="61">
        <v>50</v>
      </c>
      <c r="L11" s="2" t="s">
        <v>3</v>
      </c>
      <c r="M11" s="2">
        <f>ROW()</f>
        <v>11</v>
      </c>
      <c r="U11" s="2">
        <v>30</v>
      </c>
      <c r="V11" s="21">
        <v>45175</v>
      </c>
      <c r="W11" t="s">
        <v>171</v>
      </c>
      <c r="X11" s="83">
        <v>5</v>
      </c>
      <c r="Y11" s="2" t="s">
        <v>3</v>
      </c>
      <c r="Z11" s="2">
        <v>33</v>
      </c>
    </row>
    <row r="12" spans="1:26" x14ac:dyDescent="0.25">
      <c r="A12" s="2">
        <v>9</v>
      </c>
      <c r="B12" s="2">
        <v>1</v>
      </c>
      <c r="C12" t="s">
        <v>84</v>
      </c>
      <c r="D12" s="2">
        <v>1</v>
      </c>
      <c r="E12" t="s">
        <v>122</v>
      </c>
      <c r="F12" s="2">
        <v>6</v>
      </c>
      <c r="G12" t="s">
        <v>137</v>
      </c>
      <c r="H12" s="21">
        <v>45147</v>
      </c>
      <c r="I12" s="83">
        <v>8</v>
      </c>
      <c r="J12" t="s">
        <v>174</v>
      </c>
      <c r="K12" s="61">
        <v>60</v>
      </c>
      <c r="L12" s="2" t="s">
        <v>3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84</v>
      </c>
      <c r="D13" s="2">
        <v>1</v>
      </c>
      <c r="E13" t="s">
        <v>122</v>
      </c>
      <c r="F13" s="2">
        <v>7</v>
      </c>
      <c r="G13" t="s">
        <v>138</v>
      </c>
      <c r="H13" s="21">
        <v>45148</v>
      </c>
      <c r="I13" s="83">
        <v>7</v>
      </c>
      <c r="J13" t="s">
        <v>175</v>
      </c>
      <c r="K13" s="61">
        <v>70</v>
      </c>
      <c r="L13" s="2" t="s">
        <v>3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84</v>
      </c>
      <c r="D14" s="2">
        <v>1</v>
      </c>
      <c r="E14" t="s">
        <v>122</v>
      </c>
      <c r="F14" s="2">
        <v>8</v>
      </c>
      <c r="G14" t="s">
        <v>139</v>
      </c>
      <c r="H14" s="21">
        <v>45149</v>
      </c>
      <c r="I14" s="83">
        <v>6</v>
      </c>
      <c r="J14" t="s">
        <v>176</v>
      </c>
      <c r="K14" s="61">
        <v>80</v>
      </c>
      <c r="L14" s="2" t="s">
        <v>3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84</v>
      </c>
      <c r="D15" s="2">
        <v>1</v>
      </c>
      <c r="E15" t="s">
        <v>122</v>
      </c>
      <c r="F15" s="2">
        <v>9</v>
      </c>
      <c r="G15" t="s">
        <v>140</v>
      </c>
      <c r="H15" s="21">
        <v>45150</v>
      </c>
      <c r="I15" s="83">
        <v>10</v>
      </c>
      <c r="J15" t="s">
        <v>177</v>
      </c>
      <c r="K15" s="61">
        <v>90</v>
      </c>
      <c r="L15" s="2" t="s">
        <v>3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91</v>
      </c>
      <c r="D16" s="2">
        <v>2</v>
      </c>
      <c r="E16" t="s">
        <v>123</v>
      </c>
      <c r="F16" s="2">
        <v>4</v>
      </c>
      <c r="G16" t="s">
        <v>141</v>
      </c>
      <c r="H16" s="21">
        <v>45151</v>
      </c>
      <c r="I16" s="83">
        <v>16</v>
      </c>
      <c r="J16" t="s">
        <v>172</v>
      </c>
      <c r="K16" s="61">
        <v>40</v>
      </c>
      <c r="L16" s="2" t="s">
        <v>3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116</v>
      </c>
      <c r="D17" s="2">
        <v>3</v>
      </c>
      <c r="E17" t="s">
        <v>124</v>
      </c>
      <c r="F17" s="2">
        <v>5</v>
      </c>
      <c r="G17" t="s">
        <v>142</v>
      </c>
      <c r="H17" s="21">
        <v>45152</v>
      </c>
      <c r="I17" s="83">
        <v>8</v>
      </c>
      <c r="J17" t="s">
        <v>173</v>
      </c>
      <c r="K17" s="61">
        <v>50</v>
      </c>
      <c r="L17" s="2" t="s">
        <v>3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91</v>
      </c>
      <c r="D18" s="2">
        <v>2</v>
      </c>
      <c r="E18" t="s">
        <v>123</v>
      </c>
      <c r="F18" s="2">
        <v>3</v>
      </c>
      <c r="G18" t="s">
        <v>143</v>
      </c>
      <c r="H18" s="21">
        <v>45153</v>
      </c>
      <c r="I18" s="83">
        <v>10</v>
      </c>
      <c r="J18" t="s">
        <v>171</v>
      </c>
      <c r="K18" s="61">
        <v>30</v>
      </c>
      <c r="L18" s="2" t="s">
        <v>3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91</v>
      </c>
      <c r="D19" s="2">
        <v>2</v>
      </c>
      <c r="E19" t="s">
        <v>123</v>
      </c>
      <c r="F19" s="2">
        <v>4</v>
      </c>
      <c r="G19" t="s">
        <v>144</v>
      </c>
      <c r="H19" s="21">
        <v>45154</v>
      </c>
      <c r="I19" s="83">
        <v>26</v>
      </c>
      <c r="J19" t="s">
        <v>172</v>
      </c>
      <c r="K19" s="61">
        <v>40</v>
      </c>
      <c r="L19" s="2" t="s">
        <v>3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116</v>
      </c>
      <c r="D20" s="2">
        <v>3</v>
      </c>
      <c r="E20" t="s">
        <v>124</v>
      </c>
      <c r="F20" s="2">
        <v>5</v>
      </c>
      <c r="G20" t="s">
        <v>145</v>
      </c>
      <c r="H20" s="21">
        <v>45155</v>
      </c>
      <c r="I20" s="83">
        <v>14</v>
      </c>
      <c r="J20" t="s">
        <v>173</v>
      </c>
      <c r="K20" s="61">
        <v>50</v>
      </c>
      <c r="L20" s="2" t="s">
        <v>3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91</v>
      </c>
      <c r="D21" s="2">
        <v>2</v>
      </c>
      <c r="E21" t="s">
        <v>123</v>
      </c>
      <c r="F21" s="2">
        <v>3</v>
      </c>
      <c r="G21" t="s">
        <v>146</v>
      </c>
      <c r="H21" s="21">
        <v>45156</v>
      </c>
      <c r="I21" s="83">
        <v>5</v>
      </c>
      <c r="J21" t="s">
        <v>171</v>
      </c>
      <c r="K21" s="61">
        <v>30</v>
      </c>
      <c r="L21" s="2" t="s">
        <v>3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84</v>
      </c>
      <c r="D22" s="2">
        <v>1</v>
      </c>
      <c r="E22" t="s">
        <v>122</v>
      </c>
      <c r="F22" s="2">
        <v>1</v>
      </c>
      <c r="G22" t="s">
        <v>147</v>
      </c>
      <c r="H22" s="21">
        <v>45170</v>
      </c>
      <c r="I22" s="82">
        <v>5</v>
      </c>
      <c r="J22" t="s">
        <v>169</v>
      </c>
      <c r="K22" s="61">
        <v>10</v>
      </c>
      <c r="L22" s="16" t="s">
        <v>3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84</v>
      </c>
      <c r="D23" s="2">
        <v>1</v>
      </c>
      <c r="E23" t="s">
        <v>122</v>
      </c>
      <c r="F23" s="2">
        <v>2</v>
      </c>
      <c r="G23" t="s">
        <v>148</v>
      </c>
      <c r="H23" s="21">
        <v>45171</v>
      </c>
      <c r="I23" s="83">
        <v>5</v>
      </c>
      <c r="J23" t="s">
        <v>170</v>
      </c>
      <c r="K23" s="61">
        <v>20</v>
      </c>
      <c r="L23" s="2" t="s">
        <v>3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84</v>
      </c>
      <c r="D24" s="2">
        <v>1</v>
      </c>
      <c r="E24" t="s">
        <v>122</v>
      </c>
      <c r="F24" s="2">
        <v>3</v>
      </c>
      <c r="G24" t="s">
        <v>149</v>
      </c>
      <c r="H24" s="21">
        <v>45172</v>
      </c>
      <c r="I24" s="83">
        <v>6</v>
      </c>
      <c r="J24" t="s">
        <v>171</v>
      </c>
      <c r="K24" s="61">
        <v>30</v>
      </c>
      <c r="L24" s="2" t="s">
        <v>3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84</v>
      </c>
      <c r="D25" s="2">
        <v>1</v>
      </c>
      <c r="E25" t="s">
        <v>122</v>
      </c>
      <c r="F25" s="2">
        <v>4</v>
      </c>
      <c r="G25" t="s">
        <v>150</v>
      </c>
      <c r="H25" s="21">
        <v>45176</v>
      </c>
      <c r="I25" s="83">
        <v>12</v>
      </c>
      <c r="J25" t="s">
        <v>172</v>
      </c>
      <c r="K25" s="61">
        <v>40</v>
      </c>
      <c r="L25" s="2" t="s">
        <v>3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84</v>
      </c>
      <c r="D26" s="2">
        <v>1</v>
      </c>
      <c r="E26" t="s">
        <v>122</v>
      </c>
      <c r="F26" s="2">
        <v>5</v>
      </c>
      <c r="G26" t="s">
        <v>151</v>
      </c>
      <c r="H26" s="21">
        <v>45177</v>
      </c>
      <c r="I26" s="83">
        <v>2</v>
      </c>
      <c r="J26" t="s">
        <v>173</v>
      </c>
      <c r="K26" s="61">
        <v>50</v>
      </c>
      <c r="L26" s="2" t="s">
        <v>3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84</v>
      </c>
      <c r="D27" s="2">
        <v>1</v>
      </c>
      <c r="E27" t="s">
        <v>122</v>
      </c>
      <c r="F27" s="2">
        <v>6</v>
      </c>
      <c r="G27" t="s">
        <v>152</v>
      </c>
      <c r="H27" s="21">
        <v>45178</v>
      </c>
      <c r="I27" s="83">
        <v>8</v>
      </c>
      <c r="J27" t="s">
        <v>174</v>
      </c>
      <c r="K27" s="61">
        <v>60</v>
      </c>
      <c r="L27" s="2" t="s">
        <v>3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84</v>
      </c>
      <c r="D28" s="2">
        <v>1</v>
      </c>
      <c r="E28" t="s">
        <v>122</v>
      </c>
      <c r="F28" s="2">
        <v>7</v>
      </c>
      <c r="G28" t="s">
        <v>153</v>
      </c>
      <c r="H28" s="21">
        <v>45179</v>
      </c>
      <c r="I28" s="83">
        <v>7</v>
      </c>
      <c r="J28" t="s">
        <v>175</v>
      </c>
      <c r="K28" s="61">
        <v>70</v>
      </c>
      <c r="L28" s="2" t="s">
        <v>3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84</v>
      </c>
      <c r="D29" s="2">
        <v>1</v>
      </c>
      <c r="E29" t="s">
        <v>122</v>
      </c>
      <c r="F29" s="2">
        <v>8</v>
      </c>
      <c r="G29" t="s">
        <v>154</v>
      </c>
      <c r="H29" s="21">
        <v>45180</v>
      </c>
      <c r="I29" s="83">
        <v>6</v>
      </c>
      <c r="J29" t="s">
        <v>176</v>
      </c>
      <c r="K29" s="61">
        <v>80</v>
      </c>
      <c r="L29" s="2" t="s">
        <v>3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84</v>
      </c>
      <c r="D30" s="2">
        <v>1</v>
      </c>
      <c r="E30" t="s">
        <v>122</v>
      </c>
      <c r="F30" s="2">
        <v>9</v>
      </c>
      <c r="G30" t="s">
        <v>155</v>
      </c>
      <c r="H30" s="21">
        <v>45181</v>
      </c>
      <c r="I30" s="83">
        <v>10</v>
      </c>
      <c r="J30" t="s">
        <v>177</v>
      </c>
      <c r="K30" s="61">
        <v>90</v>
      </c>
      <c r="L30" s="2" t="s">
        <v>3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91</v>
      </c>
      <c r="D31" s="2">
        <v>2</v>
      </c>
      <c r="E31" t="s">
        <v>123</v>
      </c>
      <c r="F31" s="2">
        <v>3</v>
      </c>
      <c r="G31" t="s">
        <v>156</v>
      </c>
      <c r="H31" s="21">
        <v>45175</v>
      </c>
      <c r="I31" s="83">
        <v>10</v>
      </c>
      <c r="J31" t="s">
        <v>171</v>
      </c>
      <c r="K31" s="61">
        <v>30</v>
      </c>
      <c r="L31" s="2" t="s">
        <v>3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91</v>
      </c>
      <c r="D32" s="2">
        <v>2</v>
      </c>
      <c r="E32" t="s">
        <v>123</v>
      </c>
      <c r="F32" s="2">
        <v>4</v>
      </c>
      <c r="G32" t="s">
        <v>157</v>
      </c>
      <c r="H32" s="21">
        <v>45173</v>
      </c>
      <c r="I32" s="83">
        <v>26</v>
      </c>
      <c r="J32" t="s">
        <v>172</v>
      </c>
      <c r="K32" s="61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91</v>
      </c>
      <c r="D33" s="2">
        <v>2</v>
      </c>
      <c r="E33" t="s">
        <v>123</v>
      </c>
      <c r="F33" s="2">
        <v>3</v>
      </c>
      <c r="G33" t="s">
        <v>158</v>
      </c>
      <c r="H33" s="21">
        <v>45175</v>
      </c>
      <c r="I33" s="83">
        <v>5</v>
      </c>
      <c r="J33" t="s">
        <v>171</v>
      </c>
      <c r="K33" s="61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36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6" t="s">
        <v>126</v>
      </c>
      <c r="B1" s="186"/>
      <c r="C1" s="186"/>
      <c r="D1" s="191"/>
    </row>
    <row r="2" spans="1:5" x14ac:dyDescent="0.25">
      <c r="A2" s="185"/>
      <c r="B2" s="185"/>
      <c r="C2" s="185"/>
      <c r="D2" s="192"/>
    </row>
    <row r="3" spans="1:5" x14ac:dyDescent="0.25">
      <c r="A3" s="52" t="s">
        <v>105</v>
      </c>
      <c r="B3" s="56" t="s">
        <v>127</v>
      </c>
      <c r="C3" s="56" t="s">
        <v>125</v>
      </c>
      <c r="D3" s="56" t="s">
        <v>8</v>
      </c>
      <c r="E3" s="3"/>
    </row>
    <row r="4" spans="1:5" x14ac:dyDescent="0.25">
      <c r="A4" s="90">
        <v>1</v>
      </c>
      <c r="B4" s="97" t="s">
        <v>52</v>
      </c>
      <c r="C4" s="91" t="s">
        <v>169</v>
      </c>
      <c r="D4" s="105">
        <v>50</v>
      </c>
    </row>
    <row r="5" spans="1:5" x14ac:dyDescent="0.25">
      <c r="A5" s="92">
        <v>2</v>
      </c>
      <c r="B5" s="98" t="s">
        <v>53</v>
      </c>
      <c r="C5" s="93" t="s">
        <v>170</v>
      </c>
      <c r="D5" s="106">
        <v>40</v>
      </c>
    </row>
    <row r="6" spans="1:5" x14ac:dyDescent="0.25">
      <c r="A6" s="92">
        <v>3</v>
      </c>
      <c r="B6" s="98" t="s">
        <v>54</v>
      </c>
      <c r="C6" s="93" t="s">
        <v>171</v>
      </c>
      <c r="D6" s="106">
        <v>60</v>
      </c>
    </row>
    <row r="7" spans="1:5" x14ac:dyDescent="0.25">
      <c r="A7" s="92">
        <v>4</v>
      </c>
      <c r="B7" s="98" t="s">
        <v>55</v>
      </c>
      <c r="C7" s="93" t="s">
        <v>172</v>
      </c>
      <c r="D7" s="106">
        <v>75</v>
      </c>
    </row>
    <row r="8" spans="1:5" x14ac:dyDescent="0.25">
      <c r="A8" s="92">
        <v>5</v>
      </c>
      <c r="B8" s="98" t="s">
        <v>56</v>
      </c>
      <c r="C8" s="93" t="s">
        <v>173</v>
      </c>
      <c r="D8" s="106">
        <v>30</v>
      </c>
    </row>
    <row r="9" spans="1:5" x14ac:dyDescent="0.25">
      <c r="A9" s="92">
        <v>6</v>
      </c>
      <c r="B9" s="98" t="s">
        <v>57</v>
      </c>
      <c r="C9" s="93" t="s">
        <v>174</v>
      </c>
      <c r="D9" s="106">
        <v>80</v>
      </c>
    </row>
    <row r="10" spans="1:5" x14ac:dyDescent="0.25">
      <c r="A10" s="92">
        <v>7</v>
      </c>
      <c r="B10" s="98" t="s">
        <v>58</v>
      </c>
      <c r="C10" s="93" t="s">
        <v>175</v>
      </c>
      <c r="D10" s="106">
        <v>50</v>
      </c>
    </row>
    <row r="11" spans="1:5" x14ac:dyDescent="0.25">
      <c r="A11" s="92">
        <v>8</v>
      </c>
      <c r="B11" s="98" t="s">
        <v>59</v>
      </c>
      <c r="C11" s="93" t="s">
        <v>176</v>
      </c>
      <c r="D11" s="106">
        <v>60</v>
      </c>
    </row>
    <row r="12" spans="1:5" x14ac:dyDescent="0.25">
      <c r="A12" s="92">
        <v>9</v>
      </c>
      <c r="B12" s="98" t="s">
        <v>60</v>
      </c>
      <c r="C12" s="93" t="s">
        <v>177</v>
      </c>
      <c r="D12" s="106">
        <v>100</v>
      </c>
    </row>
    <row r="13" spans="1:5" x14ac:dyDescent="0.25">
      <c r="A13" s="92">
        <v>10</v>
      </c>
      <c r="B13" s="98" t="s">
        <v>61</v>
      </c>
      <c r="C13" s="93" t="s">
        <v>178</v>
      </c>
      <c r="D13" s="106">
        <v>35</v>
      </c>
    </row>
    <row r="14" spans="1:5" x14ac:dyDescent="0.25">
      <c r="A14" s="92">
        <v>11</v>
      </c>
      <c r="B14" s="98" t="s">
        <v>52</v>
      </c>
      <c r="C14" s="93" t="s">
        <v>179</v>
      </c>
      <c r="D14" s="106">
        <v>50</v>
      </c>
    </row>
    <row r="15" spans="1:5" x14ac:dyDescent="0.25">
      <c r="A15" s="92">
        <v>12</v>
      </c>
      <c r="B15" s="98" t="s">
        <v>53</v>
      </c>
      <c r="C15" s="93" t="s">
        <v>180</v>
      </c>
      <c r="D15" s="106">
        <v>40</v>
      </c>
    </row>
    <row r="16" spans="1:5" x14ac:dyDescent="0.25">
      <c r="A16" s="92">
        <v>13</v>
      </c>
      <c r="B16" s="98" t="s">
        <v>54</v>
      </c>
      <c r="C16" s="93" t="s">
        <v>181</v>
      </c>
      <c r="D16" s="106">
        <v>60</v>
      </c>
    </row>
    <row r="17" spans="1:4" x14ac:dyDescent="0.25">
      <c r="A17" s="92">
        <v>14</v>
      </c>
      <c r="B17" s="98" t="s">
        <v>55</v>
      </c>
      <c r="C17" s="93" t="s">
        <v>182</v>
      </c>
      <c r="D17" s="106">
        <v>75</v>
      </c>
    </row>
    <row r="18" spans="1:4" x14ac:dyDescent="0.25">
      <c r="A18" s="92">
        <v>15</v>
      </c>
      <c r="B18" s="98" t="s">
        <v>56</v>
      </c>
      <c r="C18" s="93" t="s">
        <v>183</v>
      </c>
      <c r="D18" s="106">
        <v>30</v>
      </c>
    </row>
    <row r="19" spans="1:4" x14ac:dyDescent="0.25">
      <c r="A19" s="92">
        <v>16</v>
      </c>
      <c r="B19" s="98" t="s">
        <v>57</v>
      </c>
      <c r="C19" s="93" t="s">
        <v>184</v>
      </c>
      <c r="D19" s="106">
        <v>80</v>
      </c>
    </row>
    <row r="20" spans="1:4" x14ac:dyDescent="0.25">
      <c r="A20" s="92">
        <v>17</v>
      </c>
      <c r="B20" s="98" t="s">
        <v>58</v>
      </c>
      <c r="C20" s="93" t="s">
        <v>185</v>
      </c>
      <c r="D20" s="106">
        <v>50</v>
      </c>
    </row>
    <row r="21" spans="1:4" x14ac:dyDescent="0.25">
      <c r="A21" s="92">
        <v>18</v>
      </c>
      <c r="B21" s="98" t="s">
        <v>59</v>
      </c>
      <c r="C21" s="93" t="s">
        <v>186</v>
      </c>
      <c r="D21" s="106">
        <v>60</v>
      </c>
    </row>
    <row r="22" spans="1:4" x14ac:dyDescent="0.25">
      <c r="A22" s="92">
        <v>19</v>
      </c>
      <c r="B22" s="98" t="s">
        <v>60</v>
      </c>
      <c r="C22" s="93" t="s">
        <v>187</v>
      </c>
      <c r="D22" s="106">
        <v>100</v>
      </c>
    </row>
    <row r="23" spans="1:4" x14ac:dyDescent="0.25">
      <c r="A23" s="92">
        <v>20</v>
      </c>
      <c r="B23" s="98" t="s">
        <v>61</v>
      </c>
      <c r="C23" s="93" t="s">
        <v>188</v>
      </c>
      <c r="D23" s="106">
        <v>35</v>
      </c>
    </row>
    <row r="24" spans="1:4" x14ac:dyDescent="0.25">
      <c r="A24" s="92">
        <v>21</v>
      </c>
      <c r="B24" s="98" t="s">
        <v>52</v>
      </c>
      <c r="C24" s="93" t="s">
        <v>189</v>
      </c>
      <c r="D24" s="106">
        <v>50</v>
      </c>
    </row>
    <row r="25" spans="1:4" x14ac:dyDescent="0.25">
      <c r="A25" s="92">
        <v>22</v>
      </c>
      <c r="B25" s="98" t="s">
        <v>53</v>
      </c>
      <c r="C25" s="93" t="s">
        <v>190</v>
      </c>
      <c r="D25" s="106">
        <v>40</v>
      </c>
    </row>
    <row r="26" spans="1:4" x14ac:dyDescent="0.25">
      <c r="A26" s="92">
        <v>23</v>
      </c>
      <c r="B26" s="98" t="s">
        <v>54</v>
      </c>
      <c r="C26" s="93" t="s">
        <v>191</v>
      </c>
      <c r="D26" s="106">
        <v>60</v>
      </c>
    </row>
    <row r="27" spans="1:4" x14ac:dyDescent="0.25">
      <c r="A27" s="92">
        <v>24</v>
      </c>
      <c r="B27" s="98" t="s">
        <v>55</v>
      </c>
      <c r="C27" s="93" t="s">
        <v>192</v>
      </c>
      <c r="D27" s="106">
        <v>75</v>
      </c>
    </row>
    <row r="28" spans="1:4" x14ac:dyDescent="0.25">
      <c r="A28" s="92">
        <v>25</v>
      </c>
      <c r="B28" s="98" t="s">
        <v>56</v>
      </c>
      <c r="C28" s="93" t="s">
        <v>193</v>
      </c>
      <c r="D28" s="106">
        <v>30</v>
      </c>
    </row>
    <row r="29" spans="1:4" x14ac:dyDescent="0.25">
      <c r="A29" s="92">
        <v>26</v>
      </c>
      <c r="B29" s="98" t="s">
        <v>57</v>
      </c>
      <c r="C29" s="93" t="s">
        <v>194</v>
      </c>
      <c r="D29" s="106">
        <v>80</v>
      </c>
    </row>
    <row r="30" spans="1:4" x14ac:dyDescent="0.25">
      <c r="A30" s="92">
        <v>27</v>
      </c>
      <c r="B30" s="98" t="s">
        <v>58</v>
      </c>
      <c r="C30" s="94" t="s">
        <v>195</v>
      </c>
      <c r="D30" s="106">
        <v>50</v>
      </c>
    </row>
    <row r="31" spans="1:4" x14ac:dyDescent="0.25">
      <c r="A31" s="92">
        <v>28</v>
      </c>
      <c r="B31" s="98" t="s">
        <v>59</v>
      </c>
      <c r="C31" s="94" t="s">
        <v>196</v>
      </c>
      <c r="D31" s="106">
        <v>60</v>
      </c>
    </row>
    <row r="32" spans="1:4" x14ac:dyDescent="0.25">
      <c r="A32" s="92">
        <v>29</v>
      </c>
      <c r="B32" s="98" t="s">
        <v>60</v>
      </c>
      <c r="C32" s="94" t="s">
        <v>197</v>
      </c>
      <c r="D32" s="106">
        <v>100</v>
      </c>
    </row>
    <row r="33" spans="1:4" x14ac:dyDescent="0.25">
      <c r="A33" s="92">
        <v>30</v>
      </c>
      <c r="B33" s="98" t="s">
        <v>61</v>
      </c>
      <c r="C33" s="94" t="s">
        <v>198</v>
      </c>
      <c r="D33" s="106">
        <v>35</v>
      </c>
    </row>
    <row r="34" spans="1:4" x14ac:dyDescent="0.25">
      <c r="A34" s="92">
        <v>31</v>
      </c>
      <c r="B34" s="98" t="s">
        <v>52</v>
      </c>
      <c r="C34" s="94" t="s">
        <v>199</v>
      </c>
      <c r="D34" s="106">
        <v>50</v>
      </c>
    </row>
    <row r="35" spans="1:4" x14ac:dyDescent="0.25">
      <c r="A35" s="92">
        <v>32</v>
      </c>
      <c r="B35" s="98" t="s">
        <v>53</v>
      </c>
      <c r="C35" s="94" t="s">
        <v>200</v>
      </c>
      <c r="D35" s="106">
        <v>40</v>
      </c>
    </row>
    <row r="36" spans="1:4" x14ac:dyDescent="0.25">
      <c r="A36" s="92">
        <v>33</v>
      </c>
      <c r="B36" s="98" t="s">
        <v>54</v>
      </c>
      <c r="C36" s="94" t="s">
        <v>201</v>
      </c>
      <c r="D36" s="106">
        <v>60</v>
      </c>
    </row>
    <row r="37" spans="1:4" x14ac:dyDescent="0.25">
      <c r="A37" s="92">
        <v>34</v>
      </c>
      <c r="B37" s="98" t="s">
        <v>55</v>
      </c>
      <c r="C37" s="94" t="s">
        <v>202</v>
      </c>
      <c r="D37" s="106">
        <v>75</v>
      </c>
    </row>
    <row r="38" spans="1:4" x14ac:dyDescent="0.25">
      <c r="A38" s="92">
        <v>35</v>
      </c>
      <c r="B38" s="98" t="s">
        <v>56</v>
      </c>
      <c r="C38" s="93" t="s">
        <v>203</v>
      </c>
      <c r="D38" s="106">
        <v>30</v>
      </c>
    </row>
    <row r="39" spans="1:4" x14ac:dyDescent="0.25">
      <c r="A39" s="92">
        <v>36</v>
      </c>
      <c r="B39" s="98" t="s">
        <v>57</v>
      </c>
      <c r="C39" s="93" t="s">
        <v>204</v>
      </c>
      <c r="D39" s="106">
        <v>80</v>
      </c>
    </row>
    <row r="40" spans="1:4" x14ac:dyDescent="0.25">
      <c r="A40" s="92">
        <v>37</v>
      </c>
      <c r="B40" s="98" t="s">
        <v>58</v>
      </c>
      <c r="C40" s="93" t="s">
        <v>205</v>
      </c>
      <c r="D40" s="106">
        <v>50</v>
      </c>
    </row>
    <row r="41" spans="1:4" x14ac:dyDescent="0.25">
      <c r="A41" s="92">
        <v>38</v>
      </c>
      <c r="B41" s="98" t="s">
        <v>59</v>
      </c>
      <c r="C41" s="93" t="s">
        <v>206</v>
      </c>
      <c r="D41" s="106">
        <v>60</v>
      </c>
    </row>
    <row r="42" spans="1:4" x14ac:dyDescent="0.25">
      <c r="A42" s="92">
        <v>39</v>
      </c>
      <c r="B42" s="98" t="s">
        <v>60</v>
      </c>
      <c r="C42" s="93" t="s">
        <v>207</v>
      </c>
      <c r="D42" s="106">
        <v>100</v>
      </c>
    </row>
    <row r="43" spans="1:4" x14ac:dyDescent="0.25">
      <c r="A43" s="95">
        <v>40</v>
      </c>
      <c r="B43" s="99" t="s">
        <v>61</v>
      </c>
      <c r="C43" s="96" t="s">
        <v>208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6" t="s">
        <v>17</v>
      </c>
      <c r="B1" s="186"/>
      <c r="C1" s="186"/>
      <c r="D1" s="186"/>
      <c r="E1" s="186"/>
      <c r="F1" s="186"/>
      <c r="G1" s="186"/>
      <c r="H1" s="186"/>
      <c r="K1" s="13" t="s">
        <v>43</v>
      </c>
      <c r="M1" s="64" t="s">
        <v>47</v>
      </c>
    </row>
    <row r="2" spans="1:13" ht="14.45" customHeight="1" x14ac:dyDescent="0.25">
      <c r="A2" s="185"/>
      <c r="B2" s="185"/>
      <c r="C2" s="185"/>
      <c r="D2" s="185"/>
      <c r="E2" s="185"/>
      <c r="F2" s="185"/>
      <c r="G2" s="185"/>
      <c r="H2" s="185"/>
      <c r="K2" s="5" t="s">
        <v>99</v>
      </c>
      <c r="M2" s="5" t="s">
        <v>18</v>
      </c>
    </row>
    <row r="3" spans="1:13" ht="25.5" x14ac:dyDescent="0.25">
      <c r="A3" s="52" t="s">
        <v>101</v>
      </c>
      <c r="B3" s="56" t="s">
        <v>18</v>
      </c>
      <c r="C3" s="52" t="s">
        <v>102</v>
      </c>
      <c r="D3" s="56" t="s">
        <v>10</v>
      </c>
      <c r="E3" s="52" t="s">
        <v>19</v>
      </c>
      <c r="F3" s="52" t="s">
        <v>20</v>
      </c>
      <c r="G3" s="52" t="s">
        <v>21</v>
      </c>
      <c r="H3" s="52" t="s">
        <v>22</v>
      </c>
      <c r="K3" s="80"/>
      <c r="M3" t="s">
        <v>122</v>
      </c>
    </row>
    <row r="4" spans="1:13" x14ac:dyDescent="0.25">
      <c r="A4" s="2">
        <v>1</v>
      </c>
      <c r="B4" t="s">
        <v>122</v>
      </c>
      <c r="C4" s="2">
        <v>1</v>
      </c>
      <c r="D4" t="s">
        <v>84</v>
      </c>
      <c r="G4" s="7"/>
      <c r="H4" s="4"/>
      <c r="M4" t="s">
        <v>123</v>
      </c>
    </row>
    <row r="5" spans="1:13" x14ac:dyDescent="0.25">
      <c r="A5" s="2">
        <v>2</v>
      </c>
      <c r="B5" t="s">
        <v>123</v>
      </c>
      <c r="C5" s="2">
        <v>2</v>
      </c>
      <c r="D5" t="s">
        <v>91</v>
      </c>
      <c r="G5" s="7"/>
      <c r="H5" s="4"/>
      <c r="M5" t="s">
        <v>124</v>
      </c>
    </row>
    <row r="6" spans="1:13" x14ac:dyDescent="0.25">
      <c r="A6" s="2">
        <v>3</v>
      </c>
      <c r="B6" t="s">
        <v>124</v>
      </c>
      <c r="C6" s="2">
        <v>3</v>
      </c>
      <c r="D6" t="s">
        <v>116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6" t="s">
        <v>9</v>
      </c>
      <c r="B1" s="186"/>
      <c r="C1" s="186"/>
      <c r="D1" s="186"/>
      <c r="E1" s="186"/>
      <c r="F1" s="186"/>
      <c r="G1" s="186"/>
      <c r="H1" s="186"/>
      <c r="I1" s="186"/>
    </row>
    <row r="2" spans="1:9" x14ac:dyDescent="0.25">
      <c r="A2" s="185"/>
      <c r="B2" s="185"/>
      <c r="C2" s="185"/>
      <c r="D2" s="185"/>
      <c r="E2" s="185"/>
      <c r="F2" s="185"/>
      <c r="G2" s="185"/>
      <c r="H2" s="185"/>
      <c r="I2" s="185"/>
    </row>
    <row r="3" spans="1:9" ht="26.25" x14ac:dyDescent="0.25">
      <c r="A3" s="51" t="s">
        <v>103</v>
      </c>
      <c r="B3" s="56" t="s">
        <v>10</v>
      </c>
      <c r="C3" s="56" t="s">
        <v>11</v>
      </c>
      <c r="D3" s="56" t="s">
        <v>12</v>
      </c>
      <c r="E3" s="56" t="s">
        <v>13</v>
      </c>
      <c r="F3" s="56" t="s">
        <v>14</v>
      </c>
      <c r="G3" s="56" t="s">
        <v>15</v>
      </c>
      <c r="H3" s="56"/>
      <c r="I3" s="56" t="s">
        <v>16</v>
      </c>
    </row>
    <row r="4" spans="1:9" x14ac:dyDescent="0.25">
      <c r="A4" s="2">
        <v>1</v>
      </c>
      <c r="B4" t="s">
        <v>84</v>
      </c>
      <c r="C4" t="s">
        <v>85</v>
      </c>
      <c r="D4" t="s">
        <v>86</v>
      </c>
      <c r="E4" t="s">
        <v>87</v>
      </c>
      <c r="F4" s="2" t="s">
        <v>88</v>
      </c>
      <c r="G4" s="6" t="s">
        <v>89</v>
      </c>
      <c r="H4" s="6" t="s">
        <v>165</v>
      </c>
      <c r="I4" s="46" t="s">
        <v>90</v>
      </c>
    </row>
    <row r="5" spans="1:9" x14ac:dyDescent="0.25">
      <c r="A5" s="2">
        <v>2</v>
      </c>
      <c r="B5" t="s">
        <v>91</v>
      </c>
      <c r="C5" t="s">
        <v>104</v>
      </c>
      <c r="D5" t="s">
        <v>92</v>
      </c>
      <c r="E5" t="s">
        <v>87</v>
      </c>
      <c r="F5" s="2" t="s">
        <v>93</v>
      </c>
      <c r="G5" t="s">
        <v>94</v>
      </c>
      <c r="H5" t="s">
        <v>166</v>
      </c>
      <c r="I5" s="46" t="s">
        <v>95</v>
      </c>
    </row>
    <row r="6" spans="1:9" x14ac:dyDescent="0.25">
      <c r="A6" s="2">
        <v>3</v>
      </c>
      <c r="B6" t="s">
        <v>116</v>
      </c>
      <c r="C6" t="s">
        <v>117</v>
      </c>
      <c r="D6" t="s">
        <v>118</v>
      </c>
      <c r="E6" t="s">
        <v>87</v>
      </c>
      <c r="F6" s="2" t="s">
        <v>119</v>
      </c>
      <c r="G6" t="s">
        <v>120</v>
      </c>
      <c r="H6" t="s">
        <v>167</v>
      </c>
      <c r="I6" s="46" t="s">
        <v>121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2023-09-29T22:42:51Z</cp:lastPrinted>
  <dcterms:created xsi:type="dcterms:W3CDTF">2023-05-08T04:58:50Z</dcterms:created>
  <dcterms:modified xsi:type="dcterms:W3CDTF">2023-09-30T11:12:38Z</dcterms:modified>
</cp:coreProperties>
</file>