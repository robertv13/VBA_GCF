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9cfcb927093c144/"/>
    </mc:Choice>
  </mc:AlternateContent>
  <xr:revisionPtr revIDLastSave="1481" documentId="8_{F2AD12B9-5266-4C45-B053-5DA3824C8D4A}" xr6:coauthVersionLast="47" xr6:coauthVersionMax="47" xr10:uidLastSave="{9206CC27-780B-4C84-BE45-070BC8CDFA7C}"/>
  <bookViews>
    <workbookView xWindow="-120" yWindow="-120" windowWidth="29040" windowHeight="15840" activeTab="1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Trans!$A$1:$L$297</definedName>
    <definedName name="COA" localSheetId="4">PlanComptable!$A$3:$B$62</definedName>
    <definedName name="DescEJRecurrente">EJ_Auto!$K$1:$L$5</definedName>
    <definedName name="_xlnm.Print_Titles" localSheetId="3">BV!$1:$3</definedName>
    <definedName name="_xlnm.Print_Titles" localSheetId="1">Trans!$1:$1</definedName>
    <definedName name="wshJEAutoDesc">EJ_Auto!$K$1:$L$5</definedName>
    <definedName name="_xlnm.Print_Area" localSheetId="3">BV!$D$4:$G$66</definedName>
    <definedName name="_xlnm.Print_Area" localSheetId="1">Trans!$D$1:$K$159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27" i="3" l="1"/>
  <c r="B327" i="3"/>
  <c r="A328" i="3"/>
  <c r="B328" i="3"/>
  <c r="A329" i="3"/>
  <c r="B329" i="3"/>
  <c r="A330" i="3"/>
  <c r="B330" i="3"/>
  <c r="A331" i="3"/>
  <c r="B331" i="3"/>
  <c r="A332" i="3"/>
  <c r="B332" i="3"/>
  <c r="A333" i="3"/>
  <c r="B333" i="3"/>
  <c r="A334" i="3"/>
  <c r="B334" i="3"/>
  <c r="A335" i="3"/>
  <c r="B335" i="3"/>
  <c r="A336" i="3"/>
  <c r="B336" i="3"/>
  <c r="A337" i="3"/>
  <c r="B337" i="3"/>
  <c r="A338" i="3"/>
  <c r="B338" i="3"/>
  <c r="A339" i="3"/>
  <c r="B339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A298" i="3"/>
  <c r="B298" i="3"/>
  <c r="A299" i="3"/>
  <c r="B299" i="3"/>
  <c r="A300" i="3"/>
  <c r="B300" i="3"/>
  <c r="A301" i="3"/>
  <c r="B301" i="3"/>
  <c r="A302" i="3"/>
  <c r="B302" i="3"/>
  <c r="A303" i="3"/>
  <c r="B303" i="3"/>
  <c r="A304" i="3"/>
  <c r="B304" i="3"/>
  <c r="A305" i="3"/>
  <c r="B305" i="3"/>
  <c r="A306" i="3"/>
  <c r="B306" i="3"/>
  <c r="A307" i="3"/>
  <c r="B307" i="3"/>
  <c r="A308" i="3"/>
  <c r="B308" i="3"/>
  <c r="A309" i="3"/>
  <c r="B309" i="3"/>
  <c r="A310" i="3"/>
  <c r="B310" i="3"/>
  <c r="A311" i="3"/>
  <c r="B311" i="3"/>
  <c r="A312" i="3"/>
  <c r="B312" i="3"/>
  <c r="A313" i="3"/>
  <c r="B313" i="3"/>
  <c r="A314" i="3"/>
  <c r="B314" i="3"/>
  <c r="A315" i="3"/>
  <c r="B315" i="3"/>
  <c r="A316" i="3"/>
  <c r="B316" i="3"/>
  <c r="A317" i="3"/>
  <c r="B317" i="3"/>
  <c r="A318" i="3"/>
  <c r="B318" i="3"/>
  <c r="A319" i="3"/>
  <c r="B319" i="3"/>
  <c r="A320" i="3"/>
  <c r="B320" i="3"/>
  <c r="A321" i="3"/>
  <c r="B321" i="3"/>
  <c r="A322" i="3"/>
  <c r="B322" i="3"/>
  <c r="A323" i="3"/>
  <c r="B323" i="3"/>
  <c r="A324" i="3"/>
  <c r="B324" i="3"/>
  <c r="A325" i="3"/>
  <c r="B325" i="3"/>
  <c r="A326" i="3"/>
  <c r="B326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A13" i="3"/>
  <c r="B13" i="3"/>
  <c r="A14" i="3"/>
  <c r="B14" i="3"/>
  <c r="A15" i="3"/>
  <c r="B15" i="3"/>
  <c r="A16" i="3"/>
  <c r="B16" i="3"/>
  <c r="A17" i="3"/>
  <c r="B17" i="3"/>
  <c r="A18" i="3"/>
  <c r="B18" i="3"/>
  <c r="A19" i="3"/>
  <c r="B19" i="3"/>
  <c r="A20" i="3"/>
  <c r="B20" i="3"/>
  <c r="A21" i="3"/>
  <c r="B21" i="3"/>
  <c r="A22" i="3"/>
  <c r="B22" i="3"/>
  <c r="A23" i="3"/>
  <c r="B23" i="3"/>
  <c r="A24" i="3"/>
  <c r="B24" i="3"/>
  <c r="A25" i="3"/>
  <c r="B25" i="3"/>
  <c r="A26" i="3"/>
  <c r="B26" i="3"/>
  <c r="A27" i="3"/>
  <c r="B27" i="3"/>
  <c r="A28" i="3"/>
  <c r="B28" i="3"/>
  <c r="A29" i="3"/>
  <c r="B29" i="3"/>
  <c r="A30" i="3"/>
  <c r="B30" i="3"/>
  <c r="A31" i="3"/>
  <c r="B31" i="3"/>
  <c r="A32" i="3"/>
  <c r="B32" i="3"/>
  <c r="A33" i="3"/>
  <c r="B33" i="3"/>
  <c r="A34" i="3"/>
  <c r="B34" i="3"/>
  <c r="A35" i="3"/>
  <c r="B35" i="3"/>
  <c r="A36" i="3"/>
  <c r="B36" i="3"/>
  <c r="A37" i="3"/>
  <c r="B37" i="3"/>
  <c r="A38" i="3"/>
  <c r="B38" i="3"/>
  <c r="A39" i="3"/>
  <c r="B39" i="3"/>
  <c r="A40" i="3"/>
  <c r="B40" i="3"/>
  <c r="A41" i="3"/>
  <c r="B41" i="3"/>
  <c r="A42" i="3"/>
  <c r="B42" i="3"/>
  <c r="A43" i="3"/>
  <c r="B43" i="3"/>
  <c r="A44" i="3"/>
  <c r="B44" i="3"/>
  <c r="A45" i="3"/>
  <c r="B45" i="3"/>
  <c r="A46" i="3"/>
  <c r="B46" i="3"/>
  <c r="A47" i="3"/>
  <c r="B47" i="3"/>
  <c r="A48" i="3"/>
  <c r="B48" i="3"/>
  <c r="A49" i="3"/>
  <c r="B49" i="3"/>
  <c r="A50" i="3"/>
  <c r="B50" i="3"/>
  <c r="A51" i="3"/>
  <c r="B51" i="3"/>
  <c r="A52" i="3"/>
  <c r="B52" i="3"/>
  <c r="A53" i="3"/>
  <c r="B53" i="3"/>
  <c r="A54" i="3"/>
  <c r="B54" i="3"/>
  <c r="A55" i="3"/>
  <c r="B55" i="3"/>
  <c r="A56" i="3"/>
  <c r="B56" i="3"/>
  <c r="A57" i="3"/>
  <c r="B57" i="3"/>
  <c r="A58" i="3"/>
  <c r="B58" i="3"/>
  <c r="A59" i="3"/>
  <c r="B59" i="3"/>
  <c r="A60" i="3"/>
  <c r="B60" i="3"/>
  <c r="A61" i="3"/>
  <c r="B61" i="3"/>
  <c r="A62" i="3"/>
  <c r="B62" i="3"/>
  <c r="A63" i="3"/>
  <c r="B63" i="3"/>
  <c r="A64" i="3"/>
  <c r="B64" i="3"/>
  <c r="A65" i="3"/>
  <c r="B65" i="3"/>
  <c r="A66" i="3"/>
  <c r="B66" i="3"/>
  <c r="A67" i="3"/>
  <c r="B67" i="3"/>
  <c r="A68" i="3"/>
  <c r="B68" i="3"/>
  <c r="A69" i="3"/>
  <c r="B69" i="3"/>
  <c r="A70" i="3"/>
  <c r="B70" i="3"/>
  <c r="A71" i="3"/>
  <c r="B71" i="3"/>
  <c r="A72" i="3"/>
  <c r="B72" i="3"/>
  <c r="A73" i="3"/>
  <c r="B73" i="3"/>
  <c r="A74" i="3"/>
  <c r="B74" i="3"/>
  <c r="A75" i="3"/>
  <c r="B75" i="3"/>
  <c r="A76" i="3"/>
  <c r="B76" i="3"/>
  <c r="A77" i="3"/>
  <c r="B77" i="3"/>
  <c r="A78" i="3"/>
  <c r="B78" i="3"/>
  <c r="A79" i="3"/>
  <c r="B79" i="3"/>
  <c r="A80" i="3"/>
  <c r="B80" i="3"/>
  <c r="A81" i="3"/>
  <c r="B81" i="3"/>
  <c r="A82" i="3"/>
  <c r="B82" i="3"/>
  <c r="A83" i="3"/>
  <c r="B83" i="3"/>
  <c r="A84" i="3"/>
  <c r="B84" i="3"/>
  <c r="A85" i="3"/>
  <c r="B85" i="3"/>
  <c r="A86" i="3"/>
  <c r="B86" i="3"/>
  <c r="A87" i="3"/>
  <c r="B87" i="3"/>
  <c r="A88" i="3"/>
  <c r="B88" i="3"/>
  <c r="A89" i="3"/>
  <c r="B89" i="3"/>
  <c r="A90" i="3"/>
  <c r="B90" i="3"/>
  <c r="A91" i="3"/>
  <c r="B91" i="3"/>
  <c r="A92" i="3"/>
  <c r="B92" i="3"/>
  <c r="A93" i="3"/>
  <c r="B93" i="3"/>
  <c r="A94" i="3"/>
  <c r="B94" i="3"/>
  <c r="A95" i="3"/>
  <c r="B95" i="3"/>
  <c r="A96" i="3"/>
  <c r="B96" i="3"/>
  <c r="A97" i="3"/>
  <c r="B97" i="3"/>
  <c r="A98" i="3"/>
  <c r="B98" i="3"/>
  <c r="A99" i="3"/>
  <c r="B99" i="3"/>
  <c r="A100" i="3"/>
  <c r="B100" i="3"/>
  <c r="A101" i="3"/>
  <c r="B101" i="3"/>
  <c r="A102" i="3"/>
  <c r="B102" i="3"/>
  <c r="A103" i="3"/>
  <c r="B103" i="3"/>
  <c r="A104" i="3"/>
  <c r="B104" i="3"/>
  <c r="A105" i="3"/>
  <c r="B105" i="3"/>
  <c r="A106" i="3"/>
  <c r="B106" i="3"/>
  <c r="A107" i="3"/>
  <c r="B107" i="3"/>
  <c r="A108" i="3"/>
  <c r="B108" i="3"/>
  <c r="A109" i="3"/>
  <c r="B109" i="3"/>
  <c r="A110" i="3"/>
  <c r="B110" i="3"/>
  <c r="A111" i="3"/>
  <c r="B111" i="3"/>
  <c r="A112" i="3"/>
  <c r="B112" i="3"/>
  <c r="A113" i="3"/>
  <c r="B113" i="3"/>
  <c r="A114" i="3"/>
  <c r="B114" i="3"/>
  <c r="A115" i="3"/>
  <c r="B115" i="3"/>
  <c r="A116" i="3"/>
  <c r="B116" i="3"/>
  <c r="A117" i="3"/>
  <c r="B117" i="3"/>
  <c r="A118" i="3"/>
  <c r="B118" i="3"/>
  <c r="A119" i="3"/>
  <c r="B119" i="3"/>
  <c r="A120" i="3"/>
  <c r="B120" i="3"/>
  <c r="A121" i="3"/>
  <c r="B121" i="3"/>
  <c r="A122" i="3"/>
  <c r="B122" i="3"/>
  <c r="A123" i="3"/>
  <c r="B123" i="3"/>
  <c r="A124" i="3"/>
  <c r="B124" i="3"/>
  <c r="A125" i="3"/>
  <c r="B125" i="3"/>
  <c r="A126" i="3"/>
  <c r="B126" i="3"/>
  <c r="A127" i="3"/>
  <c r="B127" i="3"/>
  <c r="A128" i="3"/>
  <c r="B128" i="3"/>
  <c r="A129" i="3"/>
  <c r="B129" i="3"/>
  <c r="A130" i="3"/>
  <c r="B130" i="3"/>
  <c r="A131" i="3"/>
  <c r="B131" i="3"/>
  <c r="A132" i="3"/>
  <c r="B132" i="3"/>
  <c r="A133" i="3"/>
  <c r="B133" i="3"/>
  <c r="A134" i="3"/>
  <c r="B134" i="3"/>
  <c r="A135" i="3"/>
  <c r="B135" i="3"/>
  <c r="A136" i="3"/>
  <c r="B136" i="3"/>
  <c r="A137" i="3"/>
  <c r="B137" i="3"/>
  <c r="A138" i="3"/>
  <c r="B138" i="3"/>
  <c r="A139" i="3"/>
  <c r="B139" i="3"/>
  <c r="A140" i="3"/>
  <c r="B140" i="3"/>
  <c r="A141" i="3"/>
  <c r="B141" i="3"/>
  <c r="A142" i="3"/>
  <c r="B142" i="3"/>
  <c r="A143" i="3"/>
  <c r="B143" i="3"/>
  <c r="A144" i="3"/>
  <c r="B144" i="3"/>
  <c r="A145" i="3"/>
  <c r="B145" i="3"/>
  <c r="A146" i="3"/>
  <c r="B146" i="3"/>
  <c r="A147" i="3"/>
  <c r="B147" i="3"/>
  <c r="A148" i="3"/>
  <c r="B148" i="3"/>
  <c r="A149" i="3"/>
  <c r="B149" i="3"/>
  <c r="A150" i="3"/>
  <c r="B150" i="3"/>
  <c r="A151" i="3"/>
  <c r="B151" i="3"/>
  <c r="A152" i="3"/>
  <c r="B152" i="3"/>
  <c r="A153" i="3"/>
  <c r="B153" i="3"/>
  <c r="A154" i="3"/>
  <c r="B154" i="3"/>
  <c r="A155" i="3"/>
  <c r="B155" i="3"/>
  <c r="A156" i="3"/>
  <c r="B156" i="3"/>
  <c r="A157" i="3"/>
  <c r="B157" i="3"/>
  <c r="A158" i="3"/>
  <c r="B158" i="3"/>
  <c r="A159" i="3"/>
  <c r="B159" i="3"/>
  <c r="A160" i="3"/>
  <c r="B160" i="3"/>
  <c r="A161" i="3"/>
  <c r="B161" i="3"/>
  <c r="A162" i="3"/>
  <c r="B162" i="3"/>
  <c r="A163" i="3"/>
  <c r="B163" i="3"/>
  <c r="A164" i="3"/>
  <c r="B164" i="3"/>
  <c r="A165" i="3"/>
  <c r="B165" i="3"/>
  <c r="A166" i="3"/>
  <c r="B166" i="3"/>
  <c r="A167" i="3"/>
  <c r="B167" i="3"/>
  <c r="A168" i="3"/>
  <c r="B168" i="3"/>
  <c r="A169" i="3"/>
  <c r="B169" i="3"/>
  <c r="A170" i="3"/>
  <c r="B170" i="3"/>
  <c r="A171" i="3"/>
  <c r="B171" i="3"/>
  <c r="A172" i="3"/>
  <c r="B172" i="3"/>
  <c r="A173" i="3"/>
  <c r="B173" i="3"/>
  <c r="A174" i="3"/>
  <c r="B174" i="3"/>
  <c r="A175" i="3"/>
  <c r="B175" i="3"/>
  <c r="A176" i="3"/>
  <c r="B176" i="3"/>
  <c r="A177" i="3"/>
  <c r="B177" i="3"/>
  <c r="A178" i="3"/>
  <c r="B178" i="3"/>
  <c r="A179" i="3"/>
  <c r="B179" i="3"/>
  <c r="A180" i="3"/>
  <c r="B180" i="3"/>
  <c r="A181" i="3"/>
  <c r="B181" i="3"/>
  <c r="A182" i="3"/>
  <c r="B182" i="3"/>
  <c r="A183" i="3"/>
  <c r="B183" i="3"/>
  <c r="A184" i="3"/>
  <c r="B184" i="3"/>
  <c r="A185" i="3"/>
  <c r="B185" i="3"/>
  <c r="A186" i="3"/>
  <c r="B186" i="3"/>
  <c r="A187" i="3"/>
  <c r="B187" i="3"/>
  <c r="A188" i="3"/>
  <c r="B188" i="3"/>
  <c r="A189" i="3"/>
  <c r="B189" i="3"/>
  <c r="A190" i="3"/>
  <c r="B190" i="3"/>
  <c r="A191" i="3"/>
  <c r="B191" i="3"/>
  <c r="A192" i="3"/>
  <c r="B192" i="3"/>
  <c r="A193" i="3"/>
  <c r="B193" i="3"/>
  <c r="A194" i="3"/>
  <c r="B194" i="3"/>
  <c r="A195" i="3"/>
  <c r="B195" i="3"/>
  <c r="A196" i="3"/>
  <c r="B196" i="3"/>
  <c r="A197" i="3"/>
  <c r="B197" i="3"/>
  <c r="A198" i="3"/>
  <c r="B198" i="3"/>
  <c r="A199" i="3"/>
  <c r="B199" i="3"/>
  <c r="A200" i="3"/>
  <c r="B200" i="3"/>
  <c r="A201" i="3"/>
  <c r="B201" i="3"/>
  <c r="A202" i="3"/>
  <c r="B202" i="3"/>
  <c r="A203" i="3"/>
  <c r="B203" i="3"/>
  <c r="A204" i="3"/>
  <c r="B204" i="3"/>
  <c r="A205" i="3"/>
  <c r="B205" i="3"/>
  <c r="A206" i="3"/>
  <c r="B206" i="3"/>
  <c r="A207" i="3"/>
  <c r="B207" i="3"/>
  <c r="A208" i="3"/>
  <c r="B208" i="3"/>
  <c r="A209" i="3"/>
  <c r="B209" i="3"/>
  <c r="A210" i="3"/>
  <c r="B210" i="3"/>
  <c r="A211" i="3"/>
  <c r="B211" i="3"/>
  <c r="A212" i="3"/>
  <c r="B212" i="3"/>
  <c r="A213" i="3"/>
  <c r="B213" i="3"/>
  <c r="A214" i="3"/>
  <c r="B214" i="3"/>
  <c r="A215" i="3"/>
  <c r="B215" i="3"/>
  <c r="A216" i="3"/>
  <c r="B216" i="3"/>
  <c r="A217" i="3"/>
  <c r="B217" i="3"/>
  <c r="A218" i="3"/>
  <c r="B218" i="3"/>
  <c r="A219" i="3"/>
  <c r="B219" i="3"/>
  <c r="A220" i="3"/>
  <c r="B220" i="3"/>
  <c r="A221" i="3"/>
  <c r="B221" i="3"/>
  <c r="A222" i="3"/>
  <c r="B222" i="3"/>
  <c r="A223" i="3"/>
  <c r="B223" i="3"/>
  <c r="A224" i="3"/>
  <c r="B224" i="3"/>
  <c r="A225" i="3"/>
  <c r="B225" i="3"/>
  <c r="A226" i="3"/>
  <c r="B226" i="3"/>
  <c r="A227" i="3"/>
  <c r="B227" i="3"/>
  <c r="A228" i="3"/>
  <c r="B228" i="3"/>
  <c r="A229" i="3"/>
  <c r="B229" i="3"/>
  <c r="A230" i="3"/>
  <c r="B230" i="3"/>
  <c r="A231" i="3"/>
  <c r="B231" i="3"/>
  <c r="A232" i="3"/>
  <c r="B232" i="3"/>
  <c r="A233" i="3"/>
  <c r="B233" i="3"/>
  <c r="A234" i="3"/>
  <c r="B234" i="3"/>
  <c r="A235" i="3"/>
  <c r="B235" i="3"/>
  <c r="A236" i="3"/>
  <c r="B236" i="3"/>
  <c r="A237" i="3"/>
  <c r="B237" i="3"/>
  <c r="A238" i="3"/>
  <c r="B238" i="3"/>
  <c r="A239" i="3"/>
  <c r="B239" i="3"/>
  <c r="A240" i="3"/>
  <c r="B240" i="3"/>
  <c r="A241" i="3"/>
  <c r="B241" i="3"/>
  <c r="A242" i="3"/>
  <c r="B242" i="3"/>
  <c r="A243" i="3"/>
  <c r="B243" i="3"/>
  <c r="A244" i="3"/>
  <c r="B244" i="3"/>
  <c r="A245" i="3"/>
  <c r="B245" i="3"/>
  <c r="A246" i="3"/>
  <c r="B246" i="3"/>
  <c r="A247" i="3"/>
  <c r="B247" i="3"/>
  <c r="A248" i="3"/>
  <c r="B248" i="3"/>
  <c r="A249" i="3"/>
  <c r="B249" i="3"/>
  <c r="A250" i="3"/>
  <c r="B250" i="3"/>
  <c r="A251" i="3"/>
  <c r="B251" i="3"/>
  <c r="A252" i="3"/>
  <c r="B252" i="3"/>
  <c r="A253" i="3"/>
  <c r="B253" i="3"/>
  <c r="A254" i="3"/>
  <c r="B254" i="3"/>
  <c r="A255" i="3"/>
  <c r="B255" i="3"/>
  <c r="A256" i="3"/>
  <c r="B256" i="3"/>
  <c r="A257" i="3"/>
  <c r="B257" i="3"/>
  <c r="A258" i="3"/>
  <c r="B258" i="3"/>
  <c r="A259" i="3"/>
  <c r="B259" i="3"/>
  <c r="A260" i="3"/>
  <c r="B260" i="3"/>
  <c r="A261" i="3"/>
  <c r="B261" i="3"/>
  <c r="A262" i="3"/>
  <c r="B262" i="3"/>
  <c r="A263" i="3"/>
  <c r="B263" i="3"/>
  <c r="A264" i="3"/>
  <c r="B264" i="3"/>
  <c r="A265" i="3"/>
  <c r="B265" i="3"/>
  <c r="A266" i="3"/>
  <c r="B266" i="3"/>
  <c r="A267" i="3"/>
  <c r="B267" i="3"/>
  <c r="A268" i="3"/>
  <c r="B268" i="3"/>
  <c r="A269" i="3"/>
  <c r="B269" i="3"/>
  <c r="A270" i="3"/>
  <c r="B270" i="3"/>
  <c r="A271" i="3"/>
  <c r="B271" i="3"/>
  <c r="A272" i="3"/>
  <c r="B272" i="3"/>
  <c r="A273" i="3"/>
  <c r="B273" i="3"/>
  <c r="A274" i="3"/>
  <c r="B274" i="3"/>
  <c r="A275" i="3"/>
  <c r="B275" i="3"/>
  <c r="A276" i="3"/>
  <c r="B276" i="3"/>
  <c r="A277" i="3"/>
  <c r="B277" i="3"/>
  <c r="A278" i="3"/>
  <c r="B278" i="3"/>
  <c r="A279" i="3"/>
  <c r="B279" i="3"/>
  <c r="A280" i="3"/>
  <c r="B280" i="3"/>
  <c r="A281" i="3"/>
  <c r="B281" i="3"/>
  <c r="A282" i="3"/>
  <c r="B282" i="3"/>
  <c r="A283" i="3"/>
  <c r="B283" i="3"/>
  <c r="A284" i="3"/>
  <c r="B284" i="3"/>
  <c r="A285" i="3"/>
  <c r="B285" i="3"/>
  <c r="A286" i="3"/>
  <c r="B286" i="3"/>
  <c r="A287" i="3"/>
  <c r="B287" i="3"/>
  <c r="A288" i="3"/>
  <c r="B288" i="3"/>
  <c r="A289" i="3"/>
  <c r="B289" i="3"/>
  <c r="A290" i="3"/>
  <c r="B290" i="3"/>
  <c r="A291" i="3"/>
  <c r="B291" i="3"/>
  <c r="A292" i="3"/>
  <c r="B292" i="3"/>
  <c r="A293" i="3"/>
  <c r="B293" i="3"/>
  <c r="A294" i="3"/>
  <c r="B294" i="3"/>
  <c r="A295" i="3"/>
  <c r="B295" i="3"/>
  <c r="A296" i="3"/>
  <c r="B296" i="3"/>
  <c r="A297" i="3"/>
  <c r="B297" i="3"/>
  <c r="A3" i="3"/>
  <c r="B3" i="3"/>
  <c r="A4" i="3"/>
  <c r="B4" i="3"/>
  <c r="A5" i="3"/>
  <c r="B5" i="3"/>
  <c r="A6" i="3"/>
  <c r="B6" i="3"/>
  <c r="A7" i="3"/>
  <c r="B7" i="3"/>
  <c r="A8" i="3"/>
  <c r="B8" i="3"/>
  <c r="A9" i="3"/>
  <c r="B9" i="3"/>
  <c r="A10" i="3"/>
  <c r="B10" i="3"/>
  <c r="A11" i="3"/>
  <c r="B11" i="3"/>
  <c r="A12" i="3"/>
  <c r="B12" i="3"/>
  <c r="B2" i="3"/>
  <c r="A2" i="3"/>
  <c r="G28" i="4"/>
  <c r="F28" i="4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I30" i="5"/>
  <c r="I29" i="5"/>
  <c r="I28" i="5"/>
  <c r="I27" i="5"/>
  <c r="I26" i="5"/>
  <c r="I25" i="5"/>
  <c r="L279" i="3"/>
  <c r="L278" i="3"/>
  <c r="L277" i="3"/>
  <c r="L276" i="3"/>
  <c r="L275" i="3"/>
  <c r="L274" i="3"/>
  <c r="A53" i="2" l="1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L273" i="3"/>
  <c r="L272" i="3"/>
  <c r="L271" i="3"/>
  <c r="L270" i="3"/>
  <c r="I19" i="5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3" i="2"/>
  <c r="H25" i="1" l="1"/>
  <c r="G25" i="1"/>
</calcChain>
</file>

<file path=xl/sharedStrings.xml><?xml version="1.0" encoding="utf-8"?>
<sst xmlns="http://schemas.openxmlformats.org/spreadsheetml/2006/main" count="991" uniqueCount="233">
  <si>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</si>
  <si>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</si>
  <si>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</si>
  <si>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</si>
  <si>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</si>
  <si>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</si>
  <si>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</si>
  <si>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</si>
  <si>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</si>
  <si>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</si>
  <si>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</si>
  <si>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</si>
  <si>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</si>
  <si>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</si>
  <si>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</si>
  <si>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</si>
  <si>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</si>
  <si>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</si>
  <si>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</si>
  <si>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</si>
  <si>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</si>
  <si>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</si>
  <si>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</si>
  <si>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</si>
  <si>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</si>
  <si>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</si>
  <si>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</si>
  <si>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</si>
  <si>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</si>
  <si>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</si>
  <si>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</si>
  <si>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</si>
  <si>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</si>
  <si>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</si>
  <si>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</si>
  <si>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</si>
  <si>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</si>
  <si>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</si>
  <si>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</si>
  <si>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</si>
  <si>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</si>
  <si>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</si>
  <si>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</si>
  <si>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</si>
  <si>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</si>
  <si>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</si>
  <si>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</si>
  <si>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</si>
  <si>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</si>
  <si>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</si>
  <si>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</si>
  <si>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</si>
  <si>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</si>
  <si>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</si>
  <si>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</si>
  <si>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</si>
  <si>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</si>
  <si>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</si>
  <si>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</si>
  <si>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</si>
  <si>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</si>
  <si>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</si>
  <si>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</si>
  <si>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</si>
  <si>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</si>
  <si>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</si>
  <si>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</si>
  <si>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</si>
  <si>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</si>
  <si>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</si>
  <si>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</si>
  <si>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</si>
  <si>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</si>
  <si>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</si>
  <si>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</si>
  <si>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</si>
  <si>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</si>
  <si>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</si>
  <si>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</si>
  <si>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</si>
  <si>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</si>
  <si>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</si>
  <si>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</si>
  <si>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</si>
  <si>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</si>
  <si>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</si>
  <si>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</si>
  <si>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</si>
  <si>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</si>
  <si>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</si>
  <si>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</si>
  <si>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</si>
  <si>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</si>
  <si>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</si>
  <si>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</si>
  <si>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</si>
  <si>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</si>
  <si>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</si>
  <si>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</si>
  <si>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</si>
  <si>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</si>
  <si>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</si>
  <si>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</si>
  <si>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</si>
  <si>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</si>
  <si>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</si>
  <si>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</si>
  <si>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</si>
  <si>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</si>
  <si>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</si>
  <si>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</si>
  <si>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</si>
  <si>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</si>
  <si>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</si>
  <si>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</si>
  <si>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</si>
  <si>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</si>
  <si>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</si>
  <si>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</si>
  <si>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</si>
  <si>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</si>
  <si>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</si>
  <si>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</si>
  <si>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</si>
  <si>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</si>
  <si>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</si>
  <si>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</si>
  <si>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</si>
  <si>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</si>
  <si>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</si>
  <si>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</si>
  <si>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</si>
  <si>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</si>
  <si>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</si>
  <si>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</si>
  <si>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</si>
  <si>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</si>
  <si>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</si>
  <si>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</si>
  <si>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</si>
  <si>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</si>
  <si>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</si>
  <si>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</si>
  <si>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</si>
  <si>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</si>
  <si>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</si>
  <si>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</si>
  <si>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</si>
  <si>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</si>
  <si>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</si>
  <si>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</si>
  <si>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</si>
  <si>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</si>
  <si>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</si>
  <si>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</si>
  <si>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</si>
  <si>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</si>
  <si>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</si>
  <si>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</si>
  <si>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</si>
  <si>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</si>
  <si>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</si>
  <si>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</si>
  <si>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</si>
  <si>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</si>
  <si>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</si>
  <si>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</si>
  <si>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</si>
  <si>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</si>
  <si>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</si>
  <si>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</si>
  <si>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</si>
  <si>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</si>
  <si>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</si>
  <si>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</si>
  <si>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</si>
  <si>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</si>
  <si>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</si>
  <si>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</si>
  <si>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</si>
  <si>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</si>
  <si>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</si>
  <si>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</si>
  <si>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</si>
  <si>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</si>
  <si>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</si>
  <si>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</si>
  <si>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</si>
  <si>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</si>
  <si>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</si>
  <si>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</si>
  <si>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</si>
  <si>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</si>
  <si>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</si>
  <si>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</si>
  <si>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</si>
  <si>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</si>
  <si>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</si>
  <si>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</si>
  <si>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</si>
  <si>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</si>
  <si>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</si>
  <si>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</si>
  <si>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</si>
  <si>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</si>
  <si>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</si>
  <si>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</si>
  <si>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</si>
  <si>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</si>
  <si>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</si>
  <si>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</si>
  <si>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HYDRO QUÉBEC</t>
  </si>
  <si>
    <t>LOYER - Facture mensuelle</t>
  </si>
  <si>
    <t>Facture pour revenus de consultation</t>
  </si>
  <si>
    <t>Assurance Loyer</t>
  </si>
  <si>
    <t>No E/J recurrente</t>
  </si>
  <si>
    <t>Auto</t>
  </si>
  <si>
    <t>5007a</t>
  </si>
  <si>
    <t>Électricité</t>
  </si>
  <si>
    <t>New J/E auto</t>
  </si>
  <si>
    <t>14/10/2023</t>
  </si>
  <si>
    <t>Test avec la création d'E/J automatique ou récurrente</t>
  </si>
  <si>
    <t>Imputation automatique le 14 de chaque mois</t>
  </si>
  <si>
    <t>Auto - Test avec la création d'E/J automatique ou récurrente</t>
  </si>
  <si>
    <t>Jour</t>
  </si>
  <si>
    <t>Mois</t>
  </si>
  <si>
    <t>Auto - Frais de banque</t>
  </si>
  <si>
    <t>30/09/2023</t>
  </si>
  <si>
    <t>Auto - Facture pour revenus de consultation</t>
  </si>
  <si>
    <t>29/09/2023</t>
  </si>
  <si>
    <t>Auto - LOYER - Facture mensuelle</t>
  </si>
  <si>
    <t>Auto - Assurance Loyer</t>
  </si>
  <si>
    <t>27/09/2023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</si>
</sst>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53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2" fillId="11" borderId="0" xfId="0" applyFont="1" applyFill="1" applyAlignment="1">
      <alignment horizontal="center" vertical="center"/>
    </xf>
    <xf numFmtId="0" fontId="13" fillId="11" borderId="0" xfId="0" applyFont="1" applyFill="1" applyAlignment="1">
      <alignment horizontal="center"/>
    </xf>
    <xf numFmtId="0" fontId="14" fillId="0" borderId="0" xfId="0" applyFont="1"/>
    <xf numFmtId="0" fontId="0" fillId="0" borderId="0" xfId="0" applyAlignment="1">
      <alignment horizontal="right" vertical="center"/>
    </xf>
    <xf numFmtId="0" fontId="0" fillId="12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164" fontId="13" fillId="11" borderId="0" xfId="0" applyNumberFormat="1" applyFont="1" applyFill="1" applyAlignment="1">
      <alignment horizontal="right"/>
    </xf>
    <xf numFmtId="164" fontId="12" fillId="11" borderId="0" xfId="0" applyNumberFormat="1" applyFont="1" applyFill="1" applyAlignment="1">
      <alignment horizontal="right" vertical="center"/>
    </xf>
    <xf numFmtId="164" fontId="0" fillId="0" borderId="0" xfId="0" applyNumberFormat="1" applyAlignment="1">
      <alignment horizontal="right"/>
    </xf>
    <xf numFmtId="0" fontId="0" fillId="0" borderId="56" xfId="0" applyBorder="1" applyAlignment="1">
      <alignment horizontal="left"/>
    </xf>
    <xf numFmtId="0" fontId="1" fillId="13" borderId="19" xfId="0" applyFont="1" applyFill="1" applyBorder="1"/>
    <xf numFmtId="0" fontId="1" fillId="13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3" borderId="60" xfId="0" applyFont="1" applyFill="1" applyBorder="1"/>
    <xf numFmtId="0" fontId="1" fillId="13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3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3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7" fontId="0" fillId="0" borderId="0" xfId="0" applyNumberFormat="1"/>
    <xf numFmtId="164" fontId="1" fillId="0" borderId="62" xfId="0" applyNumberFormat="1" applyFont="1" applyBorder="1"/>
    <xf numFmtId="14" fontId="0" fillId="0" borderId="63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4" xfId="0" applyBorder="1"/>
    <xf numFmtId="14" fontId="10" fillId="0" borderId="65" xfId="0" applyNumberFormat="1" applyFont="1" applyBorder="1" applyAlignment="1">
      <alignment horizontal="center"/>
    </xf>
    <xf numFmtId="0" fontId="0" fillId="0" borderId="66" xfId="0" applyBorder="1"/>
    <xf numFmtId="14" fontId="10" fillId="0" borderId="67" xfId="0" applyNumberFormat="1" applyFont="1" applyBorder="1" applyAlignment="1">
      <alignment horizontal="center"/>
    </xf>
    <xf numFmtId="0" fontId="10" fillId="0" borderId="68" xfId="0" applyFont="1" applyBorder="1" applyAlignment="1">
      <alignment horizontal="center"/>
    </xf>
    <xf numFmtId="0" fontId="10" fillId="0" borderId="68" xfId="0" applyFont="1" applyBorder="1" applyAlignment="1">
      <alignment horizontal="left"/>
    </xf>
    <xf numFmtId="49" fontId="0" fillId="0" borderId="68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14" fontId="2" fillId="0" borderId="71" xfId="0" applyNumberFormat="1" applyFont="1" applyBorder="1" applyAlignment="1">
      <alignment horizontal="center"/>
    </xf>
    <xf numFmtId="0" fontId="8" fillId="14" borderId="68" xfId="0" applyFont="1" applyFill="1" applyBorder="1" applyAlignment="1">
      <alignment horizontal="left"/>
    </xf>
    <xf numFmtId="164" fontId="8" fillId="14" borderId="68" xfId="0" applyNumberFormat="1" applyFont="1" applyFill="1" applyBorder="1"/>
    <xf numFmtId="0" fontId="8" fillId="14" borderId="69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49" fontId="0" fillId="0" borderId="0" xfId="0" applyNumberFormat="1" applyAlignment="1">
      <alignment horizontal="center" vertical="center"/>
    </xf>
    <xf numFmtId="14" fontId="0" fillId="0" borderId="0" xfId="0" applyNumberFormat="1"/>
    <xf numFmtId="0" fontId="8" fillId="14" borderId="12" xfId="0" applyFont="1" applyFill="1" applyBorder="1" applyAlignment="1">
      <alignment horizontal="left"/>
    </xf>
    <xf numFmtId="164" fontId="8" fillId="14" borderId="12" xfId="0" applyNumberFormat="1" applyFont="1" applyFill="1" applyBorder="1"/>
    <xf numFmtId="0" fontId="8" fillId="14" borderId="72" xfId="0" applyFont="1" applyFill="1" applyBorder="1"/>
    <xf numFmtId="0" fontId="0" fillId="0" borderId="73" xfId="0" applyBorder="1"/>
    <xf numFmtId="14" fontId="0" fillId="0" borderId="0" xfId="0" applyNumberFormat="1" applyAlignment="1">
      <alignment horizontal="center"/>
    </xf>
    <xf numFmtId="14" fontId="10" fillId="0" borderId="73" xfId="0" applyNumberFormat="1" applyFont="1" applyBorder="1" applyAlignment="1">
      <alignment horizontal="center"/>
    </xf>
    <xf numFmtId="0" fontId="0" fillId="0" borderId="74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0" fillId="0" borderId="56" xfId="0" applyNumberFormat="1" applyFont="1" applyBorder="1" applyAlignment="1">
      <alignment horizontal="center"/>
    </xf>
    <xf numFmtId="0" fontId="8" fillId="0" borderId="68" xfId="0" applyFont="1" applyBorder="1" applyAlignment="1">
      <alignment horizontal="left"/>
    </xf>
    <xf numFmtId="164" fontId="0" fillId="0" borderId="68" xfId="0" applyNumberFormat="1" applyBorder="1"/>
    <xf numFmtId="0" fontId="0" fillId="0" borderId="69" xfId="0" applyBorder="1"/>
    <xf numFmtId="49" fontId="0" fillId="0" borderId="63" xfId="0" applyNumberFormat="1" applyBorder="1" applyAlignment="1">
      <alignment horizontal="center"/>
    </xf>
    <xf numFmtId="49" fontId="0" fillId="0" borderId="65" xfId="0" applyNumberFormat="1" applyBorder="1" applyAlignment="1">
      <alignment horizontal="center"/>
    </xf>
    <xf numFmtId="49" fontId="0" fillId="0" borderId="67" xfId="0" applyNumberFormat="1" applyBorder="1" applyAlignment="1">
      <alignment horizontal="center"/>
    </xf>
    <xf numFmtId="0" fontId="15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5" xfId="0" applyBorder="1"/>
    <xf numFmtId="0" fontId="8" fillId="0" borderId="55" xfId="0" applyFont="1" applyBorder="1" applyAlignment="1">
      <alignment horizontal="left"/>
    </xf>
    <xf numFmtId="0" fontId="8" fillId="0" borderId="0" xfId="0" applyFont="1" applyAlignment="1">
      <alignment horizontal="left"/>
    </xf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0" fontId="13" fillId="11" borderId="0" xfId="0" applyFont="1" applyFill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164" fontId="0" fillId="0" borderId="0" xfId="0" applyNumberFormat="1" applyBorder="1"/>
    <xf numFmtId="164" fontId="16" fillId="0" borderId="0" xfId="0" applyNumberFormat="1" applyFont="1" applyFill="1" applyAlignment="1">
      <alignment vertical="center"/>
    </xf>
    <xf numFmtId="14" fontId="2" fillId="0" borderId="65" xfId="0" applyNumberFormat="1" applyFont="1" applyBorder="1" applyAlignment="1">
      <alignment horizontal="center"/>
    </xf>
  </cellXfs>
  <cellStyles count="1">
    <cellStyle name="Normal" xfId="0" builtinId="0"/>
  </cellStyles>
  <dxfs count="33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1571626</xdr:colOff>
      <xdr:row>23</xdr:row>
      <xdr:rowOff>152399</xdr:rowOff>
    </xdr:from>
    <xdr:to>
      <xdr:col>9</xdr:col>
      <xdr:colOff>937126</xdr:colOff>
      <xdr:row>25</xdr:row>
      <xdr:rowOff>49874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05801" y="4552949"/>
          <a:ext cx="1080000" cy="28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2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342900</xdr:colOff>
          <xdr:row>25</xdr:row>
          <xdr:rowOff>38100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180976</xdr:rowOff>
    </xdr:from>
    <xdr:to>
      <xdr:col>12</xdr:col>
      <xdr:colOff>180975</xdr:colOff>
      <xdr:row>2</xdr:row>
      <xdr:rowOff>104776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991350" y="180976"/>
          <a:ext cx="165735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3" totalsRowShown="0" headerRowDxfId="5" headerRowBorderDxfId="4" tableBorderDxfId="3">
  <autoFilter ref="D1:F63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124" bestFit="1" customWidth="1"/>
    <col min="2" max="2" width="11.42578125" style="177"/>
    <col min="3" max="3" width="5.7109375" style="173" customWidth="1"/>
    <col min="4" max="4" width="13" style="176" customWidth="1"/>
    <col min="5" max="5" width="14.7109375" style="173" customWidth="1"/>
    <col min="6" max="6" width="9.7109375" style="173" customWidth="1"/>
    <col min="7" max="8" width="14.7109375" style="173" customWidth="1"/>
    <col min="9" max="9" width="25.7109375" style="173" customWidth="1"/>
    <col min="10" max="10" width="14.140625" style="173" customWidth="1"/>
    <col min="11" max="11" width="5.7109375" style="173" customWidth="1"/>
    <col min="12" max="16384" width="11.42578125" style="173"/>
  </cols>
  <sheetData>
    <row r="1" spans="1:11" x14ac:dyDescent="0.25">
      <c r="A1" s="124" t="s">
        <v>144</v>
      </c>
      <c r="B1" s="172">
        <v>63</v>
      </c>
      <c r="D1" s="237" t="s">
        <v>8</v>
      </c>
      <c r="E1" s="237"/>
      <c r="F1" s="237"/>
      <c r="G1" s="237"/>
      <c r="H1" s="237"/>
      <c r="I1" s="237"/>
      <c r="J1" s="237"/>
    </row>
    <row r="2" spans="1:11" x14ac:dyDescent="0.25">
      <c r="B2" s="174"/>
      <c r="C2" s="175"/>
      <c r="D2" s="237"/>
      <c r="E2" s="237"/>
      <c r="F2" s="237"/>
      <c r="G2" s="237"/>
      <c r="H2" s="237"/>
      <c r="I2" s="237"/>
      <c r="J2" s="237"/>
    </row>
    <row r="3" spans="1:11" x14ac:dyDescent="0.25">
      <c r="B3" s="174"/>
    </row>
    <row r="4" spans="1:11" x14ac:dyDescent="0.25">
      <c r="D4" s="178" t="s">
        <v>4</v>
      </c>
      <c r="E4" s="179"/>
      <c r="I4" s="178" t="s">
        <v>7</v>
      </c>
      <c r="J4" s="194" t="s">
        <v>220</v>
      </c>
    </row>
    <row r="6" spans="1:11" x14ac:dyDescent="0.25">
      <c r="D6" s="178" t="s">
        <v>5</v>
      </c>
      <c r="E6" s="242"/>
      <c r="F6" s="243"/>
      <c r="G6" s="243"/>
      <c r="H6" s="243"/>
      <c r="I6" s="243"/>
      <c r="J6" s="244"/>
    </row>
    <row r="7" spans="1:11" ht="15.75" thickBot="1" x14ac:dyDescent="0.3"/>
    <row r="8" spans="1:11" x14ac:dyDescent="0.25">
      <c r="D8" s="238" t="s">
        <v>1</v>
      </c>
      <c r="E8" s="239"/>
      <c r="F8" s="239"/>
      <c r="G8" s="2" t="s">
        <v>2</v>
      </c>
      <c r="H8" s="2" t="s">
        <v>3</v>
      </c>
      <c r="I8" s="240" t="s">
        <v>6</v>
      </c>
      <c r="J8" s="241"/>
    </row>
    <row r="9" spans="1:11" x14ac:dyDescent="0.25">
      <c r="D9" s="229"/>
      <c r="E9" s="230"/>
      <c r="F9" s="231"/>
      <c r="G9" s="180"/>
      <c r="H9" s="180"/>
      <c r="I9" s="224"/>
      <c r="J9" s="225"/>
      <c r="K9" s="195"/>
    </row>
    <row r="10" spans="1:11" x14ac:dyDescent="0.25">
      <c r="D10" s="226"/>
      <c r="E10" s="227"/>
      <c r="F10" s="228"/>
      <c r="G10" s="181"/>
      <c r="H10" s="181"/>
      <c r="I10" s="222"/>
      <c r="J10" s="223"/>
      <c r="K10" s="195"/>
    </row>
    <row r="11" spans="1:11" x14ac:dyDescent="0.25">
      <c r="D11" s="229"/>
      <c r="E11" s="230"/>
      <c r="F11" s="231"/>
      <c r="G11" s="182"/>
      <c r="H11" s="182"/>
      <c r="I11" s="224"/>
      <c r="J11" s="225"/>
      <c r="K11" s="195"/>
    </row>
    <row r="12" spans="1:11" x14ac:dyDescent="0.25">
      <c r="D12" s="226"/>
      <c r="E12" s="227"/>
      <c r="F12" s="228"/>
      <c r="G12" s="181"/>
      <c r="H12" s="181"/>
      <c r="I12" s="222"/>
      <c r="J12" s="223"/>
      <c r="K12" s="195"/>
    </row>
    <row r="13" spans="1:11" x14ac:dyDescent="0.25">
      <c r="D13" s="229"/>
      <c r="E13" s="230"/>
      <c r="F13" s="231"/>
      <c r="G13" s="182"/>
      <c r="H13" s="182"/>
      <c r="I13" s="224"/>
      <c r="J13" s="225"/>
      <c r="K13" s="195"/>
    </row>
    <row r="14" spans="1:11" x14ac:dyDescent="0.25">
      <c r="D14" s="226"/>
      <c r="E14" s="227"/>
      <c r="F14" s="228"/>
      <c r="G14" s="181"/>
      <c r="H14" s="181"/>
      <c r="I14" s="222"/>
      <c r="J14" s="223"/>
      <c r="K14" s="195"/>
    </row>
    <row r="15" spans="1:11" x14ac:dyDescent="0.25">
      <c r="D15" s="229"/>
      <c r="E15" s="230"/>
      <c r="F15" s="231"/>
      <c r="G15" s="182"/>
      <c r="H15" s="182"/>
      <c r="I15" s="224"/>
      <c r="J15" s="225"/>
      <c r="K15" s="195"/>
    </row>
    <row r="16" spans="1:11" x14ac:dyDescent="0.25">
      <c r="D16" s="226"/>
      <c r="E16" s="227"/>
      <c r="F16" s="228"/>
      <c r="G16" s="181"/>
      <c r="H16" s="181"/>
      <c r="I16" s="222"/>
      <c r="J16" s="223"/>
      <c r="K16" s="195"/>
    </row>
    <row r="17" spans="4:11" x14ac:dyDescent="0.25">
      <c r="D17" s="229"/>
      <c r="E17" s="230"/>
      <c r="F17" s="231"/>
      <c r="G17" s="182"/>
      <c r="H17" s="182"/>
      <c r="I17" s="224"/>
      <c r="J17" s="225"/>
      <c r="K17" s="195"/>
    </row>
    <row r="18" spans="4:11" x14ac:dyDescent="0.25">
      <c r="D18" s="226"/>
      <c r="E18" s="227"/>
      <c r="F18" s="228"/>
      <c r="G18" s="181"/>
      <c r="H18" s="181"/>
      <c r="I18" s="222"/>
      <c r="J18" s="223"/>
      <c r="K18" s="195"/>
    </row>
    <row r="19" spans="4:11" x14ac:dyDescent="0.25">
      <c r="D19" s="229"/>
      <c r="E19" s="230"/>
      <c r="F19" s="231"/>
      <c r="G19" s="182"/>
      <c r="H19" s="182"/>
      <c r="I19" s="224"/>
      <c r="J19" s="225"/>
      <c r="K19" s="195"/>
    </row>
    <row r="20" spans="4:11" x14ac:dyDescent="0.25">
      <c r="D20" s="226"/>
      <c r="E20" s="227"/>
      <c r="F20" s="228"/>
      <c r="G20" s="181"/>
      <c r="H20" s="181"/>
      <c r="I20" s="222"/>
      <c r="J20" s="223"/>
      <c r="K20" s="195"/>
    </row>
    <row r="21" spans="4:11" x14ac:dyDescent="0.25">
      <c r="D21" s="229"/>
      <c r="E21" s="230"/>
      <c r="F21" s="231"/>
      <c r="G21" s="182"/>
      <c r="H21" s="182"/>
      <c r="I21" s="224"/>
      <c r="J21" s="225"/>
      <c r="K21" s="195"/>
    </row>
    <row r="22" spans="4:11" x14ac:dyDescent="0.25">
      <c r="D22" s="226"/>
      <c r="E22" s="227"/>
      <c r="F22" s="228"/>
      <c r="G22" s="181"/>
      <c r="H22" s="181"/>
      <c r="I22" s="222"/>
      <c r="J22" s="223"/>
      <c r="K22" s="195"/>
    </row>
    <row r="23" spans="4:11" ht="15.75" thickBot="1" x14ac:dyDescent="0.3">
      <c r="D23" s="234"/>
      <c r="E23" s="235"/>
      <c r="F23" s="236"/>
      <c r="G23" s="183"/>
      <c r="H23" s="183"/>
      <c r="I23" s="232"/>
      <c r="J23" s="233"/>
      <c r="K23" s="195"/>
    </row>
    <row r="25" spans="4:11" ht="15.75" x14ac:dyDescent="0.25">
      <c r="G25" s="251">
        <f>SUM(G9:G23)</f>
        <v>0</v>
      </c>
      <c r="H25" s="251">
        <f>SUM(H9:H23)</f>
        <v>0</v>
      </c>
    </row>
    <row r="117" spans="4:10" ht="15.75" thickBot="1" x14ac:dyDescent="0.3"/>
    <row r="118" spans="4:10" ht="16.5" thickTop="1" thickBot="1" x14ac:dyDescent="0.3">
      <c r="D118" s="184"/>
      <c r="E118" s="185"/>
      <c r="F118" s="185"/>
      <c r="G118" s="185"/>
      <c r="H118" s="185"/>
      <c r="I118" s="185"/>
      <c r="J118" s="186"/>
    </row>
    <row r="119" spans="4:10" ht="15.75" thickTop="1" x14ac:dyDescent="0.25">
      <c r="D119" s="187"/>
      <c r="E119" s="188"/>
      <c r="F119" s="188"/>
      <c r="G119" s="188"/>
      <c r="H119" s="188"/>
      <c r="I119" s="188"/>
      <c r="J119" s="189"/>
    </row>
    <row r="120" spans="4:10" ht="15.75" thickBot="1" x14ac:dyDescent="0.3">
      <c r="D120" s="190"/>
      <c r="E120" s="191"/>
      <c r="F120" s="191"/>
      <c r="G120" s="191"/>
      <c r="H120" s="191"/>
      <c r="I120" s="191"/>
      <c r="J120" s="192"/>
    </row>
    <row r="121" spans="4:10" ht="16.5" thickTop="1" thickBot="1" x14ac:dyDescent="0.3">
      <c r="D121" s="190"/>
      <c r="E121" s="191"/>
      <c r="F121" s="191"/>
      <c r="G121" s="191"/>
      <c r="H121" s="191"/>
      <c r="I121" s="191"/>
      <c r="J121" s="192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93"/>
    </row>
    <row r="145" ht="15.75" thickTop="1" x14ac:dyDescent="0.25"/>
  </sheetData>
  <sheetProtection algorithmName="SHA-512" hashValue="IjnLy14XD9RqczMuLA2DYVVcxxKfoXoYDh8i1+CtxdTBA8cOusYlk27FRif1M+fTyjw4jH9WaWmCSn8/EwrhlA==" saltValue="PQ1pipB+uXDJgin5kzNGaw==" spinCount="100000" sheet="1" formatCells="0" selectLockedCells="1" autoFilter="0" pivotTables="0"/>
  <mergeCells count="34"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  <mergeCell ref="D13:F13"/>
    <mergeCell ref="D14:F14"/>
    <mergeCell ref="D15:F15"/>
    <mergeCell ref="I13:J13"/>
    <mergeCell ref="I14:J14"/>
    <mergeCell ref="I15:J15"/>
    <mergeCell ref="I21:J21"/>
    <mergeCell ref="I22:J22"/>
    <mergeCell ref="I23:J23"/>
    <mergeCell ref="D21:F21"/>
    <mergeCell ref="D22:F22"/>
    <mergeCell ref="D23:F23"/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Fill="0" autoLine="0" autoPict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342900</xdr:colOff>
                <xdr:row>25</xdr:row>
                <xdr:rowOff>38100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A1:L339"/>
  <sheetViews>
    <sheetView tabSelected="1" workbookViewId="0">
      <pane ySplit="1" topLeftCell="A319" activePane="bottomLeft" state="frozen"/>
      <selection pane="bottomLeft" activeCell="B343" sqref="B343"/>
    </sheetView>
  </sheetViews>
  <sheetFormatPr baseColWidth="10" defaultRowHeight="15" x14ac:dyDescent="0.25"/>
  <cols>
    <col min="2" max="2" width="11.42578125" style="10"/>
    <col min="3" max="3" width="5.7109375" style="9" customWidth="1"/>
    <col min="4" max="4" width="12.7109375" style="202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42.42578125" bestFit="1" customWidth="1"/>
    <col min="12" max="12" width="5.7109375" style="9" customWidth="1"/>
  </cols>
  <sheetData>
    <row r="1" spans="1:12" s="120" customFormat="1" ht="26.25" thickBot="1" x14ac:dyDescent="0.3">
      <c r="A1" s="206" t="s">
        <v>224</v>
      </c>
      <c r="B1" s="206" t="s">
        <v>225</v>
      </c>
      <c r="C1" s="115" t="s">
        <v>143</v>
      </c>
      <c r="D1" s="205" t="s">
        <v>141</v>
      </c>
      <c r="E1" s="117" t="s">
        <v>140</v>
      </c>
      <c r="F1" s="116" t="s">
        <v>0</v>
      </c>
      <c r="G1" s="117" t="s">
        <v>181</v>
      </c>
      <c r="H1" s="141" t="s">
        <v>1</v>
      </c>
      <c r="I1" s="118" t="s">
        <v>2</v>
      </c>
      <c r="J1" s="118" t="s">
        <v>3</v>
      </c>
      <c r="K1" s="116" t="s">
        <v>142</v>
      </c>
      <c r="L1" s="119"/>
    </row>
    <row r="2" spans="1:12" x14ac:dyDescent="0.25">
      <c r="A2" s="10">
        <f>DAY(D2)</f>
        <v>5</v>
      </c>
      <c r="B2" s="10">
        <f>MONTH(D2)</f>
        <v>10</v>
      </c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1:12" ht="15.75" x14ac:dyDescent="0.25">
      <c r="A3" s="10">
        <f t="shared" ref="A3:A13" si="0">DAY(D3)</f>
        <v>5</v>
      </c>
      <c r="B3" s="10">
        <f t="shared" ref="B3:B13" si="1">MONTH(D3)</f>
        <v>10</v>
      </c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42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1:12" ht="16.5" thickBot="1" x14ac:dyDescent="0.3">
      <c r="A4" s="10">
        <f t="shared" si="0"/>
        <v>5</v>
      </c>
      <c r="B4" s="10">
        <f t="shared" si="1"/>
        <v>10</v>
      </c>
      <c r="C4" s="9">
        <v>1</v>
      </c>
      <c r="D4" s="18">
        <v>45204</v>
      </c>
      <c r="E4" s="26">
        <v>1</v>
      </c>
      <c r="F4" s="27"/>
      <c r="G4" s="102"/>
      <c r="H4" s="143" t="s">
        <v>145</v>
      </c>
      <c r="I4" s="135"/>
      <c r="J4" s="135"/>
      <c r="K4" s="136"/>
      <c r="L4" s="9">
        <f>ROW()</f>
        <v>4</v>
      </c>
    </row>
    <row r="5" spans="1:12" ht="15.75" thickBot="1" x14ac:dyDescent="0.3">
      <c r="A5" s="10">
        <f t="shared" si="0"/>
        <v>5</v>
      </c>
      <c r="B5" s="10">
        <f t="shared" si="1"/>
        <v>10</v>
      </c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1:12" x14ac:dyDescent="0.25">
      <c r="A6" s="10">
        <f t="shared" si="0"/>
        <v>5</v>
      </c>
      <c r="B6" s="10">
        <f t="shared" si="1"/>
        <v>10</v>
      </c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1:12" x14ac:dyDescent="0.25">
      <c r="A7" s="10">
        <f t="shared" si="0"/>
        <v>5</v>
      </c>
      <c r="B7" s="10">
        <f t="shared" si="1"/>
        <v>10</v>
      </c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42" t="s">
        <v>13</v>
      </c>
      <c r="I7" s="25"/>
      <c r="J7" s="25">
        <v>250</v>
      </c>
      <c r="K7" s="31"/>
      <c r="L7" s="9">
        <f>ROW()</f>
        <v>7</v>
      </c>
    </row>
    <row r="8" spans="1:12" ht="15.75" thickBot="1" x14ac:dyDescent="0.3">
      <c r="A8" s="10">
        <f t="shared" si="0"/>
        <v>5</v>
      </c>
      <c r="B8" s="10">
        <f t="shared" si="1"/>
        <v>10</v>
      </c>
      <c r="C8" s="9">
        <v>2</v>
      </c>
      <c r="D8" s="15">
        <v>45204</v>
      </c>
      <c r="E8" s="32"/>
      <c r="F8" s="33"/>
      <c r="G8" s="104"/>
      <c r="H8" s="143" t="s">
        <v>145</v>
      </c>
      <c r="I8" s="135"/>
      <c r="J8" s="135"/>
      <c r="K8" s="136"/>
      <c r="L8" s="9">
        <f>ROW()</f>
        <v>8</v>
      </c>
    </row>
    <row r="9" spans="1:12" ht="15.75" thickBot="1" x14ac:dyDescent="0.3">
      <c r="A9" s="10">
        <f t="shared" si="0"/>
        <v>5</v>
      </c>
      <c r="B9" s="10">
        <f t="shared" si="1"/>
        <v>10</v>
      </c>
      <c r="C9" s="9">
        <v>2</v>
      </c>
      <c r="D9" s="154">
        <v>45204</v>
      </c>
      <c r="E9" s="14"/>
      <c r="F9" s="34"/>
      <c r="G9" s="105"/>
      <c r="H9" s="144"/>
      <c r="I9" s="35"/>
      <c r="J9" s="35"/>
      <c r="K9" s="34"/>
      <c r="L9" s="9">
        <f>ROW()</f>
        <v>9</v>
      </c>
    </row>
    <row r="10" spans="1:12" x14ac:dyDescent="0.25">
      <c r="A10" s="10">
        <f t="shared" si="0"/>
        <v>5</v>
      </c>
      <c r="B10" s="10">
        <f t="shared" si="1"/>
        <v>10</v>
      </c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1:12" x14ac:dyDescent="0.25">
      <c r="A11" s="10">
        <f t="shared" si="0"/>
        <v>5</v>
      </c>
      <c r="B11" s="10">
        <f t="shared" si="1"/>
        <v>10</v>
      </c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42" t="s">
        <v>13</v>
      </c>
      <c r="I11" s="25"/>
      <c r="J11" s="25">
        <v>49.95</v>
      </c>
      <c r="K11" s="31"/>
      <c r="L11" s="9">
        <f>ROW()</f>
        <v>11</v>
      </c>
    </row>
    <row r="12" spans="1:12" ht="15.75" thickBot="1" x14ac:dyDescent="0.3">
      <c r="A12" s="10">
        <f t="shared" si="0"/>
        <v>5</v>
      </c>
      <c r="B12" s="10">
        <f t="shared" si="1"/>
        <v>10</v>
      </c>
      <c r="C12" s="9">
        <v>3</v>
      </c>
      <c r="D12" s="15">
        <v>45204</v>
      </c>
      <c r="E12" s="36">
        <v>2</v>
      </c>
      <c r="F12" s="37" t="s">
        <v>139</v>
      </c>
      <c r="G12" s="104"/>
      <c r="H12" s="143" t="s">
        <v>145</v>
      </c>
      <c r="I12" s="135"/>
      <c r="J12" s="135"/>
      <c r="K12" s="136"/>
      <c r="L12" s="9">
        <f>ROW()</f>
        <v>12</v>
      </c>
    </row>
    <row r="13" spans="1:12" ht="15.75" thickBot="1" x14ac:dyDescent="0.3">
      <c r="A13" s="10">
        <f t="shared" si="0"/>
        <v>5</v>
      </c>
      <c r="B13" s="10">
        <f t="shared" si="1"/>
        <v>10</v>
      </c>
      <c r="C13" s="9">
        <v>3</v>
      </c>
      <c r="D13" s="75">
        <v>45204</v>
      </c>
      <c r="E13" s="74"/>
      <c r="F13" s="76"/>
      <c r="L13" s="9">
        <f>ROW()</f>
        <v>13</v>
      </c>
    </row>
    <row r="14" spans="1:12" x14ac:dyDescent="0.25">
      <c r="A14" s="10">
        <f t="shared" ref="A14:A77" si="2">DAY(D14)</f>
        <v>4</v>
      </c>
      <c r="B14" s="10">
        <f t="shared" ref="B14:B77" si="3">MONTH(D14)</f>
        <v>10</v>
      </c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1:12" x14ac:dyDescent="0.25">
      <c r="A15" s="10">
        <f t="shared" si="2"/>
        <v>4</v>
      </c>
      <c r="B15" s="10">
        <f t="shared" si="3"/>
        <v>10</v>
      </c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42" t="s">
        <v>19</v>
      </c>
      <c r="I15" s="25"/>
      <c r="J15" s="25">
        <v>0</v>
      </c>
      <c r="K15" s="31"/>
      <c r="L15" s="9">
        <f>ROW()</f>
        <v>15</v>
      </c>
    </row>
    <row r="16" spans="1:12" x14ac:dyDescent="0.25">
      <c r="A16" s="10">
        <f t="shared" si="2"/>
        <v>4</v>
      </c>
      <c r="B16" s="10">
        <f t="shared" si="3"/>
        <v>10</v>
      </c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42" t="s">
        <v>25</v>
      </c>
      <c r="I16" s="25">
        <v>570.91999999999996</v>
      </c>
      <c r="J16" s="25"/>
      <c r="K16" s="31"/>
      <c r="L16" s="9">
        <f>ROW()</f>
        <v>16</v>
      </c>
    </row>
    <row r="17" spans="1:12" x14ac:dyDescent="0.25">
      <c r="A17" s="10">
        <f t="shared" si="2"/>
        <v>4</v>
      </c>
      <c r="B17" s="10">
        <f t="shared" si="3"/>
        <v>10</v>
      </c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42" t="s">
        <v>21</v>
      </c>
      <c r="I17" s="25"/>
      <c r="J17" s="25">
        <v>0</v>
      </c>
      <c r="K17" s="31"/>
      <c r="L17" s="9">
        <f>ROW()</f>
        <v>17</v>
      </c>
    </row>
    <row r="18" spans="1:12" x14ac:dyDescent="0.25">
      <c r="A18" s="10">
        <f t="shared" si="2"/>
        <v>4</v>
      </c>
      <c r="B18" s="10">
        <f t="shared" si="3"/>
        <v>10</v>
      </c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42" t="s">
        <v>13</v>
      </c>
      <c r="I18" s="25"/>
      <c r="J18" s="25">
        <v>857.1</v>
      </c>
      <c r="K18" s="31"/>
      <c r="L18" s="9">
        <f>ROW()</f>
        <v>18</v>
      </c>
    </row>
    <row r="19" spans="1:12" ht="15.75" thickBot="1" x14ac:dyDescent="0.3">
      <c r="A19" s="10">
        <f t="shared" si="2"/>
        <v>4</v>
      </c>
      <c r="B19" s="10">
        <f t="shared" si="3"/>
        <v>10</v>
      </c>
      <c r="C19" s="9">
        <v>4</v>
      </c>
      <c r="D19" s="15">
        <v>45203</v>
      </c>
      <c r="E19" s="36">
        <v>4</v>
      </c>
      <c r="F19" s="37" t="s">
        <v>146</v>
      </c>
      <c r="G19" s="104"/>
      <c r="H19" s="143" t="s">
        <v>147</v>
      </c>
      <c r="I19" s="135"/>
      <c r="J19" s="135"/>
      <c r="K19" s="136"/>
      <c r="L19" s="9">
        <f>ROW()</f>
        <v>19</v>
      </c>
    </row>
    <row r="20" spans="1:12" ht="15.75" thickBot="1" x14ac:dyDescent="0.3">
      <c r="A20" s="10">
        <f t="shared" si="2"/>
        <v>4</v>
      </c>
      <c r="B20" s="10">
        <f t="shared" si="3"/>
        <v>10</v>
      </c>
      <c r="C20" s="9">
        <v>4</v>
      </c>
      <c r="D20" s="75">
        <v>45203</v>
      </c>
      <c r="E20" s="74">
        <v>4</v>
      </c>
      <c r="F20" s="76" t="s">
        <v>146</v>
      </c>
      <c r="L20" s="9">
        <f>ROW()</f>
        <v>20</v>
      </c>
    </row>
    <row r="21" spans="1:12" x14ac:dyDescent="0.25">
      <c r="A21" s="10">
        <f t="shared" si="2"/>
        <v>5</v>
      </c>
      <c r="B21" s="10">
        <f t="shared" si="3"/>
        <v>10</v>
      </c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1:12" x14ac:dyDescent="0.25">
      <c r="A22" s="10">
        <f t="shared" si="2"/>
        <v>5</v>
      </c>
      <c r="B22" s="10">
        <f t="shared" si="3"/>
        <v>10</v>
      </c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42" t="s">
        <v>88</v>
      </c>
      <c r="I22" s="25"/>
      <c r="J22" s="25">
        <v>1625</v>
      </c>
      <c r="K22" s="31"/>
      <c r="L22" s="9">
        <f>ROW()</f>
        <v>22</v>
      </c>
    </row>
    <row r="23" spans="1:12" x14ac:dyDescent="0.25">
      <c r="A23" s="10">
        <f t="shared" si="2"/>
        <v>5</v>
      </c>
      <c r="B23" s="10">
        <f t="shared" si="3"/>
        <v>10</v>
      </c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42" t="s">
        <v>121</v>
      </c>
      <c r="I23" s="25"/>
      <c r="J23" s="25">
        <v>31</v>
      </c>
      <c r="K23" s="31"/>
      <c r="L23" s="9">
        <f>ROW()</f>
        <v>23</v>
      </c>
    </row>
    <row r="24" spans="1:12" x14ac:dyDescent="0.25">
      <c r="A24" s="10">
        <f t="shared" si="2"/>
        <v>5</v>
      </c>
      <c r="B24" s="10">
        <f t="shared" si="3"/>
        <v>10</v>
      </c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42" t="s">
        <v>119</v>
      </c>
      <c r="I24" s="25"/>
      <c r="J24" s="25">
        <v>32</v>
      </c>
      <c r="K24" s="31"/>
      <c r="L24" s="9">
        <f>ROW()</f>
        <v>24</v>
      </c>
    </row>
    <row r="25" spans="1:12" x14ac:dyDescent="0.25">
      <c r="A25" s="10">
        <f t="shared" si="2"/>
        <v>5</v>
      </c>
      <c r="B25" s="10">
        <f t="shared" si="3"/>
        <v>10</v>
      </c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42" t="s">
        <v>123</v>
      </c>
      <c r="I25" s="25"/>
      <c r="J25" s="25">
        <v>33</v>
      </c>
      <c r="K25" s="31"/>
      <c r="L25" s="9">
        <f>ROW()</f>
        <v>25</v>
      </c>
    </row>
    <row r="26" spans="1:12" x14ac:dyDescent="0.25">
      <c r="A26" s="10">
        <f t="shared" si="2"/>
        <v>5</v>
      </c>
      <c r="B26" s="10">
        <f t="shared" si="3"/>
        <v>10</v>
      </c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42" t="s">
        <v>23</v>
      </c>
      <c r="I26" s="25"/>
      <c r="J26" s="25">
        <v>86.05</v>
      </c>
      <c r="K26" s="31"/>
      <c r="L26" s="9">
        <f>ROW()</f>
        <v>26</v>
      </c>
    </row>
    <row r="27" spans="1:12" x14ac:dyDescent="0.25">
      <c r="A27" s="10">
        <f t="shared" si="2"/>
        <v>5</v>
      </c>
      <c r="B27" s="10">
        <f t="shared" si="3"/>
        <v>10</v>
      </c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42" t="s">
        <v>25</v>
      </c>
      <c r="I27" s="25"/>
      <c r="J27" s="25">
        <v>171.67</v>
      </c>
      <c r="K27" s="31"/>
      <c r="L27" s="9">
        <f>ROW()</f>
        <v>27</v>
      </c>
    </row>
    <row r="28" spans="1:12" x14ac:dyDescent="0.25">
      <c r="A28" s="10">
        <f t="shared" si="2"/>
        <v>5</v>
      </c>
      <c r="B28" s="10">
        <f t="shared" si="3"/>
        <v>10</v>
      </c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42" t="s">
        <v>33</v>
      </c>
      <c r="I28" s="25">
        <v>750</v>
      </c>
      <c r="J28" s="25"/>
      <c r="K28" s="31"/>
      <c r="L28" s="9">
        <f>ROW()</f>
        <v>28</v>
      </c>
    </row>
    <row r="29" spans="1:12" ht="15.75" thickBot="1" x14ac:dyDescent="0.3">
      <c r="A29" s="10">
        <f t="shared" si="2"/>
        <v>5</v>
      </c>
      <c r="B29" s="10">
        <f t="shared" si="3"/>
        <v>10</v>
      </c>
      <c r="C29" s="9">
        <v>5</v>
      </c>
      <c r="D29" s="15">
        <v>45204</v>
      </c>
      <c r="E29" s="36">
        <v>5</v>
      </c>
      <c r="F29" s="37" t="s">
        <v>148</v>
      </c>
      <c r="G29" s="106"/>
      <c r="H29" s="143" t="s">
        <v>149</v>
      </c>
      <c r="I29" s="135"/>
      <c r="J29" s="135"/>
      <c r="K29" s="136"/>
      <c r="L29" s="9">
        <f>ROW()</f>
        <v>29</v>
      </c>
    </row>
    <row r="30" spans="1:12" ht="15.75" thickBot="1" x14ac:dyDescent="0.3">
      <c r="A30" s="10">
        <f t="shared" si="2"/>
        <v>5</v>
      </c>
      <c r="B30" s="10">
        <f t="shared" si="3"/>
        <v>10</v>
      </c>
      <c r="C30" s="9">
        <v>5</v>
      </c>
      <c r="D30" s="19">
        <v>45204</v>
      </c>
      <c r="E30" s="38">
        <v>5</v>
      </c>
      <c r="F30" s="39" t="s">
        <v>148</v>
      </c>
      <c r="G30" s="107"/>
      <c r="H30" s="145"/>
      <c r="I30" s="41"/>
      <c r="J30" s="41"/>
      <c r="K30" s="40"/>
      <c r="L30" s="9">
        <f>ROW()</f>
        <v>30</v>
      </c>
    </row>
    <row r="31" spans="1:12" x14ac:dyDescent="0.25">
      <c r="A31" s="10">
        <f t="shared" si="2"/>
        <v>5</v>
      </c>
      <c r="B31" s="10">
        <f t="shared" si="3"/>
        <v>10</v>
      </c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1:12" x14ac:dyDescent="0.25">
      <c r="A32" s="10">
        <f t="shared" si="2"/>
        <v>5</v>
      </c>
      <c r="B32" s="10">
        <f t="shared" si="3"/>
        <v>10</v>
      </c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42" t="s">
        <v>88</v>
      </c>
      <c r="I32" s="25"/>
      <c r="J32" s="25">
        <v>1625</v>
      </c>
      <c r="K32" s="31"/>
      <c r="L32" s="9">
        <f>ROW()</f>
        <v>32</v>
      </c>
    </row>
    <row r="33" spans="1:12" x14ac:dyDescent="0.25">
      <c r="A33" s="10">
        <f t="shared" si="2"/>
        <v>5</v>
      </c>
      <c r="B33" s="10">
        <f t="shared" si="3"/>
        <v>10</v>
      </c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42" t="s">
        <v>121</v>
      </c>
      <c r="I33" s="25"/>
      <c r="J33" s="25">
        <v>31</v>
      </c>
      <c r="K33" s="31"/>
      <c r="L33" s="9">
        <f>ROW()</f>
        <v>33</v>
      </c>
    </row>
    <row r="34" spans="1:12" x14ac:dyDescent="0.25">
      <c r="A34" s="10">
        <f t="shared" si="2"/>
        <v>5</v>
      </c>
      <c r="B34" s="10">
        <f t="shared" si="3"/>
        <v>10</v>
      </c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42" t="s">
        <v>119</v>
      </c>
      <c r="I34" s="25"/>
      <c r="J34" s="25">
        <v>32</v>
      </c>
      <c r="K34" s="31"/>
      <c r="L34" s="9">
        <f>ROW()</f>
        <v>34</v>
      </c>
    </row>
    <row r="35" spans="1:12" x14ac:dyDescent="0.25">
      <c r="A35" s="10">
        <f t="shared" si="2"/>
        <v>5</v>
      </c>
      <c r="B35" s="10">
        <f t="shared" si="3"/>
        <v>10</v>
      </c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42" t="s">
        <v>123</v>
      </c>
      <c r="I35" s="25"/>
      <c r="J35" s="25">
        <v>33</v>
      </c>
      <c r="K35" s="31"/>
      <c r="L35" s="9">
        <f>ROW()</f>
        <v>35</v>
      </c>
    </row>
    <row r="36" spans="1:12" x14ac:dyDescent="0.25">
      <c r="A36" s="10">
        <f t="shared" si="2"/>
        <v>5</v>
      </c>
      <c r="B36" s="10">
        <f t="shared" si="3"/>
        <v>10</v>
      </c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42" t="s">
        <v>23</v>
      </c>
      <c r="I36" s="25"/>
      <c r="J36" s="25">
        <v>86.05</v>
      </c>
      <c r="K36" s="31"/>
      <c r="L36" s="9">
        <f>ROW()</f>
        <v>36</v>
      </c>
    </row>
    <row r="37" spans="1:12" x14ac:dyDescent="0.25">
      <c r="A37" s="10">
        <f t="shared" si="2"/>
        <v>5</v>
      </c>
      <c r="B37" s="10">
        <f t="shared" si="3"/>
        <v>10</v>
      </c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42" t="s">
        <v>25</v>
      </c>
      <c r="I37" s="25"/>
      <c r="J37" s="25">
        <v>171.67</v>
      </c>
      <c r="K37" s="31"/>
      <c r="L37" s="9">
        <f>ROW()</f>
        <v>37</v>
      </c>
    </row>
    <row r="38" spans="1:12" x14ac:dyDescent="0.25">
      <c r="A38" s="10">
        <f t="shared" si="2"/>
        <v>5</v>
      </c>
      <c r="B38" s="10">
        <f t="shared" si="3"/>
        <v>10</v>
      </c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42" t="s">
        <v>33</v>
      </c>
      <c r="I38" s="25">
        <v>750</v>
      </c>
      <c r="J38" s="25"/>
      <c r="K38" s="31"/>
      <c r="L38" s="9">
        <f>ROW()</f>
        <v>38</v>
      </c>
    </row>
    <row r="39" spans="1:12" ht="15.75" thickBot="1" x14ac:dyDescent="0.3">
      <c r="A39" s="10">
        <f t="shared" si="2"/>
        <v>5</v>
      </c>
      <c r="B39" s="10">
        <f t="shared" si="3"/>
        <v>10</v>
      </c>
      <c r="C39" s="9">
        <v>6</v>
      </c>
      <c r="D39" s="15">
        <v>45204</v>
      </c>
      <c r="E39" s="36">
        <v>6</v>
      </c>
      <c r="F39" s="37" t="s">
        <v>148</v>
      </c>
      <c r="G39" s="104"/>
      <c r="H39" s="143" t="s">
        <v>149</v>
      </c>
      <c r="I39" s="135"/>
      <c r="J39" s="135"/>
      <c r="K39" s="136"/>
      <c r="L39" s="9">
        <f>ROW()</f>
        <v>39</v>
      </c>
    </row>
    <row r="40" spans="1:12" ht="15.75" thickBot="1" x14ac:dyDescent="0.3">
      <c r="A40" s="10">
        <f t="shared" si="2"/>
        <v>5</v>
      </c>
      <c r="B40" s="10">
        <f t="shared" si="3"/>
        <v>10</v>
      </c>
      <c r="C40" s="9">
        <v>6</v>
      </c>
      <c r="D40" s="75">
        <v>45204</v>
      </c>
      <c r="E40" s="74">
        <v>6</v>
      </c>
      <c r="F40" s="76" t="s">
        <v>148</v>
      </c>
    </row>
    <row r="41" spans="1:12" x14ac:dyDescent="0.25">
      <c r="A41" s="10">
        <f t="shared" si="2"/>
        <v>4</v>
      </c>
      <c r="B41" s="10">
        <f t="shared" si="3"/>
        <v>10</v>
      </c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1:12" x14ac:dyDescent="0.25">
      <c r="A42" s="10">
        <f t="shared" si="2"/>
        <v>4</v>
      </c>
      <c r="B42" s="10">
        <f t="shared" si="3"/>
        <v>10</v>
      </c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42" t="s">
        <v>88</v>
      </c>
      <c r="I42" s="25"/>
      <c r="J42" s="25">
        <v>612.5</v>
      </c>
      <c r="K42" s="31"/>
      <c r="L42" s="9">
        <f>ROW()</f>
        <v>42</v>
      </c>
    </row>
    <row r="43" spans="1:12" x14ac:dyDescent="0.25">
      <c r="A43" s="10">
        <f t="shared" si="2"/>
        <v>4</v>
      </c>
      <c r="B43" s="10">
        <f t="shared" si="3"/>
        <v>10</v>
      </c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42" t="s">
        <v>121</v>
      </c>
      <c r="I43" s="25"/>
      <c r="J43" s="25">
        <v>21</v>
      </c>
      <c r="K43" s="31"/>
      <c r="L43" s="9">
        <f>ROW()</f>
        <v>43</v>
      </c>
    </row>
    <row r="44" spans="1:12" x14ac:dyDescent="0.25">
      <c r="A44" s="10">
        <f t="shared" si="2"/>
        <v>4</v>
      </c>
      <c r="B44" s="10">
        <f t="shared" si="3"/>
        <v>10</v>
      </c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42" t="s">
        <v>119</v>
      </c>
      <c r="I44" s="25"/>
      <c r="J44" s="25">
        <v>22</v>
      </c>
      <c r="K44" s="31"/>
      <c r="L44" s="9">
        <f>ROW()</f>
        <v>44</v>
      </c>
    </row>
    <row r="45" spans="1:12" x14ac:dyDescent="0.25">
      <c r="A45" s="10">
        <f t="shared" si="2"/>
        <v>4</v>
      </c>
      <c r="B45" s="10">
        <f t="shared" si="3"/>
        <v>10</v>
      </c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42" t="s">
        <v>123</v>
      </c>
      <c r="I45" s="25"/>
      <c r="J45" s="25">
        <v>23</v>
      </c>
      <c r="K45" s="31"/>
      <c r="L45" s="9">
        <f>ROW()</f>
        <v>45</v>
      </c>
    </row>
    <row r="46" spans="1:12" x14ac:dyDescent="0.25">
      <c r="A46" s="10">
        <f t="shared" si="2"/>
        <v>4</v>
      </c>
      <c r="B46" s="10">
        <f t="shared" si="3"/>
        <v>10</v>
      </c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42" t="s">
        <v>23</v>
      </c>
      <c r="I46" s="25"/>
      <c r="J46" s="25">
        <v>33.93</v>
      </c>
      <c r="K46" s="31"/>
      <c r="L46" s="9">
        <f>ROW()</f>
        <v>46</v>
      </c>
    </row>
    <row r="47" spans="1:12" x14ac:dyDescent="0.25">
      <c r="A47" s="10">
        <f t="shared" si="2"/>
        <v>4</v>
      </c>
      <c r="B47" s="10">
        <f t="shared" si="3"/>
        <v>10</v>
      </c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42" t="s">
        <v>25</v>
      </c>
      <c r="I47" s="25"/>
      <c r="J47" s="25">
        <v>67.680000000000007</v>
      </c>
      <c r="K47" s="31"/>
      <c r="L47" s="9">
        <f>ROW()</f>
        <v>47</v>
      </c>
    </row>
    <row r="48" spans="1:12" x14ac:dyDescent="0.25">
      <c r="A48" s="10">
        <f t="shared" si="2"/>
        <v>4</v>
      </c>
      <c r="B48" s="10">
        <f t="shared" si="3"/>
        <v>10</v>
      </c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42" t="s">
        <v>33</v>
      </c>
      <c r="I48" s="25">
        <v>350</v>
      </c>
      <c r="J48" s="25"/>
      <c r="K48" s="31"/>
      <c r="L48" s="9">
        <f>ROW()</f>
        <v>48</v>
      </c>
    </row>
    <row r="49" spans="1:12" ht="15.75" thickBot="1" x14ac:dyDescent="0.3">
      <c r="A49" s="10">
        <f t="shared" si="2"/>
        <v>4</v>
      </c>
      <c r="B49" s="10">
        <f t="shared" si="3"/>
        <v>10</v>
      </c>
      <c r="C49" s="9">
        <v>7</v>
      </c>
      <c r="D49" s="15">
        <v>45203</v>
      </c>
      <c r="E49" s="36">
        <v>7</v>
      </c>
      <c r="F49" s="37" t="s">
        <v>150</v>
      </c>
      <c r="G49" s="104"/>
      <c r="H49" s="143" t="s">
        <v>151</v>
      </c>
      <c r="I49" s="135"/>
      <c r="J49" s="135"/>
      <c r="K49" s="136"/>
      <c r="L49" s="9">
        <f>ROW()</f>
        <v>49</v>
      </c>
    </row>
    <row r="50" spans="1:12" ht="15.75" thickBot="1" x14ac:dyDescent="0.3">
      <c r="A50" s="10">
        <f t="shared" si="2"/>
        <v>4</v>
      </c>
      <c r="B50" s="10">
        <f t="shared" si="3"/>
        <v>10</v>
      </c>
      <c r="C50" s="9">
        <v>7</v>
      </c>
      <c r="D50" s="75">
        <v>45203</v>
      </c>
      <c r="E50" s="74">
        <v>7</v>
      </c>
      <c r="F50" s="76" t="s">
        <v>150</v>
      </c>
      <c r="L50" s="9">
        <f>ROW()</f>
        <v>50</v>
      </c>
    </row>
    <row r="51" spans="1:12" x14ac:dyDescent="0.25">
      <c r="A51" s="10">
        <f t="shared" si="2"/>
        <v>5</v>
      </c>
      <c r="B51" s="10">
        <f t="shared" si="3"/>
        <v>10</v>
      </c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1:12" x14ac:dyDescent="0.25">
      <c r="A52" s="10">
        <f t="shared" si="2"/>
        <v>5</v>
      </c>
      <c r="B52" s="10">
        <f t="shared" si="3"/>
        <v>10</v>
      </c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42" t="s">
        <v>88</v>
      </c>
      <c r="I52" s="25"/>
      <c r="J52" s="25">
        <v>1050</v>
      </c>
      <c r="K52" s="31"/>
      <c r="L52" s="9">
        <f>ROW()</f>
        <v>52</v>
      </c>
    </row>
    <row r="53" spans="1:12" x14ac:dyDescent="0.25">
      <c r="A53" s="10">
        <f t="shared" si="2"/>
        <v>5</v>
      </c>
      <c r="B53" s="10">
        <f t="shared" si="3"/>
        <v>10</v>
      </c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42" t="s">
        <v>121</v>
      </c>
      <c r="I53" s="25"/>
      <c r="J53" s="25">
        <v>11</v>
      </c>
      <c r="K53" s="31"/>
      <c r="L53" s="9">
        <f>ROW()</f>
        <v>53</v>
      </c>
    </row>
    <row r="54" spans="1:12" x14ac:dyDescent="0.25">
      <c r="A54" s="10">
        <f t="shared" si="2"/>
        <v>5</v>
      </c>
      <c r="B54" s="10">
        <f t="shared" si="3"/>
        <v>10</v>
      </c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42" t="s">
        <v>119</v>
      </c>
      <c r="I54" s="25"/>
      <c r="J54" s="25">
        <v>12</v>
      </c>
      <c r="K54" s="31"/>
      <c r="L54" s="9">
        <f>ROW()</f>
        <v>54</v>
      </c>
    </row>
    <row r="55" spans="1:12" x14ac:dyDescent="0.25">
      <c r="A55" s="10">
        <f t="shared" si="2"/>
        <v>5</v>
      </c>
      <c r="B55" s="10">
        <f t="shared" si="3"/>
        <v>10</v>
      </c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42" t="s">
        <v>123</v>
      </c>
      <c r="I55" s="25"/>
      <c r="J55" s="25">
        <v>13</v>
      </c>
      <c r="K55" s="31"/>
      <c r="L55" s="9">
        <f>ROW()</f>
        <v>55</v>
      </c>
    </row>
    <row r="56" spans="1:12" x14ac:dyDescent="0.25">
      <c r="A56" s="10">
        <f t="shared" si="2"/>
        <v>5</v>
      </c>
      <c r="B56" s="10">
        <f t="shared" si="3"/>
        <v>10</v>
      </c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42" t="s">
        <v>23</v>
      </c>
      <c r="I56" s="25"/>
      <c r="J56" s="25">
        <v>54.3</v>
      </c>
      <c r="K56" s="31"/>
      <c r="L56" s="9">
        <f>ROW()</f>
        <v>56</v>
      </c>
    </row>
    <row r="57" spans="1:12" x14ac:dyDescent="0.25">
      <c r="A57" s="10">
        <f t="shared" si="2"/>
        <v>5</v>
      </c>
      <c r="B57" s="10">
        <f t="shared" si="3"/>
        <v>10</v>
      </c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42" t="s">
        <v>25</v>
      </c>
      <c r="I57" s="25"/>
      <c r="J57" s="25">
        <v>108.33</v>
      </c>
      <c r="K57" s="31"/>
      <c r="L57" s="9">
        <f>ROW()</f>
        <v>57</v>
      </c>
    </row>
    <row r="58" spans="1:12" ht="15.75" thickBot="1" x14ac:dyDescent="0.3">
      <c r="A58" s="10">
        <f t="shared" si="2"/>
        <v>5</v>
      </c>
      <c r="B58" s="10">
        <f t="shared" si="3"/>
        <v>10</v>
      </c>
      <c r="C58" s="9">
        <v>8</v>
      </c>
      <c r="D58" s="15">
        <v>45204</v>
      </c>
      <c r="E58" s="36">
        <v>8</v>
      </c>
      <c r="F58" s="37" t="s">
        <v>152</v>
      </c>
      <c r="G58" s="104"/>
      <c r="H58" s="143" t="s">
        <v>153</v>
      </c>
      <c r="I58" s="135"/>
      <c r="J58" s="135"/>
      <c r="K58" s="136"/>
      <c r="L58" s="9">
        <f>ROW()</f>
        <v>58</v>
      </c>
    </row>
    <row r="59" spans="1:12" ht="15.75" thickBot="1" x14ac:dyDescent="0.3">
      <c r="A59" s="10">
        <f t="shared" si="2"/>
        <v>5</v>
      </c>
      <c r="B59" s="10">
        <f t="shared" si="3"/>
        <v>10</v>
      </c>
      <c r="C59" s="9">
        <v>8</v>
      </c>
      <c r="D59" s="75">
        <v>45204</v>
      </c>
      <c r="E59" s="74">
        <v>8</v>
      </c>
      <c r="F59" s="76" t="s">
        <v>152</v>
      </c>
      <c r="L59" s="9">
        <f>ROW()</f>
        <v>59</v>
      </c>
    </row>
    <row r="60" spans="1:12" x14ac:dyDescent="0.25">
      <c r="A60" s="10">
        <f t="shared" si="2"/>
        <v>6</v>
      </c>
      <c r="B60" s="10">
        <f t="shared" si="3"/>
        <v>10</v>
      </c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1:12" x14ac:dyDescent="0.25">
      <c r="A61" s="10">
        <f t="shared" si="2"/>
        <v>6</v>
      </c>
      <c r="B61" s="10">
        <f t="shared" si="3"/>
        <v>10</v>
      </c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42" t="s">
        <v>15</v>
      </c>
      <c r="I61" s="25"/>
      <c r="J61" s="25">
        <v>1248.6300000000001</v>
      </c>
      <c r="K61" s="31"/>
      <c r="L61" s="9">
        <f>ROW()</f>
        <v>61</v>
      </c>
    </row>
    <row r="62" spans="1:12" ht="15.75" thickBot="1" x14ac:dyDescent="0.3">
      <c r="A62" s="10">
        <f t="shared" si="2"/>
        <v>6</v>
      </c>
      <c r="B62" s="10">
        <f t="shared" si="3"/>
        <v>10</v>
      </c>
      <c r="C62" s="9">
        <v>9</v>
      </c>
      <c r="D62" s="15">
        <v>45205</v>
      </c>
      <c r="E62" s="36">
        <v>9</v>
      </c>
      <c r="F62" s="37" t="s">
        <v>154</v>
      </c>
      <c r="G62" s="104"/>
      <c r="H62" s="143" t="s">
        <v>155</v>
      </c>
      <c r="I62" s="135"/>
      <c r="J62" s="135"/>
      <c r="K62" s="136"/>
      <c r="L62" s="9">
        <f>ROW()</f>
        <v>62</v>
      </c>
    </row>
    <row r="63" spans="1:12" ht="15.75" thickBot="1" x14ac:dyDescent="0.3">
      <c r="A63" s="10">
        <f t="shared" si="2"/>
        <v>6</v>
      </c>
      <c r="B63" s="10">
        <f t="shared" si="3"/>
        <v>10</v>
      </c>
      <c r="C63" s="9">
        <v>9</v>
      </c>
      <c r="D63" s="75">
        <v>45205</v>
      </c>
      <c r="E63" s="74">
        <v>9</v>
      </c>
      <c r="F63" s="76" t="s">
        <v>154</v>
      </c>
      <c r="L63" s="9">
        <f>ROW()</f>
        <v>63</v>
      </c>
    </row>
    <row r="64" spans="1:12" x14ac:dyDescent="0.25">
      <c r="A64" s="10">
        <f t="shared" si="2"/>
        <v>6</v>
      </c>
      <c r="B64" s="10">
        <f t="shared" si="3"/>
        <v>10</v>
      </c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1:12" x14ac:dyDescent="0.25">
      <c r="A65" s="10">
        <f t="shared" si="2"/>
        <v>6</v>
      </c>
      <c r="B65" s="10">
        <f t="shared" si="3"/>
        <v>10</v>
      </c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42" t="s">
        <v>15</v>
      </c>
      <c r="I65" s="25"/>
      <c r="J65" s="25">
        <v>1228.72</v>
      </c>
      <c r="K65" s="31"/>
      <c r="L65" s="9">
        <f>ROW()</f>
        <v>65</v>
      </c>
    </row>
    <row r="66" spans="1:12" ht="15.75" thickBot="1" x14ac:dyDescent="0.3">
      <c r="A66" s="10">
        <f t="shared" si="2"/>
        <v>6</v>
      </c>
      <c r="B66" s="10">
        <f t="shared" si="3"/>
        <v>10</v>
      </c>
      <c r="C66" s="9">
        <v>10</v>
      </c>
      <c r="D66" s="15">
        <v>45205</v>
      </c>
      <c r="E66" s="36">
        <v>10</v>
      </c>
      <c r="F66" s="37" t="s">
        <v>154</v>
      </c>
      <c r="G66" s="104"/>
      <c r="H66" s="143" t="s">
        <v>149</v>
      </c>
      <c r="I66" s="135"/>
      <c r="J66" s="135"/>
      <c r="K66" s="136"/>
      <c r="L66" s="9">
        <f>ROW()</f>
        <v>66</v>
      </c>
    </row>
    <row r="67" spans="1:12" ht="15.75" thickBot="1" x14ac:dyDescent="0.3">
      <c r="A67" s="10">
        <f t="shared" si="2"/>
        <v>6</v>
      </c>
      <c r="B67" s="10">
        <f t="shared" si="3"/>
        <v>10</v>
      </c>
      <c r="C67" s="9">
        <v>10</v>
      </c>
      <c r="D67" s="75">
        <v>45205</v>
      </c>
      <c r="F67"/>
      <c r="L67" s="9">
        <v>67</v>
      </c>
    </row>
    <row r="68" spans="1:12" x14ac:dyDescent="0.25">
      <c r="A68" s="10">
        <f t="shared" si="2"/>
        <v>6</v>
      </c>
      <c r="B68" s="10">
        <f t="shared" si="3"/>
        <v>10</v>
      </c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1:12" x14ac:dyDescent="0.25">
      <c r="A69" s="10">
        <f t="shared" si="2"/>
        <v>6</v>
      </c>
      <c r="B69" s="10">
        <f t="shared" si="3"/>
        <v>10</v>
      </c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42" t="s">
        <v>13</v>
      </c>
      <c r="I69" s="25"/>
      <c r="J69" s="25">
        <v>5000</v>
      </c>
      <c r="K69" s="31"/>
      <c r="L69" s="9">
        <f>ROW()</f>
        <v>69</v>
      </c>
    </row>
    <row r="70" spans="1:12" ht="15.75" thickBot="1" x14ac:dyDescent="0.3">
      <c r="A70" s="10">
        <f t="shared" si="2"/>
        <v>6</v>
      </c>
      <c r="B70" s="10">
        <f t="shared" si="3"/>
        <v>10</v>
      </c>
      <c r="C70" s="9">
        <v>11</v>
      </c>
      <c r="D70" s="15">
        <v>45205</v>
      </c>
      <c r="E70" s="36">
        <v>11</v>
      </c>
      <c r="F70" s="37" t="s">
        <v>156</v>
      </c>
      <c r="G70" s="104"/>
      <c r="H70" s="143" t="s">
        <v>157</v>
      </c>
      <c r="I70" s="135"/>
      <c r="J70" s="135"/>
      <c r="K70" s="136"/>
      <c r="L70" s="9">
        <f>ROW()</f>
        <v>70</v>
      </c>
    </row>
    <row r="71" spans="1:12" ht="15.75" thickBot="1" x14ac:dyDescent="0.3">
      <c r="A71" s="10">
        <f t="shared" si="2"/>
        <v>6</v>
      </c>
      <c r="B71" s="10">
        <f t="shared" si="3"/>
        <v>10</v>
      </c>
      <c r="C71" s="9">
        <v>11</v>
      </c>
      <c r="D71" s="75">
        <v>45205</v>
      </c>
      <c r="E71" s="74">
        <v>11</v>
      </c>
      <c r="F71" s="76" t="s">
        <v>156</v>
      </c>
      <c r="L71" s="9">
        <f>ROW()</f>
        <v>71</v>
      </c>
    </row>
    <row r="72" spans="1:12" x14ac:dyDescent="0.25">
      <c r="A72" s="10">
        <f t="shared" si="2"/>
        <v>6</v>
      </c>
      <c r="B72" s="10">
        <f t="shared" si="3"/>
        <v>10</v>
      </c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1:12" x14ac:dyDescent="0.25">
      <c r="A73" s="10">
        <f t="shared" si="2"/>
        <v>6</v>
      </c>
      <c r="B73" s="10">
        <f t="shared" si="3"/>
        <v>10</v>
      </c>
      <c r="C73" s="9">
        <v>12</v>
      </c>
      <c r="D73" s="13">
        <v>45205</v>
      </c>
      <c r="E73" s="30">
        <v>12</v>
      </c>
      <c r="F73" s="24"/>
      <c r="G73" s="101" t="s">
        <v>18</v>
      </c>
      <c r="H73" s="142" t="s">
        <v>19</v>
      </c>
      <c r="I73" s="25">
        <v>199.8</v>
      </c>
      <c r="J73" s="25"/>
      <c r="K73" s="31"/>
      <c r="L73" s="9">
        <f>ROW()</f>
        <v>73</v>
      </c>
    </row>
    <row r="74" spans="1:12" x14ac:dyDescent="0.25">
      <c r="A74" s="10">
        <f t="shared" si="2"/>
        <v>6</v>
      </c>
      <c r="B74" s="10">
        <f t="shared" si="3"/>
        <v>10</v>
      </c>
      <c r="C74" s="9">
        <v>12</v>
      </c>
      <c r="D74" s="13">
        <v>45205</v>
      </c>
      <c r="E74" s="30">
        <v>12</v>
      </c>
      <c r="F74" s="24"/>
      <c r="G74" s="101" t="s">
        <v>20</v>
      </c>
      <c r="H74" s="142" t="s">
        <v>21</v>
      </c>
      <c r="I74" s="25">
        <v>389.61</v>
      </c>
      <c r="J74" s="25"/>
      <c r="K74" s="31"/>
      <c r="L74" s="9">
        <f>ROW()</f>
        <v>74</v>
      </c>
    </row>
    <row r="75" spans="1:12" x14ac:dyDescent="0.25">
      <c r="A75" s="10">
        <f t="shared" si="2"/>
        <v>6</v>
      </c>
      <c r="B75" s="10">
        <f t="shared" si="3"/>
        <v>10</v>
      </c>
      <c r="C75" s="9">
        <v>12</v>
      </c>
      <c r="D75" s="13">
        <v>45205</v>
      </c>
      <c r="E75" s="30">
        <v>12</v>
      </c>
      <c r="F75" s="24"/>
      <c r="G75" s="101" t="s">
        <v>53</v>
      </c>
      <c r="H75" s="142" t="s">
        <v>54</v>
      </c>
      <c r="I75" s="25"/>
      <c r="J75" s="25">
        <v>4585.3999999999996</v>
      </c>
      <c r="K75" s="31"/>
      <c r="L75" s="9">
        <f>ROW()</f>
        <v>75</v>
      </c>
    </row>
    <row r="76" spans="1:12" ht="15.75" thickBot="1" x14ac:dyDescent="0.3">
      <c r="A76" s="10">
        <f t="shared" si="2"/>
        <v>6</v>
      </c>
      <c r="B76" s="10">
        <f t="shared" si="3"/>
        <v>10</v>
      </c>
      <c r="C76" s="9">
        <v>12</v>
      </c>
      <c r="D76" s="15">
        <v>45205</v>
      </c>
      <c r="E76" s="36">
        <v>12</v>
      </c>
      <c r="F76" s="37"/>
      <c r="G76" s="104"/>
      <c r="H76" s="143" t="s">
        <v>159</v>
      </c>
      <c r="I76" s="135"/>
      <c r="J76" s="135"/>
      <c r="K76" s="136"/>
      <c r="L76" s="9">
        <f>ROW()</f>
        <v>76</v>
      </c>
    </row>
    <row r="77" spans="1:12" ht="15.75" thickBot="1" x14ac:dyDescent="0.3">
      <c r="A77" s="10">
        <f t="shared" si="2"/>
        <v>6</v>
      </c>
      <c r="B77" s="10">
        <f t="shared" si="3"/>
        <v>10</v>
      </c>
      <c r="C77" s="9">
        <v>12</v>
      </c>
      <c r="D77" s="75">
        <v>45205</v>
      </c>
      <c r="E77" s="74">
        <v>12</v>
      </c>
      <c r="F77" s="76"/>
      <c r="L77" s="9">
        <f>ROW()</f>
        <v>77</v>
      </c>
    </row>
    <row r="78" spans="1:12" x14ac:dyDescent="0.25">
      <c r="A78" s="10">
        <f t="shared" ref="A78:A141" si="4">DAY(D78)</f>
        <v>6</v>
      </c>
      <c r="B78" s="10">
        <f t="shared" ref="B78:B141" si="5">MONTH(D78)</f>
        <v>10</v>
      </c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1:12" x14ac:dyDescent="0.25">
      <c r="A79" s="10">
        <f t="shared" si="4"/>
        <v>6</v>
      </c>
      <c r="B79" s="10">
        <f t="shared" si="5"/>
        <v>10</v>
      </c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42" t="s">
        <v>19</v>
      </c>
      <c r="I79" s="25">
        <v>5</v>
      </c>
      <c r="J79" s="25"/>
      <c r="K79" s="31"/>
      <c r="L79" s="9">
        <f>ROW()</f>
        <v>79</v>
      </c>
    </row>
    <row r="80" spans="1:12" x14ac:dyDescent="0.25">
      <c r="A80" s="10">
        <f t="shared" si="4"/>
        <v>6</v>
      </c>
      <c r="B80" s="10">
        <f t="shared" si="5"/>
        <v>10</v>
      </c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42" t="s">
        <v>21</v>
      </c>
      <c r="I80" s="25">
        <v>9.75</v>
      </c>
      <c r="J80" s="25"/>
      <c r="K80" s="31"/>
      <c r="L80" s="9">
        <f>ROW()</f>
        <v>80</v>
      </c>
    </row>
    <row r="81" spans="1:12" x14ac:dyDescent="0.25">
      <c r="A81" s="10">
        <f t="shared" si="4"/>
        <v>6</v>
      </c>
      <c r="B81" s="10">
        <f t="shared" si="5"/>
        <v>10</v>
      </c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42" t="s">
        <v>54</v>
      </c>
      <c r="I81" s="25"/>
      <c r="J81" s="25">
        <v>134.75</v>
      </c>
      <c r="K81" s="31"/>
      <c r="L81" s="9">
        <f>ROW()</f>
        <v>81</v>
      </c>
    </row>
    <row r="82" spans="1:12" ht="15.75" thickBot="1" x14ac:dyDescent="0.3">
      <c r="A82" s="10">
        <f t="shared" si="4"/>
        <v>6</v>
      </c>
      <c r="B82" s="10">
        <f t="shared" si="5"/>
        <v>10</v>
      </c>
      <c r="C82" s="9">
        <v>13</v>
      </c>
      <c r="D82" s="15">
        <v>45205</v>
      </c>
      <c r="E82" s="36">
        <v>13</v>
      </c>
      <c r="F82" s="37" t="s">
        <v>158</v>
      </c>
      <c r="G82" s="104"/>
      <c r="H82" s="143" t="s">
        <v>160</v>
      </c>
      <c r="I82" s="135"/>
      <c r="J82" s="135"/>
      <c r="K82" s="136"/>
      <c r="L82" s="9">
        <f>ROW()</f>
        <v>82</v>
      </c>
    </row>
    <row r="83" spans="1:12" ht="15.75" thickBot="1" x14ac:dyDescent="0.3">
      <c r="A83" s="10">
        <f t="shared" si="4"/>
        <v>6</v>
      </c>
      <c r="B83" s="10">
        <f t="shared" si="5"/>
        <v>10</v>
      </c>
      <c r="C83" s="9">
        <v>13</v>
      </c>
      <c r="D83" s="75">
        <v>45205</v>
      </c>
      <c r="E83" s="74">
        <v>13</v>
      </c>
      <c r="F83" s="76" t="s">
        <v>158</v>
      </c>
      <c r="L83" s="9">
        <f>ROW()</f>
        <v>83</v>
      </c>
    </row>
    <row r="84" spans="1:12" x14ac:dyDescent="0.25">
      <c r="A84" s="10">
        <f t="shared" si="4"/>
        <v>5</v>
      </c>
      <c r="B84" s="10">
        <f t="shared" si="5"/>
        <v>10</v>
      </c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1:12" x14ac:dyDescent="0.25">
      <c r="A85" s="10">
        <f t="shared" si="4"/>
        <v>5</v>
      </c>
      <c r="B85" s="10">
        <f t="shared" si="5"/>
        <v>10</v>
      </c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42" t="s">
        <v>88</v>
      </c>
      <c r="I85" s="25"/>
      <c r="J85" s="25">
        <v>3062.5</v>
      </c>
      <c r="K85" s="31"/>
      <c r="L85" s="9">
        <f>ROW()</f>
        <v>85</v>
      </c>
    </row>
    <row r="86" spans="1:12" x14ac:dyDescent="0.25">
      <c r="A86" s="10">
        <f t="shared" si="4"/>
        <v>5</v>
      </c>
      <c r="B86" s="10">
        <f t="shared" si="5"/>
        <v>10</v>
      </c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42" t="s">
        <v>23</v>
      </c>
      <c r="I86" s="25"/>
      <c r="J86" s="25">
        <v>153.72999999999999</v>
      </c>
      <c r="K86" s="31"/>
      <c r="L86" s="9">
        <f>ROW()</f>
        <v>86</v>
      </c>
    </row>
    <row r="87" spans="1:12" x14ac:dyDescent="0.25">
      <c r="A87" s="10">
        <f t="shared" si="4"/>
        <v>5</v>
      </c>
      <c r="B87" s="10">
        <f t="shared" si="5"/>
        <v>10</v>
      </c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42" t="s">
        <v>25</v>
      </c>
      <c r="I87" s="25"/>
      <c r="J87" s="25">
        <v>306.68</v>
      </c>
      <c r="K87" s="31"/>
      <c r="L87" s="9">
        <f>ROW()</f>
        <v>87</v>
      </c>
    </row>
    <row r="88" spans="1:12" x14ac:dyDescent="0.25">
      <c r="A88" s="10">
        <f t="shared" si="4"/>
        <v>5</v>
      </c>
      <c r="B88" s="10">
        <f t="shared" si="5"/>
        <v>10</v>
      </c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42" t="s">
        <v>121</v>
      </c>
      <c r="I88" s="25"/>
      <c r="J88" s="25">
        <v>3</v>
      </c>
      <c r="K88" s="31"/>
      <c r="L88" s="9">
        <f>ROW()</f>
        <v>88</v>
      </c>
    </row>
    <row r="89" spans="1:12" x14ac:dyDescent="0.25">
      <c r="A89" s="10">
        <f t="shared" si="4"/>
        <v>5</v>
      </c>
      <c r="B89" s="10">
        <f t="shared" si="5"/>
        <v>10</v>
      </c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42" t="s">
        <v>119</v>
      </c>
      <c r="I89" s="25"/>
      <c r="J89" s="25">
        <v>4</v>
      </c>
      <c r="K89" s="31"/>
      <c r="L89" s="9">
        <f>ROW()</f>
        <v>89</v>
      </c>
    </row>
    <row r="90" spans="1:12" x14ac:dyDescent="0.25">
      <c r="A90" s="10">
        <f t="shared" si="4"/>
        <v>5</v>
      </c>
      <c r="B90" s="10">
        <f t="shared" si="5"/>
        <v>10</v>
      </c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42" t="s">
        <v>127</v>
      </c>
      <c r="I90" s="25"/>
      <c r="J90" s="25">
        <v>5</v>
      </c>
      <c r="K90" s="31"/>
      <c r="L90" s="9">
        <f>ROW()</f>
        <v>90</v>
      </c>
    </row>
    <row r="91" spans="1:12" x14ac:dyDescent="0.25">
      <c r="A91" s="10">
        <f t="shared" si="4"/>
        <v>5</v>
      </c>
      <c r="B91" s="10">
        <f t="shared" si="5"/>
        <v>10</v>
      </c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42" t="s">
        <v>33</v>
      </c>
      <c r="I91" s="25">
        <v>2500</v>
      </c>
      <c r="J91" s="25"/>
      <c r="K91" s="31"/>
      <c r="L91" s="9">
        <f>ROW()</f>
        <v>91</v>
      </c>
    </row>
    <row r="92" spans="1:12" ht="15.75" thickBot="1" x14ac:dyDescent="0.3">
      <c r="A92" s="10">
        <f t="shared" si="4"/>
        <v>5</v>
      </c>
      <c r="B92" s="10">
        <f t="shared" si="5"/>
        <v>10</v>
      </c>
      <c r="C92" s="9">
        <v>14</v>
      </c>
      <c r="D92" s="15">
        <v>45204</v>
      </c>
      <c r="E92" s="36">
        <v>14</v>
      </c>
      <c r="F92" s="37" t="s">
        <v>161</v>
      </c>
      <c r="G92" s="104"/>
      <c r="H92" s="143" t="s">
        <v>149</v>
      </c>
      <c r="I92" s="135"/>
      <c r="J92" s="135"/>
      <c r="K92" s="136"/>
      <c r="L92" s="9">
        <f>ROW()</f>
        <v>92</v>
      </c>
    </row>
    <row r="93" spans="1:12" ht="15.75" thickBot="1" x14ac:dyDescent="0.3">
      <c r="A93" s="10">
        <f t="shared" si="4"/>
        <v>5</v>
      </c>
      <c r="B93" s="10">
        <f t="shared" si="5"/>
        <v>10</v>
      </c>
      <c r="C93" s="9">
        <v>14</v>
      </c>
      <c r="D93" s="75">
        <v>45204</v>
      </c>
      <c r="E93" s="74">
        <v>14</v>
      </c>
      <c r="F93" s="76" t="s">
        <v>161</v>
      </c>
      <c r="L93" s="9">
        <f>ROW()</f>
        <v>93</v>
      </c>
    </row>
    <row r="94" spans="1:12" x14ac:dyDescent="0.25">
      <c r="A94" s="10">
        <f t="shared" si="4"/>
        <v>4</v>
      </c>
      <c r="B94" s="10">
        <f t="shared" si="5"/>
        <v>10</v>
      </c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1:12" x14ac:dyDescent="0.25">
      <c r="A95" s="10">
        <f t="shared" si="4"/>
        <v>4</v>
      </c>
      <c r="B95" s="10">
        <f t="shared" si="5"/>
        <v>10</v>
      </c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42" t="s">
        <v>88</v>
      </c>
      <c r="I95" s="25"/>
      <c r="J95" s="25">
        <v>1137.5</v>
      </c>
      <c r="K95" s="31"/>
      <c r="L95" s="9">
        <f>ROW()</f>
        <v>95</v>
      </c>
    </row>
    <row r="96" spans="1:12" x14ac:dyDescent="0.25">
      <c r="A96" s="10">
        <f t="shared" si="4"/>
        <v>4</v>
      </c>
      <c r="B96" s="10">
        <f t="shared" si="5"/>
        <v>10</v>
      </c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42" t="s">
        <v>23</v>
      </c>
      <c r="I96" s="25"/>
      <c r="J96" s="25">
        <v>64.38</v>
      </c>
      <c r="K96" s="31"/>
      <c r="L96" s="9">
        <f>ROW()</f>
        <v>96</v>
      </c>
    </row>
    <row r="97" spans="1:12" x14ac:dyDescent="0.25">
      <c r="A97" s="10">
        <f t="shared" si="4"/>
        <v>4</v>
      </c>
      <c r="B97" s="10">
        <f t="shared" si="5"/>
        <v>10</v>
      </c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42" t="s">
        <v>25</v>
      </c>
      <c r="I97" s="25"/>
      <c r="J97" s="25">
        <v>128.43</v>
      </c>
      <c r="K97" s="31"/>
      <c r="L97" s="9">
        <f>ROW()</f>
        <v>97</v>
      </c>
    </row>
    <row r="98" spans="1:12" x14ac:dyDescent="0.25">
      <c r="A98" s="10">
        <f t="shared" si="4"/>
        <v>4</v>
      </c>
      <c r="B98" s="10">
        <f t="shared" si="5"/>
        <v>10</v>
      </c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42" t="s">
        <v>121</v>
      </c>
      <c r="I98" s="25"/>
      <c r="J98" s="25">
        <v>25</v>
      </c>
      <c r="K98" s="31"/>
      <c r="L98" s="9">
        <f>ROW()</f>
        <v>98</v>
      </c>
    </row>
    <row r="99" spans="1:12" x14ac:dyDescent="0.25">
      <c r="A99" s="10">
        <f t="shared" si="4"/>
        <v>4</v>
      </c>
      <c r="B99" s="10">
        <f t="shared" si="5"/>
        <v>10</v>
      </c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42" t="s">
        <v>119</v>
      </c>
      <c r="I99" s="25"/>
      <c r="J99" s="25">
        <v>50</v>
      </c>
      <c r="K99" s="31"/>
      <c r="L99" s="9">
        <f>ROW()</f>
        <v>99</v>
      </c>
    </row>
    <row r="100" spans="1:12" x14ac:dyDescent="0.25">
      <c r="A100" s="10">
        <f t="shared" si="4"/>
        <v>4</v>
      </c>
      <c r="B100" s="10">
        <f t="shared" si="5"/>
        <v>10</v>
      </c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42" t="s">
        <v>127</v>
      </c>
      <c r="I100" s="25"/>
      <c r="J100" s="25">
        <v>75</v>
      </c>
      <c r="K100" s="31"/>
      <c r="L100" s="9">
        <f>ROW()</f>
        <v>100</v>
      </c>
    </row>
    <row r="101" spans="1:12" x14ac:dyDescent="0.25">
      <c r="A101" s="10">
        <f t="shared" si="4"/>
        <v>4</v>
      </c>
      <c r="B101" s="10">
        <f t="shared" si="5"/>
        <v>10</v>
      </c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42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1:12" ht="15.75" thickBot="1" x14ac:dyDescent="0.3">
      <c r="A102" s="10">
        <f t="shared" si="4"/>
        <v>4</v>
      </c>
      <c r="B102" s="10">
        <f t="shared" si="5"/>
        <v>10</v>
      </c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43" t="s">
        <v>149</v>
      </c>
      <c r="I102" s="135"/>
      <c r="J102" s="135"/>
      <c r="K102" s="136"/>
      <c r="L102" s="9">
        <f>ROW()</f>
        <v>102</v>
      </c>
    </row>
    <row r="103" spans="1:12" ht="15.75" thickBot="1" x14ac:dyDescent="0.3">
      <c r="A103" s="10">
        <f t="shared" si="4"/>
        <v>4</v>
      </c>
      <c r="B103" s="10">
        <f t="shared" si="5"/>
        <v>10</v>
      </c>
      <c r="C103" s="9">
        <v>15</v>
      </c>
      <c r="D103" s="75">
        <v>45203</v>
      </c>
      <c r="E103" s="74">
        <v>15</v>
      </c>
      <c r="F103" s="76" t="s">
        <v>162</v>
      </c>
      <c r="L103" s="9">
        <f>ROW()</f>
        <v>103</v>
      </c>
    </row>
    <row r="104" spans="1:12" x14ac:dyDescent="0.25">
      <c r="A104" s="10">
        <f t="shared" si="4"/>
        <v>6</v>
      </c>
      <c r="B104" s="10">
        <f t="shared" si="5"/>
        <v>10</v>
      </c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1:12" x14ac:dyDescent="0.25">
      <c r="A105" s="10">
        <f t="shared" si="4"/>
        <v>6</v>
      </c>
      <c r="B105" s="10">
        <f t="shared" si="5"/>
        <v>10</v>
      </c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42" t="s">
        <v>15</v>
      </c>
      <c r="I105" s="25"/>
      <c r="J105" s="25">
        <v>1034.9100000000001</v>
      </c>
      <c r="K105" s="31"/>
      <c r="L105" s="9">
        <f>ROW()</f>
        <v>105</v>
      </c>
    </row>
    <row r="106" spans="1:12" ht="15.75" thickBot="1" x14ac:dyDescent="0.3">
      <c r="A106" s="10">
        <f t="shared" si="4"/>
        <v>6</v>
      </c>
      <c r="B106" s="10">
        <f t="shared" si="5"/>
        <v>10</v>
      </c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43" t="s">
        <v>149</v>
      </c>
      <c r="I106" s="135"/>
      <c r="J106" s="135"/>
      <c r="K106" s="136"/>
      <c r="L106" s="9">
        <f>ROW()</f>
        <v>106</v>
      </c>
    </row>
    <row r="107" spans="1:12" ht="15.75" thickBot="1" x14ac:dyDescent="0.3">
      <c r="A107" s="10">
        <f t="shared" si="4"/>
        <v>6</v>
      </c>
      <c r="B107" s="10">
        <f t="shared" si="5"/>
        <v>10</v>
      </c>
      <c r="C107" s="9">
        <v>16</v>
      </c>
      <c r="D107" s="75">
        <v>45205</v>
      </c>
      <c r="E107" s="74">
        <v>16</v>
      </c>
      <c r="F107" s="76" t="s">
        <v>154</v>
      </c>
      <c r="L107" s="9">
        <f>ROW()</f>
        <v>107</v>
      </c>
    </row>
    <row r="108" spans="1:12" x14ac:dyDescent="0.25">
      <c r="A108" s="10">
        <f t="shared" si="4"/>
        <v>6</v>
      </c>
      <c r="B108" s="10">
        <f t="shared" si="5"/>
        <v>10</v>
      </c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1:12" x14ac:dyDescent="0.25">
      <c r="A109" s="10">
        <f t="shared" si="4"/>
        <v>6</v>
      </c>
      <c r="B109" s="10">
        <f t="shared" si="5"/>
        <v>10</v>
      </c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42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1:12" ht="15.75" thickBot="1" x14ac:dyDescent="0.3">
      <c r="A110" s="10">
        <f t="shared" si="4"/>
        <v>6</v>
      </c>
      <c r="B110" s="10">
        <f t="shared" si="5"/>
        <v>10</v>
      </c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43" t="s">
        <v>149</v>
      </c>
      <c r="I110" s="135"/>
      <c r="J110" s="135"/>
      <c r="K110" s="136"/>
      <c r="L110" s="9">
        <f>ROW()</f>
        <v>110</v>
      </c>
    </row>
    <row r="111" spans="1:12" ht="15.75" thickBot="1" x14ac:dyDescent="0.3">
      <c r="A111" s="10">
        <f t="shared" si="4"/>
        <v>6</v>
      </c>
      <c r="B111" s="10">
        <f t="shared" si="5"/>
        <v>10</v>
      </c>
      <c r="C111" s="9">
        <v>17</v>
      </c>
      <c r="D111" s="75">
        <v>45205</v>
      </c>
      <c r="E111" s="74">
        <v>17</v>
      </c>
      <c r="F111" s="76" t="s">
        <v>154</v>
      </c>
      <c r="L111" s="9">
        <f>ROW()</f>
        <v>111</v>
      </c>
    </row>
    <row r="112" spans="1:12" x14ac:dyDescent="0.25">
      <c r="A112" s="10">
        <f t="shared" si="4"/>
        <v>1</v>
      </c>
      <c r="B112" s="10">
        <f t="shared" si="5"/>
        <v>1</v>
      </c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1:12" x14ac:dyDescent="0.25">
      <c r="A113" s="10">
        <f t="shared" si="4"/>
        <v>1</v>
      </c>
      <c r="B113" s="10">
        <f t="shared" si="5"/>
        <v>1</v>
      </c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42" t="s">
        <v>88</v>
      </c>
      <c r="I113" s="25"/>
      <c r="J113" s="25">
        <v>3412.5</v>
      </c>
      <c r="K113" s="31"/>
      <c r="L113" s="9">
        <f>ROW()</f>
        <v>113</v>
      </c>
    </row>
    <row r="114" spans="1:12" x14ac:dyDescent="0.25">
      <c r="A114" s="10">
        <f t="shared" si="4"/>
        <v>1</v>
      </c>
      <c r="B114" s="10">
        <f t="shared" si="5"/>
        <v>1</v>
      </c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42" t="s">
        <v>23</v>
      </c>
      <c r="I114" s="25"/>
      <c r="J114" s="25">
        <v>170.63</v>
      </c>
      <c r="K114" s="31"/>
      <c r="L114" s="9">
        <f>ROW()</f>
        <v>114</v>
      </c>
    </row>
    <row r="115" spans="1:12" x14ac:dyDescent="0.25">
      <c r="A115" s="10">
        <f t="shared" si="4"/>
        <v>1</v>
      </c>
      <c r="B115" s="10">
        <f t="shared" si="5"/>
        <v>1</v>
      </c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42" t="s">
        <v>25</v>
      </c>
      <c r="I115" s="25"/>
      <c r="J115" s="25">
        <v>340.4</v>
      </c>
      <c r="K115" s="31"/>
      <c r="L115" s="9">
        <f>ROW()</f>
        <v>115</v>
      </c>
    </row>
    <row r="116" spans="1:12" ht="15.75" thickBot="1" x14ac:dyDescent="0.3">
      <c r="A116" s="10">
        <f t="shared" si="4"/>
        <v>1</v>
      </c>
      <c r="B116" s="10">
        <f t="shared" si="5"/>
        <v>1</v>
      </c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43" t="s">
        <v>167</v>
      </c>
      <c r="I116" s="135"/>
      <c r="J116" s="135"/>
      <c r="K116" s="136"/>
      <c r="L116" s="9">
        <f>ROW()</f>
        <v>116</v>
      </c>
    </row>
    <row r="117" spans="1:12" ht="15.75" thickBot="1" x14ac:dyDescent="0.3">
      <c r="A117" s="10">
        <f t="shared" si="4"/>
        <v>1</v>
      </c>
      <c r="B117" s="10">
        <f t="shared" si="5"/>
        <v>1</v>
      </c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1:12" x14ac:dyDescent="0.25">
      <c r="A118" s="10">
        <f t="shared" si="4"/>
        <v>6</v>
      </c>
      <c r="B118" s="10">
        <f t="shared" si="5"/>
        <v>10</v>
      </c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1:12" x14ac:dyDescent="0.25">
      <c r="A119" s="10">
        <f t="shared" si="4"/>
        <v>6</v>
      </c>
      <c r="B119" s="10">
        <f t="shared" si="5"/>
        <v>10</v>
      </c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42" t="s">
        <v>15</v>
      </c>
      <c r="I119" s="25"/>
      <c r="J119" s="25">
        <v>3923.53</v>
      </c>
      <c r="K119" s="31"/>
      <c r="L119" s="9">
        <f>ROW()</f>
        <v>119</v>
      </c>
    </row>
    <row r="120" spans="1:12" ht="15.75" thickBot="1" x14ac:dyDescent="0.3">
      <c r="A120" s="10">
        <f t="shared" si="4"/>
        <v>6</v>
      </c>
      <c r="B120" s="10">
        <f t="shared" si="5"/>
        <v>10</v>
      </c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43" t="s">
        <v>167</v>
      </c>
      <c r="I120" s="135"/>
      <c r="J120" s="135"/>
      <c r="K120" s="136"/>
      <c r="L120" s="9">
        <f>ROW()</f>
        <v>120</v>
      </c>
    </row>
    <row r="121" spans="1:12" ht="15.75" thickBot="1" x14ac:dyDescent="0.3">
      <c r="A121" s="10">
        <f t="shared" si="4"/>
        <v>6</v>
      </c>
      <c r="B121" s="10">
        <f t="shared" si="5"/>
        <v>10</v>
      </c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1:12" x14ac:dyDescent="0.25">
      <c r="A122" s="10">
        <f t="shared" si="4"/>
        <v>14</v>
      </c>
      <c r="B122" s="10">
        <f t="shared" si="5"/>
        <v>10</v>
      </c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1:12" x14ac:dyDescent="0.25">
      <c r="A123" s="10">
        <f t="shared" si="4"/>
        <v>14</v>
      </c>
      <c r="B123" s="10">
        <f t="shared" si="5"/>
        <v>10</v>
      </c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6" t="s">
        <v>13</v>
      </c>
      <c r="I123" s="55"/>
      <c r="J123" s="55">
        <v>5000</v>
      </c>
      <c r="K123" s="56"/>
      <c r="L123" s="9">
        <f>ROW()</f>
        <v>123</v>
      </c>
    </row>
    <row r="124" spans="1:12" ht="15.75" thickBot="1" x14ac:dyDescent="0.3">
      <c r="A124" s="10">
        <f t="shared" si="4"/>
        <v>14</v>
      </c>
      <c r="B124" s="10">
        <f t="shared" si="5"/>
        <v>10</v>
      </c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43" t="s">
        <v>157</v>
      </c>
      <c r="I124" s="135"/>
      <c r="J124" s="135"/>
      <c r="K124" s="136"/>
      <c r="L124" s="9">
        <f>ROW()</f>
        <v>124</v>
      </c>
    </row>
    <row r="125" spans="1:12" ht="15.75" thickBot="1" x14ac:dyDescent="0.3">
      <c r="A125" s="10">
        <f t="shared" si="4"/>
        <v>14</v>
      </c>
      <c r="B125" s="10">
        <f t="shared" si="5"/>
        <v>10</v>
      </c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1:12" x14ac:dyDescent="0.25">
      <c r="A126" s="10">
        <f t="shared" si="4"/>
        <v>20</v>
      </c>
      <c r="B126" s="10">
        <f t="shared" si="5"/>
        <v>10</v>
      </c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1:12" x14ac:dyDescent="0.25">
      <c r="A127" s="10">
        <f t="shared" si="4"/>
        <v>20</v>
      </c>
      <c r="B127" s="10">
        <f t="shared" si="5"/>
        <v>10</v>
      </c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6" t="s">
        <v>13</v>
      </c>
      <c r="I127" s="55"/>
      <c r="J127" s="55">
        <v>5000</v>
      </c>
      <c r="K127" s="56"/>
      <c r="L127" s="9">
        <f>ROW()</f>
        <v>127</v>
      </c>
    </row>
    <row r="128" spans="1:12" ht="15.75" thickBot="1" x14ac:dyDescent="0.3">
      <c r="A128" s="10">
        <f t="shared" si="4"/>
        <v>20</v>
      </c>
      <c r="B128" s="10">
        <f t="shared" si="5"/>
        <v>10</v>
      </c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43" t="s">
        <v>168</v>
      </c>
      <c r="I128" s="135"/>
      <c r="J128" s="135"/>
      <c r="K128" s="136"/>
      <c r="L128" s="9">
        <f>ROW()</f>
        <v>128</v>
      </c>
    </row>
    <row r="129" spans="1:12" ht="15.75" thickBot="1" x14ac:dyDescent="0.3">
      <c r="A129" s="10">
        <f t="shared" si="4"/>
        <v>20</v>
      </c>
      <c r="B129" s="10">
        <f t="shared" si="5"/>
        <v>10</v>
      </c>
      <c r="C129" s="9">
        <v>21</v>
      </c>
      <c r="D129" s="75">
        <v>45219</v>
      </c>
      <c r="E129" s="74">
        <v>21</v>
      </c>
      <c r="F129" s="77" t="s">
        <v>156</v>
      </c>
      <c r="L129" s="9">
        <f>ROW()</f>
        <v>129</v>
      </c>
    </row>
    <row r="130" spans="1:12" x14ac:dyDescent="0.25">
      <c r="A130" s="10">
        <f t="shared" si="4"/>
        <v>31</v>
      </c>
      <c r="B130" s="10">
        <f t="shared" si="5"/>
        <v>10</v>
      </c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1:12" x14ac:dyDescent="0.25">
      <c r="A131" s="10">
        <f t="shared" si="4"/>
        <v>31</v>
      </c>
      <c r="B131" s="10">
        <f t="shared" si="5"/>
        <v>10</v>
      </c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42" t="s">
        <v>13</v>
      </c>
      <c r="I131" s="25"/>
      <c r="J131" s="25">
        <v>25.99</v>
      </c>
      <c r="K131" s="31"/>
      <c r="L131" s="9">
        <f>ROW()</f>
        <v>131</v>
      </c>
    </row>
    <row r="132" spans="1:12" ht="15.75" thickBot="1" x14ac:dyDescent="0.3">
      <c r="A132" s="10">
        <f t="shared" si="4"/>
        <v>31</v>
      </c>
      <c r="B132" s="10">
        <f t="shared" si="5"/>
        <v>10</v>
      </c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43" t="s">
        <v>170</v>
      </c>
      <c r="I132" s="135"/>
      <c r="J132" s="135"/>
      <c r="K132" s="136"/>
      <c r="L132" s="9">
        <f>ROW()</f>
        <v>132</v>
      </c>
    </row>
    <row r="133" spans="1:12" ht="15.75" thickBot="1" x14ac:dyDescent="0.3">
      <c r="A133" s="10">
        <f t="shared" si="4"/>
        <v>31</v>
      </c>
      <c r="B133" s="10">
        <f t="shared" si="5"/>
        <v>10</v>
      </c>
      <c r="C133" s="9">
        <v>22</v>
      </c>
      <c r="D133" s="75">
        <v>45230</v>
      </c>
      <c r="E133" s="74">
        <v>22</v>
      </c>
      <c r="F133" s="77" t="s">
        <v>169</v>
      </c>
      <c r="L133" s="9">
        <f>ROW()</f>
        <v>133</v>
      </c>
    </row>
    <row r="134" spans="1:12" x14ac:dyDescent="0.25">
      <c r="A134" s="10">
        <f t="shared" si="4"/>
        <v>7</v>
      </c>
      <c r="B134" s="10">
        <f t="shared" si="5"/>
        <v>10</v>
      </c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1:12" x14ac:dyDescent="0.25">
      <c r="A135" s="10">
        <f t="shared" si="4"/>
        <v>7</v>
      </c>
      <c r="B135" s="10">
        <f t="shared" si="5"/>
        <v>10</v>
      </c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6" t="s">
        <v>15</v>
      </c>
      <c r="I135" s="55"/>
      <c r="J135" s="55">
        <v>149.94999999999999</v>
      </c>
      <c r="K135" s="56"/>
      <c r="L135" s="9">
        <f>ROW()</f>
        <v>135</v>
      </c>
    </row>
    <row r="136" spans="1:12" x14ac:dyDescent="0.25">
      <c r="A136" s="10">
        <f t="shared" si="4"/>
        <v>7</v>
      </c>
      <c r="B136" s="10">
        <f t="shared" si="5"/>
        <v>10</v>
      </c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6" t="s">
        <v>19</v>
      </c>
      <c r="I136" s="55">
        <v>10</v>
      </c>
      <c r="J136" s="55"/>
      <c r="K136" s="56"/>
      <c r="L136" s="9">
        <f>ROW()</f>
        <v>136</v>
      </c>
    </row>
    <row r="137" spans="1:12" x14ac:dyDescent="0.25">
      <c r="A137" s="10">
        <f t="shared" si="4"/>
        <v>7</v>
      </c>
      <c r="B137" s="10">
        <f t="shared" si="5"/>
        <v>10</v>
      </c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6" t="s">
        <v>21</v>
      </c>
      <c r="I137" s="55"/>
      <c r="J137" s="55">
        <v>20</v>
      </c>
      <c r="K137" s="56"/>
      <c r="L137" s="9">
        <f>ROW()</f>
        <v>137</v>
      </c>
    </row>
    <row r="138" spans="1:12" ht="15.75" thickBot="1" x14ac:dyDescent="0.3">
      <c r="A138" s="10">
        <f t="shared" si="4"/>
        <v>7</v>
      </c>
      <c r="B138" s="10">
        <f t="shared" si="5"/>
        <v>10</v>
      </c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43" t="s">
        <v>173</v>
      </c>
      <c r="I138" s="135"/>
      <c r="J138" s="135"/>
      <c r="K138" s="136"/>
      <c r="L138" s="9">
        <f>ROW()</f>
        <v>138</v>
      </c>
    </row>
    <row r="139" spans="1:12" ht="15.75" thickBot="1" x14ac:dyDescent="0.3">
      <c r="A139" s="10">
        <f t="shared" si="4"/>
        <v>7</v>
      </c>
      <c r="B139" s="10">
        <f t="shared" si="5"/>
        <v>10</v>
      </c>
      <c r="C139" s="9">
        <v>23</v>
      </c>
      <c r="D139" s="78">
        <v>45206</v>
      </c>
      <c r="E139" s="79">
        <v>23</v>
      </c>
      <c r="F139" s="80" t="s">
        <v>172</v>
      </c>
      <c r="L139" s="9">
        <f>ROW()</f>
        <v>139</v>
      </c>
    </row>
    <row r="140" spans="1:12" x14ac:dyDescent="0.25">
      <c r="A140" s="10">
        <f t="shared" si="4"/>
        <v>10</v>
      </c>
      <c r="B140" s="10">
        <f t="shared" si="5"/>
        <v>9</v>
      </c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1:12" x14ac:dyDescent="0.25">
      <c r="A141" s="10">
        <f t="shared" si="4"/>
        <v>10</v>
      </c>
      <c r="B141" s="10">
        <f t="shared" si="5"/>
        <v>9</v>
      </c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6" t="s">
        <v>107</v>
      </c>
      <c r="I141" s="55"/>
      <c r="J141" s="55">
        <v>15</v>
      </c>
      <c r="K141" s="56"/>
      <c r="L141" s="9">
        <f>ROW()</f>
        <v>141</v>
      </c>
    </row>
    <row r="142" spans="1:12" ht="15.75" thickBot="1" x14ac:dyDescent="0.3">
      <c r="A142" s="10">
        <f t="shared" ref="A142:A205" si="6">DAY(D142)</f>
        <v>10</v>
      </c>
      <c r="B142" s="10">
        <f t="shared" ref="B142:B205" si="7">MONTH(D142)</f>
        <v>9</v>
      </c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43" t="s">
        <v>174</v>
      </c>
      <c r="I142" s="135"/>
      <c r="J142" s="135"/>
      <c r="K142" s="136"/>
      <c r="L142" s="9">
        <f>ROW()</f>
        <v>142</v>
      </c>
    </row>
    <row r="143" spans="1:12" ht="15.75" thickBot="1" x14ac:dyDescent="0.3">
      <c r="A143" s="10">
        <f t="shared" si="6"/>
        <v>10</v>
      </c>
      <c r="B143" s="10">
        <f t="shared" si="7"/>
        <v>9</v>
      </c>
      <c r="C143" s="9">
        <v>24</v>
      </c>
      <c r="D143" s="78">
        <v>45179</v>
      </c>
      <c r="E143" s="79">
        <v>24</v>
      </c>
      <c r="F143" s="80" t="s">
        <v>172</v>
      </c>
      <c r="L143" s="9">
        <f>ROW()</f>
        <v>143</v>
      </c>
    </row>
    <row r="144" spans="1:12" x14ac:dyDescent="0.25">
      <c r="A144" s="10">
        <f t="shared" si="6"/>
        <v>31</v>
      </c>
      <c r="B144" s="10">
        <f t="shared" si="7"/>
        <v>10</v>
      </c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1:12" x14ac:dyDescent="0.25">
      <c r="A145" s="10">
        <f t="shared" si="6"/>
        <v>31</v>
      </c>
      <c r="B145" s="10">
        <f t="shared" si="7"/>
        <v>10</v>
      </c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6" t="s">
        <v>13</v>
      </c>
      <c r="I145" s="55"/>
      <c r="J145" s="55">
        <v>19.95</v>
      </c>
      <c r="K145" s="56"/>
      <c r="L145" s="9">
        <f>ROW()</f>
        <v>145</v>
      </c>
    </row>
    <row r="146" spans="1:12" ht="15.75" thickBot="1" x14ac:dyDescent="0.3">
      <c r="A146" s="10">
        <f t="shared" si="6"/>
        <v>31</v>
      </c>
      <c r="B146" s="10">
        <f t="shared" si="7"/>
        <v>10</v>
      </c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43" t="s">
        <v>176</v>
      </c>
      <c r="I146" s="135"/>
      <c r="J146" s="135"/>
      <c r="K146" s="136"/>
      <c r="L146" s="9">
        <f>ROW()</f>
        <v>146</v>
      </c>
    </row>
    <row r="147" spans="1:12" ht="15.75" thickBot="1" x14ac:dyDescent="0.3">
      <c r="A147" s="10">
        <f t="shared" si="6"/>
        <v>31</v>
      </c>
      <c r="B147" s="10">
        <f t="shared" si="7"/>
        <v>10</v>
      </c>
      <c r="C147" s="9">
        <v>25</v>
      </c>
      <c r="D147" s="78">
        <v>45230</v>
      </c>
      <c r="E147" s="79">
        <v>25</v>
      </c>
      <c r="F147" s="80" t="s">
        <v>175</v>
      </c>
      <c r="L147" s="9">
        <f>ROW()</f>
        <v>147</v>
      </c>
    </row>
    <row r="148" spans="1:12" x14ac:dyDescent="0.25">
      <c r="A148" s="10">
        <f t="shared" si="6"/>
        <v>10</v>
      </c>
      <c r="B148" s="10">
        <f t="shared" si="7"/>
        <v>5</v>
      </c>
      <c r="C148" s="9">
        <v>26</v>
      </c>
      <c r="D148" s="47">
        <v>45056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1:12" x14ac:dyDescent="0.25">
      <c r="A149" s="10">
        <f t="shared" si="6"/>
        <v>10</v>
      </c>
      <c r="B149" s="10">
        <f t="shared" si="7"/>
        <v>5</v>
      </c>
      <c r="C149" s="9">
        <v>26</v>
      </c>
      <c r="D149" s="52">
        <v>45056</v>
      </c>
      <c r="E149" s="61">
        <v>26</v>
      </c>
      <c r="F149" s="62" t="s">
        <v>175</v>
      </c>
      <c r="G149" s="109" t="s">
        <v>12</v>
      </c>
      <c r="H149" s="146" t="s">
        <v>13</v>
      </c>
      <c r="I149" s="55"/>
      <c r="J149" s="55">
        <v>25</v>
      </c>
      <c r="K149" s="56"/>
      <c r="L149" s="9">
        <f>ROW()</f>
        <v>149</v>
      </c>
    </row>
    <row r="150" spans="1:12" ht="15.75" thickBot="1" x14ac:dyDescent="0.3">
      <c r="A150" s="10">
        <f t="shared" si="6"/>
        <v>10</v>
      </c>
      <c r="B150" s="10">
        <f t="shared" si="7"/>
        <v>5</v>
      </c>
      <c r="C150" s="9">
        <v>26</v>
      </c>
      <c r="D150" s="57">
        <v>45056</v>
      </c>
      <c r="E150" s="64">
        <v>26</v>
      </c>
      <c r="F150" s="65" t="s">
        <v>175</v>
      </c>
      <c r="G150" s="110"/>
      <c r="H150" s="143" t="s">
        <v>177</v>
      </c>
      <c r="I150" s="135"/>
      <c r="J150" s="135"/>
      <c r="K150" s="136"/>
      <c r="L150" s="9">
        <f>ROW()</f>
        <v>150</v>
      </c>
    </row>
    <row r="151" spans="1:12" ht="15.75" thickBot="1" x14ac:dyDescent="0.3">
      <c r="A151" s="10">
        <f t="shared" si="6"/>
        <v>10</v>
      </c>
      <c r="B151" s="10">
        <f t="shared" si="7"/>
        <v>5</v>
      </c>
      <c r="C151" s="9">
        <v>26</v>
      </c>
      <c r="D151" s="75">
        <v>45056</v>
      </c>
      <c r="E151" s="74">
        <v>26</v>
      </c>
      <c r="F151" s="77" t="s">
        <v>175</v>
      </c>
      <c r="L151" s="9">
        <f>ROW()</f>
        <v>151</v>
      </c>
    </row>
    <row r="152" spans="1:12" x14ac:dyDescent="0.25">
      <c r="A152" s="10">
        <f t="shared" si="6"/>
        <v>10</v>
      </c>
      <c r="B152" s="10">
        <f t="shared" si="7"/>
        <v>8</v>
      </c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1:12" x14ac:dyDescent="0.25">
      <c r="A153" s="10">
        <f t="shared" si="6"/>
        <v>10</v>
      </c>
      <c r="B153" s="10">
        <f t="shared" si="7"/>
        <v>8</v>
      </c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42" t="s">
        <v>13</v>
      </c>
      <c r="I153" s="25"/>
      <c r="J153" s="25">
        <v>25</v>
      </c>
      <c r="K153" s="31"/>
      <c r="L153" s="9">
        <f>ROW()</f>
        <v>153</v>
      </c>
    </row>
    <row r="154" spans="1:12" ht="15.75" thickBot="1" x14ac:dyDescent="0.3">
      <c r="A154" s="10">
        <f t="shared" si="6"/>
        <v>10</v>
      </c>
      <c r="B154" s="10">
        <f t="shared" si="7"/>
        <v>8</v>
      </c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43" t="s">
        <v>177</v>
      </c>
      <c r="I154" s="135"/>
      <c r="J154" s="135"/>
      <c r="K154" s="136"/>
      <c r="L154" s="9">
        <f>ROW()</f>
        <v>154</v>
      </c>
    </row>
    <row r="155" spans="1:12" ht="15.75" thickBot="1" x14ac:dyDescent="0.3">
      <c r="A155" s="10">
        <f t="shared" si="6"/>
        <v>10</v>
      </c>
      <c r="B155" s="10">
        <f t="shared" si="7"/>
        <v>8</v>
      </c>
      <c r="C155" s="9">
        <v>27</v>
      </c>
      <c r="D155" s="78">
        <v>45148</v>
      </c>
      <c r="E155" s="79">
        <v>26</v>
      </c>
      <c r="F155" s="80" t="s">
        <v>175</v>
      </c>
      <c r="L155" s="9">
        <f>ROW()</f>
        <v>155</v>
      </c>
    </row>
    <row r="156" spans="1:12" x14ac:dyDescent="0.25">
      <c r="A156" s="10">
        <f t="shared" si="6"/>
        <v>29</v>
      </c>
      <c r="B156" s="10">
        <f t="shared" si="7"/>
        <v>9</v>
      </c>
      <c r="C156" s="9">
        <v>28</v>
      </c>
      <c r="D156" s="12">
        <v>45198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1:12" x14ac:dyDescent="0.25">
      <c r="A157" s="10">
        <f t="shared" si="6"/>
        <v>29</v>
      </c>
      <c r="B157" s="10">
        <f t="shared" si="7"/>
        <v>9</v>
      </c>
      <c r="C157" s="9">
        <v>28</v>
      </c>
      <c r="D157" s="68">
        <v>45198</v>
      </c>
      <c r="E157" s="69">
        <v>28</v>
      </c>
      <c r="F157" s="70" t="s">
        <v>178</v>
      </c>
      <c r="G157" s="101" t="s">
        <v>32</v>
      </c>
      <c r="H157" s="142" t="s">
        <v>33</v>
      </c>
      <c r="I157" s="25"/>
      <c r="J157" s="25">
        <v>795</v>
      </c>
      <c r="K157" s="31"/>
      <c r="L157" s="9">
        <f>ROW()</f>
        <v>157</v>
      </c>
    </row>
    <row r="158" spans="1:12" ht="15.75" thickBot="1" x14ac:dyDescent="0.3">
      <c r="A158" s="10">
        <f t="shared" si="6"/>
        <v>29</v>
      </c>
      <c r="B158" s="10">
        <f t="shared" si="7"/>
        <v>9</v>
      </c>
      <c r="C158" s="9">
        <v>28</v>
      </c>
      <c r="D158" s="71">
        <v>45198</v>
      </c>
      <c r="E158" s="72">
        <v>28</v>
      </c>
      <c r="F158" s="73" t="s">
        <v>178</v>
      </c>
      <c r="G158" s="106"/>
      <c r="H158" s="143" t="s">
        <v>179</v>
      </c>
      <c r="I158" s="135"/>
      <c r="J158" s="135"/>
      <c r="K158" s="136"/>
      <c r="L158" s="9">
        <f>ROW()</f>
        <v>158</v>
      </c>
    </row>
    <row r="159" spans="1:12" ht="15.75" thickBot="1" x14ac:dyDescent="0.3">
      <c r="A159" s="10">
        <f t="shared" si="6"/>
        <v>29</v>
      </c>
      <c r="B159" s="10">
        <f t="shared" si="7"/>
        <v>9</v>
      </c>
      <c r="C159" s="9">
        <v>28</v>
      </c>
      <c r="D159" s="78">
        <v>45198</v>
      </c>
      <c r="E159" s="79">
        <v>28</v>
      </c>
      <c r="F159" s="80" t="s">
        <v>178</v>
      </c>
      <c r="L159" s="9">
        <f>ROW()</f>
        <v>159</v>
      </c>
    </row>
    <row r="160" spans="1:12" x14ac:dyDescent="0.25">
      <c r="A160" s="10">
        <f t="shared" si="6"/>
        <v>10</v>
      </c>
      <c r="B160" s="10">
        <f t="shared" si="7"/>
        <v>6</v>
      </c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1:12" x14ac:dyDescent="0.25">
      <c r="A161" s="10">
        <f t="shared" si="6"/>
        <v>10</v>
      </c>
      <c r="B161" s="10">
        <f t="shared" si="7"/>
        <v>6</v>
      </c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7" t="s">
        <v>88</v>
      </c>
      <c r="I161" s="87"/>
      <c r="J161" s="87">
        <v>2275</v>
      </c>
      <c r="K161" s="88"/>
      <c r="L161" s="9">
        <f>ROW()</f>
        <v>161</v>
      </c>
    </row>
    <row r="162" spans="1:12" x14ac:dyDescent="0.25">
      <c r="A162" s="10">
        <f t="shared" si="6"/>
        <v>10</v>
      </c>
      <c r="B162" s="10">
        <f t="shared" si="7"/>
        <v>6</v>
      </c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7" t="s">
        <v>121</v>
      </c>
      <c r="I162" s="87"/>
      <c r="J162" s="87">
        <v>11</v>
      </c>
      <c r="K162" s="88"/>
      <c r="L162" s="9">
        <f>ROW()</f>
        <v>162</v>
      </c>
    </row>
    <row r="163" spans="1:12" x14ac:dyDescent="0.25">
      <c r="A163" s="10">
        <f t="shared" si="6"/>
        <v>10</v>
      </c>
      <c r="B163" s="10">
        <f t="shared" si="7"/>
        <v>6</v>
      </c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7" t="s">
        <v>119</v>
      </c>
      <c r="I163" s="87"/>
      <c r="J163" s="87">
        <v>12</v>
      </c>
      <c r="K163" s="88"/>
      <c r="L163" s="9">
        <f>ROW()</f>
        <v>163</v>
      </c>
    </row>
    <row r="164" spans="1:12" x14ac:dyDescent="0.25">
      <c r="A164" s="10">
        <f t="shared" si="6"/>
        <v>10</v>
      </c>
      <c r="B164" s="10">
        <f t="shared" si="7"/>
        <v>6</v>
      </c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7" t="s">
        <v>127</v>
      </c>
      <c r="I164" s="87"/>
      <c r="J164" s="87">
        <v>13</v>
      </c>
      <c r="K164" s="88"/>
      <c r="L164" s="9">
        <f>ROW()</f>
        <v>164</v>
      </c>
    </row>
    <row r="165" spans="1:12" x14ac:dyDescent="0.25">
      <c r="A165" s="10">
        <f t="shared" si="6"/>
        <v>10</v>
      </c>
      <c r="B165" s="10">
        <f t="shared" si="7"/>
        <v>6</v>
      </c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7" t="s">
        <v>23</v>
      </c>
      <c r="I165" s="87"/>
      <c r="J165" s="87">
        <v>115.55</v>
      </c>
      <c r="K165" s="88"/>
      <c r="L165" s="9">
        <f>ROW()</f>
        <v>165</v>
      </c>
    </row>
    <row r="166" spans="1:12" x14ac:dyDescent="0.25">
      <c r="A166" s="10">
        <f t="shared" si="6"/>
        <v>10</v>
      </c>
      <c r="B166" s="10">
        <f t="shared" si="7"/>
        <v>6</v>
      </c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7" t="s">
        <v>25</v>
      </c>
      <c r="I166" s="87"/>
      <c r="J166" s="87">
        <v>230.52</v>
      </c>
      <c r="K166" s="88"/>
      <c r="L166" s="9">
        <f>ROW()</f>
        <v>166</v>
      </c>
    </row>
    <row r="167" spans="1:12" x14ac:dyDescent="0.25">
      <c r="A167" s="10">
        <f t="shared" si="6"/>
        <v>10</v>
      </c>
      <c r="B167" s="10">
        <f t="shared" si="7"/>
        <v>6</v>
      </c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7" t="s">
        <v>33</v>
      </c>
      <c r="I167" s="87">
        <v>500</v>
      </c>
      <c r="J167" s="87"/>
      <c r="K167" s="88"/>
      <c r="L167" s="9">
        <f>ROW()</f>
        <v>167</v>
      </c>
    </row>
    <row r="168" spans="1:12" ht="15.75" thickBot="1" x14ac:dyDescent="0.3">
      <c r="A168" s="10">
        <f t="shared" si="6"/>
        <v>10</v>
      </c>
      <c r="B168" s="10">
        <f t="shared" si="7"/>
        <v>6</v>
      </c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43" t="s">
        <v>149</v>
      </c>
      <c r="I168" s="135"/>
      <c r="J168" s="135"/>
      <c r="K168" s="136"/>
      <c r="L168" s="9">
        <f>ROW()</f>
        <v>168</v>
      </c>
    </row>
    <row r="169" spans="1:12" ht="15.75" thickBot="1" x14ac:dyDescent="0.3">
      <c r="A169" s="10">
        <f t="shared" si="6"/>
        <v>10</v>
      </c>
      <c r="B169" s="10">
        <f t="shared" si="7"/>
        <v>6</v>
      </c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34"/>
      <c r="I169" s="99"/>
      <c r="J169" s="99"/>
      <c r="K169" s="98"/>
      <c r="L169" s="9">
        <f>ROW()</f>
        <v>169</v>
      </c>
    </row>
    <row r="170" spans="1:12" ht="15.75" thickBot="1" x14ac:dyDescent="0.3">
      <c r="A170" s="10">
        <f t="shared" si="6"/>
        <v>9</v>
      </c>
      <c r="B170" s="10">
        <f t="shared" si="7"/>
        <v>10</v>
      </c>
      <c r="C170" s="9">
        <v>30</v>
      </c>
      <c r="D170" s="81">
        <v>45208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1:12" x14ac:dyDescent="0.25">
      <c r="A171" s="10">
        <f t="shared" si="6"/>
        <v>9</v>
      </c>
      <c r="B171" s="10">
        <f t="shared" si="7"/>
        <v>10</v>
      </c>
      <c r="C171" s="9">
        <v>30</v>
      </c>
      <c r="D171" s="166">
        <v>45208</v>
      </c>
      <c r="E171" s="66">
        <v>30</v>
      </c>
      <c r="F171" s="67" t="s">
        <v>185</v>
      </c>
      <c r="G171" s="112" t="s">
        <v>87</v>
      </c>
      <c r="H171" s="147" t="s">
        <v>88</v>
      </c>
      <c r="I171" s="87"/>
      <c r="J171" s="87">
        <v>15750</v>
      </c>
      <c r="K171" s="88"/>
      <c r="L171" s="9">
        <f>ROW()</f>
        <v>171</v>
      </c>
    </row>
    <row r="172" spans="1:12" x14ac:dyDescent="0.25">
      <c r="A172" s="10">
        <f t="shared" si="6"/>
        <v>9</v>
      </c>
      <c r="B172" s="10">
        <f t="shared" si="7"/>
        <v>10</v>
      </c>
      <c r="C172" s="9">
        <v>30</v>
      </c>
      <c r="D172" s="89">
        <v>45208</v>
      </c>
      <c r="E172" s="66">
        <v>30</v>
      </c>
      <c r="F172" s="67" t="s">
        <v>185</v>
      </c>
      <c r="G172" s="112" t="s">
        <v>118</v>
      </c>
      <c r="H172" s="147" t="s">
        <v>119</v>
      </c>
      <c r="I172" s="87"/>
      <c r="J172" s="87">
        <v>111</v>
      </c>
      <c r="K172" s="88"/>
      <c r="L172" s="9">
        <f>ROW()</f>
        <v>172</v>
      </c>
    </row>
    <row r="173" spans="1:12" x14ac:dyDescent="0.25">
      <c r="A173" s="10">
        <f t="shared" si="6"/>
        <v>9</v>
      </c>
      <c r="B173" s="10">
        <f t="shared" si="7"/>
        <v>10</v>
      </c>
      <c r="C173" s="9">
        <v>30</v>
      </c>
      <c r="D173" s="89">
        <v>45208</v>
      </c>
      <c r="E173" s="66">
        <v>30</v>
      </c>
      <c r="F173" s="67" t="s">
        <v>185</v>
      </c>
      <c r="G173" s="112" t="s">
        <v>120</v>
      </c>
      <c r="H173" s="147" t="s">
        <v>121</v>
      </c>
      <c r="I173" s="87"/>
      <c r="J173" s="87">
        <v>222</v>
      </c>
      <c r="K173" s="88"/>
      <c r="L173" s="9">
        <f>ROW()</f>
        <v>173</v>
      </c>
    </row>
    <row r="174" spans="1:12" x14ac:dyDescent="0.25">
      <c r="A174" s="10">
        <f t="shared" si="6"/>
        <v>9</v>
      </c>
      <c r="B174" s="10">
        <f t="shared" si="7"/>
        <v>10</v>
      </c>
      <c r="C174" s="9">
        <v>30</v>
      </c>
      <c r="D174" s="89">
        <v>45208</v>
      </c>
      <c r="E174" s="66">
        <v>30</v>
      </c>
      <c r="F174" s="67" t="s">
        <v>185</v>
      </c>
      <c r="G174" s="112" t="s">
        <v>126</v>
      </c>
      <c r="H174" s="147" t="s">
        <v>127</v>
      </c>
      <c r="I174" s="87"/>
      <c r="J174" s="87">
        <v>333</v>
      </c>
      <c r="K174" s="88"/>
      <c r="L174" s="9">
        <f>ROW()</f>
        <v>174</v>
      </c>
    </row>
    <row r="175" spans="1:12" x14ac:dyDescent="0.25">
      <c r="A175" s="10">
        <f t="shared" si="6"/>
        <v>9</v>
      </c>
      <c r="B175" s="10">
        <f t="shared" si="7"/>
        <v>10</v>
      </c>
      <c r="C175" s="9">
        <v>30</v>
      </c>
      <c r="D175" s="89">
        <v>45208</v>
      </c>
      <c r="E175" s="66">
        <v>30</v>
      </c>
      <c r="F175" s="67" t="s">
        <v>185</v>
      </c>
      <c r="G175" s="112" t="s">
        <v>22</v>
      </c>
      <c r="H175" s="147" t="s">
        <v>23</v>
      </c>
      <c r="I175" s="87"/>
      <c r="J175" s="87">
        <v>820.8</v>
      </c>
      <c r="K175" s="88"/>
      <c r="L175" s="9">
        <f>ROW()</f>
        <v>175</v>
      </c>
    </row>
    <row r="176" spans="1:12" x14ac:dyDescent="0.25">
      <c r="A176" s="10">
        <f t="shared" si="6"/>
        <v>9</v>
      </c>
      <c r="B176" s="10">
        <f t="shared" si="7"/>
        <v>10</v>
      </c>
      <c r="C176" s="9">
        <v>30</v>
      </c>
      <c r="D176" s="89">
        <v>45208</v>
      </c>
      <c r="E176" s="66">
        <v>30</v>
      </c>
      <c r="F176" s="67" t="s">
        <v>185</v>
      </c>
      <c r="G176" s="112" t="s">
        <v>24</v>
      </c>
      <c r="H176" s="147" t="s">
        <v>25</v>
      </c>
      <c r="I176" s="87"/>
      <c r="J176" s="87">
        <v>1637.5</v>
      </c>
      <c r="K176" s="88"/>
      <c r="L176" s="9">
        <f>ROW()</f>
        <v>176</v>
      </c>
    </row>
    <row r="177" spans="1:12" x14ac:dyDescent="0.25">
      <c r="A177" s="10">
        <f t="shared" si="6"/>
        <v>9</v>
      </c>
      <c r="B177" s="10">
        <f t="shared" si="7"/>
        <v>10</v>
      </c>
      <c r="C177" s="9">
        <v>30</v>
      </c>
      <c r="D177" s="89">
        <v>45208</v>
      </c>
      <c r="E177" s="66">
        <v>30</v>
      </c>
      <c r="F177" s="67" t="s">
        <v>185</v>
      </c>
      <c r="G177" s="112" t="s">
        <v>32</v>
      </c>
      <c r="H177" s="147" t="s">
        <v>51</v>
      </c>
      <c r="I177" s="87">
        <v>2500</v>
      </c>
      <c r="J177" s="87"/>
      <c r="K177" s="88"/>
      <c r="L177" s="9">
        <f>ROW()</f>
        <v>177</v>
      </c>
    </row>
    <row r="178" spans="1:12" ht="15.75" thickBot="1" x14ac:dyDescent="0.3">
      <c r="A178" s="10">
        <f t="shared" si="6"/>
        <v>9</v>
      </c>
      <c r="B178" s="10">
        <f t="shared" si="7"/>
        <v>10</v>
      </c>
      <c r="C178" s="9">
        <v>30</v>
      </c>
      <c r="D178" s="167">
        <v>45208</v>
      </c>
      <c r="E178" s="137">
        <v>30</v>
      </c>
      <c r="F178" s="138" t="s">
        <v>185</v>
      </c>
      <c r="G178" s="113"/>
      <c r="H178" s="148" t="s">
        <v>149</v>
      </c>
      <c r="I178" s="139"/>
      <c r="J178" s="139"/>
      <c r="K178" s="140"/>
      <c r="L178" s="9">
        <f>ROW()</f>
        <v>178</v>
      </c>
    </row>
    <row r="179" spans="1:12" ht="15.75" thickBot="1" x14ac:dyDescent="0.3">
      <c r="A179" s="10">
        <f t="shared" si="6"/>
        <v>9</v>
      </c>
      <c r="B179" s="10">
        <f t="shared" si="7"/>
        <v>10</v>
      </c>
      <c r="C179" s="9">
        <v>30</v>
      </c>
      <c r="D179" s="168">
        <v>45208</v>
      </c>
      <c r="E179" s="79">
        <v>30</v>
      </c>
      <c r="F179" s="80" t="s">
        <v>185</v>
      </c>
      <c r="L179" s="9">
        <f>ROW()</f>
        <v>179</v>
      </c>
    </row>
    <row r="180" spans="1:12" x14ac:dyDescent="0.25">
      <c r="A180" s="10">
        <f t="shared" si="6"/>
        <v>12</v>
      </c>
      <c r="B180" s="10">
        <f t="shared" si="7"/>
        <v>10</v>
      </c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50" t="s">
        <v>127</v>
      </c>
      <c r="I180" s="84">
        <v>15.91</v>
      </c>
      <c r="J180" s="84"/>
      <c r="K180" s="151"/>
      <c r="L180" s="9">
        <f>ROW()</f>
        <v>180</v>
      </c>
    </row>
    <row r="181" spans="1:12" x14ac:dyDescent="0.25">
      <c r="A181" s="10">
        <f t="shared" si="6"/>
        <v>12</v>
      </c>
      <c r="B181" s="10">
        <f t="shared" si="7"/>
        <v>10</v>
      </c>
      <c r="C181" s="9">
        <v>31</v>
      </c>
      <c r="D181" s="167">
        <v>45211</v>
      </c>
      <c r="E181" s="66">
        <v>31</v>
      </c>
      <c r="F181" s="67" t="s">
        <v>186</v>
      </c>
      <c r="G181" s="112" t="s">
        <v>12</v>
      </c>
      <c r="H181" s="152" t="s">
        <v>13</v>
      </c>
      <c r="I181" s="87"/>
      <c r="J181" s="87">
        <v>15.91</v>
      </c>
      <c r="K181" s="153"/>
      <c r="L181" s="9">
        <f>ROW()</f>
        <v>181</v>
      </c>
    </row>
    <row r="182" spans="1:12" ht="15.75" thickBot="1" x14ac:dyDescent="0.3">
      <c r="A182" s="10">
        <f t="shared" si="6"/>
        <v>12</v>
      </c>
      <c r="B182" s="10">
        <f t="shared" si="7"/>
        <v>10</v>
      </c>
      <c r="C182" s="9">
        <v>31</v>
      </c>
      <c r="D182" s="167">
        <v>45211</v>
      </c>
      <c r="E182" s="137">
        <v>31</v>
      </c>
      <c r="F182" s="138" t="s">
        <v>186</v>
      </c>
      <c r="G182" s="113"/>
      <c r="H182" s="148" t="s">
        <v>187</v>
      </c>
      <c r="I182" s="139"/>
      <c r="J182" s="139"/>
      <c r="K182" s="140"/>
      <c r="L182" s="9">
        <f>ROW()</f>
        <v>182</v>
      </c>
    </row>
    <row r="183" spans="1:12" ht="15.75" thickBot="1" x14ac:dyDescent="0.3">
      <c r="A183" s="10">
        <f t="shared" si="6"/>
        <v>12</v>
      </c>
      <c r="B183" s="10">
        <f t="shared" si="7"/>
        <v>10</v>
      </c>
      <c r="C183" s="9">
        <v>31</v>
      </c>
      <c r="D183" s="95">
        <v>45211</v>
      </c>
      <c r="E183" s="79">
        <v>31</v>
      </c>
      <c r="F183" s="80" t="s">
        <v>186</v>
      </c>
      <c r="H183" s="149"/>
      <c r="K183" s="28"/>
      <c r="L183" s="9">
        <f>ROW()</f>
        <v>183</v>
      </c>
    </row>
    <row r="184" spans="1:12" x14ac:dyDescent="0.25">
      <c r="A184" s="10">
        <f t="shared" si="6"/>
        <v>11</v>
      </c>
      <c r="B184" s="10">
        <f t="shared" si="7"/>
        <v>10</v>
      </c>
      <c r="C184" s="9">
        <v>32</v>
      </c>
      <c r="D184" s="157">
        <v>45210</v>
      </c>
      <c r="E184" s="158">
        <v>32</v>
      </c>
      <c r="F184" s="134" t="s">
        <v>172</v>
      </c>
      <c r="G184" s="114" t="s">
        <v>126</v>
      </c>
      <c r="H184" s="134" t="s">
        <v>127</v>
      </c>
      <c r="I184" s="99">
        <v>24.99</v>
      </c>
      <c r="J184" s="99"/>
      <c r="K184" s="159"/>
      <c r="L184" s="9">
        <f>ROW()</f>
        <v>184</v>
      </c>
    </row>
    <row r="185" spans="1:12" x14ac:dyDescent="0.25">
      <c r="A185" s="10">
        <f t="shared" si="6"/>
        <v>11</v>
      </c>
      <c r="B185" s="10">
        <f t="shared" si="7"/>
        <v>10</v>
      </c>
      <c r="C185" s="9">
        <v>32</v>
      </c>
      <c r="D185" s="160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61"/>
      <c r="L185" s="9">
        <f>ROW()</f>
        <v>185</v>
      </c>
    </row>
    <row r="186" spans="1:12" ht="15.75" thickBot="1" x14ac:dyDescent="0.3">
      <c r="A186" s="10">
        <f t="shared" si="6"/>
        <v>11</v>
      </c>
      <c r="B186" s="10">
        <f t="shared" si="7"/>
        <v>10</v>
      </c>
      <c r="C186" s="9">
        <v>32</v>
      </c>
      <c r="D186" s="162">
        <v>45210</v>
      </c>
      <c r="E186" s="163">
        <v>32</v>
      </c>
      <c r="F186" s="164" t="s">
        <v>172</v>
      </c>
      <c r="G186" s="165"/>
      <c r="H186" s="148" t="s">
        <v>188</v>
      </c>
      <c r="I186" s="139"/>
      <c r="J186" s="139"/>
      <c r="K186" s="140"/>
      <c r="L186" s="9">
        <f>ROW()</f>
        <v>186</v>
      </c>
    </row>
    <row r="187" spans="1:12" ht="15.75" thickBot="1" x14ac:dyDescent="0.3">
      <c r="A187" s="10">
        <f t="shared" si="6"/>
        <v>11</v>
      </c>
      <c r="B187" s="10">
        <f t="shared" si="7"/>
        <v>10</v>
      </c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1:12" x14ac:dyDescent="0.25">
      <c r="A188" s="10">
        <f t="shared" si="6"/>
        <v>14</v>
      </c>
      <c r="B188" s="10">
        <f t="shared" si="7"/>
        <v>10</v>
      </c>
      <c r="C188" s="9">
        <v>33</v>
      </c>
      <c r="D188" s="157">
        <v>45213</v>
      </c>
      <c r="E188" s="158">
        <v>33</v>
      </c>
      <c r="F188" s="134" t="s">
        <v>189</v>
      </c>
      <c r="G188" s="114" t="s">
        <v>12</v>
      </c>
      <c r="H188" s="134" t="s">
        <v>13</v>
      </c>
      <c r="I188" s="99">
        <v>5000</v>
      </c>
      <c r="J188" s="99"/>
      <c r="K188" s="159"/>
      <c r="L188" s="9">
        <f>ROW()</f>
        <v>188</v>
      </c>
    </row>
    <row r="189" spans="1:12" x14ac:dyDescent="0.25">
      <c r="A189" s="10">
        <f t="shared" si="6"/>
        <v>14</v>
      </c>
      <c r="B189" s="10">
        <f t="shared" si="7"/>
        <v>10</v>
      </c>
      <c r="C189" s="9">
        <v>33</v>
      </c>
      <c r="D189" s="160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61" t="s">
        <v>190</v>
      </c>
      <c r="L189" s="9">
        <f>ROW()</f>
        <v>189</v>
      </c>
    </row>
    <row r="190" spans="1:12" ht="15.75" thickBot="1" x14ac:dyDescent="0.3">
      <c r="A190" s="10">
        <f t="shared" si="6"/>
        <v>14</v>
      </c>
      <c r="B190" s="10">
        <f t="shared" si="7"/>
        <v>10</v>
      </c>
      <c r="C190" s="9">
        <v>33</v>
      </c>
      <c r="D190" s="162">
        <v>45213</v>
      </c>
      <c r="E190" s="163">
        <v>33</v>
      </c>
      <c r="F190" s="164" t="s">
        <v>189</v>
      </c>
      <c r="G190" s="165"/>
      <c r="H190" s="169" t="s">
        <v>191</v>
      </c>
      <c r="I190" s="170"/>
      <c r="J190" s="170"/>
      <c r="K190" s="171"/>
      <c r="L190" s="9">
        <f>ROW()</f>
        <v>190</v>
      </c>
    </row>
    <row r="191" spans="1:12" ht="15.75" thickBot="1" x14ac:dyDescent="0.3">
      <c r="A191" s="10">
        <f t="shared" si="6"/>
        <v>14</v>
      </c>
      <c r="B191" s="10">
        <f t="shared" si="7"/>
        <v>10</v>
      </c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1:12" x14ac:dyDescent="0.25">
      <c r="A192" s="10">
        <f t="shared" si="6"/>
        <v>14</v>
      </c>
      <c r="B192" s="10">
        <f t="shared" si="7"/>
        <v>10</v>
      </c>
      <c r="C192" s="9">
        <v>34</v>
      </c>
      <c r="D192" s="157">
        <v>45213</v>
      </c>
      <c r="E192" s="158">
        <v>34</v>
      </c>
      <c r="F192" s="134" t="s">
        <v>172</v>
      </c>
      <c r="G192" s="114" t="s">
        <v>12</v>
      </c>
      <c r="H192" s="134" t="s">
        <v>13</v>
      </c>
      <c r="I192" s="99">
        <v>2000</v>
      </c>
      <c r="J192" s="99"/>
      <c r="K192" s="159"/>
      <c r="L192" s="9">
        <f>ROW()</f>
        <v>192</v>
      </c>
    </row>
    <row r="193" spans="1:12" x14ac:dyDescent="0.25">
      <c r="A193" s="10">
        <f t="shared" si="6"/>
        <v>14</v>
      </c>
      <c r="B193" s="10">
        <f t="shared" si="7"/>
        <v>10</v>
      </c>
      <c r="C193" s="9">
        <v>34</v>
      </c>
      <c r="D193" s="160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61"/>
      <c r="L193" s="9">
        <f>ROW()</f>
        <v>193</v>
      </c>
    </row>
    <row r="194" spans="1:12" ht="15.75" thickBot="1" x14ac:dyDescent="0.3">
      <c r="A194" s="10">
        <f t="shared" si="6"/>
        <v>14</v>
      </c>
      <c r="B194" s="10">
        <f t="shared" si="7"/>
        <v>10</v>
      </c>
      <c r="C194" s="9">
        <v>34</v>
      </c>
      <c r="D194" s="162">
        <v>45213</v>
      </c>
      <c r="E194" s="163">
        <v>34</v>
      </c>
      <c r="F194" s="164" t="s">
        <v>172</v>
      </c>
      <c r="G194" s="165"/>
      <c r="H194" s="169" t="s">
        <v>172</v>
      </c>
      <c r="I194" s="170"/>
      <c r="J194" s="170"/>
      <c r="K194" s="171"/>
      <c r="L194" s="9">
        <f>ROW()</f>
        <v>194</v>
      </c>
    </row>
    <row r="195" spans="1:12" ht="15.75" thickBot="1" x14ac:dyDescent="0.3">
      <c r="A195" s="10">
        <f t="shared" si="6"/>
        <v>14</v>
      </c>
      <c r="B195" s="10">
        <f t="shared" si="7"/>
        <v>10</v>
      </c>
      <c r="C195" s="9">
        <v>34</v>
      </c>
      <c r="D195" s="207">
        <v>45213</v>
      </c>
      <c r="E195" s="79">
        <v>34</v>
      </c>
      <c r="F195" s="80" t="s">
        <v>172</v>
      </c>
      <c r="L195" s="9">
        <f>ROW()</f>
        <v>195</v>
      </c>
    </row>
    <row r="196" spans="1:12" x14ac:dyDescent="0.25">
      <c r="A196" s="10">
        <f t="shared" si="6"/>
        <v>13</v>
      </c>
      <c r="B196" s="10">
        <f t="shared" si="7"/>
        <v>10</v>
      </c>
      <c r="C196" s="9">
        <v>35</v>
      </c>
      <c r="D196" s="157">
        <v>45212</v>
      </c>
      <c r="E196" s="158">
        <v>35</v>
      </c>
      <c r="F196" s="134" t="s">
        <v>172</v>
      </c>
      <c r="G196" s="114" t="s">
        <v>12</v>
      </c>
      <c r="H196" s="134" t="s">
        <v>13</v>
      </c>
      <c r="I196" s="99">
        <v>25.99</v>
      </c>
      <c r="J196" s="99"/>
      <c r="K196" s="159"/>
      <c r="L196" s="9">
        <f>ROW()</f>
        <v>196</v>
      </c>
    </row>
    <row r="197" spans="1:12" x14ac:dyDescent="0.25">
      <c r="A197" s="10">
        <f t="shared" si="6"/>
        <v>13</v>
      </c>
      <c r="B197" s="10">
        <f t="shared" si="7"/>
        <v>10</v>
      </c>
      <c r="C197" s="9">
        <v>35</v>
      </c>
      <c r="D197" s="160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61"/>
      <c r="L197" s="9">
        <f>ROW()</f>
        <v>197</v>
      </c>
    </row>
    <row r="198" spans="1:12" ht="15.75" thickBot="1" x14ac:dyDescent="0.3">
      <c r="A198" s="10">
        <f t="shared" si="6"/>
        <v>13</v>
      </c>
      <c r="B198" s="10">
        <f t="shared" si="7"/>
        <v>10</v>
      </c>
      <c r="C198" s="9">
        <v>35</v>
      </c>
      <c r="D198" s="162">
        <v>45212</v>
      </c>
      <c r="E198" s="163">
        <v>35</v>
      </c>
      <c r="F198" s="164" t="s">
        <v>172</v>
      </c>
      <c r="G198" s="165"/>
      <c r="H198" s="169" t="s">
        <v>192</v>
      </c>
      <c r="I198" s="170"/>
      <c r="J198" s="170"/>
      <c r="K198" s="171"/>
      <c r="L198" s="9">
        <f>ROW()</f>
        <v>198</v>
      </c>
    </row>
    <row r="199" spans="1:12" ht="15.75" thickBot="1" x14ac:dyDescent="0.3">
      <c r="A199" s="10">
        <f t="shared" si="6"/>
        <v>13</v>
      </c>
      <c r="B199" s="10">
        <f t="shared" si="7"/>
        <v>10</v>
      </c>
      <c r="C199" s="9">
        <v>35</v>
      </c>
      <c r="D199" s="207">
        <v>45212</v>
      </c>
      <c r="E199" s="79">
        <v>35</v>
      </c>
      <c r="F199" s="80" t="s">
        <v>172</v>
      </c>
      <c r="L199" s="9">
        <f>ROW()</f>
        <v>199</v>
      </c>
    </row>
    <row r="200" spans="1:12" x14ac:dyDescent="0.25">
      <c r="A200" s="10">
        <f t="shared" si="6"/>
        <v>14</v>
      </c>
      <c r="B200" s="10">
        <f t="shared" si="7"/>
        <v>10</v>
      </c>
      <c r="C200" s="9">
        <v>36</v>
      </c>
      <c r="D200" s="157">
        <v>45213</v>
      </c>
      <c r="E200" s="158">
        <v>36</v>
      </c>
      <c r="F200" s="134"/>
      <c r="G200" s="114">
        <v>1000</v>
      </c>
      <c r="H200" s="134" t="s">
        <v>13</v>
      </c>
      <c r="I200" s="99">
        <v>1</v>
      </c>
      <c r="J200" s="99"/>
      <c r="K200" s="159"/>
      <c r="L200" s="9">
        <f>ROW()</f>
        <v>200</v>
      </c>
    </row>
    <row r="201" spans="1:12" x14ac:dyDescent="0.25">
      <c r="A201" s="10">
        <f t="shared" si="6"/>
        <v>14</v>
      </c>
      <c r="B201" s="10">
        <f t="shared" si="7"/>
        <v>10</v>
      </c>
      <c r="C201" s="9">
        <v>36</v>
      </c>
      <c r="D201" s="160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61"/>
      <c r="L201" s="9">
        <f>ROW()</f>
        <v>201</v>
      </c>
    </row>
    <row r="202" spans="1:12" ht="15.75" thickBot="1" x14ac:dyDescent="0.3">
      <c r="A202" s="10">
        <f t="shared" si="6"/>
        <v>14</v>
      </c>
      <c r="B202" s="10">
        <f t="shared" si="7"/>
        <v>10</v>
      </c>
      <c r="C202" s="9">
        <v>36</v>
      </c>
      <c r="D202" s="162">
        <v>45213</v>
      </c>
      <c r="E202" s="163">
        <v>36</v>
      </c>
      <c r="F202" s="164"/>
      <c r="G202" s="165"/>
      <c r="H202" s="169" t="s">
        <v>193</v>
      </c>
      <c r="I202" s="170"/>
      <c r="J202" s="170"/>
      <c r="K202" s="171"/>
      <c r="L202" s="9">
        <f>ROW()</f>
        <v>202</v>
      </c>
    </row>
    <row r="203" spans="1:12" ht="15.75" thickBot="1" x14ac:dyDescent="0.3">
      <c r="A203" s="10">
        <f t="shared" si="6"/>
        <v>14</v>
      </c>
      <c r="B203" s="10">
        <f t="shared" si="7"/>
        <v>10</v>
      </c>
      <c r="C203" s="9">
        <v>36</v>
      </c>
      <c r="D203" s="207">
        <v>45213</v>
      </c>
      <c r="E203" s="79">
        <v>36</v>
      </c>
      <c r="F203" s="80"/>
      <c r="L203" s="9">
        <f>ROW()</f>
        <v>203</v>
      </c>
    </row>
    <row r="204" spans="1:12" x14ac:dyDescent="0.25">
      <c r="A204" s="10">
        <f t="shared" si="6"/>
        <v>13</v>
      </c>
      <c r="B204" s="10">
        <f t="shared" si="7"/>
        <v>10</v>
      </c>
      <c r="C204" s="9">
        <v>37</v>
      </c>
      <c r="D204" s="157">
        <v>45212</v>
      </c>
      <c r="E204" s="158">
        <v>37</v>
      </c>
      <c r="F204" s="134" t="s">
        <v>194</v>
      </c>
      <c r="G204" s="114">
        <v>1000</v>
      </c>
      <c r="H204" s="134" t="s">
        <v>13</v>
      </c>
      <c r="I204" s="99">
        <v>25000</v>
      </c>
      <c r="J204" s="99"/>
      <c r="K204" s="159"/>
      <c r="L204" s="9">
        <f>ROW()</f>
        <v>204</v>
      </c>
    </row>
    <row r="205" spans="1:12" x14ac:dyDescent="0.25">
      <c r="A205" s="10">
        <f t="shared" si="6"/>
        <v>13</v>
      </c>
      <c r="B205" s="10">
        <f t="shared" si="7"/>
        <v>10</v>
      </c>
      <c r="C205" s="9">
        <v>37</v>
      </c>
      <c r="D205" s="160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61"/>
      <c r="L205" s="9">
        <f>ROW()</f>
        <v>205</v>
      </c>
    </row>
    <row r="206" spans="1:12" ht="15.75" thickBot="1" x14ac:dyDescent="0.3">
      <c r="A206" s="10">
        <f t="shared" ref="A206:A269" si="8">DAY(D206)</f>
        <v>13</v>
      </c>
      <c r="B206" s="10">
        <f t="shared" ref="B206:B269" si="9">MONTH(D206)</f>
        <v>10</v>
      </c>
      <c r="C206" s="9">
        <v>37</v>
      </c>
      <c r="D206" s="162">
        <v>45212</v>
      </c>
      <c r="E206" s="163">
        <v>37</v>
      </c>
      <c r="F206" s="164" t="s">
        <v>194</v>
      </c>
      <c r="G206" s="165"/>
      <c r="H206" s="169" t="s">
        <v>195</v>
      </c>
      <c r="I206" s="170"/>
      <c r="J206" s="170"/>
      <c r="K206" s="171"/>
      <c r="L206" s="9">
        <f>ROW()</f>
        <v>206</v>
      </c>
    </row>
    <row r="207" spans="1:12" ht="15.75" thickBot="1" x14ac:dyDescent="0.3">
      <c r="A207" s="10">
        <f t="shared" si="8"/>
        <v>13</v>
      </c>
      <c r="B207" s="10">
        <f t="shared" si="9"/>
        <v>10</v>
      </c>
      <c r="C207" s="9">
        <v>37</v>
      </c>
      <c r="D207" s="207">
        <v>45212</v>
      </c>
      <c r="E207" s="79">
        <v>37</v>
      </c>
      <c r="F207" s="80" t="s">
        <v>194</v>
      </c>
      <c r="L207" s="9">
        <f>ROW()</f>
        <v>207</v>
      </c>
    </row>
    <row r="208" spans="1:12" x14ac:dyDescent="0.25">
      <c r="A208" s="10">
        <f t="shared" si="8"/>
        <v>15</v>
      </c>
      <c r="B208" s="10">
        <f t="shared" si="9"/>
        <v>10</v>
      </c>
      <c r="C208" s="9">
        <v>38</v>
      </c>
      <c r="D208" s="157">
        <v>45214</v>
      </c>
      <c r="E208" s="158">
        <v>38</v>
      </c>
      <c r="F208" s="134" t="s">
        <v>196</v>
      </c>
      <c r="G208" s="114">
        <v>5013</v>
      </c>
      <c r="H208" s="134" t="s">
        <v>127</v>
      </c>
      <c r="I208" s="99">
        <v>19.95</v>
      </c>
      <c r="J208" s="99"/>
      <c r="K208" s="159"/>
      <c r="L208" s="9">
        <f>ROW()</f>
        <v>208</v>
      </c>
    </row>
    <row r="209" spans="1:12" x14ac:dyDescent="0.25">
      <c r="A209" s="10">
        <f t="shared" si="8"/>
        <v>15</v>
      </c>
      <c r="B209" s="10">
        <f t="shared" si="9"/>
        <v>10</v>
      </c>
      <c r="C209" s="9">
        <v>38</v>
      </c>
      <c r="D209" s="160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61"/>
      <c r="L209" s="9">
        <f>ROW()</f>
        <v>209</v>
      </c>
    </row>
    <row r="210" spans="1:12" ht="15.75" thickBot="1" x14ac:dyDescent="0.3">
      <c r="A210" s="10">
        <f t="shared" si="8"/>
        <v>15</v>
      </c>
      <c r="B210" s="10">
        <f t="shared" si="9"/>
        <v>10</v>
      </c>
      <c r="C210" s="9">
        <v>38</v>
      </c>
      <c r="D210" s="162">
        <v>45214</v>
      </c>
      <c r="E210" s="163">
        <v>38</v>
      </c>
      <c r="F210" s="164" t="s">
        <v>196</v>
      </c>
      <c r="G210" s="165"/>
      <c r="H210" s="169" t="s">
        <v>197</v>
      </c>
      <c r="I210" s="170"/>
      <c r="J210" s="170"/>
      <c r="K210" s="171"/>
      <c r="L210" s="9">
        <f>ROW()</f>
        <v>210</v>
      </c>
    </row>
    <row r="211" spans="1:12" ht="15.75" thickBot="1" x14ac:dyDescent="0.3">
      <c r="A211" s="10">
        <f t="shared" si="8"/>
        <v>15</v>
      </c>
      <c r="B211" s="10">
        <f t="shared" si="9"/>
        <v>10</v>
      </c>
      <c r="C211" s="9">
        <v>38</v>
      </c>
      <c r="D211" s="207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1:12" x14ac:dyDescent="0.25">
      <c r="A212" s="10">
        <f t="shared" si="8"/>
        <v>12</v>
      </c>
      <c r="B212" s="10">
        <f t="shared" si="9"/>
        <v>10</v>
      </c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204"/>
      <c r="L212" s="9">
        <f>ROW()</f>
        <v>212</v>
      </c>
    </row>
    <row r="213" spans="1:12" x14ac:dyDescent="0.25">
      <c r="A213" s="10">
        <f t="shared" si="8"/>
        <v>12</v>
      </c>
      <c r="B213" s="10">
        <f t="shared" si="9"/>
        <v>10</v>
      </c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42" t="s">
        <v>94</v>
      </c>
      <c r="I213" s="25"/>
      <c r="J213" s="25">
        <v>12</v>
      </c>
      <c r="K213" s="31"/>
      <c r="L213" s="9">
        <f>ROW()</f>
        <v>213</v>
      </c>
    </row>
    <row r="214" spans="1:12" ht="15.75" thickBot="1" x14ac:dyDescent="0.3">
      <c r="A214" s="10">
        <f t="shared" si="8"/>
        <v>12</v>
      </c>
      <c r="B214" s="10">
        <f t="shared" si="9"/>
        <v>10</v>
      </c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8" t="s">
        <v>198</v>
      </c>
      <c r="I214" s="199"/>
      <c r="J214" s="199"/>
      <c r="K214" s="200"/>
      <c r="L214" s="9">
        <f>ROW()</f>
        <v>214</v>
      </c>
    </row>
    <row r="215" spans="1:12" ht="15.75" thickBot="1" x14ac:dyDescent="0.3">
      <c r="A215" s="10">
        <f t="shared" si="8"/>
        <v>12</v>
      </c>
      <c r="B215" s="10">
        <f t="shared" si="9"/>
        <v>10</v>
      </c>
      <c r="C215" s="9">
        <v>39</v>
      </c>
      <c r="D215" s="203">
        <v>45211</v>
      </c>
      <c r="E215" s="79">
        <v>39</v>
      </c>
      <c r="F215" s="80" t="s">
        <v>172</v>
      </c>
      <c r="K215" s="201"/>
      <c r="L215" s="9">
        <f>ROW()</f>
        <v>215</v>
      </c>
    </row>
    <row r="216" spans="1:12" x14ac:dyDescent="0.25">
      <c r="A216" s="10">
        <f t="shared" si="8"/>
        <v>12</v>
      </c>
      <c r="B216" s="10">
        <f t="shared" si="9"/>
        <v>10</v>
      </c>
      <c r="C216" s="9">
        <v>40</v>
      </c>
      <c r="D216" s="157">
        <v>45211</v>
      </c>
      <c r="E216" s="158">
        <v>40</v>
      </c>
      <c r="F216" s="134" t="s">
        <v>172</v>
      </c>
      <c r="G216" s="114">
        <v>1000</v>
      </c>
      <c r="H216" s="134" t="s">
        <v>13</v>
      </c>
      <c r="I216" s="99">
        <v>49.95</v>
      </c>
      <c r="J216" s="99"/>
      <c r="K216" s="159"/>
      <c r="L216" s="9">
        <f>ROW()</f>
        <v>216</v>
      </c>
    </row>
    <row r="217" spans="1:12" x14ac:dyDescent="0.25">
      <c r="A217" s="10">
        <f t="shared" si="8"/>
        <v>12</v>
      </c>
      <c r="B217" s="10">
        <f t="shared" si="9"/>
        <v>10</v>
      </c>
      <c r="C217" s="9">
        <v>40</v>
      </c>
      <c r="D217" s="160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61"/>
      <c r="L217" s="9">
        <f>ROW()</f>
        <v>217</v>
      </c>
    </row>
    <row r="218" spans="1:12" x14ac:dyDescent="0.25">
      <c r="A218" s="10">
        <f t="shared" si="8"/>
        <v>12</v>
      </c>
      <c r="B218" s="10">
        <f t="shared" si="9"/>
        <v>10</v>
      </c>
      <c r="C218" s="9">
        <v>40</v>
      </c>
      <c r="D218" s="160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61"/>
      <c r="L218" s="9">
        <f>ROW()</f>
        <v>218</v>
      </c>
    </row>
    <row r="219" spans="1:12" ht="15.75" thickBot="1" x14ac:dyDescent="0.3">
      <c r="A219" s="10">
        <f t="shared" si="8"/>
        <v>12</v>
      </c>
      <c r="B219" s="10">
        <f t="shared" si="9"/>
        <v>10</v>
      </c>
      <c r="C219" s="9">
        <v>40</v>
      </c>
      <c r="D219" s="162">
        <v>45211</v>
      </c>
      <c r="E219" s="163">
        <v>40</v>
      </c>
      <c r="F219" s="164" t="s">
        <v>172</v>
      </c>
      <c r="G219" s="165"/>
      <c r="H219" s="169" t="s">
        <v>199</v>
      </c>
      <c r="I219" s="170"/>
      <c r="J219" s="170"/>
      <c r="K219" s="171"/>
      <c r="L219" s="9">
        <f>ROW()</f>
        <v>219</v>
      </c>
    </row>
    <row r="220" spans="1:12" ht="15.75" thickBot="1" x14ac:dyDescent="0.3">
      <c r="A220" s="10">
        <f t="shared" si="8"/>
        <v>12</v>
      </c>
      <c r="B220" s="10">
        <f t="shared" si="9"/>
        <v>10</v>
      </c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1:12" x14ac:dyDescent="0.25">
      <c r="A221" s="10">
        <f t="shared" si="8"/>
        <v>12</v>
      </c>
      <c r="B221" s="10">
        <f t="shared" si="9"/>
        <v>10</v>
      </c>
      <c r="C221" s="9">
        <v>41</v>
      </c>
      <c r="D221" s="157">
        <v>45211</v>
      </c>
      <c r="E221" s="158">
        <v>41</v>
      </c>
      <c r="F221" s="134" t="s">
        <v>200</v>
      </c>
      <c r="G221" s="114">
        <v>5013</v>
      </c>
      <c r="H221" s="134" t="s">
        <v>127</v>
      </c>
      <c r="I221" s="99">
        <v>19.95</v>
      </c>
      <c r="J221" s="99"/>
      <c r="K221" s="159"/>
      <c r="L221" s="9">
        <f>ROW()</f>
        <v>221</v>
      </c>
    </row>
    <row r="222" spans="1:12" x14ac:dyDescent="0.25">
      <c r="A222" s="10">
        <f t="shared" si="8"/>
        <v>12</v>
      </c>
      <c r="B222" s="10">
        <f t="shared" si="9"/>
        <v>10</v>
      </c>
      <c r="C222" s="9">
        <v>41</v>
      </c>
      <c r="D222" s="160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61"/>
      <c r="L222" s="9">
        <f>ROW()</f>
        <v>222</v>
      </c>
    </row>
    <row r="223" spans="1:12" ht="15.75" thickBot="1" x14ac:dyDescent="0.3">
      <c r="A223" s="10">
        <f t="shared" si="8"/>
        <v>12</v>
      </c>
      <c r="B223" s="10">
        <f t="shared" si="9"/>
        <v>10</v>
      </c>
      <c r="C223" s="9">
        <v>41</v>
      </c>
      <c r="D223" s="162">
        <v>45211</v>
      </c>
      <c r="E223" s="163">
        <v>41</v>
      </c>
      <c r="F223" s="164" t="s">
        <v>200</v>
      </c>
      <c r="G223" s="165"/>
      <c r="H223" s="169" t="s">
        <v>201</v>
      </c>
      <c r="I223" s="170"/>
      <c r="J223" s="170"/>
      <c r="K223" s="171"/>
      <c r="L223" s="9">
        <f>ROW()</f>
        <v>223</v>
      </c>
    </row>
    <row r="224" spans="1:12" ht="15.75" thickBot="1" x14ac:dyDescent="0.3">
      <c r="A224" s="10">
        <f t="shared" si="8"/>
        <v>12</v>
      </c>
      <c r="B224" s="10">
        <f t="shared" si="9"/>
        <v>10</v>
      </c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1:12" x14ac:dyDescent="0.25">
      <c r="A225" s="10">
        <f t="shared" si="8"/>
        <v>15</v>
      </c>
      <c r="B225" s="10">
        <f t="shared" si="9"/>
        <v>10</v>
      </c>
      <c r="C225" s="9">
        <v>42</v>
      </c>
      <c r="D225" s="157">
        <v>45214</v>
      </c>
      <c r="E225" s="158">
        <v>42</v>
      </c>
      <c r="F225" s="134" t="s">
        <v>202</v>
      </c>
      <c r="G225" s="114">
        <v>1000</v>
      </c>
      <c r="H225" s="134" t="s">
        <v>13</v>
      </c>
      <c r="I225" s="99">
        <v>9.99</v>
      </c>
      <c r="J225" s="99"/>
      <c r="K225" s="159"/>
      <c r="L225" s="9">
        <f>ROW()</f>
        <v>225</v>
      </c>
    </row>
    <row r="226" spans="1:12" x14ac:dyDescent="0.25">
      <c r="A226" s="10">
        <f t="shared" si="8"/>
        <v>15</v>
      </c>
      <c r="B226" s="10">
        <f t="shared" si="9"/>
        <v>10</v>
      </c>
      <c r="C226" s="9">
        <v>42</v>
      </c>
      <c r="D226" s="160">
        <v>45214</v>
      </c>
      <c r="E226" s="79">
        <v>42</v>
      </c>
      <c r="F226" s="80" t="s">
        <v>202</v>
      </c>
      <c r="G226" s="103">
        <v>4001</v>
      </c>
      <c r="H226" s="45" t="s">
        <v>90</v>
      </c>
      <c r="J226" s="28">
        <v>9.99</v>
      </c>
      <c r="K226" s="161"/>
      <c r="L226" s="9">
        <f>ROW()</f>
        <v>226</v>
      </c>
    </row>
    <row r="227" spans="1:12" ht="15.75" thickBot="1" x14ac:dyDescent="0.3">
      <c r="A227" s="10">
        <f t="shared" si="8"/>
        <v>15</v>
      </c>
      <c r="B227" s="10">
        <f t="shared" si="9"/>
        <v>10</v>
      </c>
      <c r="C227" s="9">
        <v>42</v>
      </c>
      <c r="D227" s="162">
        <v>45214</v>
      </c>
      <c r="E227" s="163">
        <v>42</v>
      </c>
      <c r="F227" s="164" t="s">
        <v>202</v>
      </c>
      <c r="G227" s="165"/>
      <c r="H227" s="169" t="s">
        <v>202</v>
      </c>
      <c r="I227" s="170"/>
      <c r="J227" s="170"/>
      <c r="K227" s="171"/>
      <c r="L227" s="9">
        <f>ROW()</f>
        <v>227</v>
      </c>
    </row>
    <row r="228" spans="1:12" ht="15.75" thickBot="1" x14ac:dyDescent="0.3">
      <c r="A228" s="10">
        <f t="shared" si="8"/>
        <v>15</v>
      </c>
      <c r="B228" s="10">
        <f t="shared" si="9"/>
        <v>10</v>
      </c>
      <c r="C228" s="9">
        <v>42</v>
      </c>
      <c r="D228" s="78">
        <v>45214</v>
      </c>
      <c r="E228" s="79">
        <v>42</v>
      </c>
      <c r="F228" s="80" t="s">
        <v>202</v>
      </c>
      <c r="L228" s="9">
        <f>ROW()</f>
        <v>228</v>
      </c>
    </row>
    <row r="229" spans="1:12" x14ac:dyDescent="0.25">
      <c r="A229" s="10">
        <f t="shared" si="8"/>
        <v>14</v>
      </c>
      <c r="B229" s="10">
        <f t="shared" si="9"/>
        <v>10</v>
      </c>
      <c r="C229" s="9">
        <v>43</v>
      </c>
      <c r="D229" s="157">
        <v>45213</v>
      </c>
      <c r="E229" s="158">
        <v>43</v>
      </c>
      <c r="F229" s="134" t="s">
        <v>203</v>
      </c>
      <c r="G229" s="114">
        <v>5013</v>
      </c>
      <c r="H229" s="134" t="s">
        <v>127</v>
      </c>
      <c r="I229" s="99">
        <v>29.95</v>
      </c>
      <c r="J229" s="99"/>
      <c r="K229" s="159"/>
      <c r="L229" s="9">
        <f>ROW()</f>
        <v>229</v>
      </c>
    </row>
    <row r="230" spans="1:12" x14ac:dyDescent="0.25">
      <c r="A230" s="10">
        <f t="shared" si="8"/>
        <v>14</v>
      </c>
      <c r="B230" s="10">
        <f t="shared" si="9"/>
        <v>10</v>
      </c>
      <c r="C230" s="9">
        <v>43</v>
      </c>
      <c r="D230" s="160">
        <v>45213</v>
      </c>
      <c r="E230" s="79">
        <v>43</v>
      </c>
      <c r="F230" s="80" t="s">
        <v>203</v>
      </c>
      <c r="G230" s="103">
        <v>1000</v>
      </c>
      <c r="H230" s="45" t="s">
        <v>13</v>
      </c>
      <c r="J230" s="28">
        <v>29.95</v>
      </c>
      <c r="K230" s="161"/>
      <c r="L230" s="9">
        <f>ROW()</f>
        <v>230</v>
      </c>
    </row>
    <row r="231" spans="1:12" ht="15.75" thickBot="1" x14ac:dyDescent="0.3">
      <c r="A231" s="10">
        <f t="shared" si="8"/>
        <v>14</v>
      </c>
      <c r="B231" s="10">
        <f t="shared" si="9"/>
        <v>10</v>
      </c>
      <c r="C231" s="9">
        <v>43</v>
      </c>
      <c r="D231" s="162">
        <v>45213</v>
      </c>
      <c r="E231" s="163">
        <v>43</v>
      </c>
      <c r="F231" s="164" t="s">
        <v>203</v>
      </c>
      <c r="G231" s="165"/>
      <c r="H231" s="169" t="s">
        <v>204</v>
      </c>
      <c r="I231" s="170"/>
      <c r="J231" s="170"/>
      <c r="K231" s="171"/>
      <c r="L231" s="9">
        <f>ROW()</f>
        <v>231</v>
      </c>
    </row>
    <row r="232" spans="1:12" ht="15.75" thickBot="1" x14ac:dyDescent="0.3">
      <c r="A232" s="10">
        <f t="shared" si="8"/>
        <v>14</v>
      </c>
      <c r="B232" s="10">
        <f t="shared" si="9"/>
        <v>10</v>
      </c>
      <c r="C232" s="9">
        <v>43</v>
      </c>
      <c r="D232" s="78">
        <v>45213</v>
      </c>
      <c r="E232" s="79">
        <v>43</v>
      </c>
      <c r="F232" s="80" t="s">
        <v>203</v>
      </c>
      <c r="L232" s="9">
        <f>ROW()</f>
        <v>232</v>
      </c>
    </row>
    <row r="233" spans="1:12" x14ac:dyDescent="0.25">
      <c r="A233" s="10">
        <f t="shared" si="8"/>
        <v>12</v>
      </c>
      <c r="B233" s="10">
        <f t="shared" si="9"/>
        <v>10</v>
      </c>
      <c r="C233" s="9">
        <v>44</v>
      </c>
      <c r="D233" s="157">
        <v>45211</v>
      </c>
      <c r="E233" s="158">
        <v>44</v>
      </c>
      <c r="F233" s="134" t="s">
        <v>187</v>
      </c>
      <c r="G233" s="114">
        <v>5013</v>
      </c>
      <c r="H233" s="134" t="s">
        <v>127</v>
      </c>
      <c r="I233" s="99">
        <v>29.88</v>
      </c>
      <c r="J233" s="99"/>
      <c r="K233" s="159"/>
      <c r="L233" s="9">
        <f>ROW()</f>
        <v>233</v>
      </c>
    </row>
    <row r="234" spans="1:12" x14ac:dyDescent="0.25">
      <c r="A234" s="10">
        <f t="shared" si="8"/>
        <v>12</v>
      </c>
      <c r="B234" s="10">
        <f t="shared" si="9"/>
        <v>10</v>
      </c>
      <c r="C234" s="9">
        <v>44</v>
      </c>
      <c r="D234" s="160">
        <v>45211</v>
      </c>
      <c r="E234" s="79">
        <v>44</v>
      </c>
      <c r="F234" s="80" t="s">
        <v>187</v>
      </c>
      <c r="G234" s="103">
        <v>1000</v>
      </c>
      <c r="H234" s="45" t="s">
        <v>13</v>
      </c>
      <c r="J234" s="28">
        <v>29.88</v>
      </c>
      <c r="K234" s="161"/>
      <c r="L234" s="9">
        <f>ROW()</f>
        <v>234</v>
      </c>
    </row>
    <row r="235" spans="1:12" ht="15.75" thickBot="1" x14ac:dyDescent="0.3">
      <c r="A235" s="10">
        <f t="shared" si="8"/>
        <v>12</v>
      </c>
      <c r="B235" s="10">
        <f t="shared" si="9"/>
        <v>10</v>
      </c>
      <c r="C235" s="9">
        <v>44</v>
      </c>
      <c r="D235" s="162">
        <v>45211</v>
      </c>
      <c r="E235" s="163">
        <v>44</v>
      </c>
      <c r="F235" s="164" t="s">
        <v>187</v>
      </c>
      <c r="G235" s="165"/>
      <c r="H235" s="169" t="s">
        <v>205</v>
      </c>
      <c r="I235" s="170"/>
      <c r="J235" s="170"/>
      <c r="K235" s="171"/>
      <c r="L235" s="9">
        <f>ROW()</f>
        <v>235</v>
      </c>
    </row>
    <row r="236" spans="1:12" ht="15.75" thickBot="1" x14ac:dyDescent="0.3">
      <c r="A236" s="10">
        <f t="shared" si="8"/>
        <v>12</v>
      </c>
      <c r="B236" s="10">
        <f t="shared" si="9"/>
        <v>10</v>
      </c>
      <c r="C236" s="9">
        <v>44</v>
      </c>
      <c r="D236" s="78">
        <v>45211</v>
      </c>
      <c r="E236" s="79">
        <v>44</v>
      </c>
      <c r="F236" s="80" t="s">
        <v>187</v>
      </c>
      <c r="L236" s="9">
        <f>ROW()</f>
        <v>236</v>
      </c>
    </row>
    <row r="237" spans="1:12" x14ac:dyDescent="0.25">
      <c r="A237" s="10">
        <f t="shared" si="8"/>
        <v>10</v>
      </c>
      <c r="B237" s="10">
        <f t="shared" si="9"/>
        <v>10</v>
      </c>
      <c r="C237" s="9">
        <v>45</v>
      </c>
      <c r="D237" s="157">
        <v>45209</v>
      </c>
      <c r="E237" s="158">
        <v>45</v>
      </c>
      <c r="F237" s="134" t="s">
        <v>172</v>
      </c>
      <c r="G237" s="114">
        <v>2000</v>
      </c>
      <c r="H237" s="134" t="s">
        <v>54</v>
      </c>
      <c r="I237" s="99"/>
      <c r="J237" s="99">
        <v>259.95</v>
      </c>
      <c r="K237" s="159"/>
      <c r="L237" s="9">
        <f>ROW()</f>
        <v>237</v>
      </c>
    </row>
    <row r="238" spans="1:12" x14ac:dyDescent="0.25">
      <c r="A238" s="10">
        <f t="shared" si="8"/>
        <v>10</v>
      </c>
      <c r="B238" s="10">
        <f t="shared" si="9"/>
        <v>10</v>
      </c>
      <c r="C238" s="9">
        <v>45</v>
      </c>
      <c r="D238" s="160">
        <v>45209</v>
      </c>
      <c r="E238" s="79">
        <v>45</v>
      </c>
      <c r="F238" s="80" t="s">
        <v>172</v>
      </c>
      <c r="G238" s="103">
        <v>1200</v>
      </c>
      <c r="H238" s="45" t="s">
        <v>19</v>
      </c>
      <c r="I238" s="28">
        <v>11.3</v>
      </c>
      <c r="K238" s="161"/>
      <c r="L238" s="9">
        <f>ROW()</f>
        <v>238</v>
      </c>
    </row>
    <row r="239" spans="1:12" x14ac:dyDescent="0.25">
      <c r="A239" s="10">
        <f t="shared" si="8"/>
        <v>10</v>
      </c>
      <c r="B239" s="10">
        <f t="shared" si="9"/>
        <v>10</v>
      </c>
      <c r="C239" s="9">
        <v>45</v>
      </c>
      <c r="D239" s="160">
        <v>45209</v>
      </c>
      <c r="E239" s="79">
        <v>45</v>
      </c>
      <c r="F239" s="80" t="s">
        <v>172</v>
      </c>
      <c r="G239" s="103">
        <v>1201</v>
      </c>
      <c r="H239" s="45" t="s">
        <v>21</v>
      </c>
      <c r="I239" s="28">
        <v>22.55</v>
      </c>
      <c r="K239" s="161"/>
      <c r="L239" s="9">
        <f>ROW()</f>
        <v>239</v>
      </c>
    </row>
    <row r="240" spans="1:12" x14ac:dyDescent="0.25">
      <c r="A240" s="10">
        <f t="shared" si="8"/>
        <v>10</v>
      </c>
      <c r="B240" s="10">
        <f t="shared" si="9"/>
        <v>10</v>
      </c>
      <c r="C240" s="9">
        <v>45</v>
      </c>
      <c r="D240" s="160">
        <v>45209</v>
      </c>
      <c r="E240" s="79">
        <v>45</v>
      </c>
      <c r="F240" s="80" t="s">
        <v>172</v>
      </c>
      <c r="G240" s="103">
        <v>5006</v>
      </c>
      <c r="H240" s="45" t="s">
        <v>115</v>
      </c>
      <c r="I240" s="28">
        <v>226.1</v>
      </c>
      <c r="K240" s="161"/>
      <c r="L240" s="9">
        <f>ROW()</f>
        <v>240</v>
      </c>
    </row>
    <row r="241" spans="1:12" ht="15.75" thickBot="1" x14ac:dyDescent="0.3">
      <c r="A241" s="10">
        <f t="shared" si="8"/>
        <v>10</v>
      </c>
      <c r="B241" s="10">
        <f t="shared" si="9"/>
        <v>10</v>
      </c>
      <c r="C241" s="9">
        <v>45</v>
      </c>
      <c r="D241" s="162">
        <v>45209</v>
      </c>
      <c r="E241" s="163">
        <v>45</v>
      </c>
      <c r="F241" s="164" t="s">
        <v>172</v>
      </c>
      <c r="G241" s="165"/>
      <c r="H241" s="169" t="s">
        <v>172</v>
      </c>
      <c r="I241" s="170"/>
      <c r="J241" s="170"/>
      <c r="K241" s="171"/>
      <c r="L241" s="9">
        <f>ROW()</f>
        <v>241</v>
      </c>
    </row>
    <row r="242" spans="1:12" ht="15.75" thickBot="1" x14ac:dyDescent="0.3">
      <c r="A242" s="10">
        <f t="shared" si="8"/>
        <v>10</v>
      </c>
      <c r="B242" s="10">
        <f t="shared" si="9"/>
        <v>10</v>
      </c>
      <c r="C242" s="9">
        <v>45</v>
      </c>
      <c r="D242" s="78">
        <v>45209</v>
      </c>
      <c r="E242" s="79">
        <v>45</v>
      </c>
      <c r="F242" s="80" t="s">
        <v>172</v>
      </c>
      <c r="L242" s="9">
        <f>ROW()</f>
        <v>242</v>
      </c>
    </row>
    <row r="243" spans="1:12" x14ac:dyDescent="0.25">
      <c r="A243" s="10">
        <f t="shared" si="8"/>
        <v>12</v>
      </c>
      <c r="B243" s="10">
        <f t="shared" si="9"/>
        <v>10</v>
      </c>
      <c r="C243" s="9">
        <v>46</v>
      </c>
      <c r="D243" s="157">
        <v>45211</v>
      </c>
      <c r="E243" s="158">
        <v>46</v>
      </c>
      <c r="F243" s="134" t="s">
        <v>206</v>
      </c>
      <c r="G243" s="114">
        <v>5013</v>
      </c>
      <c r="H243" s="134" t="s">
        <v>127</v>
      </c>
      <c r="I243" s="99">
        <v>9.9499999999999993</v>
      </c>
      <c r="J243" s="99"/>
      <c r="K243" s="159"/>
      <c r="L243" s="9">
        <f>ROW()</f>
        <v>243</v>
      </c>
    </row>
    <row r="244" spans="1:12" x14ac:dyDescent="0.25">
      <c r="A244" s="10">
        <f t="shared" si="8"/>
        <v>12</v>
      </c>
      <c r="B244" s="10">
        <f t="shared" si="9"/>
        <v>10</v>
      </c>
      <c r="C244" s="9">
        <v>46</v>
      </c>
      <c r="D244" s="160">
        <v>45211</v>
      </c>
      <c r="E244" s="79">
        <v>46</v>
      </c>
      <c r="F244" s="80" t="s">
        <v>206</v>
      </c>
      <c r="G244" s="103">
        <v>1000</v>
      </c>
      <c r="H244" s="45" t="s">
        <v>13</v>
      </c>
      <c r="J244" s="28">
        <v>9.9499999999999993</v>
      </c>
      <c r="K244" s="161"/>
      <c r="L244" s="9">
        <f>ROW()</f>
        <v>244</v>
      </c>
    </row>
    <row r="245" spans="1:12" ht="15.75" thickBot="1" x14ac:dyDescent="0.3">
      <c r="A245" s="10">
        <f t="shared" si="8"/>
        <v>12</v>
      </c>
      <c r="B245" s="10">
        <f t="shared" si="9"/>
        <v>10</v>
      </c>
      <c r="C245" s="9">
        <v>46</v>
      </c>
      <c r="D245" s="162">
        <v>45211</v>
      </c>
      <c r="E245" s="163">
        <v>46</v>
      </c>
      <c r="F245" s="164" t="s">
        <v>206</v>
      </c>
      <c r="G245" s="165"/>
      <c r="H245" s="169" t="s">
        <v>207</v>
      </c>
      <c r="I245" s="170"/>
      <c r="J245" s="170"/>
      <c r="K245" s="171"/>
      <c r="L245" s="9">
        <f>ROW()</f>
        <v>245</v>
      </c>
    </row>
    <row r="246" spans="1:12" ht="15.75" thickBot="1" x14ac:dyDescent="0.3">
      <c r="A246" s="10">
        <f t="shared" si="8"/>
        <v>12</v>
      </c>
      <c r="B246" s="10">
        <f t="shared" si="9"/>
        <v>10</v>
      </c>
      <c r="C246" s="9">
        <v>46</v>
      </c>
      <c r="D246" s="78">
        <v>45211</v>
      </c>
      <c r="E246" s="79">
        <v>46</v>
      </c>
      <c r="F246" s="80" t="s">
        <v>206</v>
      </c>
      <c r="L246" s="9">
        <f>ROW()</f>
        <v>246</v>
      </c>
    </row>
    <row r="247" spans="1:12" x14ac:dyDescent="0.25">
      <c r="A247" s="10">
        <f t="shared" si="8"/>
        <v>12</v>
      </c>
      <c r="B247" s="10">
        <f t="shared" si="9"/>
        <v>10</v>
      </c>
      <c r="C247" s="9">
        <v>47</v>
      </c>
      <c r="D247" s="157">
        <v>45211</v>
      </c>
      <c r="E247" s="158">
        <v>47</v>
      </c>
      <c r="F247" s="134"/>
      <c r="G247" s="114">
        <v>5013</v>
      </c>
      <c r="H247" s="134" t="s">
        <v>127</v>
      </c>
      <c r="I247" s="99">
        <v>29.95</v>
      </c>
      <c r="J247" s="99"/>
      <c r="K247" s="159"/>
      <c r="L247" s="9">
        <f>ROW()</f>
        <v>247</v>
      </c>
    </row>
    <row r="248" spans="1:12" x14ac:dyDescent="0.25">
      <c r="A248" s="10">
        <f t="shared" si="8"/>
        <v>12</v>
      </c>
      <c r="B248" s="10">
        <f t="shared" si="9"/>
        <v>10</v>
      </c>
      <c r="C248" s="9">
        <v>47</v>
      </c>
      <c r="D248" s="160">
        <v>45211</v>
      </c>
      <c r="E248" s="79">
        <v>47</v>
      </c>
      <c r="F248" s="80"/>
      <c r="G248" s="103">
        <v>1000</v>
      </c>
      <c r="H248" s="45" t="s">
        <v>13</v>
      </c>
      <c r="J248" s="28">
        <v>29.95</v>
      </c>
      <c r="K248" s="161"/>
      <c r="L248" s="9">
        <f>ROW()</f>
        <v>248</v>
      </c>
    </row>
    <row r="249" spans="1:12" ht="15.75" thickBot="1" x14ac:dyDescent="0.3">
      <c r="A249" s="10">
        <f t="shared" si="8"/>
        <v>12</v>
      </c>
      <c r="B249" s="10">
        <f t="shared" si="9"/>
        <v>10</v>
      </c>
      <c r="C249" s="9">
        <v>47</v>
      </c>
      <c r="D249" s="162">
        <v>45211</v>
      </c>
      <c r="E249" s="163">
        <v>47</v>
      </c>
      <c r="F249" s="164"/>
      <c r="G249" s="165"/>
      <c r="H249" s="169" t="s">
        <v>209</v>
      </c>
      <c r="I249" s="170"/>
      <c r="J249" s="170"/>
      <c r="K249" s="171"/>
      <c r="L249" s="9">
        <f>ROW()</f>
        <v>249</v>
      </c>
    </row>
    <row r="250" spans="1:12" ht="15.75" thickBot="1" x14ac:dyDescent="0.3">
      <c r="A250" s="10">
        <f t="shared" si="8"/>
        <v>12</v>
      </c>
      <c r="B250" s="10">
        <f t="shared" si="9"/>
        <v>10</v>
      </c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1:12" x14ac:dyDescent="0.25">
      <c r="A251" s="10">
        <f t="shared" si="8"/>
        <v>14</v>
      </c>
      <c r="B251" s="10">
        <f t="shared" si="9"/>
        <v>10</v>
      </c>
      <c r="C251" s="9">
        <v>48</v>
      </c>
      <c r="D251" s="157">
        <v>45213</v>
      </c>
      <c r="E251" s="158">
        <v>48</v>
      </c>
      <c r="F251" s="134"/>
      <c r="G251" s="114">
        <v>1100</v>
      </c>
      <c r="H251" s="134" t="s">
        <v>15</v>
      </c>
      <c r="I251" s="99">
        <v>262.44</v>
      </c>
      <c r="J251" s="99"/>
      <c r="K251" s="159"/>
      <c r="L251" s="9">
        <f>ROW()</f>
        <v>251</v>
      </c>
    </row>
    <row r="252" spans="1:12" x14ac:dyDescent="0.25">
      <c r="A252" s="10">
        <f t="shared" si="8"/>
        <v>14</v>
      </c>
      <c r="B252" s="10">
        <f t="shared" si="9"/>
        <v>10</v>
      </c>
      <c r="C252" s="9">
        <v>48</v>
      </c>
      <c r="D252" s="160">
        <v>45213</v>
      </c>
      <c r="E252" s="79">
        <v>48</v>
      </c>
      <c r="F252" s="80"/>
      <c r="G252" s="103">
        <v>4000</v>
      </c>
      <c r="H252" s="45" t="s">
        <v>88</v>
      </c>
      <c r="J252" s="28">
        <v>250</v>
      </c>
      <c r="K252" s="161"/>
      <c r="L252" s="9">
        <f>ROW()</f>
        <v>252</v>
      </c>
    </row>
    <row r="253" spans="1:12" x14ac:dyDescent="0.25">
      <c r="A253" s="10">
        <f t="shared" si="8"/>
        <v>14</v>
      </c>
      <c r="B253" s="10">
        <f t="shared" si="9"/>
        <v>10</v>
      </c>
      <c r="C253" s="9">
        <v>48</v>
      </c>
      <c r="D253" s="160">
        <v>45213</v>
      </c>
      <c r="E253" s="79">
        <v>48</v>
      </c>
      <c r="F253" s="80"/>
      <c r="G253" s="103">
        <v>1202</v>
      </c>
      <c r="H253" s="45" t="s">
        <v>23</v>
      </c>
      <c r="J253" s="28">
        <v>12.5</v>
      </c>
      <c r="K253" s="161"/>
      <c r="L253" s="9">
        <f>ROW()</f>
        <v>253</v>
      </c>
    </row>
    <row r="254" spans="1:12" x14ac:dyDescent="0.25">
      <c r="A254" s="10">
        <f t="shared" si="8"/>
        <v>14</v>
      </c>
      <c r="B254" s="10">
        <f t="shared" si="9"/>
        <v>10</v>
      </c>
      <c r="C254" s="9">
        <v>48</v>
      </c>
      <c r="D254" s="160">
        <v>45213</v>
      </c>
      <c r="E254" s="79">
        <v>48</v>
      </c>
      <c r="F254" s="80"/>
      <c r="G254" s="103">
        <v>1201</v>
      </c>
      <c r="H254" s="45" t="s">
        <v>21</v>
      </c>
      <c r="J254" s="28">
        <v>24.94</v>
      </c>
      <c r="K254" s="161"/>
      <c r="L254" s="9">
        <f>ROW()</f>
        <v>254</v>
      </c>
    </row>
    <row r="255" spans="1:12" x14ac:dyDescent="0.25">
      <c r="A255" s="10">
        <f t="shared" si="8"/>
        <v>14</v>
      </c>
      <c r="B255" s="10">
        <f t="shared" si="9"/>
        <v>10</v>
      </c>
      <c r="C255" s="9">
        <v>48</v>
      </c>
      <c r="D255" s="160">
        <v>45213</v>
      </c>
      <c r="E255" s="79">
        <v>48</v>
      </c>
      <c r="F255" s="80"/>
      <c r="G255" s="103">
        <v>1230</v>
      </c>
      <c r="H255" s="45" t="s">
        <v>33</v>
      </c>
      <c r="I255" s="28">
        <v>25</v>
      </c>
      <c r="K255" s="161"/>
      <c r="L255" s="9">
        <f>ROW()</f>
        <v>255</v>
      </c>
    </row>
    <row r="256" spans="1:12" ht="15.75" thickBot="1" x14ac:dyDescent="0.3">
      <c r="A256" s="10">
        <f t="shared" si="8"/>
        <v>14</v>
      </c>
      <c r="B256" s="10">
        <f t="shared" si="9"/>
        <v>10</v>
      </c>
      <c r="C256" s="9">
        <v>48</v>
      </c>
      <c r="D256" s="162">
        <v>45213</v>
      </c>
      <c r="E256" s="163">
        <v>48</v>
      </c>
      <c r="F256" s="164"/>
      <c r="G256" s="165"/>
      <c r="H256" s="169" t="s">
        <v>210</v>
      </c>
      <c r="I256" s="170"/>
      <c r="J256" s="170"/>
      <c r="K256" s="171"/>
      <c r="L256" s="9">
        <f>ROW()</f>
        <v>256</v>
      </c>
    </row>
    <row r="257" spans="1:12" ht="15.75" thickBot="1" x14ac:dyDescent="0.3">
      <c r="A257" s="10">
        <f t="shared" si="8"/>
        <v>14</v>
      </c>
      <c r="B257" s="10">
        <f t="shared" si="9"/>
        <v>10</v>
      </c>
      <c r="C257" s="9">
        <v>48</v>
      </c>
      <c r="D257" s="78">
        <v>45213</v>
      </c>
      <c r="E257" s="79">
        <v>48</v>
      </c>
      <c r="F257" s="80"/>
      <c r="L257" s="9">
        <f>ROW()</f>
        <v>257</v>
      </c>
    </row>
    <row r="258" spans="1:12" x14ac:dyDescent="0.25">
      <c r="A258" s="10">
        <f t="shared" si="8"/>
        <v>30</v>
      </c>
      <c r="B258" s="10">
        <f t="shared" si="9"/>
        <v>9</v>
      </c>
      <c r="C258" s="9">
        <v>49</v>
      </c>
      <c r="D258" s="157">
        <v>45199</v>
      </c>
      <c r="E258" s="158">
        <v>49</v>
      </c>
      <c r="F258" s="134" t="s">
        <v>211</v>
      </c>
      <c r="G258" s="114">
        <v>5007</v>
      </c>
      <c r="H258" s="134" t="s">
        <v>117</v>
      </c>
      <c r="I258" s="99">
        <v>2400</v>
      </c>
      <c r="J258" s="99"/>
      <c r="K258" s="159"/>
      <c r="L258" s="9">
        <f>ROW()</f>
        <v>258</v>
      </c>
    </row>
    <row r="259" spans="1:12" x14ac:dyDescent="0.25">
      <c r="A259" s="10">
        <f t="shared" si="8"/>
        <v>30</v>
      </c>
      <c r="B259" s="10">
        <f t="shared" si="9"/>
        <v>9</v>
      </c>
      <c r="C259" s="9">
        <v>49</v>
      </c>
      <c r="D259" s="160">
        <v>45199</v>
      </c>
      <c r="E259" s="79">
        <v>49</v>
      </c>
      <c r="F259" s="80" t="s">
        <v>211</v>
      </c>
      <c r="G259" s="103">
        <v>1200</v>
      </c>
      <c r="H259" s="45" t="s">
        <v>19</v>
      </c>
      <c r="I259" s="28">
        <v>120</v>
      </c>
      <c r="K259" s="161"/>
      <c r="L259" s="9">
        <f>ROW()</f>
        <v>259</v>
      </c>
    </row>
    <row r="260" spans="1:12" x14ac:dyDescent="0.25">
      <c r="A260" s="10">
        <f t="shared" si="8"/>
        <v>30</v>
      </c>
      <c r="B260" s="10">
        <f t="shared" si="9"/>
        <v>9</v>
      </c>
      <c r="C260" s="9">
        <v>49</v>
      </c>
      <c r="D260" s="160">
        <v>45199</v>
      </c>
      <c r="E260" s="79">
        <v>49</v>
      </c>
      <c r="F260" s="80" t="s">
        <v>211</v>
      </c>
      <c r="G260" s="103">
        <v>1201</v>
      </c>
      <c r="H260" s="45" t="s">
        <v>21</v>
      </c>
      <c r="I260" s="28">
        <v>239.4</v>
      </c>
      <c r="K260" s="161"/>
      <c r="L260" s="9">
        <f>ROW()</f>
        <v>260</v>
      </c>
    </row>
    <row r="261" spans="1:12" x14ac:dyDescent="0.25">
      <c r="A261" s="10">
        <f t="shared" si="8"/>
        <v>30</v>
      </c>
      <c r="B261" s="10">
        <f t="shared" si="9"/>
        <v>9</v>
      </c>
      <c r="C261" s="9">
        <v>49</v>
      </c>
      <c r="D261" s="160">
        <v>45199</v>
      </c>
      <c r="E261" s="79">
        <v>49</v>
      </c>
      <c r="F261" s="80" t="s">
        <v>211</v>
      </c>
      <c r="G261" s="103">
        <v>1000</v>
      </c>
      <c r="H261" s="45" t="s">
        <v>13</v>
      </c>
      <c r="J261" s="28">
        <v>2759.4</v>
      </c>
      <c r="K261" s="161"/>
      <c r="L261" s="9">
        <f>ROW()</f>
        <v>261</v>
      </c>
    </row>
    <row r="262" spans="1:12" ht="15.75" thickBot="1" x14ac:dyDescent="0.3">
      <c r="A262" s="10">
        <f t="shared" si="8"/>
        <v>30</v>
      </c>
      <c r="B262" s="10">
        <f t="shared" si="9"/>
        <v>9</v>
      </c>
      <c r="C262" s="9">
        <v>49</v>
      </c>
      <c r="D262" s="162">
        <v>45199</v>
      </c>
      <c r="E262" s="163">
        <v>49</v>
      </c>
      <c r="F262" s="164" t="s">
        <v>211</v>
      </c>
      <c r="G262" s="165"/>
      <c r="H262" s="169" t="s">
        <v>212</v>
      </c>
      <c r="I262" s="170"/>
      <c r="J262" s="170"/>
      <c r="K262" s="171"/>
      <c r="L262" s="9">
        <f>ROW()</f>
        <v>262</v>
      </c>
    </row>
    <row r="263" spans="1:12" ht="15.75" thickBot="1" x14ac:dyDescent="0.3">
      <c r="A263" s="10">
        <f t="shared" si="8"/>
        <v>30</v>
      </c>
      <c r="B263" s="10">
        <f t="shared" si="9"/>
        <v>9</v>
      </c>
      <c r="C263" s="9">
        <v>49</v>
      </c>
      <c r="D263" s="78">
        <v>45199</v>
      </c>
      <c r="E263" s="79">
        <v>49</v>
      </c>
      <c r="F263" s="80" t="s">
        <v>211</v>
      </c>
      <c r="L263" s="9">
        <f>ROW()</f>
        <v>263</v>
      </c>
    </row>
    <row r="264" spans="1:12" x14ac:dyDescent="0.25">
      <c r="A264" s="10">
        <f t="shared" si="8"/>
        <v>13</v>
      </c>
      <c r="B264" s="10">
        <f t="shared" si="9"/>
        <v>10</v>
      </c>
      <c r="C264" s="9">
        <v>50</v>
      </c>
      <c r="D264" s="157">
        <v>45212</v>
      </c>
      <c r="E264" s="158">
        <v>50</v>
      </c>
      <c r="F264" s="134" t="s">
        <v>187</v>
      </c>
      <c r="G264" s="114">
        <v>5020</v>
      </c>
      <c r="H264" s="134" t="s">
        <v>133</v>
      </c>
      <c r="I264" s="99">
        <v>650</v>
      </c>
      <c r="J264" s="99"/>
      <c r="K264" s="159"/>
      <c r="L264" s="9">
        <f>ROW()</f>
        <v>264</v>
      </c>
    </row>
    <row r="265" spans="1:12" x14ac:dyDescent="0.25">
      <c r="A265" s="10">
        <f t="shared" si="8"/>
        <v>13</v>
      </c>
      <c r="B265" s="10">
        <f t="shared" si="9"/>
        <v>10</v>
      </c>
      <c r="C265" s="9">
        <v>50</v>
      </c>
      <c r="D265" s="160">
        <v>45212</v>
      </c>
      <c r="E265" s="79">
        <v>50</v>
      </c>
      <c r="F265" s="80" t="s">
        <v>187</v>
      </c>
      <c r="G265" s="103">
        <v>1200</v>
      </c>
      <c r="H265" s="45" t="s">
        <v>19</v>
      </c>
      <c r="I265" s="28">
        <v>32.5</v>
      </c>
      <c r="K265" s="161"/>
      <c r="L265" s="9">
        <f>ROW()</f>
        <v>265</v>
      </c>
    </row>
    <row r="266" spans="1:12" x14ac:dyDescent="0.25">
      <c r="A266" s="10">
        <f t="shared" si="8"/>
        <v>13</v>
      </c>
      <c r="B266" s="10">
        <f t="shared" si="9"/>
        <v>10</v>
      </c>
      <c r="C266" s="9">
        <v>50</v>
      </c>
      <c r="D266" s="160">
        <v>45212</v>
      </c>
      <c r="E266" s="79">
        <v>50</v>
      </c>
      <c r="F266" s="80" t="s">
        <v>187</v>
      </c>
      <c r="G266" s="103">
        <v>1201</v>
      </c>
      <c r="H266" s="45" t="s">
        <v>21</v>
      </c>
      <c r="I266" s="28">
        <v>64.84</v>
      </c>
      <c r="K266" s="161"/>
      <c r="L266" s="9">
        <f>ROW()</f>
        <v>266</v>
      </c>
    </row>
    <row r="267" spans="1:12" x14ac:dyDescent="0.25">
      <c r="A267" s="10">
        <f t="shared" si="8"/>
        <v>13</v>
      </c>
      <c r="B267" s="10">
        <f t="shared" si="9"/>
        <v>10</v>
      </c>
      <c r="C267" s="9">
        <v>50</v>
      </c>
      <c r="D267" s="160">
        <v>45212</v>
      </c>
      <c r="E267" s="79">
        <v>50</v>
      </c>
      <c r="F267" s="80" t="s">
        <v>187</v>
      </c>
      <c r="G267" s="103">
        <v>1000</v>
      </c>
      <c r="H267" s="45" t="s">
        <v>13</v>
      </c>
      <c r="J267" s="28">
        <v>747.34</v>
      </c>
      <c r="K267" s="161"/>
      <c r="L267" s="9">
        <f>ROW()</f>
        <v>267</v>
      </c>
    </row>
    <row r="268" spans="1:12" ht="15.75" thickBot="1" x14ac:dyDescent="0.3">
      <c r="A268" s="10">
        <f t="shared" si="8"/>
        <v>13</v>
      </c>
      <c r="B268" s="10">
        <f t="shared" si="9"/>
        <v>10</v>
      </c>
      <c r="C268" s="9">
        <v>50</v>
      </c>
      <c r="D268" s="162">
        <v>45212</v>
      </c>
      <c r="E268" s="163">
        <v>50</v>
      </c>
      <c r="F268" s="164" t="s">
        <v>187</v>
      </c>
      <c r="G268" s="165"/>
      <c r="H268" s="169" t="s">
        <v>214</v>
      </c>
      <c r="I268" s="170"/>
      <c r="J268" s="170"/>
      <c r="K268" s="171"/>
      <c r="L268" s="9">
        <f>ROW()</f>
        <v>268</v>
      </c>
    </row>
    <row r="269" spans="1:12" ht="15.75" thickBot="1" x14ac:dyDescent="0.3">
      <c r="A269" s="10">
        <f t="shared" si="8"/>
        <v>13</v>
      </c>
      <c r="B269" s="10">
        <f t="shared" si="9"/>
        <v>10</v>
      </c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  <row r="270" spans="1:12" x14ac:dyDescent="0.25">
      <c r="A270" s="10">
        <f t="shared" ref="A270:A297" si="10">DAY(D270)</f>
        <v>13</v>
      </c>
      <c r="B270" s="10">
        <f t="shared" ref="B270:B297" si="11">MONTH(D270)</f>
        <v>10</v>
      </c>
      <c r="C270" s="9">
        <v>51</v>
      </c>
      <c r="D270" s="157">
        <v>45212</v>
      </c>
      <c r="E270" s="158">
        <v>51</v>
      </c>
      <c r="F270" s="134" t="s">
        <v>216</v>
      </c>
      <c r="G270" s="114" t="s">
        <v>126</v>
      </c>
      <c r="H270" s="134" t="s">
        <v>127</v>
      </c>
      <c r="I270" s="99">
        <v>29.95</v>
      </c>
      <c r="J270" s="99"/>
      <c r="K270" s="159"/>
      <c r="L270" s="9">
        <f>ROW()</f>
        <v>270</v>
      </c>
    </row>
    <row r="271" spans="1:12" x14ac:dyDescent="0.25">
      <c r="A271" s="10">
        <f t="shared" si="10"/>
        <v>13</v>
      </c>
      <c r="B271" s="10">
        <f t="shared" si="11"/>
        <v>10</v>
      </c>
      <c r="C271" s="9">
        <v>51</v>
      </c>
      <c r="D271" s="160">
        <v>45212</v>
      </c>
      <c r="E271" s="79">
        <v>51</v>
      </c>
      <c r="F271" s="80" t="s">
        <v>216</v>
      </c>
      <c r="G271" s="103" t="s">
        <v>12</v>
      </c>
      <c r="H271" s="45" t="s">
        <v>13</v>
      </c>
      <c r="J271" s="28">
        <v>29.95</v>
      </c>
      <c r="K271" s="161"/>
      <c r="L271" s="9">
        <f>ROW()</f>
        <v>271</v>
      </c>
    </row>
    <row r="272" spans="1:12" ht="15.75" thickBot="1" x14ac:dyDescent="0.3">
      <c r="A272" s="10">
        <f t="shared" si="10"/>
        <v>13</v>
      </c>
      <c r="B272" s="10">
        <f t="shared" si="11"/>
        <v>10</v>
      </c>
      <c r="C272" s="9">
        <v>51</v>
      </c>
      <c r="D272" s="162">
        <v>45212</v>
      </c>
      <c r="E272" s="163">
        <v>51</v>
      </c>
      <c r="F272" s="164" t="s">
        <v>216</v>
      </c>
      <c r="G272" s="165"/>
      <c r="H272" s="169" t="s">
        <v>186</v>
      </c>
      <c r="I272" s="170"/>
      <c r="J272" s="170"/>
      <c r="K272" s="171"/>
      <c r="L272" s="9">
        <f>ROW()</f>
        <v>272</v>
      </c>
    </row>
    <row r="273" spans="1:12" ht="15.75" thickBot="1" x14ac:dyDescent="0.3">
      <c r="A273" s="10">
        <f t="shared" si="10"/>
        <v>13</v>
      </c>
      <c r="B273" s="10">
        <f t="shared" si="11"/>
        <v>10</v>
      </c>
      <c r="C273" s="9">
        <v>51</v>
      </c>
      <c r="D273" s="78">
        <v>45212</v>
      </c>
      <c r="E273" s="79">
        <v>51</v>
      </c>
      <c r="F273" s="80" t="s">
        <v>216</v>
      </c>
      <c r="L273" s="9">
        <f>ROW()</f>
        <v>273</v>
      </c>
    </row>
    <row r="274" spans="1:12" x14ac:dyDescent="0.25">
      <c r="A274" s="10">
        <f t="shared" si="10"/>
        <v>13</v>
      </c>
      <c r="B274" s="10">
        <f t="shared" si="11"/>
        <v>10</v>
      </c>
      <c r="C274" s="9">
        <v>52</v>
      </c>
      <c r="D274" s="157">
        <v>45212</v>
      </c>
      <c r="E274" s="158">
        <v>52</v>
      </c>
      <c r="F274" s="134" t="s">
        <v>219</v>
      </c>
      <c r="G274" s="114" t="s">
        <v>217</v>
      </c>
      <c r="H274" s="134" t="s">
        <v>218</v>
      </c>
      <c r="I274" s="99">
        <v>129.94999999999999</v>
      </c>
      <c r="J274" s="99"/>
      <c r="K274" s="159"/>
      <c r="L274" s="9">
        <f>ROW()</f>
        <v>274</v>
      </c>
    </row>
    <row r="275" spans="1:12" x14ac:dyDescent="0.25">
      <c r="A275" s="10">
        <f t="shared" si="10"/>
        <v>13</v>
      </c>
      <c r="B275" s="10">
        <f t="shared" si="11"/>
        <v>10</v>
      </c>
      <c r="C275" s="9">
        <v>52</v>
      </c>
      <c r="D275" s="160">
        <v>45212</v>
      </c>
      <c r="E275" s="79">
        <v>52</v>
      </c>
      <c r="F275" s="80" t="s">
        <v>219</v>
      </c>
      <c r="G275" s="103">
        <v>1200</v>
      </c>
      <c r="H275" s="45" t="s">
        <v>19</v>
      </c>
      <c r="I275" s="28">
        <v>6.5</v>
      </c>
      <c r="K275" s="161"/>
      <c r="L275" s="9">
        <f>ROW()</f>
        <v>275</v>
      </c>
    </row>
    <row r="276" spans="1:12" x14ac:dyDescent="0.25">
      <c r="A276" s="10">
        <f t="shared" si="10"/>
        <v>13</v>
      </c>
      <c r="B276" s="10">
        <f t="shared" si="11"/>
        <v>10</v>
      </c>
      <c r="C276" s="9">
        <v>52</v>
      </c>
      <c r="D276" s="160">
        <v>45212</v>
      </c>
      <c r="E276" s="79">
        <v>52</v>
      </c>
      <c r="F276" s="80" t="s">
        <v>219</v>
      </c>
      <c r="G276" s="103">
        <v>1201</v>
      </c>
      <c r="H276" s="45" t="s">
        <v>21</v>
      </c>
      <c r="I276" s="28">
        <v>12.96</v>
      </c>
      <c r="K276" s="161"/>
      <c r="L276" s="9">
        <f>ROW()</f>
        <v>276</v>
      </c>
    </row>
    <row r="277" spans="1:12" x14ac:dyDescent="0.25">
      <c r="A277" s="10">
        <f t="shared" si="10"/>
        <v>13</v>
      </c>
      <c r="B277" s="10">
        <f t="shared" si="11"/>
        <v>10</v>
      </c>
      <c r="C277" s="9">
        <v>52</v>
      </c>
      <c r="D277" s="160">
        <v>45212</v>
      </c>
      <c r="E277" s="79">
        <v>52</v>
      </c>
      <c r="F277" s="80" t="s">
        <v>219</v>
      </c>
      <c r="G277" s="103">
        <v>2000</v>
      </c>
      <c r="H277" s="45" t="s">
        <v>54</v>
      </c>
      <c r="J277" s="28">
        <v>149.41</v>
      </c>
      <c r="K277" s="161" t="s">
        <v>222</v>
      </c>
      <c r="L277" s="9">
        <f>ROW()</f>
        <v>277</v>
      </c>
    </row>
    <row r="278" spans="1:12" ht="15.75" thickBot="1" x14ac:dyDescent="0.3">
      <c r="A278" s="10">
        <f t="shared" si="10"/>
        <v>13</v>
      </c>
      <c r="B278" s="10">
        <f t="shared" si="11"/>
        <v>10</v>
      </c>
      <c r="C278" s="9">
        <v>52</v>
      </c>
      <c r="D278" s="162">
        <v>45212</v>
      </c>
      <c r="E278" s="163">
        <v>52</v>
      </c>
      <c r="F278" s="164" t="s">
        <v>219</v>
      </c>
      <c r="G278" s="165"/>
      <c r="H278" s="169" t="s">
        <v>221</v>
      </c>
      <c r="I278" s="170"/>
      <c r="J278" s="170"/>
      <c r="K278" s="171"/>
      <c r="L278" s="9">
        <f>ROW()</f>
        <v>278</v>
      </c>
    </row>
    <row r="279" spans="1:12" ht="15.75" thickBot="1" x14ac:dyDescent="0.3">
      <c r="A279" s="10">
        <f t="shared" si="10"/>
        <v>13</v>
      </c>
      <c r="B279" s="10">
        <f t="shared" si="11"/>
        <v>10</v>
      </c>
      <c r="C279" s="9">
        <v>52</v>
      </c>
      <c r="D279" s="78">
        <v>45212</v>
      </c>
      <c r="E279" s="79">
        <v>52</v>
      </c>
      <c r="F279" s="80" t="s">
        <v>219</v>
      </c>
      <c r="L279" s="9">
        <f>ROW()</f>
        <v>279</v>
      </c>
    </row>
    <row r="280" spans="1:12" x14ac:dyDescent="0.25">
      <c r="A280" s="10">
        <f t="shared" si="10"/>
        <v>14</v>
      </c>
      <c r="B280" s="10">
        <f t="shared" si="11"/>
        <v>10</v>
      </c>
      <c r="C280" s="9">
        <v>53</v>
      </c>
      <c r="D280" s="157">
        <v>45213</v>
      </c>
      <c r="E280" s="158">
        <v>53</v>
      </c>
      <c r="F280" s="134"/>
      <c r="G280" s="114" t="s">
        <v>217</v>
      </c>
      <c r="H280" s="134" t="s">
        <v>218</v>
      </c>
      <c r="I280" s="99">
        <v>129.94999999999999</v>
      </c>
      <c r="J280" s="99"/>
      <c r="K280" s="159"/>
      <c r="L280" s="9">
        <f>ROW()</f>
        <v>280</v>
      </c>
    </row>
    <row r="281" spans="1:12" x14ac:dyDescent="0.25">
      <c r="A281" s="10">
        <f t="shared" si="10"/>
        <v>14</v>
      </c>
      <c r="B281" s="10">
        <f t="shared" si="11"/>
        <v>10</v>
      </c>
      <c r="C281" s="9">
        <v>53</v>
      </c>
      <c r="D281" s="160">
        <v>45213</v>
      </c>
      <c r="E281" s="79">
        <v>53</v>
      </c>
      <c r="F281" s="80"/>
      <c r="G281" s="103">
        <v>1200</v>
      </c>
      <c r="H281" s="45" t="s">
        <v>19</v>
      </c>
      <c r="I281" s="28">
        <v>6.5</v>
      </c>
      <c r="K281" s="161"/>
      <c r="L281" s="9">
        <f>ROW()</f>
        <v>281</v>
      </c>
    </row>
    <row r="282" spans="1:12" x14ac:dyDescent="0.25">
      <c r="A282" s="10">
        <f t="shared" si="10"/>
        <v>14</v>
      </c>
      <c r="B282" s="10">
        <f t="shared" si="11"/>
        <v>10</v>
      </c>
      <c r="C282" s="9">
        <v>53</v>
      </c>
      <c r="D282" s="160">
        <v>45213</v>
      </c>
      <c r="E282" s="79">
        <v>53</v>
      </c>
      <c r="F282" s="80"/>
      <c r="G282" s="103">
        <v>1201</v>
      </c>
      <c r="H282" s="45" t="s">
        <v>21</v>
      </c>
      <c r="I282" s="28">
        <v>12.96</v>
      </c>
      <c r="K282" s="161"/>
      <c r="L282" s="9">
        <f>ROW()</f>
        <v>282</v>
      </c>
    </row>
    <row r="283" spans="1:12" x14ac:dyDescent="0.25">
      <c r="A283" s="10">
        <f t="shared" si="10"/>
        <v>14</v>
      </c>
      <c r="B283" s="10">
        <f t="shared" si="11"/>
        <v>10</v>
      </c>
      <c r="C283" s="9">
        <v>53</v>
      </c>
      <c r="D283" s="160">
        <v>45213</v>
      </c>
      <c r="E283" s="79">
        <v>53</v>
      </c>
      <c r="F283" s="80"/>
      <c r="G283" s="103">
        <v>2000</v>
      </c>
      <c r="H283" s="45" t="s">
        <v>54</v>
      </c>
      <c r="J283" s="28">
        <v>149.41</v>
      </c>
      <c r="K283" s="161" t="s">
        <v>222</v>
      </c>
      <c r="L283" s="9">
        <f>ROW()</f>
        <v>283</v>
      </c>
    </row>
    <row r="284" spans="1:12" ht="15.75" thickBot="1" x14ac:dyDescent="0.3">
      <c r="A284" s="10">
        <f t="shared" si="10"/>
        <v>14</v>
      </c>
      <c r="B284" s="10">
        <f t="shared" si="11"/>
        <v>10</v>
      </c>
      <c r="C284" s="9">
        <v>53</v>
      </c>
      <c r="D284" s="162">
        <v>45213</v>
      </c>
      <c r="E284" s="163">
        <v>53</v>
      </c>
      <c r="F284" s="164"/>
      <c r="G284" s="165"/>
      <c r="H284" s="169" t="s">
        <v>223</v>
      </c>
      <c r="I284" s="170"/>
      <c r="J284" s="170"/>
      <c r="K284" s="171"/>
      <c r="L284" s="9">
        <f>ROW()</f>
        <v>284</v>
      </c>
    </row>
    <row r="285" spans="1:12" ht="15.75" thickBot="1" x14ac:dyDescent="0.3">
      <c r="A285" s="10">
        <f t="shared" si="10"/>
        <v>14</v>
      </c>
      <c r="B285" s="10">
        <f t="shared" si="11"/>
        <v>10</v>
      </c>
      <c r="C285" s="9">
        <v>53</v>
      </c>
      <c r="D285" s="78">
        <v>45213</v>
      </c>
      <c r="E285" s="79">
        <v>53</v>
      </c>
      <c r="F285" s="80"/>
      <c r="L285" s="9">
        <f>ROW()</f>
        <v>285</v>
      </c>
    </row>
    <row r="286" spans="1:12" x14ac:dyDescent="0.25">
      <c r="A286" s="10">
        <f t="shared" si="10"/>
        <v>14</v>
      </c>
      <c r="B286" s="10">
        <f t="shared" si="11"/>
        <v>10</v>
      </c>
      <c r="C286" s="9">
        <v>54</v>
      </c>
      <c r="D286" s="157">
        <v>45213</v>
      </c>
      <c r="E286" s="158">
        <v>54</v>
      </c>
      <c r="F286" s="134"/>
      <c r="G286" s="114" t="s">
        <v>217</v>
      </c>
      <c r="H286" s="134" t="s">
        <v>218</v>
      </c>
      <c r="I286" s="99">
        <v>129.94999999999999</v>
      </c>
      <c r="J286" s="99"/>
      <c r="K286" s="159"/>
      <c r="L286" s="9">
        <f>ROW()</f>
        <v>286</v>
      </c>
    </row>
    <row r="287" spans="1:12" x14ac:dyDescent="0.25">
      <c r="A287" s="10">
        <f t="shared" si="10"/>
        <v>14</v>
      </c>
      <c r="B287" s="10">
        <f t="shared" si="11"/>
        <v>10</v>
      </c>
      <c r="C287" s="9">
        <v>54</v>
      </c>
      <c r="D287" s="160">
        <v>45213</v>
      </c>
      <c r="E287" s="246">
        <v>54</v>
      </c>
      <c r="F287" s="247"/>
      <c r="G287" s="248">
        <v>1200</v>
      </c>
      <c r="H287" s="249" t="s">
        <v>19</v>
      </c>
      <c r="I287" s="250">
        <v>6.5</v>
      </c>
      <c r="J287" s="250"/>
      <c r="K287" s="161"/>
      <c r="L287" s="9">
        <f>ROW()</f>
        <v>287</v>
      </c>
    </row>
    <row r="288" spans="1:12" x14ac:dyDescent="0.25">
      <c r="A288" s="10">
        <f t="shared" si="10"/>
        <v>14</v>
      </c>
      <c r="B288" s="10">
        <f t="shared" si="11"/>
        <v>10</v>
      </c>
      <c r="C288" s="9">
        <v>54</v>
      </c>
      <c r="D288" s="160">
        <v>45213</v>
      </c>
      <c r="E288" s="246">
        <v>54</v>
      </c>
      <c r="F288" s="247"/>
      <c r="G288" s="248">
        <v>1201</v>
      </c>
      <c r="H288" s="249" t="s">
        <v>21</v>
      </c>
      <c r="I288" s="250">
        <v>12.96</v>
      </c>
      <c r="J288" s="250"/>
      <c r="K288" s="161"/>
      <c r="L288" s="9">
        <f>ROW()</f>
        <v>288</v>
      </c>
    </row>
    <row r="289" spans="1:12" x14ac:dyDescent="0.25">
      <c r="A289" s="10">
        <f t="shared" si="10"/>
        <v>14</v>
      </c>
      <c r="B289" s="10">
        <f t="shared" si="11"/>
        <v>10</v>
      </c>
      <c r="C289" s="9">
        <v>54</v>
      </c>
      <c r="D289" s="160">
        <v>45213</v>
      </c>
      <c r="E289" s="246">
        <v>54</v>
      </c>
      <c r="F289" s="247"/>
      <c r="G289" s="248">
        <v>2000</v>
      </c>
      <c r="H289" s="249" t="s">
        <v>54</v>
      </c>
      <c r="I289" s="250"/>
      <c r="J289" s="250">
        <v>149.41</v>
      </c>
      <c r="K289" s="161" t="s">
        <v>222</v>
      </c>
      <c r="L289" s="9">
        <f>ROW()</f>
        <v>289</v>
      </c>
    </row>
    <row r="290" spans="1:12" ht="15.75" thickBot="1" x14ac:dyDescent="0.3">
      <c r="A290" s="10">
        <f t="shared" si="10"/>
        <v>14</v>
      </c>
      <c r="B290" s="10">
        <f t="shared" si="11"/>
        <v>10</v>
      </c>
      <c r="C290" s="9">
        <v>54</v>
      </c>
      <c r="D290" s="162">
        <v>45213</v>
      </c>
      <c r="E290" s="163">
        <v>54</v>
      </c>
      <c r="F290" s="164"/>
      <c r="G290" s="165"/>
      <c r="H290" s="169" t="s">
        <v>223</v>
      </c>
      <c r="I290" s="170"/>
      <c r="J290" s="170"/>
      <c r="K290" s="171"/>
      <c r="L290" s="9">
        <f>ROW()</f>
        <v>290</v>
      </c>
    </row>
    <row r="291" spans="1:12" ht="15.75" thickBot="1" x14ac:dyDescent="0.3">
      <c r="A291" s="10">
        <f t="shared" si="10"/>
        <v>14</v>
      </c>
      <c r="B291" s="10">
        <f t="shared" si="11"/>
        <v>10</v>
      </c>
      <c r="C291" s="9">
        <v>54</v>
      </c>
      <c r="D291" s="78">
        <v>45213</v>
      </c>
      <c r="E291" s="79">
        <v>54</v>
      </c>
      <c r="F291" s="80"/>
      <c r="L291" s="9">
        <f>ROW()</f>
        <v>291</v>
      </c>
    </row>
    <row r="292" spans="1:12" x14ac:dyDescent="0.25">
      <c r="A292" s="10">
        <f t="shared" si="10"/>
        <v>14</v>
      </c>
      <c r="B292" s="10">
        <f t="shared" si="11"/>
        <v>10</v>
      </c>
      <c r="C292" s="9">
        <v>55</v>
      </c>
      <c r="D292" s="157">
        <v>45213</v>
      </c>
      <c r="E292" s="158">
        <v>55</v>
      </c>
      <c r="F292" s="134"/>
      <c r="G292" s="114" t="s">
        <v>217</v>
      </c>
      <c r="H292" s="134" t="s">
        <v>218</v>
      </c>
      <c r="I292" s="99">
        <v>129.94999999999999</v>
      </c>
      <c r="J292" s="99"/>
      <c r="K292" s="159"/>
      <c r="L292" s="9">
        <f>ROW()</f>
        <v>292</v>
      </c>
    </row>
    <row r="293" spans="1:12" x14ac:dyDescent="0.25">
      <c r="A293" s="10">
        <f t="shared" si="10"/>
        <v>14</v>
      </c>
      <c r="B293" s="10">
        <f t="shared" si="11"/>
        <v>10</v>
      </c>
      <c r="C293" s="9">
        <v>55</v>
      </c>
      <c r="D293" s="160">
        <v>45213</v>
      </c>
      <c r="E293" s="246">
        <v>55</v>
      </c>
      <c r="F293" s="247"/>
      <c r="G293" s="248">
        <v>1200</v>
      </c>
      <c r="H293" s="249" t="s">
        <v>19</v>
      </c>
      <c r="I293" s="250">
        <v>6.5</v>
      </c>
      <c r="J293" s="250"/>
      <c r="K293" s="161"/>
      <c r="L293" s="9">
        <f>ROW()</f>
        <v>293</v>
      </c>
    </row>
    <row r="294" spans="1:12" x14ac:dyDescent="0.25">
      <c r="A294" s="10">
        <f t="shared" si="10"/>
        <v>14</v>
      </c>
      <c r="B294" s="10">
        <f t="shared" si="11"/>
        <v>10</v>
      </c>
      <c r="C294" s="9">
        <v>55</v>
      </c>
      <c r="D294" s="160">
        <v>45213</v>
      </c>
      <c r="E294" s="246">
        <v>55</v>
      </c>
      <c r="F294" s="247"/>
      <c r="G294" s="248">
        <v>1201</v>
      </c>
      <c r="H294" s="249" t="s">
        <v>21</v>
      </c>
      <c r="I294" s="250">
        <v>12.96</v>
      </c>
      <c r="J294" s="250"/>
      <c r="K294" s="161"/>
      <c r="L294" s="9">
        <f>ROW()</f>
        <v>294</v>
      </c>
    </row>
    <row r="295" spans="1:12" x14ac:dyDescent="0.25">
      <c r="A295" s="10">
        <f t="shared" si="10"/>
        <v>14</v>
      </c>
      <c r="B295" s="10">
        <f t="shared" si="11"/>
        <v>10</v>
      </c>
      <c r="C295" s="9">
        <v>55</v>
      </c>
      <c r="D295" s="160">
        <v>45213</v>
      </c>
      <c r="E295" s="246">
        <v>55</v>
      </c>
      <c r="F295" s="247"/>
      <c r="G295" s="248">
        <v>2000</v>
      </c>
      <c r="H295" s="249" t="s">
        <v>54</v>
      </c>
      <c r="I295" s="250"/>
      <c r="J295" s="250">
        <v>149.41</v>
      </c>
      <c r="K295" s="161" t="s">
        <v>222</v>
      </c>
      <c r="L295" s="9">
        <f>ROW()</f>
        <v>295</v>
      </c>
    </row>
    <row r="296" spans="1:12" ht="15.75" thickBot="1" x14ac:dyDescent="0.3">
      <c r="A296" s="10">
        <f t="shared" si="10"/>
        <v>14</v>
      </c>
      <c r="B296" s="10">
        <f t="shared" si="11"/>
        <v>10</v>
      </c>
      <c r="C296" s="9">
        <v>55</v>
      </c>
      <c r="D296" s="162">
        <v>45213</v>
      </c>
      <c r="E296" s="163">
        <v>55</v>
      </c>
      <c r="F296" s="164"/>
      <c r="G296" s="165"/>
      <c r="H296" s="169" t="s">
        <v>223</v>
      </c>
      <c r="I296" s="170"/>
      <c r="J296" s="170"/>
      <c r="K296" s="171"/>
      <c r="L296" s="9">
        <f>ROW()</f>
        <v>296</v>
      </c>
    </row>
    <row r="297" spans="1:12" ht="15.75" thickBot="1" x14ac:dyDescent="0.3">
      <c r="A297" s="10">
        <f t="shared" si="10"/>
        <v>14</v>
      </c>
      <c r="B297" s="10">
        <f t="shared" si="11"/>
        <v>10</v>
      </c>
      <c r="C297" s="9">
        <v>55</v>
      </c>
      <c r="D297" s="78">
        <v>45213</v>
      </c>
      <c r="E297" s="79">
        <v>55</v>
      </c>
      <c r="F297" s="80"/>
      <c r="L297" s="9">
        <f>ROW()</f>
        <v>297</v>
      </c>
    </row>
    <row r="298" spans="1:12" x14ac:dyDescent="0.25">
      <c r="A298" s="10">
        <f t="shared" ref="A298:A326" si="12">DAY(D298)</f>
        <v>30</v>
      </c>
      <c r="B298" s="10">
        <f t="shared" ref="B298:B326" si="13">MONTH(D298)</f>
        <v>9</v>
      </c>
      <c r="C298" s="9">
        <v>56</v>
      </c>
      <c r="D298" s="157" t="s">
        <v>227</v>
      </c>
      <c r="E298" s="158">
        <v>56</v>
      </c>
      <c r="F298" s="134"/>
      <c r="G298" s="114">
        <v>5013</v>
      </c>
      <c r="H298" s="134" t="s">
        <v>127</v>
      </c>
      <c r="I298" s="99">
        <v>29.95</v>
      </c>
      <c r="J298" s="99"/>
      <c r="K298" s="159"/>
      <c r="L298" s="9">
        <f>ROW()</f>
        <v>298</v>
      </c>
    </row>
    <row r="299" spans="1:12" x14ac:dyDescent="0.25">
      <c r="A299" s="10">
        <f t="shared" si="12"/>
        <v>30</v>
      </c>
      <c r="B299" s="10">
        <f t="shared" si="13"/>
        <v>9</v>
      </c>
      <c r="C299" s="9">
        <v>56</v>
      </c>
      <c r="D299" s="160" t="s">
        <v>227</v>
      </c>
      <c r="E299" s="246">
        <v>56</v>
      </c>
      <c r="F299" s="247"/>
      <c r="G299" s="248">
        <v>1000</v>
      </c>
      <c r="H299" s="249" t="s">
        <v>13</v>
      </c>
      <c r="I299" s="250"/>
      <c r="J299" s="250">
        <v>29.95</v>
      </c>
      <c r="K299" s="161"/>
      <c r="L299" s="9">
        <f>ROW()</f>
        <v>299</v>
      </c>
    </row>
    <row r="300" spans="1:12" ht="15.75" thickBot="1" x14ac:dyDescent="0.3">
      <c r="A300" s="10">
        <f t="shared" si="12"/>
        <v>30</v>
      </c>
      <c r="B300" s="10">
        <f t="shared" si="13"/>
        <v>9</v>
      </c>
      <c r="C300" s="9">
        <v>56</v>
      </c>
      <c r="D300" s="162" t="s">
        <v>227</v>
      </c>
      <c r="E300" s="163">
        <v>56</v>
      </c>
      <c r="F300" s="164"/>
      <c r="G300" s="165"/>
      <c r="H300" s="169" t="s">
        <v>226</v>
      </c>
      <c r="I300" s="170"/>
      <c r="J300" s="170"/>
      <c r="K300" s="171"/>
      <c r="L300" s="9">
        <f>ROW()</f>
        <v>300</v>
      </c>
    </row>
    <row r="301" spans="1:12" ht="15.75" thickBot="1" x14ac:dyDescent="0.3">
      <c r="A301" s="10">
        <f t="shared" si="12"/>
        <v>30</v>
      </c>
      <c r="B301" s="10">
        <f t="shared" si="13"/>
        <v>9</v>
      </c>
      <c r="C301" s="9">
        <v>56</v>
      </c>
      <c r="D301" s="78" t="s">
        <v>227</v>
      </c>
      <c r="E301" s="79">
        <v>56</v>
      </c>
      <c r="F301" s="80"/>
      <c r="L301" s="9">
        <f>ROW()</f>
        <v>301</v>
      </c>
    </row>
    <row r="302" spans="1:12" x14ac:dyDescent="0.25">
      <c r="A302" s="10">
        <f t="shared" si="12"/>
        <v>29</v>
      </c>
      <c r="B302" s="10">
        <f t="shared" si="13"/>
        <v>9</v>
      </c>
      <c r="C302" s="9">
        <v>57</v>
      </c>
      <c r="D302" s="157" t="s">
        <v>229</v>
      </c>
      <c r="E302" s="158">
        <v>57</v>
      </c>
      <c r="F302" s="134"/>
      <c r="G302" s="114">
        <v>1100</v>
      </c>
      <c r="H302" s="134" t="s">
        <v>15</v>
      </c>
      <c r="I302" s="99">
        <v>262.44</v>
      </c>
      <c r="J302" s="99"/>
      <c r="K302" s="159"/>
      <c r="L302" s="9">
        <f>ROW()</f>
        <v>302</v>
      </c>
    </row>
    <row r="303" spans="1:12" x14ac:dyDescent="0.25">
      <c r="A303" s="10">
        <f t="shared" si="12"/>
        <v>29</v>
      </c>
      <c r="B303" s="10">
        <f t="shared" si="13"/>
        <v>9</v>
      </c>
      <c r="C303" s="9">
        <v>57</v>
      </c>
      <c r="D303" s="160" t="s">
        <v>229</v>
      </c>
      <c r="E303" s="246">
        <v>57</v>
      </c>
      <c r="F303" s="247"/>
      <c r="G303" s="248">
        <v>4000</v>
      </c>
      <c r="H303" s="249" t="s">
        <v>88</v>
      </c>
      <c r="I303" s="250"/>
      <c r="J303" s="250">
        <v>250</v>
      </c>
      <c r="K303" s="161"/>
      <c r="L303" s="9">
        <f>ROW()</f>
        <v>303</v>
      </c>
    </row>
    <row r="304" spans="1:12" x14ac:dyDescent="0.25">
      <c r="A304" s="10">
        <f t="shared" si="12"/>
        <v>29</v>
      </c>
      <c r="B304" s="10">
        <f t="shared" si="13"/>
        <v>9</v>
      </c>
      <c r="C304" s="9">
        <v>57</v>
      </c>
      <c r="D304" s="160" t="s">
        <v>229</v>
      </c>
      <c r="E304" s="246">
        <v>57</v>
      </c>
      <c r="F304" s="247"/>
      <c r="G304" s="248">
        <v>1202</v>
      </c>
      <c r="H304" s="249" t="s">
        <v>23</v>
      </c>
      <c r="I304" s="250"/>
      <c r="J304" s="250">
        <v>12.5</v>
      </c>
      <c r="K304" s="161"/>
      <c r="L304" s="9">
        <f>ROW()</f>
        <v>304</v>
      </c>
    </row>
    <row r="305" spans="1:12" x14ac:dyDescent="0.25">
      <c r="A305" s="10">
        <f t="shared" si="12"/>
        <v>29</v>
      </c>
      <c r="B305" s="10">
        <f t="shared" si="13"/>
        <v>9</v>
      </c>
      <c r="C305" s="9">
        <v>57</v>
      </c>
      <c r="D305" s="160" t="s">
        <v>229</v>
      </c>
      <c r="E305" s="246">
        <v>57</v>
      </c>
      <c r="F305" s="247"/>
      <c r="G305" s="248">
        <v>1201</v>
      </c>
      <c r="H305" s="249" t="s">
        <v>21</v>
      </c>
      <c r="I305" s="250"/>
      <c r="J305" s="250">
        <v>24.94</v>
      </c>
      <c r="K305" s="161"/>
      <c r="L305" s="9">
        <f>ROW()</f>
        <v>305</v>
      </c>
    </row>
    <row r="306" spans="1:12" x14ac:dyDescent="0.25">
      <c r="A306" s="10">
        <f t="shared" si="12"/>
        <v>29</v>
      </c>
      <c r="B306" s="10">
        <f t="shared" si="13"/>
        <v>9</v>
      </c>
      <c r="C306" s="9">
        <v>57</v>
      </c>
      <c r="D306" s="160" t="s">
        <v>229</v>
      </c>
      <c r="E306" s="246">
        <v>57</v>
      </c>
      <c r="F306" s="247"/>
      <c r="G306" s="248">
        <v>1230</v>
      </c>
      <c r="H306" s="249" t="s">
        <v>33</v>
      </c>
      <c r="I306" s="250">
        <v>25</v>
      </c>
      <c r="J306" s="250"/>
      <c r="K306" s="161"/>
      <c r="L306" s="9">
        <f>ROW()</f>
        <v>306</v>
      </c>
    </row>
    <row r="307" spans="1:12" ht="15.75" thickBot="1" x14ac:dyDescent="0.3">
      <c r="A307" s="10">
        <f t="shared" si="12"/>
        <v>29</v>
      </c>
      <c r="B307" s="10">
        <f t="shared" si="13"/>
        <v>9</v>
      </c>
      <c r="C307" s="9">
        <v>57</v>
      </c>
      <c r="D307" s="162" t="s">
        <v>229</v>
      </c>
      <c r="E307" s="163">
        <v>57</v>
      </c>
      <c r="F307" s="164"/>
      <c r="G307" s="165"/>
      <c r="H307" s="169" t="s">
        <v>228</v>
      </c>
      <c r="I307" s="170"/>
      <c r="J307" s="170"/>
      <c r="K307" s="171"/>
      <c r="L307" s="9">
        <f>ROW()</f>
        <v>307</v>
      </c>
    </row>
    <row r="308" spans="1:12" ht="15.75" thickBot="1" x14ac:dyDescent="0.3">
      <c r="A308" s="10">
        <f t="shared" si="12"/>
        <v>29</v>
      </c>
      <c r="B308" s="10">
        <f t="shared" si="13"/>
        <v>9</v>
      </c>
      <c r="C308" s="9">
        <v>57</v>
      </c>
      <c r="D308" s="78" t="s">
        <v>229</v>
      </c>
      <c r="E308" s="79">
        <v>57</v>
      </c>
      <c r="F308" s="80"/>
      <c r="L308" s="9">
        <f>ROW()</f>
        <v>308</v>
      </c>
    </row>
    <row r="309" spans="1:12" x14ac:dyDescent="0.25">
      <c r="A309" s="10">
        <f t="shared" si="12"/>
        <v>1</v>
      </c>
      <c r="B309" s="10">
        <f t="shared" si="13"/>
        <v>11</v>
      </c>
      <c r="C309" s="9">
        <v>58</v>
      </c>
      <c r="D309" s="157">
        <v>45231</v>
      </c>
      <c r="E309" s="158">
        <v>58</v>
      </c>
      <c r="F309" s="134"/>
      <c r="G309" s="114">
        <v>5007</v>
      </c>
      <c r="H309" s="134" t="s">
        <v>117</v>
      </c>
      <c r="I309" s="99">
        <v>2400</v>
      </c>
      <c r="J309" s="99"/>
      <c r="K309" s="159"/>
      <c r="L309" s="9">
        <f>ROW()</f>
        <v>309</v>
      </c>
    </row>
    <row r="310" spans="1:12" x14ac:dyDescent="0.25">
      <c r="A310" s="10">
        <f t="shared" si="12"/>
        <v>1</v>
      </c>
      <c r="B310" s="10">
        <f t="shared" si="13"/>
        <v>11</v>
      </c>
      <c r="C310" s="9">
        <v>58</v>
      </c>
      <c r="D310" s="252">
        <v>45231</v>
      </c>
      <c r="E310" s="246">
        <v>58</v>
      </c>
      <c r="F310" s="247"/>
      <c r="G310" s="248">
        <v>1200</v>
      </c>
      <c r="H310" s="249" t="s">
        <v>19</v>
      </c>
      <c r="I310" s="250">
        <v>120</v>
      </c>
      <c r="J310" s="250"/>
      <c r="K310" s="161"/>
      <c r="L310" s="9">
        <f>ROW()</f>
        <v>310</v>
      </c>
    </row>
    <row r="311" spans="1:12" x14ac:dyDescent="0.25">
      <c r="A311" s="10">
        <f t="shared" si="12"/>
        <v>1</v>
      </c>
      <c r="B311" s="10">
        <f t="shared" si="13"/>
        <v>11</v>
      </c>
      <c r="C311" s="9">
        <v>58</v>
      </c>
      <c r="D311" s="160">
        <v>45231</v>
      </c>
      <c r="E311" s="246">
        <v>58</v>
      </c>
      <c r="F311" s="247"/>
      <c r="G311" s="248">
        <v>1201</v>
      </c>
      <c r="H311" s="249" t="s">
        <v>21</v>
      </c>
      <c r="I311" s="250">
        <v>239.4</v>
      </c>
      <c r="J311" s="250"/>
      <c r="K311" s="161"/>
      <c r="L311" s="9">
        <f>ROW()</f>
        <v>311</v>
      </c>
    </row>
    <row r="312" spans="1:12" x14ac:dyDescent="0.25">
      <c r="A312" s="10">
        <f t="shared" si="12"/>
        <v>1</v>
      </c>
      <c r="B312" s="10">
        <f t="shared" si="13"/>
        <v>11</v>
      </c>
      <c r="C312" s="9">
        <v>58</v>
      </c>
      <c r="D312" s="160">
        <v>45231</v>
      </c>
      <c r="E312" s="246">
        <v>58</v>
      </c>
      <c r="F312" s="247"/>
      <c r="G312" s="248">
        <v>1000</v>
      </c>
      <c r="H312" s="249" t="s">
        <v>13</v>
      </c>
      <c r="I312" s="250"/>
      <c r="J312" s="250">
        <v>2759.4</v>
      </c>
      <c r="K312" s="161"/>
      <c r="L312" s="9">
        <f>ROW()</f>
        <v>312</v>
      </c>
    </row>
    <row r="313" spans="1:12" ht="15.75" thickBot="1" x14ac:dyDescent="0.3">
      <c r="A313" s="10">
        <f t="shared" si="12"/>
        <v>1</v>
      </c>
      <c r="B313" s="10">
        <f t="shared" si="13"/>
        <v>11</v>
      </c>
      <c r="C313" s="9">
        <v>58</v>
      </c>
      <c r="D313" s="162">
        <v>45231</v>
      </c>
      <c r="E313" s="163">
        <v>58</v>
      </c>
      <c r="F313" s="164"/>
      <c r="G313" s="165"/>
      <c r="H313" s="169" t="s">
        <v>230</v>
      </c>
      <c r="I313" s="170"/>
      <c r="J313" s="170"/>
      <c r="K313" s="171"/>
      <c r="L313" s="9">
        <f>ROW()</f>
        <v>313</v>
      </c>
    </row>
    <row r="314" spans="1:12" ht="15.75" thickBot="1" x14ac:dyDescent="0.3">
      <c r="A314" s="10">
        <f t="shared" si="12"/>
        <v>1</v>
      </c>
      <c r="B314" s="10">
        <f t="shared" si="13"/>
        <v>11</v>
      </c>
      <c r="C314" s="9">
        <v>58</v>
      </c>
      <c r="D314" s="78">
        <v>45231</v>
      </c>
      <c r="E314" s="79">
        <v>58</v>
      </c>
      <c r="F314" s="80"/>
      <c r="L314" s="9">
        <f>ROW()</f>
        <v>314</v>
      </c>
    </row>
    <row r="315" spans="1:12" x14ac:dyDescent="0.25">
      <c r="A315" s="10">
        <f t="shared" si="12"/>
        <v>27</v>
      </c>
      <c r="B315" s="10">
        <f t="shared" si="13"/>
        <v>9</v>
      </c>
      <c r="C315" s="9">
        <v>59</v>
      </c>
      <c r="D315" s="157" t="s">
        <v>232</v>
      </c>
      <c r="E315" s="158">
        <v>59</v>
      </c>
      <c r="F315" s="134"/>
      <c r="G315" s="114">
        <v>5020</v>
      </c>
      <c r="H315" s="134" t="s">
        <v>133</v>
      </c>
      <c r="I315" s="99">
        <v>650</v>
      </c>
      <c r="J315" s="99"/>
      <c r="K315" s="159"/>
      <c r="L315" s="9">
        <f>ROW()</f>
        <v>315</v>
      </c>
    </row>
    <row r="316" spans="1:12" x14ac:dyDescent="0.25">
      <c r="A316" s="10">
        <f t="shared" si="12"/>
        <v>27</v>
      </c>
      <c r="B316" s="10">
        <f t="shared" si="13"/>
        <v>9</v>
      </c>
      <c r="C316" s="9">
        <v>59</v>
      </c>
      <c r="D316" s="160" t="s">
        <v>232</v>
      </c>
      <c r="E316" s="246">
        <v>59</v>
      </c>
      <c r="F316" s="247"/>
      <c r="G316" s="248">
        <v>1200</v>
      </c>
      <c r="H316" s="249" t="s">
        <v>19</v>
      </c>
      <c r="I316" s="250">
        <v>32.5</v>
      </c>
      <c r="J316" s="250"/>
      <c r="K316" s="161"/>
      <c r="L316" s="9">
        <f>ROW()</f>
        <v>316</v>
      </c>
    </row>
    <row r="317" spans="1:12" x14ac:dyDescent="0.25">
      <c r="A317" s="10">
        <f t="shared" si="12"/>
        <v>27</v>
      </c>
      <c r="B317" s="10">
        <f t="shared" si="13"/>
        <v>9</v>
      </c>
      <c r="C317" s="9">
        <v>59</v>
      </c>
      <c r="D317" s="160" t="s">
        <v>232</v>
      </c>
      <c r="E317" s="246">
        <v>59</v>
      </c>
      <c r="F317" s="247"/>
      <c r="G317" s="248">
        <v>1201</v>
      </c>
      <c r="H317" s="249" t="s">
        <v>21</v>
      </c>
      <c r="I317" s="250">
        <v>64.84</v>
      </c>
      <c r="J317" s="250"/>
      <c r="K317" s="161"/>
      <c r="L317" s="9">
        <f>ROW()</f>
        <v>317</v>
      </c>
    </row>
    <row r="318" spans="1:12" x14ac:dyDescent="0.25">
      <c r="A318" s="10">
        <f t="shared" si="12"/>
        <v>27</v>
      </c>
      <c r="B318" s="10">
        <f t="shared" si="13"/>
        <v>9</v>
      </c>
      <c r="C318" s="9">
        <v>59</v>
      </c>
      <c r="D318" s="160" t="s">
        <v>232</v>
      </c>
      <c r="E318" s="246">
        <v>59</v>
      </c>
      <c r="F318" s="247"/>
      <c r="G318" s="248">
        <v>1000</v>
      </c>
      <c r="H318" s="249" t="s">
        <v>13</v>
      </c>
      <c r="I318" s="250"/>
      <c r="J318" s="250">
        <v>747.34</v>
      </c>
      <c r="K318" s="161"/>
      <c r="L318" s="9">
        <f>ROW()</f>
        <v>318</v>
      </c>
    </row>
    <row r="319" spans="1:12" ht="15.75" thickBot="1" x14ac:dyDescent="0.3">
      <c r="A319" s="10">
        <f t="shared" si="12"/>
        <v>27</v>
      </c>
      <c r="B319" s="10">
        <f t="shared" si="13"/>
        <v>9</v>
      </c>
      <c r="C319" s="9">
        <v>59</v>
      </c>
      <c r="D319" s="162" t="s">
        <v>232</v>
      </c>
      <c r="E319" s="163">
        <v>59</v>
      </c>
      <c r="F319" s="164"/>
      <c r="G319" s="165"/>
      <c r="H319" s="169" t="s">
        <v>231</v>
      </c>
      <c r="I319" s="170"/>
      <c r="J319" s="170"/>
      <c r="K319" s="171"/>
      <c r="L319" s="9">
        <f>ROW()</f>
        <v>319</v>
      </c>
    </row>
    <row r="320" spans="1:12" ht="15.75" thickBot="1" x14ac:dyDescent="0.3">
      <c r="A320" s="10">
        <f t="shared" si="12"/>
        <v>27</v>
      </c>
      <c r="B320" s="10">
        <f t="shared" si="13"/>
        <v>9</v>
      </c>
      <c r="C320" s="9">
        <v>59</v>
      </c>
      <c r="D320" s="78" t="s">
        <v>232</v>
      </c>
      <c r="E320" s="79">
        <v>59</v>
      </c>
      <c r="F320" s="80"/>
      <c r="L320" s="9">
        <f>ROW()</f>
        <v>320</v>
      </c>
    </row>
    <row r="321" spans="1:12" x14ac:dyDescent="0.25">
      <c r="A321" s="10">
        <f t="shared" si="12"/>
        <v>14</v>
      </c>
      <c r="B321" s="10">
        <f t="shared" si="13"/>
        <v>10</v>
      </c>
      <c r="C321" s="9">
        <v>60</v>
      </c>
      <c r="D321" s="157" t="s">
        <v>220</v>
      </c>
      <c r="E321" s="158">
        <v>60</v>
      </c>
      <c r="F321" s="134"/>
      <c r="G321" s="114" t="s">
        <v>217</v>
      </c>
      <c r="H321" s="134" t="s">
        <v>218</v>
      </c>
      <c r="I321" s="99">
        <v>129.94999999999999</v>
      </c>
      <c r="J321" s="99"/>
      <c r="K321" s="159"/>
      <c r="L321" s="9">
        <f>ROW()</f>
        <v>321</v>
      </c>
    </row>
    <row r="322" spans="1:12" x14ac:dyDescent="0.25">
      <c r="A322" s="10">
        <f t="shared" si="12"/>
        <v>14</v>
      </c>
      <c r="B322" s="10">
        <f t="shared" si="13"/>
        <v>10</v>
      </c>
      <c r="C322" s="9">
        <v>60</v>
      </c>
      <c r="D322" s="160" t="s">
        <v>220</v>
      </c>
      <c r="E322" s="246">
        <v>60</v>
      </c>
      <c r="F322" s="247"/>
      <c r="G322" s="248">
        <v>1200</v>
      </c>
      <c r="H322" s="249" t="s">
        <v>19</v>
      </c>
      <c r="I322" s="250">
        <v>6.5</v>
      </c>
      <c r="J322" s="250"/>
      <c r="K322" s="161"/>
      <c r="L322" s="9">
        <f>ROW()</f>
        <v>322</v>
      </c>
    </row>
    <row r="323" spans="1:12" x14ac:dyDescent="0.25">
      <c r="A323" s="10">
        <f t="shared" si="12"/>
        <v>14</v>
      </c>
      <c r="B323" s="10">
        <f t="shared" si="13"/>
        <v>10</v>
      </c>
      <c r="C323" s="9">
        <v>60</v>
      </c>
      <c r="D323" s="160" t="s">
        <v>220</v>
      </c>
      <c r="E323" s="246">
        <v>60</v>
      </c>
      <c r="F323" s="247"/>
      <c r="G323" s="248">
        <v>1201</v>
      </c>
      <c r="H323" s="249" t="s">
        <v>21</v>
      </c>
      <c r="I323" s="250">
        <v>12.96</v>
      </c>
      <c r="J323" s="250"/>
      <c r="K323" s="161"/>
      <c r="L323" s="9">
        <f>ROW()</f>
        <v>323</v>
      </c>
    </row>
    <row r="324" spans="1:12" x14ac:dyDescent="0.25">
      <c r="A324" s="10">
        <f t="shared" si="12"/>
        <v>14</v>
      </c>
      <c r="B324" s="10">
        <f t="shared" si="13"/>
        <v>10</v>
      </c>
      <c r="C324" s="9">
        <v>60</v>
      </c>
      <c r="D324" s="160" t="s">
        <v>220</v>
      </c>
      <c r="E324" s="246">
        <v>60</v>
      </c>
      <c r="F324" s="247"/>
      <c r="G324" s="248">
        <v>2000</v>
      </c>
      <c r="H324" s="249" t="s">
        <v>54</v>
      </c>
      <c r="I324" s="250"/>
      <c r="J324" s="250">
        <v>149.41</v>
      </c>
      <c r="K324" s="161" t="s">
        <v>222</v>
      </c>
      <c r="L324" s="9">
        <f>ROW()</f>
        <v>324</v>
      </c>
    </row>
    <row r="325" spans="1:12" ht="15.75" thickBot="1" x14ac:dyDescent="0.3">
      <c r="A325" s="10">
        <f t="shared" si="12"/>
        <v>14</v>
      </c>
      <c r="B325" s="10">
        <f t="shared" si="13"/>
        <v>10</v>
      </c>
      <c r="C325" s="9">
        <v>60</v>
      </c>
      <c r="D325" s="162" t="s">
        <v>220</v>
      </c>
      <c r="E325" s="163">
        <v>60</v>
      </c>
      <c r="F325" s="164"/>
      <c r="G325" s="165"/>
      <c r="H325" s="169" t="s">
        <v>223</v>
      </c>
      <c r="I325" s="170"/>
      <c r="J325" s="170"/>
      <c r="K325" s="171"/>
      <c r="L325" s="9">
        <f>ROW()</f>
        <v>325</v>
      </c>
    </row>
    <row r="326" spans="1:12" ht="15.75" thickBot="1" x14ac:dyDescent="0.3">
      <c r="A326" s="10">
        <f t="shared" si="12"/>
        <v>14</v>
      </c>
      <c r="B326" s="10">
        <f t="shared" si="13"/>
        <v>10</v>
      </c>
      <c r="C326" s="9">
        <v>60</v>
      </c>
      <c r="D326" s="78" t="s">
        <v>220</v>
      </c>
      <c r="E326" s="79">
        <v>60</v>
      </c>
      <c r="F326" s="80"/>
      <c r="L326" s="9">
        <f>ROW()</f>
        <v>326</v>
      </c>
    </row>
    <row r="327" spans="1:12" x14ac:dyDescent="0.25">
      <c r="A327" s="10">
        <f t="shared" ref="A327:A339" si="14">DAY(D327)</f>
        <v>29</v>
      </c>
      <c r="B327" s="10">
        <f t="shared" ref="B327:B339" si="15">MONTH(D327)</f>
        <v>9</v>
      </c>
      <c r="C327" s="9">
        <v>61</v>
      </c>
      <c r="D327" s="157" t="s">
        <v>229</v>
      </c>
      <c r="E327" s="158">
        <v>61</v>
      </c>
      <c r="F327" s="134"/>
      <c r="G327" s="114">
        <v>1100</v>
      </c>
      <c r="H327" s="134" t="s">
        <v>15</v>
      </c>
      <c r="I327" s="99">
        <v>262.44</v>
      </c>
      <c r="J327" s="99"/>
      <c r="K327" s="159"/>
      <c r="L327" s="9">
        <f>ROW()</f>
        <v>327</v>
      </c>
    </row>
    <row r="328" spans="1:12" x14ac:dyDescent="0.25">
      <c r="A328" s="10">
        <f t="shared" si="14"/>
        <v>29</v>
      </c>
      <c r="B328" s="10">
        <f t="shared" si="15"/>
        <v>9</v>
      </c>
      <c r="C328" s="9">
        <v>61</v>
      </c>
      <c r="D328" s="160" t="s">
        <v>229</v>
      </c>
      <c r="E328" s="246">
        <v>61</v>
      </c>
      <c r="F328" s="247"/>
      <c r="G328" s="248">
        <v>4000</v>
      </c>
      <c r="H328" s="249" t="s">
        <v>88</v>
      </c>
      <c r="I328" s="250"/>
      <c r="J328" s="250">
        <v>250</v>
      </c>
      <c r="K328" s="161"/>
      <c r="L328" s="9">
        <f>ROW()</f>
        <v>328</v>
      </c>
    </row>
    <row r="329" spans="1:12" x14ac:dyDescent="0.25">
      <c r="A329" s="10">
        <f t="shared" si="14"/>
        <v>29</v>
      </c>
      <c r="B329" s="10">
        <f t="shared" si="15"/>
        <v>9</v>
      </c>
      <c r="C329" s="9">
        <v>61</v>
      </c>
      <c r="D329" s="160" t="s">
        <v>229</v>
      </c>
      <c r="E329" s="246">
        <v>61</v>
      </c>
      <c r="F329" s="247"/>
      <c r="G329" s="248">
        <v>1202</v>
      </c>
      <c r="H329" s="249" t="s">
        <v>23</v>
      </c>
      <c r="I329" s="250"/>
      <c r="J329" s="250">
        <v>12.5</v>
      </c>
      <c r="K329" s="161"/>
      <c r="L329" s="9">
        <f>ROW()</f>
        <v>329</v>
      </c>
    </row>
    <row r="330" spans="1:12" x14ac:dyDescent="0.25">
      <c r="A330" s="10">
        <f t="shared" si="14"/>
        <v>29</v>
      </c>
      <c r="B330" s="10">
        <f t="shared" si="15"/>
        <v>9</v>
      </c>
      <c r="C330" s="9">
        <v>61</v>
      </c>
      <c r="D330" s="160" t="s">
        <v>229</v>
      </c>
      <c r="E330" s="246">
        <v>61</v>
      </c>
      <c r="F330" s="247"/>
      <c r="G330" s="248">
        <v>1201</v>
      </c>
      <c r="H330" s="249" t="s">
        <v>21</v>
      </c>
      <c r="I330" s="250"/>
      <c r="J330" s="250">
        <v>24.94</v>
      </c>
      <c r="K330" s="161"/>
      <c r="L330" s="9">
        <f>ROW()</f>
        <v>330</v>
      </c>
    </row>
    <row r="331" spans="1:12" x14ac:dyDescent="0.25">
      <c r="A331" s="10">
        <f t="shared" si="14"/>
        <v>29</v>
      </c>
      <c r="B331" s="10">
        <f t="shared" si="15"/>
        <v>9</v>
      </c>
      <c r="C331" s="9">
        <v>61</v>
      </c>
      <c r="D331" s="160" t="s">
        <v>229</v>
      </c>
      <c r="E331" s="246">
        <v>61</v>
      </c>
      <c r="F331" s="247"/>
      <c r="G331" s="248">
        <v>1230</v>
      </c>
      <c r="H331" s="249" t="s">
        <v>33</v>
      </c>
      <c r="I331" s="250">
        <v>25</v>
      </c>
      <c r="J331" s="250"/>
      <c r="K331" s="161"/>
      <c r="L331" s="9">
        <f>ROW()</f>
        <v>331</v>
      </c>
    </row>
    <row r="332" spans="1:12" ht="15.75" thickBot="1" x14ac:dyDescent="0.3">
      <c r="A332" s="10">
        <f t="shared" si="14"/>
        <v>29</v>
      </c>
      <c r="B332" s="10">
        <f t="shared" si="15"/>
        <v>9</v>
      </c>
      <c r="C332" s="9">
        <v>61</v>
      </c>
      <c r="D332" s="162" t="s">
        <v>229</v>
      </c>
      <c r="E332" s="163">
        <v>61</v>
      </c>
      <c r="F332" s="164"/>
      <c r="G332" s="165"/>
      <c r="H332" s="169" t="s">
        <v>228</v>
      </c>
      <c r="I332" s="170"/>
      <c r="J332" s="170"/>
      <c r="K332" s="171"/>
      <c r="L332" s="9">
        <f>ROW()</f>
        <v>332</v>
      </c>
    </row>
    <row r="333" spans="1:12" ht="15.75" thickBot="1" x14ac:dyDescent="0.3">
      <c r="A333" s="10">
        <f t="shared" si="14"/>
        <v>29</v>
      </c>
      <c r="B333" s="10">
        <f t="shared" si="15"/>
        <v>9</v>
      </c>
      <c r="C333" s="9">
        <v>61</v>
      </c>
      <c r="D333" s="78" t="s">
        <v>229</v>
      </c>
      <c r="E333" s="79">
        <v>61</v>
      </c>
      <c r="F333" s="80"/>
      <c r="L333" s="9">
        <f>ROW()</f>
        <v>333</v>
      </c>
    </row>
    <row r="334" spans="1:12" x14ac:dyDescent="0.25">
      <c r="A334" s="10">
        <f t="shared" si="14"/>
        <v>1</v>
      </c>
      <c r="B334" s="10">
        <f t="shared" si="15"/>
        <v>11</v>
      </c>
      <c r="C334" s="9">
        <v>62</v>
      </c>
      <c r="D334" s="157">
        <v>45231</v>
      </c>
      <c r="E334" s="158">
        <v>62</v>
      </c>
      <c r="F334" s="134"/>
      <c r="G334" s="114">
        <v>5007</v>
      </c>
      <c r="H334" s="134" t="s">
        <v>117</v>
      </c>
      <c r="I334" s="99">
        <v>2400</v>
      </c>
      <c r="J334" s="99"/>
      <c r="K334" s="159"/>
      <c r="L334" s="9">
        <f>ROW()</f>
        <v>334</v>
      </c>
    </row>
    <row r="335" spans="1:12" x14ac:dyDescent="0.25">
      <c r="A335" s="10">
        <f t="shared" si="14"/>
        <v>1</v>
      </c>
      <c r="B335" s="10">
        <f t="shared" si="15"/>
        <v>11</v>
      </c>
      <c r="C335" s="9">
        <v>62</v>
      </c>
      <c r="D335" s="160">
        <v>45231</v>
      </c>
      <c r="E335" s="246">
        <v>62</v>
      </c>
      <c r="F335" s="247"/>
      <c r="G335" s="248">
        <v>1200</v>
      </c>
      <c r="H335" s="249" t="s">
        <v>19</v>
      </c>
      <c r="I335" s="250">
        <v>120</v>
      </c>
      <c r="J335" s="250"/>
      <c r="K335" s="161"/>
      <c r="L335" s="9">
        <f>ROW()</f>
        <v>335</v>
      </c>
    </row>
    <row r="336" spans="1:12" x14ac:dyDescent="0.25">
      <c r="A336" s="10">
        <f t="shared" si="14"/>
        <v>1</v>
      </c>
      <c r="B336" s="10">
        <f t="shared" si="15"/>
        <v>11</v>
      </c>
      <c r="C336" s="9">
        <v>62</v>
      </c>
      <c r="D336" s="160">
        <v>45231</v>
      </c>
      <c r="E336" s="246">
        <v>62</v>
      </c>
      <c r="F336" s="247"/>
      <c r="G336" s="248">
        <v>1201</v>
      </c>
      <c r="H336" s="249" t="s">
        <v>21</v>
      </c>
      <c r="I336" s="250">
        <v>239.4</v>
      </c>
      <c r="J336" s="250"/>
      <c r="K336" s="161"/>
      <c r="L336" s="9">
        <f>ROW()</f>
        <v>336</v>
      </c>
    </row>
    <row r="337" spans="1:12" x14ac:dyDescent="0.25">
      <c r="A337" s="10">
        <f t="shared" si="14"/>
        <v>1</v>
      </c>
      <c r="B337" s="10">
        <f t="shared" si="15"/>
        <v>11</v>
      </c>
      <c r="C337" s="9">
        <v>62</v>
      </c>
      <c r="D337" s="160">
        <v>45231</v>
      </c>
      <c r="E337" s="246">
        <v>62</v>
      </c>
      <c r="F337" s="247"/>
      <c r="G337" s="248">
        <v>1000</v>
      </c>
      <c r="H337" s="249" t="s">
        <v>13</v>
      </c>
      <c r="I337" s="250"/>
      <c r="J337" s="250">
        <v>2759.4</v>
      </c>
      <c r="K337" s="161"/>
      <c r="L337" s="9">
        <f>ROW()</f>
        <v>337</v>
      </c>
    </row>
    <row r="338" spans="1:12" ht="15.75" thickBot="1" x14ac:dyDescent="0.3">
      <c r="A338" s="10">
        <f t="shared" si="14"/>
        <v>1</v>
      </c>
      <c r="B338" s="10">
        <f t="shared" si="15"/>
        <v>11</v>
      </c>
      <c r="C338" s="9">
        <v>62</v>
      </c>
      <c r="D338" s="162">
        <v>45231</v>
      </c>
      <c r="E338" s="163">
        <v>62</v>
      </c>
      <c r="F338" s="164"/>
      <c r="G338" s="165"/>
      <c r="H338" s="169" t="s">
        <v>230</v>
      </c>
      <c r="I338" s="170"/>
      <c r="J338" s="170"/>
      <c r="K338" s="171"/>
      <c r="L338" s="9">
        <f>ROW()</f>
        <v>338</v>
      </c>
    </row>
    <row r="339" spans="1:12" x14ac:dyDescent="0.25">
      <c r="A339" s="10">
        <f t="shared" si="14"/>
        <v>1</v>
      </c>
      <c r="B339" s="10">
        <f t="shared" si="15"/>
        <v>11</v>
      </c>
      <c r="C339" s="9">
        <v>62</v>
      </c>
      <c r="D339" s="78">
        <v>45231</v>
      </c>
      <c r="E339" s="79">
        <v>62</v>
      </c>
      <c r="F339" s="80"/>
      <c r="L339" s="9">
        <f>ROW()</f>
        <v>339</v>
      </c>
    </row>
  </sheetData>
  <autoFilter ref="A1:L297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L30"/>
  <sheetViews>
    <sheetView workbookViewId="0">
      <selection activeCell="B32" sqref="B32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42.42578125" bestFit="1" customWidth="1"/>
    <col min="9" max="9" width="7.5703125" style="9" bestFit="1" customWidth="1"/>
    <col min="10" max="10" width="3.7109375" customWidth="1"/>
    <col min="11" max="11" width="48.85546875" bestFit="1" customWidth="1"/>
    <col min="12" max="12" width="11.42578125" style="10"/>
  </cols>
  <sheetData>
    <row r="1" spans="1:12" ht="26.25" thickBot="1" x14ac:dyDescent="0.3">
      <c r="A1" s="124" t="s">
        <v>208</v>
      </c>
      <c r="B1" s="214">
        <v>6</v>
      </c>
      <c r="C1" s="115"/>
      <c r="D1" s="117" t="s">
        <v>181</v>
      </c>
      <c r="E1" s="141" t="s">
        <v>1</v>
      </c>
      <c r="F1" s="118" t="s">
        <v>2</v>
      </c>
      <c r="G1" s="118" t="s">
        <v>3</v>
      </c>
      <c r="H1" s="116" t="s">
        <v>142</v>
      </c>
      <c r="I1" s="115"/>
      <c r="K1" s="116" t="s">
        <v>10</v>
      </c>
      <c r="L1" s="117" t="s">
        <v>215</v>
      </c>
    </row>
    <row r="2" spans="1:12" x14ac:dyDescent="0.25">
      <c r="C2" s="9">
        <v>1</v>
      </c>
      <c r="D2" s="215">
        <v>5013</v>
      </c>
      <c r="E2" s="83" t="s">
        <v>127</v>
      </c>
      <c r="F2" s="84">
        <v>29.95</v>
      </c>
      <c r="G2" s="84"/>
      <c r="H2" s="85"/>
      <c r="I2" s="9">
        <f>ROW()</f>
        <v>2</v>
      </c>
      <c r="K2" t="s">
        <v>186</v>
      </c>
      <c r="L2" s="10">
        <v>1</v>
      </c>
    </row>
    <row r="3" spans="1:12" x14ac:dyDescent="0.25">
      <c r="C3" s="9">
        <v>1</v>
      </c>
      <c r="D3" s="216">
        <v>1000</v>
      </c>
      <c r="E3" s="147" t="s">
        <v>13</v>
      </c>
      <c r="F3" s="87"/>
      <c r="G3" s="87">
        <v>29.95</v>
      </c>
      <c r="H3" s="88"/>
      <c r="I3" s="9">
        <f>ROW()</f>
        <v>3</v>
      </c>
      <c r="K3" t="s">
        <v>213</v>
      </c>
      <c r="L3" s="10">
        <v>2</v>
      </c>
    </row>
    <row r="4" spans="1:12" ht="15.75" thickBot="1" x14ac:dyDescent="0.3">
      <c r="C4" s="9">
        <v>1</v>
      </c>
      <c r="D4" s="217"/>
      <c r="E4" s="220" t="s">
        <v>186</v>
      </c>
      <c r="F4" s="218"/>
      <c r="G4" s="218"/>
      <c r="H4" s="219"/>
      <c r="I4" s="9">
        <f>ROW()</f>
        <v>4</v>
      </c>
      <c r="K4" t="s">
        <v>212</v>
      </c>
      <c r="L4" s="10">
        <v>3</v>
      </c>
    </row>
    <row r="5" spans="1:12" ht="15.75" thickBot="1" x14ac:dyDescent="0.3">
      <c r="C5" s="9">
        <v>1</v>
      </c>
      <c r="I5" s="9">
        <f>ROW()</f>
        <v>5</v>
      </c>
      <c r="K5" t="s">
        <v>214</v>
      </c>
      <c r="L5" s="10">
        <v>4</v>
      </c>
    </row>
    <row r="6" spans="1:12" x14ac:dyDescent="0.25">
      <c r="C6" s="9">
        <v>2</v>
      </c>
      <c r="D6" s="215">
        <v>1100</v>
      </c>
      <c r="E6" s="83" t="s">
        <v>15</v>
      </c>
      <c r="F6" s="84">
        <v>262.44</v>
      </c>
      <c r="G6" s="84"/>
      <c r="H6" s="85"/>
      <c r="I6" s="9">
        <f>ROW()</f>
        <v>6</v>
      </c>
      <c r="K6" t="s">
        <v>221</v>
      </c>
      <c r="L6" s="10">
        <v>5</v>
      </c>
    </row>
    <row r="7" spans="1:12" x14ac:dyDescent="0.25">
      <c r="C7" s="9">
        <v>2</v>
      </c>
      <c r="D7" s="216">
        <v>4000</v>
      </c>
      <c r="E7" s="147" t="s">
        <v>88</v>
      </c>
      <c r="F7" s="87"/>
      <c r="G7" s="87">
        <v>250</v>
      </c>
      <c r="H7" s="88"/>
      <c r="I7" s="9">
        <f>ROW()</f>
        <v>7</v>
      </c>
    </row>
    <row r="8" spans="1:12" x14ac:dyDescent="0.25">
      <c r="C8" s="9">
        <v>2</v>
      </c>
      <c r="D8" s="216">
        <v>1202</v>
      </c>
      <c r="E8" s="147" t="s">
        <v>23</v>
      </c>
      <c r="F8" s="87"/>
      <c r="G8" s="87">
        <v>12.5</v>
      </c>
      <c r="H8" s="88"/>
      <c r="I8" s="9">
        <f>ROW()</f>
        <v>8</v>
      </c>
    </row>
    <row r="9" spans="1:12" x14ac:dyDescent="0.25">
      <c r="C9" s="9">
        <v>2</v>
      </c>
      <c r="D9" s="216">
        <v>1201</v>
      </c>
      <c r="E9" s="147" t="s">
        <v>21</v>
      </c>
      <c r="F9" s="87"/>
      <c r="G9" s="87">
        <v>24.94</v>
      </c>
      <c r="H9" s="88"/>
      <c r="I9" s="9">
        <f>ROW()</f>
        <v>9</v>
      </c>
    </row>
    <row r="10" spans="1:12" x14ac:dyDescent="0.25">
      <c r="C10" s="9">
        <v>2</v>
      </c>
      <c r="D10" s="216">
        <v>1230</v>
      </c>
      <c r="E10" s="147" t="s">
        <v>33</v>
      </c>
      <c r="F10" s="87">
        <v>25</v>
      </c>
      <c r="G10" s="87"/>
      <c r="H10" s="88"/>
      <c r="I10" s="9">
        <f>ROW()</f>
        <v>10</v>
      </c>
    </row>
    <row r="11" spans="1:12" ht="15.75" thickBot="1" x14ac:dyDescent="0.3">
      <c r="C11" s="9">
        <v>3</v>
      </c>
      <c r="D11" s="217"/>
      <c r="E11" s="220" t="s">
        <v>213</v>
      </c>
      <c r="F11" s="218"/>
      <c r="G11" s="218"/>
      <c r="H11" s="219"/>
      <c r="I11" s="9">
        <f>ROW()</f>
        <v>11</v>
      </c>
    </row>
    <row r="12" spans="1:12" ht="15.75" thickBot="1" x14ac:dyDescent="0.3">
      <c r="C12" s="9">
        <v>3</v>
      </c>
      <c r="E12" s="221"/>
      <c r="I12" s="9">
        <f>ROW()</f>
        <v>12</v>
      </c>
    </row>
    <row r="13" spans="1:12" x14ac:dyDescent="0.25">
      <c r="C13" s="9">
        <v>3</v>
      </c>
      <c r="D13" s="215">
        <v>5007</v>
      </c>
      <c r="E13" s="83" t="s">
        <v>117</v>
      </c>
      <c r="F13" s="84">
        <v>2400</v>
      </c>
      <c r="G13" s="84"/>
      <c r="H13" s="85"/>
      <c r="I13" s="9">
        <f>ROW()</f>
        <v>13</v>
      </c>
    </row>
    <row r="14" spans="1:12" x14ac:dyDescent="0.25">
      <c r="C14" s="9">
        <v>3</v>
      </c>
      <c r="D14" s="216">
        <v>1200</v>
      </c>
      <c r="E14" s="147" t="s">
        <v>19</v>
      </c>
      <c r="F14" s="87">
        <v>120</v>
      </c>
      <c r="G14" s="87"/>
      <c r="H14" s="88"/>
      <c r="I14" s="9">
        <f>ROW()</f>
        <v>14</v>
      </c>
    </row>
    <row r="15" spans="1:12" x14ac:dyDescent="0.25">
      <c r="C15" s="9">
        <v>3</v>
      </c>
      <c r="D15" s="216">
        <v>1201</v>
      </c>
      <c r="E15" s="147" t="s">
        <v>21</v>
      </c>
      <c r="F15" s="87">
        <v>239.4</v>
      </c>
      <c r="G15" s="87"/>
      <c r="H15" s="88"/>
      <c r="I15" s="9">
        <f>ROW()</f>
        <v>15</v>
      </c>
    </row>
    <row r="16" spans="1:12" x14ac:dyDescent="0.25">
      <c r="C16" s="9">
        <v>3</v>
      </c>
      <c r="D16" s="216">
        <v>1000</v>
      </c>
      <c r="E16" s="147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17"/>
      <c r="E17" s="220" t="s">
        <v>212</v>
      </c>
      <c r="F17" s="218"/>
      <c r="G17" s="218"/>
      <c r="H17" s="219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11">
        <v>5020</v>
      </c>
      <c r="E19" s="134" t="s">
        <v>133</v>
      </c>
      <c r="F19" s="99">
        <v>650</v>
      </c>
      <c r="G19" s="99"/>
      <c r="H19" s="159"/>
      <c r="I19" s="9">
        <f>ROW()</f>
        <v>19</v>
      </c>
    </row>
    <row r="20" spans="3:9" x14ac:dyDescent="0.25">
      <c r="C20" s="9">
        <v>4</v>
      </c>
      <c r="D20" s="212">
        <v>1200</v>
      </c>
      <c r="E20" s="45" t="s">
        <v>19</v>
      </c>
      <c r="F20" s="28">
        <v>32.5</v>
      </c>
      <c r="H20" s="161"/>
      <c r="I20" s="9">
        <f>ROW()</f>
        <v>20</v>
      </c>
    </row>
    <row r="21" spans="3:9" x14ac:dyDescent="0.25">
      <c r="C21" s="9">
        <v>4</v>
      </c>
      <c r="D21" s="212">
        <v>1201</v>
      </c>
      <c r="E21" s="45" t="s">
        <v>21</v>
      </c>
      <c r="F21" s="28">
        <v>64.84</v>
      </c>
      <c r="H21" s="161"/>
      <c r="I21" s="9">
        <f>ROW()</f>
        <v>21</v>
      </c>
    </row>
    <row r="22" spans="3:9" x14ac:dyDescent="0.25">
      <c r="C22" s="9">
        <v>4</v>
      </c>
      <c r="D22" s="212">
        <v>1000</v>
      </c>
      <c r="E22" s="45" t="s">
        <v>13</v>
      </c>
      <c r="G22" s="28">
        <v>747.34</v>
      </c>
      <c r="H22" s="161"/>
      <c r="I22" s="9">
        <f>ROW()</f>
        <v>22</v>
      </c>
    </row>
    <row r="23" spans="3:9" ht="15.75" thickBot="1" x14ac:dyDescent="0.3">
      <c r="C23" s="9">
        <v>4</v>
      </c>
      <c r="D23" s="213"/>
      <c r="E23" s="208" t="s">
        <v>214</v>
      </c>
      <c r="F23" s="209"/>
      <c r="G23" s="209"/>
      <c r="H23" s="210"/>
      <c r="I23" s="9">
        <f>ROW()</f>
        <v>23</v>
      </c>
    </row>
    <row r="24" spans="3:9" ht="15.75" thickBot="1" x14ac:dyDescent="0.3">
      <c r="C24" s="9">
        <v>4</v>
      </c>
      <c r="I24" s="9">
        <f>ROW()</f>
        <v>24</v>
      </c>
    </row>
    <row r="25" spans="3:9" x14ac:dyDescent="0.25">
      <c r="C25" s="9">
        <v>5</v>
      </c>
      <c r="D25" s="211" t="s">
        <v>217</v>
      </c>
      <c r="E25" s="134" t="s">
        <v>218</v>
      </c>
      <c r="F25" s="99">
        <v>129.94999999999999</v>
      </c>
      <c r="G25" s="99"/>
      <c r="H25" s="159"/>
      <c r="I25" s="9">
        <f>ROW()</f>
        <v>25</v>
      </c>
    </row>
    <row r="26" spans="3:9" x14ac:dyDescent="0.25">
      <c r="C26" s="9">
        <v>5</v>
      </c>
      <c r="D26" s="212">
        <v>1200</v>
      </c>
      <c r="E26" s="45" t="s">
        <v>19</v>
      </c>
      <c r="F26" s="28">
        <v>6.5</v>
      </c>
      <c r="H26" s="161"/>
      <c r="I26" s="9">
        <f>ROW()</f>
        <v>26</v>
      </c>
    </row>
    <row r="27" spans="3:9" x14ac:dyDescent="0.25">
      <c r="C27" s="9">
        <v>5</v>
      </c>
      <c r="D27" s="212">
        <v>1201</v>
      </c>
      <c r="E27" s="45" t="s">
        <v>21</v>
      </c>
      <c r="F27" s="28">
        <v>12.96</v>
      </c>
      <c r="H27" s="161"/>
      <c r="I27" s="9">
        <f>ROW()</f>
        <v>27</v>
      </c>
    </row>
    <row r="28" spans="3:9" x14ac:dyDescent="0.25">
      <c r="C28" s="9">
        <v>5</v>
      </c>
      <c r="D28" s="212">
        <v>2000</v>
      </c>
      <c r="E28" s="45" t="s">
        <v>54</v>
      </c>
      <c r="G28" s="28">
        <v>149.41</v>
      </c>
      <c r="H28" s="161" t="s">
        <v>222</v>
      </c>
      <c r="I28" s="9">
        <f>ROW()</f>
        <v>28</v>
      </c>
    </row>
    <row r="29" spans="3:9" ht="15.75" thickBot="1" x14ac:dyDescent="0.3">
      <c r="C29" s="9">
        <v>5</v>
      </c>
      <c r="D29" s="213"/>
      <c r="E29" s="208" t="s">
        <v>221</v>
      </c>
      <c r="F29" s="209"/>
      <c r="G29" s="209"/>
      <c r="H29" s="210"/>
      <c r="I29" s="9">
        <f>ROW()</f>
        <v>29</v>
      </c>
    </row>
    <row r="30" spans="3:9" x14ac:dyDescent="0.25">
      <c r="C30" s="9">
        <v>5</v>
      </c>
      <c r="I30" s="9">
        <f>ROW()</f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C1:J67"/>
  <sheetViews>
    <sheetView workbookViewId="0">
      <pane ySplit="3" topLeftCell="A4" activePane="bottomLeft" state="frozen"/>
      <selection pane="bottomLeft" activeCell="K2" sqref="K2"/>
    </sheetView>
  </sheetViews>
  <sheetFormatPr baseColWidth="10" defaultRowHeight="15" x14ac:dyDescent="0.25"/>
  <cols>
    <col min="3" max="3" width="5.7109375" style="125" customWidth="1"/>
    <col min="4" max="4" width="11.42578125" style="10"/>
    <col min="5" max="5" width="37.42578125" bestFit="1" customWidth="1"/>
    <col min="6" max="7" width="13.7109375" style="133" customWidth="1"/>
    <col min="8" max="8" width="5.7109375" style="125" customWidth="1"/>
    <col min="10" max="10" width="12.7109375" customWidth="1"/>
  </cols>
  <sheetData>
    <row r="1" spans="3:10" s="123" customFormat="1" ht="20.100000000000001" customHeight="1" x14ac:dyDescent="0.35">
      <c r="C1" s="245" t="s">
        <v>182</v>
      </c>
      <c r="D1" s="245"/>
      <c r="E1" s="245"/>
      <c r="F1" s="245"/>
      <c r="G1" s="245"/>
      <c r="H1" s="245"/>
    </row>
    <row r="2" spans="3:10" s="123" customFormat="1" ht="15" customHeight="1" x14ac:dyDescent="0.35">
      <c r="C2" s="122"/>
      <c r="D2" s="122"/>
      <c r="E2" s="122"/>
      <c r="F2" s="131"/>
      <c r="G2" s="131"/>
      <c r="H2" s="122"/>
      <c r="I2" s="124" t="s">
        <v>7</v>
      </c>
      <c r="J2" s="196" t="s">
        <v>220</v>
      </c>
    </row>
    <row r="3" spans="3:10" ht="21" x14ac:dyDescent="0.35">
      <c r="C3" s="122"/>
      <c r="D3" s="121" t="s">
        <v>181</v>
      </c>
      <c r="E3" s="121" t="s">
        <v>10</v>
      </c>
      <c r="F3" s="132" t="s">
        <v>2</v>
      </c>
      <c r="G3" s="132" t="s">
        <v>3</v>
      </c>
      <c r="H3" s="122"/>
    </row>
    <row r="4" spans="3:10" x14ac:dyDescent="0.25">
      <c r="D4" t="s">
        <v>12</v>
      </c>
      <c r="E4" t="s">
        <v>13</v>
      </c>
      <c r="F4" s="155">
        <v>42189.87</v>
      </c>
      <c r="G4"/>
      <c r="J4" s="197"/>
    </row>
    <row r="5" spans="3:10" x14ac:dyDescent="0.25">
      <c r="D5" t="s">
        <v>14</v>
      </c>
      <c r="E5" t="s">
        <v>15</v>
      </c>
      <c r="F5" s="155">
        <v>3665.95</v>
      </c>
      <c r="G5"/>
    </row>
    <row r="6" spans="3:10" x14ac:dyDescent="0.25">
      <c r="D6" t="s">
        <v>18</v>
      </c>
      <c r="E6" t="s">
        <v>19</v>
      </c>
      <c r="F6" s="155">
        <v>387.6</v>
      </c>
      <c r="G6"/>
    </row>
    <row r="7" spans="3:10" x14ac:dyDescent="0.25">
      <c r="D7" t="s">
        <v>20</v>
      </c>
      <c r="E7" t="s">
        <v>21</v>
      </c>
      <c r="F7" s="155">
        <v>724.04</v>
      </c>
      <c r="G7"/>
    </row>
    <row r="8" spans="3:10" x14ac:dyDescent="0.25">
      <c r="D8" t="s">
        <v>22</v>
      </c>
      <c r="E8" t="s">
        <v>23</v>
      </c>
      <c r="F8"/>
      <c r="G8" s="155">
        <v>1299.24</v>
      </c>
    </row>
    <row r="9" spans="3:10" x14ac:dyDescent="0.25">
      <c r="D9" t="s">
        <v>24</v>
      </c>
      <c r="E9" t="s">
        <v>25</v>
      </c>
      <c r="F9"/>
      <c r="G9" s="155">
        <v>2591.96</v>
      </c>
    </row>
    <row r="10" spans="3:10" x14ac:dyDescent="0.25">
      <c r="D10" t="s">
        <v>32</v>
      </c>
      <c r="E10" t="s">
        <v>33</v>
      </c>
      <c r="F10" s="155">
        <v>7055</v>
      </c>
      <c r="G10"/>
    </row>
    <row r="11" spans="3:10" x14ac:dyDescent="0.25">
      <c r="D11" t="s">
        <v>34</v>
      </c>
      <c r="E11" t="s">
        <v>35</v>
      </c>
      <c r="F11" s="155">
        <v>3995.99</v>
      </c>
      <c r="G11"/>
    </row>
    <row r="12" spans="3:10" x14ac:dyDescent="0.25">
      <c r="D12" t="s">
        <v>53</v>
      </c>
      <c r="E12" t="s">
        <v>54</v>
      </c>
      <c r="F12"/>
      <c r="G12" s="155">
        <v>5577.74</v>
      </c>
    </row>
    <row r="13" spans="3:10" x14ac:dyDescent="0.25">
      <c r="D13" t="s">
        <v>57</v>
      </c>
      <c r="E13" t="s">
        <v>58</v>
      </c>
      <c r="F13"/>
      <c r="G13" s="155">
        <v>25000</v>
      </c>
    </row>
    <row r="14" spans="3:10" x14ac:dyDescent="0.25">
      <c r="D14" t="s">
        <v>84</v>
      </c>
      <c r="E14" t="s">
        <v>85</v>
      </c>
      <c r="F14" s="155">
        <v>10000</v>
      </c>
      <c r="G14"/>
    </row>
    <row r="15" spans="3:10" x14ac:dyDescent="0.25">
      <c r="D15" t="s">
        <v>87</v>
      </c>
      <c r="E15" t="s">
        <v>88</v>
      </c>
      <c r="F15"/>
      <c r="G15" s="155">
        <v>30550</v>
      </c>
    </row>
    <row r="16" spans="3:10" x14ac:dyDescent="0.25">
      <c r="D16" t="s">
        <v>93</v>
      </c>
      <c r="E16" t="s">
        <v>94</v>
      </c>
      <c r="F16"/>
      <c r="G16" s="155">
        <v>12</v>
      </c>
    </row>
    <row r="17" spans="4:7" x14ac:dyDescent="0.25">
      <c r="D17" t="s">
        <v>106</v>
      </c>
      <c r="E17" t="s">
        <v>107</v>
      </c>
      <c r="F17" s="155">
        <v>404.95</v>
      </c>
      <c r="G17"/>
    </row>
    <row r="18" spans="4:7" x14ac:dyDescent="0.25">
      <c r="D18" t="s">
        <v>114</v>
      </c>
      <c r="E18" t="s">
        <v>115</v>
      </c>
      <c r="F18" s="155">
        <v>226.1</v>
      </c>
      <c r="G18"/>
    </row>
    <row r="19" spans="4:7" x14ac:dyDescent="0.25">
      <c r="D19" t="s">
        <v>116</v>
      </c>
      <c r="E19" t="s">
        <v>117</v>
      </c>
      <c r="F19" s="155">
        <v>2400</v>
      </c>
      <c r="G19"/>
    </row>
    <row r="20" spans="4:7" x14ac:dyDescent="0.25">
      <c r="D20" t="s">
        <v>217</v>
      </c>
      <c r="E20" t="s">
        <v>218</v>
      </c>
      <c r="F20" s="155">
        <v>519.79999999999995</v>
      </c>
      <c r="G20"/>
    </row>
    <row r="21" spans="4:7" x14ac:dyDescent="0.25">
      <c r="D21" t="s">
        <v>118</v>
      </c>
      <c r="E21" t="s">
        <v>119</v>
      </c>
      <c r="F21"/>
      <c r="G21" s="155">
        <v>275</v>
      </c>
    </row>
    <row r="22" spans="4:7" x14ac:dyDescent="0.25">
      <c r="D22" t="s">
        <v>120</v>
      </c>
      <c r="E22" t="s">
        <v>121</v>
      </c>
      <c r="F22"/>
      <c r="G22" s="155">
        <v>355</v>
      </c>
    </row>
    <row r="23" spans="4:7" x14ac:dyDescent="0.25">
      <c r="D23" t="s">
        <v>122</v>
      </c>
      <c r="E23" t="s">
        <v>123</v>
      </c>
      <c r="F23"/>
      <c r="G23" s="155">
        <v>102</v>
      </c>
    </row>
    <row r="24" spans="4:7" x14ac:dyDescent="0.25">
      <c r="D24" t="s">
        <v>124</v>
      </c>
      <c r="E24" t="s">
        <v>125</v>
      </c>
      <c r="F24" s="155">
        <v>795</v>
      </c>
      <c r="G24"/>
    </row>
    <row r="25" spans="4:7" x14ac:dyDescent="0.25">
      <c r="D25" t="s">
        <v>126</v>
      </c>
      <c r="E25" t="s">
        <v>127</v>
      </c>
      <c r="F25"/>
      <c r="G25" s="155">
        <v>7251.36</v>
      </c>
    </row>
    <row r="26" spans="4:7" x14ac:dyDescent="0.25">
      <c r="D26" t="s">
        <v>132</v>
      </c>
      <c r="E26" t="s">
        <v>133</v>
      </c>
      <c r="F26" s="155">
        <v>650</v>
      </c>
      <c r="G26"/>
    </row>
    <row r="27" spans="4:7" x14ac:dyDescent="0.25">
      <c r="D27"/>
      <c r="F27"/>
      <c r="G27"/>
    </row>
    <row r="28" spans="4:7" ht="15.75" thickBot="1" x14ac:dyDescent="0.3">
      <c r="D28"/>
      <c r="F28" s="156">
        <f>SUM(F4:F27)</f>
        <v>73014.3</v>
      </c>
      <c r="G28" s="156">
        <f>SUM(G4:G27)</f>
        <v>73014.3</v>
      </c>
    </row>
    <row r="29" spans="4:7" x14ac:dyDescent="0.25">
      <c r="D29"/>
      <c r="F29"/>
      <c r="G29"/>
    </row>
    <row r="30" spans="4:7" x14ac:dyDescent="0.25">
      <c r="D30"/>
      <c r="F30"/>
      <c r="G30"/>
    </row>
    <row r="31" spans="4:7" x14ac:dyDescent="0.25">
      <c r="D31"/>
      <c r="F31"/>
      <c r="G31"/>
    </row>
    <row r="32" spans="4:7" x14ac:dyDescent="0.25">
      <c r="D32"/>
      <c r="F32"/>
      <c r="G32"/>
    </row>
    <row r="33" spans="4:7" x14ac:dyDescent="0.25">
      <c r="D33"/>
      <c r="F33"/>
      <c r="G33"/>
    </row>
    <row r="34" spans="4:7" x14ac:dyDescent="0.25">
      <c r="D34"/>
      <c r="F34"/>
      <c r="G34"/>
    </row>
    <row r="35" spans="4:7" x14ac:dyDescent="0.25">
      <c r="D35"/>
      <c r="F35"/>
      <c r="G35"/>
    </row>
    <row r="36" spans="4:7" x14ac:dyDescent="0.25">
      <c r="D36"/>
      <c r="F36"/>
      <c r="G36"/>
    </row>
    <row r="37" spans="4:7" x14ac:dyDescent="0.25">
      <c r="D37"/>
      <c r="F37"/>
      <c r="G37"/>
    </row>
    <row r="38" spans="4:7" x14ac:dyDescent="0.25">
      <c r="D38"/>
      <c r="F38"/>
      <c r="G38"/>
    </row>
    <row r="39" spans="4:7" x14ac:dyDescent="0.25">
      <c r="D39"/>
      <c r="F39"/>
      <c r="G39"/>
    </row>
    <row r="40" spans="4:7" x14ac:dyDescent="0.25">
      <c r="D40"/>
      <c r="F40"/>
      <c r="G40"/>
    </row>
    <row r="41" spans="4:7" x14ac:dyDescent="0.25">
      <c r="D41"/>
      <c r="F41"/>
      <c r="G41"/>
    </row>
    <row r="42" spans="4:7" x14ac:dyDescent="0.25">
      <c r="D42"/>
      <c r="F42"/>
      <c r="G42"/>
    </row>
    <row r="43" spans="4:7" x14ac:dyDescent="0.25">
      <c r="D43"/>
      <c r="F43"/>
      <c r="G43"/>
    </row>
    <row r="44" spans="4:7" x14ac:dyDescent="0.25">
      <c r="D44"/>
      <c r="F44"/>
      <c r="G44"/>
    </row>
    <row r="45" spans="4:7" x14ac:dyDescent="0.25">
      <c r="D45"/>
      <c r="F45"/>
      <c r="G45"/>
    </row>
    <row r="46" spans="4:7" x14ac:dyDescent="0.25">
      <c r="D46"/>
      <c r="F46"/>
      <c r="G46"/>
    </row>
    <row r="47" spans="4:7" x14ac:dyDescent="0.25">
      <c r="D47"/>
      <c r="F47"/>
      <c r="G47"/>
    </row>
    <row r="48" spans="4:7" x14ac:dyDescent="0.25">
      <c r="D48"/>
      <c r="F48"/>
      <c r="G48"/>
    </row>
    <row r="49" spans="4:7" x14ac:dyDescent="0.25">
      <c r="D49"/>
      <c r="F49"/>
      <c r="G49"/>
    </row>
    <row r="50" spans="4:7" x14ac:dyDescent="0.25">
      <c r="D50"/>
      <c r="F50"/>
      <c r="G50"/>
    </row>
    <row r="51" spans="4:7" x14ac:dyDescent="0.25">
      <c r="D51"/>
      <c r="F51"/>
      <c r="G51"/>
    </row>
    <row r="52" spans="4:7" x14ac:dyDescent="0.25">
      <c r="D52"/>
      <c r="F52"/>
      <c r="G52"/>
    </row>
    <row r="53" spans="4:7" x14ac:dyDescent="0.25">
      <c r="D53"/>
      <c r="F53"/>
      <c r="G53"/>
    </row>
    <row r="54" spans="4:7" x14ac:dyDescent="0.25">
      <c r="D54"/>
      <c r="F54"/>
      <c r="G54"/>
    </row>
    <row r="55" spans="4:7" x14ac:dyDescent="0.25">
      <c r="D55"/>
      <c r="F55"/>
      <c r="G55"/>
    </row>
    <row r="56" spans="4:7" x14ac:dyDescent="0.25">
      <c r="D56"/>
      <c r="F56"/>
      <c r="G56"/>
    </row>
    <row r="57" spans="4:7" x14ac:dyDescent="0.25">
      <c r="D57"/>
      <c r="F57"/>
      <c r="G57"/>
    </row>
    <row r="58" spans="4:7" x14ac:dyDescent="0.25">
      <c r="D58"/>
      <c r="F58"/>
      <c r="G58"/>
    </row>
    <row r="59" spans="4:7" x14ac:dyDescent="0.25">
      <c r="D59"/>
      <c r="F59"/>
      <c r="G59"/>
    </row>
    <row r="60" spans="4:7" x14ac:dyDescent="0.25">
      <c r="D60"/>
      <c r="F60"/>
      <c r="G60"/>
    </row>
    <row r="61" spans="4:7" x14ac:dyDescent="0.25">
      <c r="D61"/>
      <c r="F61"/>
      <c r="G61"/>
    </row>
    <row r="62" spans="4:7" x14ac:dyDescent="0.25">
      <c r="D62"/>
      <c r="F62"/>
      <c r="G62"/>
    </row>
    <row r="63" spans="4:7" x14ac:dyDescent="0.25">
      <c r="D63"/>
      <c r="F63"/>
      <c r="G63"/>
    </row>
    <row r="64" spans="4:7" x14ac:dyDescent="0.25">
      <c r="D64"/>
      <c r="F64"/>
      <c r="G64"/>
    </row>
    <row r="65" spans="4:7" x14ac:dyDescent="0.25">
      <c r="D65"/>
      <c r="F65"/>
      <c r="G65"/>
    </row>
    <row r="66" spans="4:7" x14ac:dyDescent="0.25">
      <c r="D66"/>
      <c r="F66"/>
      <c r="G66"/>
    </row>
    <row r="67" spans="4:7" x14ac:dyDescent="0.25">
      <c r="D67"/>
      <c r="F67"/>
      <c r="G67"/>
    </row>
  </sheetData>
  <mergeCells count="1">
    <mergeCell ref="C1:H1"/>
  </mergeCells>
  <pageMargins left="0.70866141732283472" right="0.70866141732283472" top="0.74803149606299213" bottom="0.74803149606299213" header="0.31496062992125984" footer="0.31496062992125984"/>
  <pageSetup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3"/>
  <sheetViews>
    <sheetView topLeftCell="A35" workbookViewId="0">
      <selection activeCell="A65" sqref="A65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7" t="s">
        <v>136</v>
      </c>
      <c r="E1" s="127" t="s">
        <v>183</v>
      </c>
      <c r="F1" s="127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6" t="s">
        <v>11</v>
      </c>
      <c r="E3" s="5" t="s">
        <v>12</v>
      </c>
      <c r="F3" s="6" t="s">
        <v>13</v>
      </c>
    </row>
    <row r="4" spans="1:6" x14ac:dyDescent="0.25">
      <c r="A4" s="7" t="str">
        <f t="shared" ref="A4:A52" si="0">F4</f>
        <v>Comptes Clients</v>
      </c>
      <c r="B4" s="103" t="str">
        <f>PlanComptable[[#This Row],[Colonne1]]</f>
        <v>1100</v>
      </c>
      <c r="C4" s="6"/>
      <c r="D4" s="126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6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6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6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6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6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6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6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6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6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6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6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6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6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6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6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6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6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6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6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6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6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6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6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6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6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6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6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6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6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6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6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6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6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6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6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6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6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6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6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6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6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6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6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6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6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6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6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6" t="s">
        <v>99</v>
      </c>
      <c r="E52" s="5" t="s">
        <v>114</v>
      </c>
      <c r="F52" s="6" t="s">
        <v>115</v>
      </c>
    </row>
    <row r="53" spans="1:6" x14ac:dyDescent="0.25">
      <c r="A53" s="7" t="str">
        <f t="shared" ref="A53:A63" si="1">F53</f>
        <v>Loyer</v>
      </c>
      <c r="B53" s="103" t="str">
        <f>PlanComptable[[#This Row],[Colonne1]]</f>
        <v>5007</v>
      </c>
      <c r="D53" s="126" t="s">
        <v>99</v>
      </c>
      <c r="E53" s="5" t="s">
        <v>116</v>
      </c>
      <c r="F53" s="6" t="s">
        <v>117</v>
      </c>
    </row>
    <row r="54" spans="1:6" x14ac:dyDescent="0.25">
      <c r="A54" s="7" t="str">
        <f t="shared" si="1"/>
        <v>Électricité</v>
      </c>
      <c r="B54" s="103" t="str">
        <f>PlanComptable[[#This Row],[Colonne1]]</f>
        <v>5007a</v>
      </c>
      <c r="D54" s="126" t="s">
        <v>99</v>
      </c>
      <c r="E54" s="5" t="s">
        <v>217</v>
      </c>
      <c r="F54" s="6" t="s">
        <v>218</v>
      </c>
    </row>
    <row r="55" spans="1:6" x14ac:dyDescent="0.25">
      <c r="A55" s="7" t="str">
        <f t="shared" si="1"/>
        <v>Frais de communications</v>
      </c>
      <c r="B55" s="103" t="str">
        <f>PlanComptable[[#This Row],[Colonne1]]</f>
        <v>5008</v>
      </c>
      <c r="D55" s="126" t="s">
        <v>99</v>
      </c>
      <c r="E55" s="5" t="s">
        <v>118</v>
      </c>
      <c r="F55" s="6" t="s">
        <v>119</v>
      </c>
    </row>
    <row r="56" spans="1:6" x14ac:dyDescent="0.25">
      <c r="A56" s="7" t="str">
        <f t="shared" si="1"/>
        <v>Frais de poste</v>
      </c>
      <c r="B56" s="103" t="str">
        <f>PlanComptable[[#This Row],[Colonne1]]</f>
        <v>5009</v>
      </c>
      <c r="D56" s="126" t="s">
        <v>99</v>
      </c>
      <c r="E56" s="5" t="s">
        <v>120</v>
      </c>
      <c r="F56" s="6" t="s">
        <v>121</v>
      </c>
    </row>
    <row r="57" spans="1:6" x14ac:dyDescent="0.25">
      <c r="A57" s="7" t="str">
        <f t="shared" si="1"/>
        <v>Salaires et Sous-traitance</v>
      </c>
      <c r="B57" s="103" t="str">
        <f>PlanComptable[[#This Row],[Colonne1]]</f>
        <v>5010</v>
      </c>
      <c r="D57" s="126" t="s">
        <v>99</v>
      </c>
      <c r="E57" s="5" t="s">
        <v>122</v>
      </c>
      <c r="F57" s="6" t="s">
        <v>123</v>
      </c>
    </row>
    <row r="58" spans="1:6" x14ac:dyDescent="0.25">
      <c r="A58" s="7" t="str">
        <f t="shared" si="1"/>
        <v>Assurance &amp; Cotisation professionnelle</v>
      </c>
      <c r="B58" s="103" t="str">
        <f>PlanComptable[[#This Row],[Colonne1]]</f>
        <v>5011</v>
      </c>
      <c r="D58" s="126" t="s">
        <v>99</v>
      </c>
      <c r="E58" s="5" t="s">
        <v>124</v>
      </c>
      <c r="F58" s="6" t="s">
        <v>125</v>
      </c>
    </row>
    <row r="59" spans="1:6" x14ac:dyDescent="0.25">
      <c r="A59" s="7" t="str">
        <f t="shared" si="1"/>
        <v>Frais financiers</v>
      </c>
      <c r="B59" s="103" t="str">
        <f>PlanComptable[[#This Row],[Colonne1]]</f>
        <v>5013</v>
      </c>
      <c r="D59" s="126" t="s">
        <v>99</v>
      </c>
      <c r="E59" s="5" t="s">
        <v>126</v>
      </c>
      <c r="F59" s="6" t="s">
        <v>127</v>
      </c>
    </row>
    <row r="60" spans="1:6" x14ac:dyDescent="0.25">
      <c r="A60" s="7" t="str">
        <f t="shared" si="1"/>
        <v>Amortissement</v>
      </c>
      <c r="B60" s="103" t="str">
        <f>PlanComptable[[#This Row],[Colonne1]]</f>
        <v>5015</v>
      </c>
      <c r="D60" s="126" t="s">
        <v>99</v>
      </c>
      <c r="E60" s="5" t="s">
        <v>128</v>
      </c>
      <c r="F60" s="6" t="s">
        <v>129</v>
      </c>
    </row>
    <row r="61" spans="1:6" x14ac:dyDescent="0.25">
      <c r="A61" s="7" t="str">
        <f t="shared" si="1"/>
        <v>Mauvaises créances</v>
      </c>
      <c r="B61" s="103" t="str">
        <f>PlanComptable[[#This Row],[Colonne1]]</f>
        <v>5016</v>
      </c>
      <c r="D61" s="126" t="s">
        <v>99</v>
      </c>
      <c r="E61" s="5" t="s">
        <v>130</v>
      </c>
      <c r="F61" s="6" t="s">
        <v>131</v>
      </c>
    </row>
    <row r="62" spans="1:6" x14ac:dyDescent="0.25">
      <c r="A62" s="7" t="str">
        <f t="shared" si="1"/>
        <v>Assurance - loyer</v>
      </c>
      <c r="B62" s="103" t="str">
        <f>PlanComptable[[#This Row],[Colonne1]]</f>
        <v>5020</v>
      </c>
      <c r="D62" s="126" t="s">
        <v>99</v>
      </c>
      <c r="E62" s="5" t="s">
        <v>132</v>
      </c>
      <c r="F62" s="6" t="s">
        <v>133</v>
      </c>
    </row>
    <row r="63" spans="1:6" x14ac:dyDescent="0.25">
      <c r="A63" s="7" t="str">
        <f t="shared" si="1"/>
        <v>Impôts exigibles</v>
      </c>
      <c r="B63" s="103" t="str">
        <f>PlanComptable[[#This Row],[Colonne1]]</f>
        <v>9000</v>
      </c>
      <c r="D63" s="128" t="s">
        <v>99</v>
      </c>
      <c r="E63" s="129" t="s">
        <v>134</v>
      </c>
      <c r="F63" s="130" t="s">
        <v>135</v>
      </c>
    </row>
  </sheetData>
  <conditionalFormatting sqref="D3:F22">
    <cfRule type="expression" dxfId="32" priority="9">
      <formula>#REF!=ROW()</formula>
    </cfRule>
  </conditionalFormatting>
  <conditionalFormatting sqref="D3:F9">
    <cfRule type="expression" dxfId="31" priority="10">
      <formula>AND($K1&lt;&gt;"",MOD(ROW(),2)=0)</formula>
    </cfRule>
  </conditionalFormatting>
  <conditionalFormatting sqref="D3:F63">
    <cfRule type="expression" dxfId="30" priority="8">
      <formula>MOD(ROW(),2)=0</formula>
    </cfRule>
  </conditionalFormatting>
  <conditionalFormatting sqref="D5:F42">
    <cfRule type="expression" dxfId="29" priority="11">
      <formula>AND($K1&lt;&gt;"",MOD(ROW(),2)=0)</formula>
    </cfRule>
  </conditionalFormatting>
  <conditionalFormatting sqref="D8:F9 D3:F3">
    <cfRule type="expression" dxfId="28" priority="7">
      <formula>AND($K1048576&lt;&gt;"",MOD(ROW(),2)=0)</formula>
    </cfRule>
  </conditionalFormatting>
  <conditionalFormatting sqref="D3:D53">
    <cfRule type="expression" dxfId="27" priority="12">
      <formula>AND($L1048564&lt;&gt;"",MOD(ROW(),2)=0)</formula>
    </cfRule>
  </conditionalFormatting>
  <conditionalFormatting sqref="D46:F46">
    <cfRule type="expression" dxfId="26" priority="13">
      <formula>AND(#REF!&lt;&gt;"",MOD(ROW(),2)=0)</formula>
    </cfRule>
  </conditionalFormatting>
  <conditionalFormatting sqref="D50:F53">
    <cfRule type="expression" dxfId="25" priority="14">
      <formula>AND($K84&lt;&gt;"",MOD(ROW(),2)=0)</formula>
    </cfRule>
  </conditionalFormatting>
  <conditionalFormatting sqref="D59:F59">
    <cfRule type="expression" dxfId="24" priority="15">
      <formula>AND(#REF!&lt;&gt;"",MOD(ROW(),2)=0)</formula>
    </cfRule>
  </conditionalFormatting>
  <conditionalFormatting sqref="D63:F63">
    <cfRule type="expression" dxfId="23" priority="16">
      <formula>AND($K84&lt;&gt;"",MOD(ROW(),2)=0)</formula>
    </cfRule>
  </conditionalFormatting>
  <conditionalFormatting sqref="D47:F49">
    <cfRule type="expression" dxfId="22" priority="17">
      <formula>AND($K79&lt;&gt;"",MOD(ROW(),2)=0)</formula>
    </cfRule>
  </conditionalFormatting>
  <conditionalFormatting sqref="D60:F62">
    <cfRule type="expression" dxfId="21" priority="18">
      <formula>AND($K79&lt;&gt;"",MOD(ROW(),2)=0)</formula>
    </cfRule>
  </conditionalFormatting>
  <conditionalFormatting sqref="D4:F4">
    <cfRule type="expression" dxfId="20" priority="19">
      <formula>AND(#REF!&lt;&gt;"",MOD(ROW(),2)=0)</formula>
    </cfRule>
  </conditionalFormatting>
  <conditionalFormatting sqref="D52:F53">
    <cfRule type="expression" dxfId="19" priority="20">
      <formula>AND($K36&lt;&gt;"",MOD(ROW(),2)=0)</formula>
    </cfRule>
  </conditionalFormatting>
  <conditionalFormatting sqref="D43:F43">
    <cfRule type="expression" dxfId="18" priority="26">
      <formula>AND($K50&lt;&gt;"",MOD(ROW(),2)=0)</formula>
    </cfRule>
  </conditionalFormatting>
  <conditionalFormatting sqref="D56:F56">
    <cfRule type="expression" dxfId="17" priority="27">
      <formula>AND($K50&lt;&gt;"",MOD(ROW(),2)=0)</formula>
    </cfRule>
  </conditionalFormatting>
  <conditionalFormatting sqref="D44:F45">
    <cfRule type="expression" dxfId="16" priority="28">
      <formula>AND($K52&lt;&gt;"",MOD(ROW(),2)=0)</formula>
    </cfRule>
  </conditionalFormatting>
  <conditionalFormatting sqref="C1:C10">
    <cfRule type="expression" dxfId="15" priority="4">
      <formula>#REF!=ROW()</formula>
    </cfRule>
  </conditionalFormatting>
  <conditionalFormatting sqref="C1:C10">
    <cfRule type="expression" dxfId="14" priority="5">
      <formula>AND($K1048575&lt;&gt;"",MOD(ROW(),2)=0)</formula>
    </cfRule>
  </conditionalFormatting>
  <conditionalFormatting sqref="C1:C10">
    <cfRule type="expression" dxfId="13" priority="3">
      <formula>MOD(ROW(),2)=0</formula>
    </cfRule>
  </conditionalFormatting>
  <conditionalFormatting sqref="C1:C10">
    <cfRule type="expression" dxfId="12" priority="6">
      <formula>AND(#REF!&lt;&gt;"",MOD(ROW(),2)=0)</formula>
    </cfRule>
  </conditionalFormatting>
  <conditionalFormatting sqref="D57:F58">
    <cfRule type="expression" dxfId="11" priority="31">
      <formula>AND($K52&lt;&gt;"",MOD(ROW(),2)=0)</formula>
    </cfRule>
  </conditionalFormatting>
  <conditionalFormatting sqref="D53:D63">
    <cfRule type="expression" dxfId="10" priority="34">
      <formula>AND($L37&lt;&gt;"",MOD(ROW(),2)=0)</formula>
    </cfRule>
  </conditionalFormatting>
  <conditionalFormatting sqref="D54:F63">
    <cfRule type="expression" dxfId="9" priority="36">
      <formula>AND($K87&lt;&gt;"",MOD(ROW(),2)=0)</formula>
    </cfRule>
  </conditionalFormatting>
  <conditionalFormatting sqref="D54:F55">
    <cfRule type="expression" dxfId="8" priority="38">
      <formula>AND($K37&lt;&gt;"",MOD(ROW(),2)=0)</formula>
    </cfRule>
  </conditionalFormatting>
  <conditionalFormatting sqref="D53:F53">
    <cfRule type="expression" dxfId="7" priority="1">
      <formula>AND($K86&lt;&gt;"",MOD(ROW(),2)=0)</formula>
    </cfRule>
  </conditionalFormatting>
  <conditionalFormatting sqref="D53:F53">
    <cfRule type="expression" dxfId="6" priority="2">
      <formula>AND($K36&lt;&gt;"",MOD(ROW(),2)=0)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3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EJ</vt:lpstr>
      <vt:lpstr>Trans</vt:lpstr>
      <vt:lpstr>EJ_Auto</vt:lpstr>
      <vt:lpstr>BV</vt:lpstr>
      <vt:lpstr>PlanComptable</vt:lpstr>
      <vt:lpstr>PlanComptable!COA</vt:lpstr>
      <vt:lpstr>DescEJRecurrente</vt:lpstr>
      <vt:lpstr>BV!Impression_des_titres</vt:lpstr>
      <vt:lpstr>Trans!Impression_des_titres</vt:lpstr>
      <vt:lpstr>wshJEAutoDesc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2023-10-13T18:29:37Z</cp:lastPrinted>
  <dcterms:created xsi:type="dcterms:W3CDTF">2023-10-05T16:17:00Z</dcterms:created>
  <dcterms:modified xsi:type="dcterms:W3CDTF">2023-10-14T13:06:35Z</dcterms:modified>
</cp:coreProperties>
</file>