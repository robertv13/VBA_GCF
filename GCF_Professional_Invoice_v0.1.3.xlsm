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DAC2B8D-5891-4635-BFB0-F6AD953CCB57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G15" i="9"/>
  <c r="G14" i="9"/>
  <c r="G13" i="9"/>
  <c r="G12" i="9"/>
  <c r="G11" i="9"/>
  <c r="T61" i="3"/>
  <c r="T62" i="3"/>
  <c r="T63" i="3"/>
  <c r="G10" i="9"/>
  <c r="G9" i="9"/>
  <c r="G8" i="9"/>
  <c r="G7" i="9"/>
  <c r="G6" i="9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<sst xmlns="http://schemas.openxmlformats.org/spreadsheetml/2006/main" count="461" uniqueCount="219">
  <si>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</si>
  <si>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</si>
  <si>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</si>
  <si>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</si>
  <si>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</si>
  <si>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</si>
  <si>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</si>
  <si>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</si>
  <si>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</si>
  <si>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</si>
  <si>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</si>
  <si>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</si>
  <si>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</si>
  <si>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</si>
  <si>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</si>
  <si>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</si>
  <si>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</si>
  <si>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</si>
  <si>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</si>
  <si>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</si>
  <si>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</si>
  <si>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</si>
  <si>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</si>
  <si>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</si>
  <si>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</si>
  <si>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</si>
  <si>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</si>
  <si>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</si>
  <si>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</si>
  <si>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</si>
  <si>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</si>
  <si>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Entry Load</t>
  </si>
  <si>
    <t>INVOICE LIST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</si>
  <si>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</si>
  <si>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</si>
  <si>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</si>
  <si>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</si>
  <si>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</si>
  <si>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</si>
  <si>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</si>
  <si>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</si>
  <si>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</si>
  <si>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</si>
  <si>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</si>
  <si>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</si>
  <si>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</si>
  <si>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</si>
  <si>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</si>
  <si>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</si>
  <si>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</si>
  <si>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</si>
  <si>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</si>
  <si>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</si>
  <si>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</si>
  <si>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</si>
  <si>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</si>
  <si>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</si>
  <si>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</si>
  <si>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</si>
  <si>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</si>
  <si>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</si>
  <si>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</si>
  <si>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</si>
  <si>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</si>
  <si>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</si>
  <si>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</si>
  <si>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</si>
  <si>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</si>
  <si>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</si>
  <si>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</si>
  <si>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</si>
  <si>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</si>
  <si>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</si>
  <si>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</si>
  <si>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</si>
  <si>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</si>
  <si>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</si>
  <si>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</si>
  <si>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</si>
  <si>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</si>
  <si>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</si>
  <si>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</si>
  <si>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</si>
  <si>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</si>
  <si>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</si>
  <si>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</si>
  <si>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</si>
  <si>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</si>
  <si>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</si>
  <si>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</si>
  <si>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</si>
  <si>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</si>
  <si>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</si>
  <si>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</si>
  <si>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</si>
  <si>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</si>
  <si>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</si>
  <si>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</si>
  <si>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</si>
  <si>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</si>
  <si>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</si>
  <si>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</si>
  <si>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</si>
  <si>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</si>
  <si>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</si>
  <si>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</si>
  <si>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</si>
  <si>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</si>
  <si>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</si>
  <si>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</si>
  <si>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</si>
  <si>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</si>
  <si>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</si>
  <si>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</si>
  <si>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</si>
  <si>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</si>
  <si>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</si>
  <si>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</si>
  <si>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</si>
  <si>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</si>
  <si>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</si>
  <si>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</si>
  <si>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</si>
  <si>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</si>
  <si>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</si>
  <si>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</si>
  <si>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</si>
  <si>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</si>
  <si>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</si>
  <si>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</si>
  <si>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</si>
  <si>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</si>
  <si>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</si>
  <si>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</si>
  <si>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</si>
  <si>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</si>
  <si>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</si>
  <si>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</si>
  <si>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</si>
  <si>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</si>
  <si>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</si>
  <si>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</si>
  <si>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</si>
  <si>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</si>
  <si>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</si>
  <si>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</si>
  <si>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</si>
  <si>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</si>
  <si>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</si>
  <si>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</si>
  <si>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</si>
  <si>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</si>
  <si>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</si>
  <si>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</si>
  <si>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</si>
  <si>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</si>
  <si>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</si>
  <si>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</si>
  <si>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</si>
  <si>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</si>
  <si>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</si>
  <si>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</si>
  <si>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</si>
  <si>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</si>
  <si>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</si>
  <si>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</si>
  <si>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</si>
  <si>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</si>
  <si>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Le 29 septembre 2023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</si>
  <si>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</si>
  <si>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</si>
  <si>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</si>
  <si>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</si>
  <si>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</si>
  <si>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</si>
  <si>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</si>
  <si>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</si>
  <si>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</si>
  <si>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</si>
  <si>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</si>
  <si>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</si>
  <si>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</si>
  <si>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</si>
  <si>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</si>
  <si>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</si>
  <si>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</si>
  <si>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</si>
  <si>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</si>
  <si>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</si>
  <si>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</si>
  <si>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</si>
  <si>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</si>
  <si>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</si>
  <si>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</si>
  <si>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</si>
  <si>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</si>
  <si>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</si>
  <si>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</si>
  <si>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</si>
  <si>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</si>
  <si>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</si>
  <si>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</si>
  <si>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</si>
  <si>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</si>
  <si>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</si>
  <si>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</si>
  <si>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</si>
  <si>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</si>
  <si>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</si>
  <si>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</si>
  <si>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</si>
  <si>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</si>
  <si>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</si>
  <si>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</si>
  <si>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Deposit</t>
  </si>
  <si>
    <t>Saint-Jérôme, QC,  J7Y 4C9</t>
  </si>
  <si>
    <t>N52</t>
  </si>
  <si>
    <t>Honoraires</t>
  </si>
  <si>
    <t>Taux/H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</si>
</sst>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u/>
      <sz val="12"/>
      <color theme="1"/>
      <name val="Verdana"/>
      <family val="2"/>
    </font>
    <font>
      <b/>
      <i/>
      <sz val="12"/>
      <color rgb="FF625850"/>
      <name val="Verdan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0" fontId="37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170" fontId="14" fillId="19" borderId="0" xfId="1" applyNumberFormat="1" applyFont="1" applyFill="1" applyBorder="1"/>
    <xf numFmtId="0" fontId="14" fillId="0" borderId="0" xfId="0" applyFont="1"/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40" fillId="0" borderId="0" xfId="0" applyFont="1"/>
    <xf numFmtId="170" fontId="7" fillId="4" borderId="1" xfId="0" applyNumberFormat="1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11</xdr:row>
      <xdr:rowOff>74295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087850" y="777207"/>
          <a:ext cx="1858417" cy="1640238"/>
          <a:chOff x="14897539" y="772510"/>
          <a:chExt cx="1182886" cy="137584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974803"/>
            <a:chOff x="14950091" y="972102"/>
            <a:chExt cx="1182886" cy="974803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1716803"/>
              <a:ext cx="1164035" cy="230102"/>
              <a:chOff x="14974387" y="1716803"/>
              <a:chExt cx="1164035" cy="230102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1716803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1731" y="1728160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3390900</xdr:colOff>
          <xdr:row>7</xdr:row>
          <xdr:rowOff>123825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1777188-C5A2-4495-86D2-5C49D9FF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8B1BA1B8-4FD9-46F7-A395-47A0C191B072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7B794FAA-DC46-4652-B8C2-76DE2E885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D8347A44-8BFD-4AA7-BCDD-BDACB7A305B8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7D60A3A6-B343-431A-9B1D-D26FB3EC4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A1050865-361F-5621-AC6C-EA19DD2A79F4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52E81003-B16F-4473-B4AC-B0DFEC551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B22" sqref="B22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8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0"/>
      <c r="C1" s="157" t="s">
        <v>212</v>
      </c>
      <c r="D1" s="157"/>
      <c r="E1" s="157"/>
      <c r="F1" s="157"/>
      <c r="G1" s="157"/>
      <c r="H1" s="157"/>
      <c r="I1" s="157" t="s">
        <v>128</v>
      </c>
      <c r="J1" s="157"/>
      <c r="K1" s="157"/>
      <c r="L1" s="157"/>
      <c r="M1" s="157"/>
      <c r="N1" s="157"/>
      <c r="O1" s="178"/>
      <c r="P1" s="100"/>
      <c r="Q1" s="100"/>
      <c r="R1" s="17"/>
      <c r="Y1" s="9"/>
    </row>
    <row r="2" spans="1:25" ht="20.100000000000001" customHeight="1" x14ac:dyDescent="0.25">
      <c r="A2" s="73" t="s">
        <v>98</v>
      </c>
      <c r="B2" s="85">
        <v>15</v>
      </c>
      <c r="C2" s="139"/>
      <c r="D2" s="8"/>
      <c r="E2" s="8"/>
      <c r="F2" s="8"/>
      <c r="G2" s="8"/>
      <c r="H2" s="139"/>
      <c r="I2" s="165"/>
      <c r="J2" s="165"/>
      <c r="K2" s="165"/>
      <c r="L2" s="165"/>
      <c r="M2" s="165"/>
      <c r="N2" s="165"/>
      <c r="O2" s="179"/>
      <c r="P2" s="29" t="s">
        <v>70</v>
      </c>
      <c r="Q2" s="18"/>
      <c r="R2" s="8"/>
      <c r="Y2" s="9"/>
    </row>
    <row r="3" spans="1:25" ht="15" customHeight="1" x14ac:dyDescent="0.25">
      <c r="A3" s="73" t="s">
        <v>40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168</v>
      </c>
      <c r="K3" s="108"/>
      <c r="L3" s="43"/>
      <c r="M3" s="44"/>
      <c r="N3" s="45">
        <v>45198</v>
      </c>
      <c r="O3" s="180"/>
      <c r="P3" s="9"/>
      <c r="Q3" s="9"/>
      <c r="R3" s="9"/>
      <c r="Y3" s="9"/>
    </row>
    <row r="4" spans="1:25" ht="15" customHeight="1" x14ac:dyDescent="0.25">
      <c r="A4" s="73" t="s">
        <v>41</v>
      </c>
      <c r="B4" s="66">
        <f ca="1">IFERROR(MAX(BillEntry_ID)+1,1)</f>
        <v>31</v>
      </c>
      <c r="C4" s="140"/>
      <c r="D4" s="28" t="s">
        <v>66</v>
      </c>
      <c r="E4" s="103" t="s">
        <v>84</v>
      </c>
      <c r="F4" s="28" t="s">
        <v>5</v>
      </c>
      <c r="G4" s="30">
        <v>45153</v>
      </c>
      <c r="H4" s="140"/>
      <c r="I4" s="43"/>
      <c r="J4" s="168" t="s">
        <v>116</v>
      </c>
      <c r="K4" s="168"/>
      <c r="L4" s="43"/>
      <c r="M4" s="45"/>
      <c r="N4" s="45">
        <v>45228</v>
      </c>
      <c r="O4" s="180"/>
      <c r="P4" s="9"/>
      <c r="Q4" s="9"/>
      <c r="R4" s="9"/>
      <c r="Y4" s="9"/>
    </row>
    <row r="5" spans="1:25" ht="15" customHeight="1" x14ac:dyDescent="0.25">
      <c r="A5" s="74" t="s">
        <v>109</v>
      </c>
      <c r="B5" s="86">
        <f ca="1">IFERROR(INDEX(Cust_ID,MATCH(E4,Cust_Name,0),1),"")</f>
        <v>1</v>
      </c>
      <c r="C5" s="140"/>
      <c r="D5" s="161" t="s">
        <v>4</v>
      </c>
      <c r="E5" s="158" t="s">
        <v>172</v>
      </c>
      <c r="F5" s="28" t="s">
        <v>67</v>
      </c>
      <c r="G5" s="31">
        <v>10</v>
      </c>
      <c r="H5" s="140"/>
      <c r="I5" s="42"/>
      <c r="J5" s="42" t="s">
        <v>117</v>
      </c>
      <c r="K5" s="42"/>
      <c r="L5" s="43"/>
      <c r="M5" s="45"/>
      <c r="N5" s="42"/>
      <c r="O5" s="180"/>
      <c r="P5" s="9"/>
      <c r="Q5" s="9"/>
      <c r="R5" s="9"/>
      <c r="Y5" s="9"/>
    </row>
    <row r="6" spans="1:25" ht="15" customHeight="1" x14ac:dyDescent="0.25">
      <c r="A6" s="74" t="s">
        <v>39</v>
      </c>
      <c r="B6" s="67">
        <f ca="1">IFERROR(MATCH(E4,Cust_Name,0)+3,"")</f>
        <v>4</v>
      </c>
      <c r="C6" s="140"/>
      <c r="D6" s="162"/>
      <c r="E6" s="159"/>
      <c r="F6" s="28" t="s">
        <v>68</v>
      </c>
      <c r="G6" s="47">
        <v>30</v>
      </c>
      <c r="H6" s="140"/>
      <c r="I6" s="42"/>
      <c r="J6" s="42" t="s">
        <v>215</v>
      </c>
      <c r="K6" s="42"/>
      <c r="L6" s="43"/>
      <c r="M6" s="118" t="s">
        <v>164</v>
      </c>
      <c r="N6" s="117">
        <v>6</v>
      </c>
      <c r="O6" s="180"/>
      <c r="P6" s="9"/>
      <c r="Q6" s="9"/>
      <c r="R6" s="9"/>
      <c r="Y6" s="9"/>
    </row>
    <row r="7" spans="1:25" ht="15" customHeight="1" thickBot="1" x14ac:dyDescent="0.3">
      <c r="A7" s="74" t="s">
        <v>110</v>
      </c>
      <c r="B7" s="86">
        <f ca="1">IFERROR(MAX(Cust_ID)+1,1)</f>
        <v>4</v>
      </c>
      <c r="C7" s="140"/>
      <c r="D7" s="163"/>
      <c r="E7" s="160"/>
      <c r="F7" s="28" t="s">
        <v>69</v>
      </c>
      <c r="G7" s="32" t="s">
        <v>3</v>
      </c>
      <c r="H7" s="140"/>
      <c r="I7" s="48"/>
      <c r="J7" s="42"/>
      <c r="K7" s="42"/>
      <c r="L7" s="42"/>
      <c r="M7" s="49"/>
      <c r="N7" s="42"/>
      <c r="O7" s="180"/>
      <c r="P7" s="9"/>
      <c r="Q7" s="9"/>
      <c r="R7" s="9"/>
      <c r="Y7" s="9"/>
    </row>
    <row r="8" spans="1:25" s="116" customFormat="1" ht="15" customHeight="1" x14ac:dyDescent="0.25">
      <c r="A8" s="75" t="s">
        <v>111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66" t="s">
        <v>83</v>
      </c>
      <c r="J8" s="167"/>
      <c r="K8" s="167"/>
      <c r="L8" s="167"/>
      <c r="M8" s="167"/>
      <c r="N8" s="167"/>
      <c r="O8" s="181"/>
      <c r="P8" s="110"/>
      <c r="Q8" s="110"/>
      <c r="R8" s="110"/>
      <c r="Y8" s="9"/>
    </row>
    <row r="9" spans="1:25" s="116" customFormat="1" ht="15" customHeight="1" x14ac:dyDescent="0.25">
      <c r="A9" s="75" t="s">
        <v>62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163</v>
      </c>
      <c r="K9" s="39"/>
      <c r="L9" s="113"/>
      <c r="M9" s="114"/>
      <c r="N9" s="115"/>
      <c r="O9" s="181"/>
      <c r="P9" s="110"/>
      <c r="Q9" s="110"/>
      <c r="R9" s="110"/>
      <c r="Y9" s="9"/>
    </row>
    <row r="10" spans="1:25" ht="15" customHeight="1" x14ac:dyDescent="0.25">
      <c r="A10" s="75" t="s">
        <v>112</v>
      </c>
      <c r="B10" s="87">
        <f ca="1">IFERROR(MAX(Proj_ID)+1,1)</f>
        <v>4</v>
      </c>
      <c r="C10" s="140"/>
      <c r="D10" s="164" t="s">
        <v>96</v>
      </c>
      <c r="E10" s="164"/>
      <c r="F10" s="164"/>
      <c r="G10" s="164"/>
      <c r="H10" s="140"/>
      <c r="I10" s="48"/>
      <c r="J10" s="48"/>
      <c r="K10" s="48" t="s">
        <v>209</v>
      </c>
      <c r="L10" s="109">
        <v>2</v>
      </c>
      <c r="M10" s="120">
        <v>300</v>
      </c>
      <c r="N10" s="63">
        <f>IF(L10*M10&lt;&gt;0,L10*M10,"")</f>
        <v>600</v>
      </c>
      <c r="O10" s="180">
        <v>20</v>
      </c>
      <c r="P10" s="9"/>
      <c r="Q10" s="9"/>
      <c r="R10" s="9"/>
      <c r="Y10" s="9"/>
    </row>
    <row r="11" spans="1:25" ht="15" customHeight="1" x14ac:dyDescent="0.25">
      <c r="A11" s="76" t="s">
        <v>108</v>
      </c>
      <c r="B11" s="88" t="str">
        <f ca="1">IFERROR(INDEX(ServItem_ID,MATCH(E6,ServItem_Name,0),1),"")</f>
        <v/>
      </c>
      <c r="C11" s="140"/>
      <c r="D11" s="33" t="s">
        <v>71</v>
      </c>
      <c r="E11" s="33" t="s">
        <v>4</v>
      </c>
      <c r="F11" s="33" t="s">
        <v>67</v>
      </c>
      <c r="G11" s="33" t="s">
        <v>69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80"/>
      <c r="P11" s="9"/>
      <c r="Q11" s="9"/>
      <c r="R11" s="9"/>
      <c r="Y11" s="9"/>
    </row>
    <row r="12" spans="1:25" ht="15" customHeight="1" x14ac:dyDescent="0.25">
      <c r="A12" s="76" t="s">
        <v>63</v>
      </c>
      <c r="B12" s="69" t="str">
        <f ca="1">IFERROR(MATCH(E6,ServItem_Name,0)+3,"")</f>
        <v/>
      </c>
      <c r="C12" s="119">
        <v>5</v>
      </c>
      <c r="D12" s="24">
        <v>45143</v>
      </c>
      <c r="E12" s="25" t="s">
        <v>174</v>
      </c>
      <c r="F12" s="26">
        <v>20</v>
      </c>
      <c r="G12" s="27" t="s">
        <v>3</v>
      </c>
      <c r="H12" s="119">
        <v>8</v>
      </c>
      <c r="I12" s="48"/>
      <c r="J12" s="48"/>
      <c r="K12" s="48"/>
      <c r="L12" s="109"/>
      <c r="M12" s="121"/>
      <c r="N12" s="63" t="str">
        <f t="shared" si="0"/>
        <v/>
      </c>
      <c r="O12" s="180"/>
      <c r="P12" s="9"/>
      <c r="Q12" s="9"/>
      <c r="R12" s="9"/>
      <c r="Y12" s="9"/>
    </row>
    <row r="13" spans="1:25" ht="15" customHeight="1" x14ac:dyDescent="0.25">
      <c r="A13" s="76" t="s">
        <v>113</v>
      </c>
      <c r="B13" s="88">
        <f ca="1">IFERROR(MAX(ServItem_ID)+1,1)</f>
        <v>41</v>
      </c>
      <c r="C13" s="119">
        <v>14</v>
      </c>
      <c r="D13" s="24">
        <v>45152</v>
      </c>
      <c r="E13" s="25" t="s">
        <v>174</v>
      </c>
      <c r="F13" s="26">
        <v>8</v>
      </c>
      <c r="G13" s="27" t="s">
        <v>3</v>
      </c>
      <c r="H13" s="119">
        <v>17</v>
      </c>
      <c r="I13" s="48"/>
      <c r="J13" s="48"/>
      <c r="K13" s="48"/>
      <c r="L13" s="109"/>
      <c r="M13" s="121"/>
      <c r="N13" s="63" t="str">
        <f t="shared" si="0"/>
        <v/>
      </c>
      <c r="O13" s="180"/>
      <c r="P13" s="9"/>
      <c r="Q13" s="9"/>
      <c r="R13" s="9"/>
      <c r="Y13" s="9"/>
    </row>
    <row r="14" spans="1:25" ht="15" customHeight="1" x14ac:dyDescent="0.25">
      <c r="A14" s="77" t="s">
        <v>64</v>
      </c>
      <c r="B14" s="70">
        <f>COUNTA(E4,E5,E6,G4)</f>
        <v>3</v>
      </c>
      <c r="C14" s="119">
        <v>17</v>
      </c>
      <c r="D14" s="24">
        <v>45155</v>
      </c>
      <c r="E14" s="25" t="s">
        <v>174</v>
      </c>
      <c r="F14" s="26">
        <v>14</v>
      </c>
      <c r="G14" s="27" t="s">
        <v>3</v>
      </c>
      <c r="H14" s="119">
        <v>20</v>
      </c>
      <c r="I14" s="48"/>
      <c r="J14" s="48"/>
      <c r="K14" s="48"/>
      <c r="L14" s="109"/>
      <c r="M14" s="121"/>
      <c r="N14" s="63" t="str">
        <f t="shared" si="0"/>
        <v/>
      </c>
      <c r="O14" s="180"/>
      <c r="P14" s="9"/>
      <c r="Q14" s="9"/>
      <c r="R14" s="9"/>
      <c r="Y14" s="9"/>
    </row>
    <row r="15" spans="1:25" ht="15" customHeight="1" x14ac:dyDescent="0.25">
      <c r="A15" s="77" t="s">
        <v>65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80"/>
      <c r="P15" s="9"/>
      <c r="Q15" s="9"/>
      <c r="R15" s="9"/>
      <c r="Y15" s="9"/>
    </row>
    <row r="16" spans="1:25" ht="15" customHeight="1" x14ac:dyDescent="0.25">
      <c r="A16" s="77" t="s">
        <v>6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8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46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80"/>
      <c r="P17" s="9"/>
      <c r="Q17" s="9"/>
      <c r="R17" s="9"/>
      <c r="S17" s="123"/>
      <c r="T17" s="124" t="str">
        <f>J3</f>
        <v>Le 29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114</v>
      </c>
      <c r="B18" s="89">
        <f ca="1">IFERROR(INDEX(Cust_ID,MATCH(J4,Cust_Name,0),1),"")</f>
        <v>3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8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48</v>
      </c>
      <c r="B19" s="71">
        <f ca="1">IFERROR(MATCH(J4,Cust_Name,0)+3,"")</f>
        <v>6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80"/>
      <c r="P19" s="9"/>
      <c r="Q19" s="9"/>
      <c r="R19" s="9"/>
      <c r="S19" s="123"/>
      <c r="T19" s="125" t="s">
        <v>166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26</v>
      </c>
      <c r="B20" s="71">
        <v>10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80"/>
      <c r="P20" s="9"/>
      <c r="Q20" s="9"/>
      <c r="R20" s="9"/>
      <c r="S20" s="123"/>
      <c r="T20" s="125" t="str">
        <f>J4</f>
        <v>HUWIZ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115</v>
      </c>
      <c r="B21" s="89">
        <v>7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80"/>
      <c r="P21" s="9"/>
      <c r="Q21" s="9"/>
      <c r="R21" s="9"/>
      <c r="S21" s="123"/>
      <c r="T21" s="123" t="str">
        <f>J5</f>
        <v>298 Rue de Martigny O #200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38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80"/>
      <c r="P22" s="9"/>
      <c r="Q22" s="9"/>
      <c r="R22" s="9"/>
      <c r="S22" s="123"/>
      <c r="T22" s="123" t="str">
        <f>J6</f>
        <v>Saint-Jérôme, QC,  J7Y 4C9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31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8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49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80"/>
      <c r="P24" s="9"/>
      <c r="Q24" s="9"/>
      <c r="R24" s="9"/>
      <c r="S24" s="123"/>
      <c r="T24" s="123"/>
      <c r="U24" s="123"/>
      <c r="V24" s="126" t="s">
        <v>169</v>
      </c>
      <c r="W24" s="127">
        <f>N6</f>
        <v>6</v>
      </c>
      <c r="X24" s="123"/>
      <c r="Y24" s="9"/>
    </row>
    <row r="25" spans="1:25" ht="15" customHeight="1" thickBot="1" x14ac:dyDescent="0.3">
      <c r="A25" s="79" t="s">
        <v>50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8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9"/>
      <c r="B26" s="20"/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80"/>
      <c r="P26" s="9"/>
      <c r="Q26" s="9"/>
      <c r="R26" s="9"/>
      <c r="S26" s="156" t="s">
        <v>83</v>
      </c>
      <c r="T26" s="156"/>
      <c r="U26" s="156"/>
      <c r="V26" s="156"/>
      <c r="W26" s="156"/>
      <c r="X26" s="156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8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80"/>
      <c r="P28" s="9"/>
      <c r="Q28" s="9"/>
      <c r="R28" s="9"/>
      <c r="S28" s="123"/>
      <c r="T28" s="123" t="s">
        <v>163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8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80"/>
      <c r="P30" s="9"/>
      <c r="Q30" s="9"/>
      <c r="R30" s="9"/>
      <c r="S30" s="144"/>
      <c r="T30" s="155" t="str">
        <f>IF(K10&lt;&gt;"",CONCATENATE("   - " &amp; K10),"")</f>
        <v xml:space="preserve">   - Préparation à la rencontre, déplacement et rencontre avec vous pour la signature des documents préparés;</v>
      </c>
      <c r="U30" s="155"/>
      <c r="V30" s="155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80"/>
      <c r="P31" s="9"/>
      <c r="Q31" s="9"/>
      <c r="R31" s="9"/>
      <c r="S31" s="144"/>
      <c r="T31" s="155" t="str">
        <f t="shared" ref="T31:T44" si="2">IF(K11&lt;&gt;"",CONCATENATE("   - " &amp; K11),"")</f>
        <v/>
      </c>
      <c r="U31" s="155"/>
      <c r="V31" s="155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80"/>
      <c r="P32" s="9"/>
      <c r="Q32" s="9"/>
      <c r="R32" s="9"/>
      <c r="S32" s="144"/>
      <c r="T32" s="155" t="str">
        <f t="shared" si="2"/>
        <v/>
      </c>
      <c r="U32" s="155"/>
      <c r="V32" s="155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80"/>
      <c r="P33" s="9"/>
      <c r="Q33" s="9"/>
      <c r="R33" s="9"/>
      <c r="S33" s="144"/>
      <c r="T33" s="155" t="str">
        <f t="shared" si="2"/>
        <v/>
      </c>
      <c r="U33" s="155"/>
      <c r="V33" s="155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80"/>
      <c r="P34" s="9"/>
      <c r="Q34" s="9"/>
      <c r="R34" s="9"/>
      <c r="S34" s="144"/>
      <c r="T34" s="155" t="str">
        <f t="shared" si="2"/>
        <v/>
      </c>
      <c r="U34" s="155"/>
      <c r="V34" s="155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80"/>
      <c r="P35" s="9"/>
      <c r="Q35" s="9"/>
      <c r="R35" s="9"/>
      <c r="S35" s="144"/>
      <c r="T35" s="155" t="str">
        <f t="shared" si="2"/>
        <v/>
      </c>
      <c r="U35" s="155"/>
      <c r="V35" s="155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80"/>
      <c r="P36" s="9"/>
      <c r="Q36" s="9"/>
      <c r="R36" s="9"/>
      <c r="S36" s="144"/>
      <c r="T36" s="155" t="str">
        <f t="shared" si="2"/>
        <v/>
      </c>
      <c r="U36" s="155"/>
      <c r="V36" s="155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80"/>
      <c r="P37" s="9"/>
      <c r="Q37" s="9"/>
      <c r="R37" s="9"/>
      <c r="S37" s="144"/>
      <c r="T37" s="155" t="str">
        <f t="shared" si="2"/>
        <v/>
      </c>
      <c r="U37" s="155"/>
      <c r="V37" s="155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80"/>
      <c r="P38" s="9"/>
      <c r="Q38" s="9"/>
      <c r="R38" s="9"/>
      <c r="S38" s="144"/>
      <c r="T38" s="155" t="str">
        <f t="shared" si="2"/>
        <v/>
      </c>
      <c r="U38" s="155"/>
      <c r="V38" s="155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80"/>
      <c r="P39" s="9"/>
      <c r="Q39" s="9"/>
      <c r="R39" s="9"/>
      <c r="S39" s="144"/>
      <c r="T39" s="155" t="str">
        <f t="shared" si="2"/>
        <v/>
      </c>
      <c r="U39" s="155"/>
      <c r="V39" s="155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80"/>
      <c r="P40" s="9"/>
      <c r="Q40" s="9"/>
      <c r="R40" s="9"/>
      <c r="S40" s="144"/>
      <c r="T40" s="155" t="str">
        <f t="shared" si="2"/>
        <v/>
      </c>
      <c r="U40" s="155"/>
      <c r="V40" s="155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80"/>
      <c r="P41" s="9"/>
      <c r="Q41" s="9"/>
      <c r="R41" s="9"/>
      <c r="S41" s="144"/>
      <c r="T41" s="155" t="str">
        <f t="shared" si="2"/>
        <v/>
      </c>
      <c r="U41" s="155"/>
      <c r="V41" s="155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80"/>
      <c r="P42" s="9"/>
      <c r="Q42" s="9"/>
      <c r="R42" s="9"/>
      <c r="S42" s="144"/>
      <c r="T42" s="155" t="str">
        <f t="shared" si="2"/>
        <v/>
      </c>
      <c r="U42" s="155"/>
      <c r="V42" s="155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80"/>
      <c r="P43" s="9"/>
      <c r="Q43" s="9"/>
      <c r="R43" s="9"/>
      <c r="S43" s="144"/>
      <c r="T43" s="155" t="str">
        <f t="shared" si="2"/>
        <v/>
      </c>
      <c r="U43" s="155"/>
      <c r="V43" s="155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80"/>
      <c r="P44" s="9"/>
      <c r="Q44" s="9"/>
      <c r="R44" s="9"/>
      <c r="S44" s="144"/>
      <c r="T44" s="155" t="str">
        <f t="shared" si="2"/>
        <v/>
      </c>
      <c r="U44" s="155"/>
      <c r="V44" s="155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80"/>
      <c r="P45" s="9"/>
      <c r="Q45" s="9"/>
      <c r="R45" s="9"/>
      <c r="S45" s="144"/>
      <c r="T45" s="155" t="str">
        <f>IF(K25&lt;&gt;"",CONCATENATE("   - " &amp; K25),"")</f>
        <v/>
      </c>
      <c r="U45" s="155"/>
      <c r="V45" s="155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80"/>
      <c r="P46" s="9"/>
      <c r="Q46" s="9"/>
      <c r="R46" s="9"/>
      <c r="S46" s="144"/>
      <c r="T46" s="155" t="str">
        <f>IF(K26&lt;&gt;"",CONCATENATE("   - " &amp; K26),"")</f>
        <v/>
      </c>
      <c r="U46" s="155"/>
      <c r="V46" s="155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75</v>
      </c>
      <c r="K47" s="34"/>
      <c r="L47" s="34"/>
      <c r="M47" s="36"/>
      <c r="N47" s="62">
        <f>SUM(N9:N46)</f>
        <v>600</v>
      </c>
      <c r="O47" s="180"/>
      <c r="P47" s="9"/>
      <c r="Q47" s="9"/>
      <c r="R47" s="9"/>
      <c r="S47" s="144"/>
      <c r="T47" s="155" t="str">
        <f>IF(K27&lt;&gt;"",CONCATENATE("   - " &amp; K27),"")</f>
        <v/>
      </c>
      <c r="U47" s="155"/>
      <c r="V47" s="155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78</v>
      </c>
      <c r="M48" s="36"/>
      <c r="N48" s="63">
        <v>0</v>
      </c>
      <c r="O48" s="180"/>
      <c r="P48" s="9"/>
      <c r="Q48" s="9"/>
      <c r="R48" s="9"/>
      <c r="S48" s="144"/>
      <c r="T48" s="155" t="str">
        <f t="shared" ref="T48:T53" si="3">IF(K35&lt;&gt;"",CONCATENATE("   - " &amp; K35),"")</f>
        <v/>
      </c>
      <c r="U48" s="155"/>
      <c r="V48" s="155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79</v>
      </c>
      <c r="M49" s="36"/>
      <c r="N49" s="63">
        <v>0</v>
      </c>
      <c r="O49" s="180"/>
      <c r="P49" s="9"/>
      <c r="Q49" s="9"/>
      <c r="R49" s="9"/>
      <c r="S49" s="144"/>
      <c r="T49" s="155" t="str">
        <f t="shared" si="3"/>
        <v/>
      </c>
      <c r="U49" s="155"/>
      <c r="V49" s="155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600</v>
      </c>
      <c r="O50" s="180"/>
      <c r="P50" s="9"/>
      <c r="Q50" s="9"/>
      <c r="R50" s="9"/>
      <c r="S50" s="144"/>
      <c r="T50" s="155" t="str">
        <f t="shared" si="3"/>
        <v/>
      </c>
      <c r="U50" s="155"/>
      <c r="V50" s="155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80"/>
      <c r="P51" s="9"/>
      <c r="Q51" s="9"/>
      <c r="R51" s="9"/>
      <c r="S51" s="144"/>
      <c r="T51" s="155" t="str">
        <f t="shared" si="3"/>
        <v/>
      </c>
      <c r="U51" s="155"/>
      <c r="V51" s="155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9" t="s">
        <v>81</v>
      </c>
      <c r="K52" s="149"/>
      <c r="L52" s="149"/>
      <c r="M52" s="149"/>
      <c r="N52" s="148">
        <v>0</v>
      </c>
      <c r="O52" s="180"/>
      <c r="P52" s="9"/>
      <c r="Q52" s="9"/>
      <c r="R52" s="9"/>
      <c r="S52" s="144"/>
      <c r="T52" s="155" t="str">
        <f t="shared" si="3"/>
        <v/>
      </c>
      <c r="U52" s="155"/>
      <c r="V52" s="155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80"/>
      <c r="P53" s="9"/>
      <c r="Q53" s="9"/>
      <c r="R53" s="9"/>
      <c r="S53" s="144"/>
      <c r="T53" s="155" t="str">
        <f t="shared" si="3"/>
        <v/>
      </c>
      <c r="U53" s="155"/>
      <c r="V53" s="155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80"/>
      <c r="P54" s="9"/>
      <c r="Q54" s="9"/>
      <c r="R54" s="9"/>
      <c r="S54" s="144"/>
      <c r="T54" s="155" t="str">
        <f>IF(K44&lt;&gt;"",CONCATENATE("   - " &amp; K44),"")</f>
        <v/>
      </c>
      <c r="U54" s="155"/>
      <c r="V54" s="155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80"/>
      <c r="P55" s="9"/>
      <c r="Q55" s="9"/>
      <c r="R55" s="9"/>
      <c r="S55" s="144"/>
      <c r="T55" s="155" t="str">
        <f>IF(K45&lt;&gt;"",CONCATENATE("   - " &amp; K45),"")</f>
        <v/>
      </c>
      <c r="U55" s="155"/>
      <c r="V55" s="155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80"/>
      <c r="P56" s="9"/>
      <c r="Q56" s="9"/>
      <c r="R56" s="9"/>
      <c r="S56" s="144"/>
      <c r="T56" s="155" t="str">
        <f>IF(K46&lt;&gt;"",CONCATENATE("   - " &amp; K46),"")</f>
        <v/>
      </c>
      <c r="U56" s="155"/>
      <c r="V56" s="155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80"/>
      <c r="P57" s="9"/>
      <c r="Q57" s="9"/>
      <c r="R57" s="9"/>
      <c r="S57" s="144"/>
      <c r="T57" s="155" t="str">
        <f>IF(K47&lt;&gt;"",CONCATENATE("   - " &amp; K47),"")</f>
        <v/>
      </c>
      <c r="U57" s="155"/>
      <c r="V57" s="155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80"/>
      <c r="P58" s="9"/>
      <c r="Q58" s="9"/>
      <c r="R58" s="9"/>
      <c r="S58" s="144"/>
      <c r="T58" s="155" t="str">
        <f>IF(K48&lt;&gt;"",CONCATENATE("   - " &amp; K48),"")</f>
        <v/>
      </c>
      <c r="U58" s="155"/>
      <c r="V58" s="155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80"/>
      <c r="P59" s="9"/>
      <c r="Q59" s="9"/>
      <c r="R59" s="9"/>
      <c r="S59" s="144"/>
      <c r="T59" s="155" t="str">
        <f>IF(K49&lt;&gt;"",CONCATENATE("   - " &amp; K49),"")</f>
        <v/>
      </c>
      <c r="U59" s="155"/>
      <c r="V59" s="155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80"/>
      <c r="P60" s="9"/>
      <c r="Q60" s="9"/>
      <c r="R60" s="9"/>
      <c r="S60" s="144"/>
      <c r="T60" s="155" t="str">
        <f>IF(K50&lt;&gt;"",CONCATENATE("   - " &amp; K50),"")</f>
        <v/>
      </c>
      <c r="U60" s="155"/>
      <c r="V60" s="155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80"/>
      <c r="P61" s="9"/>
      <c r="Q61" s="9"/>
      <c r="R61" s="9"/>
      <c r="S61" s="144"/>
      <c r="T61" s="155" t="str">
        <f t="shared" ref="T61:T63" si="4">IF(K51&lt;&gt;"",CONCATENATE("   - " &amp; K51),"")</f>
        <v/>
      </c>
      <c r="U61" s="155"/>
      <c r="V61" s="155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80"/>
      <c r="P62" s="9"/>
      <c r="Q62" s="9"/>
      <c r="R62" s="9"/>
      <c r="S62" s="144"/>
      <c r="T62" s="155" t="str">
        <f t="shared" si="4"/>
        <v/>
      </c>
      <c r="U62" s="155"/>
      <c r="V62" s="155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80"/>
      <c r="P63" s="9"/>
      <c r="Q63" s="9"/>
      <c r="R63" s="9"/>
      <c r="S63" s="144"/>
      <c r="T63" s="155" t="str">
        <f t="shared" si="4"/>
        <v/>
      </c>
      <c r="U63" s="155"/>
      <c r="V63" s="155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8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80"/>
      <c r="P65" s="9"/>
      <c r="Q65" s="9"/>
      <c r="R65" s="9"/>
      <c r="S65" s="123"/>
      <c r="T65" s="123"/>
      <c r="U65" s="145" t="s">
        <v>67</v>
      </c>
      <c r="V65" s="145" t="s">
        <v>68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80"/>
      <c r="P66" s="9"/>
      <c r="Q66" s="9"/>
      <c r="R66" s="9"/>
      <c r="S66" s="123"/>
      <c r="T66" s="123"/>
      <c r="U66" s="146">
        <f>SUM(L10:L46)</f>
        <v>2</v>
      </c>
      <c r="V66" s="147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8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8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80"/>
      <c r="P69" s="9"/>
      <c r="Q69" s="9"/>
      <c r="R69" s="9"/>
      <c r="S69" s="129"/>
      <c r="T69" s="128" t="s">
        <v>75</v>
      </c>
      <c r="U69" s="129"/>
      <c r="V69" s="129"/>
      <c r="W69" s="130">
        <f>V66*U66</f>
        <v>600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80"/>
      <c r="P70" s="9"/>
      <c r="Q70" s="9"/>
      <c r="R70" s="9"/>
      <c r="S70" s="129"/>
      <c r="T70" s="131" t="s">
        <v>78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80"/>
      <c r="P71" s="9"/>
      <c r="Q71" s="9"/>
      <c r="R71" s="9"/>
      <c r="S71" s="129"/>
      <c r="T71" s="131" t="s">
        <v>79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80"/>
      <c r="P72" s="9"/>
      <c r="Q72" s="9"/>
      <c r="R72" s="9"/>
      <c r="S72" s="129"/>
      <c r="T72" s="128" t="s">
        <v>76</v>
      </c>
      <c r="U72" s="129"/>
      <c r="V72" s="129"/>
      <c r="W72" s="130">
        <f>SUM(W69:W71)</f>
        <v>600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80"/>
      <c r="P73" s="9"/>
      <c r="Q73" s="9"/>
      <c r="R73" s="9"/>
      <c r="S73" s="129"/>
      <c r="T73" s="129" t="s">
        <v>210</v>
      </c>
      <c r="U73" s="133">
        <v>0.05</v>
      </c>
      <c r="V73" s="129"/>
      <c r="W73" s="134">
        <f>ROUND(W72*U73,2)</f>
        <v>30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80"/>
      <c r="P74" s="9"/>
      <c r="Q74" s="9"/>
      <c r="R74" s="9"/>
      <c r="S74" s="129"/>
      <c r="T74" s="129" t="s">
        <v>77</v>
      </c>
      <c r="U74" s="135">
        <v>9.9750000000000005E-2</v>
      </c>
      <c r="V74" s="129"/>
      <c r="W74" s="134">
        <f>ROUND(W72*U74,2)</f>
        <v>59.85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8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80"/>
      <c r="P76" s="9"/>
      <c r="Q76" s="9"/>
      <c r="R76" s="9"/>
      <c r="S76" s="129"/>
      <c r="T76" s="128" t="s">
        <v>80</v>
      </c>
      <c r="U76" s="129"/>
      <c r="V76" s="129"/>
      <c r="W76" s="130">
        <f>SUM(W72:W74)</f>
        <v>689.85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80"/>
      <c r="P77" s="9"/>
      <c r="Q77" s="9"/>
      <c r="R77" s="9"/>
      <c r="S77" s="129"/>
      <c r="T77" s="150"/>
      <c r="U77" s="150"/>
      <c r="V77" s="150"/>
      <c r="W77" s="18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80"/>
      <c r="P78" s="9"/>
      <c r="Q78" s="9"/>
      <c r="R78" s="9"/>
      <c r="S78" s="129"/>
      <c r="T78" s="151" t="s">
        <v>81</v>
      </c>
      <c r="U78" s="151"/>
      <c r="V78" s="151"/>
      <c r="W78" s="18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80"/>
      <c r="P79" s="9"/>
      <c r="Q79" s="9"/>
      <c r="R79" s="9"/>
      <c r="S79" s="129"/>
      <c r="T79" s="150"/>
      <c r="U79" s="150"/>
      <c r="V79" s="150"/>
      <c r="W79" s="18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80"/>
      <c r="P80" s="9"/>
      <c r="Q80" s="9"/>
      <c r="R80" s="9"/>
      <c r="S80" s="129"/>
      <c r="T80" s="137" t="s">
        <v>82</v>
      </c>
      <c r="U80" s="138"/>
      <c r="V80" s="138"/>
      <c r="W80" s="190">
        <f>W76-W78</f>
        <v>689.85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8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8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80"/>
      <c r="P83" s="9"/>
      <c r="Q83" s="9"/>
      <c r="R83" s="9"/>
      <c r="S83" s="129"/>
      <c r="T83" s="152"/>
      <c r="U83" s="152"/>
      <c r="V83" s="152"/>
      <c r="W83" s="152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80"/>
      <c r="P84" s="9"/>
      <c r="Q84" s="9"/>
      <c r="R84" s="9"/>
      <c r="S84" s="153" t="s">
        <v>72</v>
      </c>
      <c r="T84" s="153"/>
      <c r="U84" s="153"/>
      <c r="V84" s="153"/>
      <c r="W84" s="153"/>
      <c r="X84" s="153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80"/>
      <c r="P85" s="9"/>
      <c r="Q85" s="9"/>
      <c r="R85" s="9"/>
      <c r="S85" s="152" t="s">
        <v>73</v>
      </c>
      <c r="T85" s="152"/>
      <c r="U85" s="152"/>
      <c r="V85" s="152"/>
      <c r="W85" s="152"/>
      <c r="X85" s="152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8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80"/>
      <c r="P87" s="9"/>
      <c r="Q87" s="9"/>
      <c r="R87" s="9"/>
      <c r="S87" s="129"/>
      <c r="T87" s="153"/>
      <c r="U87" s="153"/>
      <c r="V87" s="153"/>
      <c r="W87" s="153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80"/>
      <c r="P88" s="9"/>
      <c r="Q88" s="9"/>
      <c r="R88" s="9"/>
      <c r="S88" s="154" t="s">
        <v>74</v>
      </c>
      <c r="T88" s="154"/>
      <c r="U88" s="154"/>
      <c r="V88" s="154"/>
      <c r="W88" s="154"/>
      <c r="X88" s="154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8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8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8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8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8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8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8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3390900</xdr:colOff>
                    <xdr:row>7</xdr:row>
                    <xdr:rowOff>123825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A10" sqref="A10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3" customWidth="1"/>
  </cols>
  <sheetData>
    <row r="1" spans="1:8" ht="14.45" customHeight="1" x14ac:dyDescent="0.25">
      <c r="A1" s="10"/>
      <c r="B1" s="11" t="s">
        <v>44</v>
      </c>
      <c r="C1" s="11" t="s">
        <v>51</v>
      </c>
      <c r="D1" s="11" t="s">
        <v>213</v>
      </c>
      <c r="E1" s="11" t="s">
        <v>44</v>
      </c>
      <c r="F1" s="11"/>
      <c r="G1" s="22" t="s">
        <v>216</v>
      </c>
      <c r="H1" s="22"/>
    </row>
    <row r="2" spans="1:8" ht="14.45" customHeight="1" x14ac:dyDescent="0.25">
      <c r="A2" s="169" t="s">
        <v>32</v>
      </c>
      <c r="B2" s="169"/>
      <c r="C2" s="169"/>
      <c r="D2" s="169"/>
      <c r="E2" s="169"/>
      <c r="F2" s="169"/>
      <c r="G2" s="169"/>
      <c r="H2" s="169"/>
    </row>
    <row r="3" spans="1:8" x14ac:dyDescent="0.25">
      <c r="A3" s="50" t="s">
        <v>106</v>
      </c>
      <c r="B3" s="50" t="s">
        <v>30</v>
      </c>
      <c r="C3" s="50" t="s">
        <v>107</v>
      </c>
      <c r="D3" s="50" t="s">
        <v>10</v>
      </c>
      <c r="E3" s="50" t="s">
        <v>25</v>
      </c>
      <c r="F3" s="50" t="s">
        <v>0</v>
      </c>
      <c r="G3" s="84" t="s">
        <v>214</v>
      </c>
      <c r="H3" s="84" t="s">
        <v>24</v>
      </c>
    </row>
    <row r="4" spans="1:8" x14ac:dyDescent="0.25">
      <c r="A4" s="2">
        <v>1</v>
      </c>
      <c r="B4" s="21">
        <v>45228</v>
      </c>
      <c r="C4" s="2">
        <v>2</v>
      </c>
      <c r="D4" s="191" t="s">
        <v>91</v>
      </c>
      <c r="E4" s="21">
        <v>45228</v>
      </c>
      <c r="G4" s="183">
        <v>0</v>
      </c>
      <c r="H4" s="183">
        <v>8551.27</v>
      </c>
    </row>
    <row r="5" spans="1:8" x14ac:dyDescent="0.25">
      <c r="A5" s="2">
        <v>2</v>
      </c>
      <c r="B5" s="21">
        <v>45228</v>
      </c>
      <c r="C5" s="2">
        <v>1</v>
      </c>
      <c r="D5" s="191" t="s">
        <v>84</v>
      </c>
      <c r="E5" s="21">
        <v>45228</v>
      </c>
      <c r="G5" s="183">
        <v>500</v>
      </c>
      <c r="H5" s="183">
        <v>2213.27</v>
      </c>
    </row>
    <row r="6" spans="1:8" x14ac:dyDescent="0.25">
      <c r="A6" s="2">
        <v>3</v>
      </c>
      <c r="B6" s="21">
        <v>45228</v>
      </c>
      <c r="C6" s="2">
        <v>3</v>
      </c>
      <c r="D6" s="191" t="s">
        <v>116</v>
      </c>
      <c r="E6" s="21">
        <v>45228</v>
      </c>
      <c r="G6" s="183">
        <v>0</v>
      </c>
      <c r="H6" s="183">
        <v>804.83</v>
      </c>
    </row>
    <row r="7" spans="1:8" x14ac:dyDescent="0.25">
      <c r="A7" s="2">
        <v>4</v>
      </c>
      <c r="B7" s="21">
        <v>45228</v>
      </c>
      <c r="C7" s="2">
        <v>1</v>
      </c>
      <c r="D7" s="191" t="s">
        <v>84</v>
      </c>
      <c r="E7" s="21">
        <v>45228</v>
      </c>
      <c r="G7" s="183">
        <v>200</v>
      </c>
      <c r="H7" s="183">
        <v>2414.48</v>
      </c>
    </row>
    <row r="8" spans="1:8" x14ac:dyDescent="0.25">
      <c r="A8" s="2">
        <v>5</v>
      </c>
      <c r="B8" s="21">
        <v>45228</v>
      </c>
      <c r="C8" s="2">
        <v>2</v>
      </c>
      <c r="D8" s="191" t="s">
        <v>91</v>
      </c>
      <c r="E8" s="21">
        <v>45228</v>
      </c>
      <c r="G8" s="183">
        <v>0</v>
      </c>
      <c r="H8" s="183">
        <v>3449.25</v>
      </c>
    </row>
    <row r="9" spans="1:8" x14ac:dyDescent="0.25">
      <c r="A9" s="2">
        <v>6</v>
      </c>
      <c r="B9" s="21">
        <v>45228</v>
      </c>
      <c r="C9" s="2">
        <v>3</v>
      </c>
      <c r="D9" s="191" t="s">
        <v>116</v>
      </c>
      <c r="E9" s="21">
        <v>45228</v>
      </c>
      <c r="G9" s="183">
        <v>0</v>
      </c>
      <c r="H9" s="183">
        <v>689.85</v>
      </c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8:H35 A4:C7 E4:H7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B23" sqref="B23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87" customWidth="1"/>
    <col min="4" max="4" width="10.7109375" customWidth="1"/>
    <col min="5" max="5" width="11.85546875" style="18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70" t="s">
        <v>28</v>
      </c>
      <c r="B1" s="170"/>
      <c r="C1" s="170"/>
      <c r="D1" s="170"/>
      <c r="E1" s="170"/>
      <c r="F1" s="170"/>
      <c r="G1" s="170"/>
      <c r="L1" s="15" t="s">
        <v>43</v>
      </c>
      <c r="N1" s="169" t="s">
        <v>43</v>
      </c>
      <c r="O1" s="169"/>
      <c r="P1" s="169"/>
      <c r="Q1" s="169"/>
      <c r="R1" s="169"/>
      <c r="S1" s="169"/>
      <c r="T1" s="169"/>
    </row>
    <row r="2" spans="1:20" ht="14.45" customHeight="1" x14ac:dyDescent="0.25">
      <c r="A2" s="169"/>
      <c r="B2" s="169"/>
      <c r="C2" s="169"/>
      <c r="D2" s="169"/>
      <c r="E2" s="169"/>
      <c r="F2" s="169"/>
      <c r="G2" s="169"/>
      <c r="L2" s="5" t="s">
        <v>29</v>
      </c>
      <c r="N2" s="5"/>
      <c r="O2" s="5"/>
      <c r="P2" s="5" t="s">
        <v>45</v>
      </c>
      <c r="Q2" s="5" t="s">
        <v>67</v>
      </c>
      <c r="R2" s="5" t="s">
        <v>218</v>
      </c>
      <c r="S2" s="5" t="s">
        <v>26</v>
      </c>
      <c r="T2" s="5" t="s">
        <v>27</v>
      </c>
    </row>
    <row r="3" spans="1:20" ht="18.75" x14ac:dyDescent="0.25">
      <c r="A3" s="52" t="s">
        <v>106</v>
      </c>
      <c r="B3" s="56" t="s">
        <v>4</v>
      </c>
      <c r="C3" s="188" t="s">
        <v>67</v>
      </c>
      <c r="D3" s="56" t="s">
        <v>218</v>
      </c>
      <c r="E3" s="192" t="s">
        <v>217</v>
      </c>
      <c r="F3" s="56" t="s">
        <v>26</v>
      </c>
      <c r="G3" s="56" t="s">
        <v>27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77" t="s">
        <v>171</v>
      </c>
      <c r="C4" s="186">
        <v>2</v>
      </c>
      <c r="D4" s="16">
        <v>350</v>
      </c>
      <c r="E4" s="184">
        <v>700</v>
      </c>
      <c r="F4" s="2">
        <v>10</v>
      </c>
      <c r="G4" s="2"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177</v>
      </c>
      <c r="C5" s="186">
        <v>3</v>
      </c>
      <c r="D5" s="16">
        <v>350</v>
      </c>
      <c r="E5" s="184">
        <v>1050</v>
      </c>
      <c r="F5" s="2">
        <v>11</v>
      </c>
      <c r="G5" s="2"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174</v>
      </c>
      <c r="C6" s="186">
        <v>0.5</v>
      </c>
      <c r="D6" s="16">
        <v>350</v>
      </c>
      <c r="E6" s="185">
        <v>175</v>
      </c>
      <c r="F6" s="2">
        <v>12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189</v>
      </c>
      <c r="C7" s="186">
        <v>1</v>
      </c>
      <c r="D7" s="16">
        <v>350</v>
      </c>
      <c r="E7" s="184">
        <v>350</v>
      </c>
      <c r="F7" s="2">
        <v>13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180</v>
      </c>
      <c r="C8" s="186">
        <v>0.75</v>
      </c>
      <c r="D8" s="16">
        <v>350</v>
      </c>
      <c r="E8" s="184">
        <v>262.5</v>
      </c>
      <c r="F8" s="2">
        <v>14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183</v>
      </c>
      <c r="C9" s="186">
        <v>4</v>
      </c>
      <c r="D9" s="16">
        <v>350</v>
      </c>
      <c r="E9" s="184">
        <v>1400</v>
      </c>
      <c r="F9" s="2">
        <v>15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211</v>
      </c>
      <c r="C10" s="186">
        <v>10</v>
      </c>
      <c r="D10" s="16">
        <v>350</v>
      </c>
      <c r="E10" s="184">
        <v>3500</v>
      </c>
      <c r="F10" s="2">
        <v>16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171</v>
      </c>
      <c r="C11" s="186">
        <v>3.5</v>
      </c>
      <c r="D11" s="16">
        <v>300</v>
      </c>
      <c r="E11" s="184">
        <v>1050</v>
      </c>
      <c r="F11" s="2">
        <v>10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195</v>
      </c>
      <c r="C12" s="186">
        <v>2</v>
      </c>
      <c r="D12" s="16">
        <v>300</v>
      </c>
      <c r="E12" s="184">
        <v>600</v>
      </c>
      <c r="F12" s="2">
        <v>11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173</v>
      </c>
      <c r="C13" s="186">
        <v>2</v>
      </c>
      <c r="D13" s="16">
        <v>350</v>
      </c>
      <c r="E13" s="184">
        <v>700</v>
      </c>
      <c r="F13" s="2">
        <v>10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171</v>
      </c>
      <c r="C14" s="186">
        <v>4</v>
      </c>
      <c r="D14" s="16">
        <v>300</v>
      </c>
      <c r="E14" s="184">
        <v>1200</v>
      </c>
      <c r="F14" s="2">
        <v>10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175</v>
      </c>
      <c r="C15" s="186">
        <v>2</v>
      </c>
      <c r="D15" s="16">
        <v>300</v>
      </c>
      <c r="E15" s="184">
        <v>600</v>
      </c>
      <c r="F15" s="2">
        <v>11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178</v>
      </c>
      <c r="C16" s="186">
        <v>1</v>
      </c>
      <c r="D16" s="16">
        <v>300</v>
      </c>
      <c r="E16" s="184">
        <v>300</v>
      </c>
      <c r="F16" s="2">
        <v>10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173</v>
      </c>
      <c r="C17" s="186">
        <v>2</v>
      </c>
      <c r="D17" s="16">
        <v>300</v>
      </c>
      <c r="E17" s="184">
        <v>600</v>
      </c>
      <c r="F17" s="2">
        <v>11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178</v>
      </c>
      <c r="C18" s="186">
        <v>3</v>
      </c>
      <c r="D18" s="16">
        <v>300</v>
      </c>
      <c r="E18" s="184">
        <v>900</v>
      </c>
      <c r="F18" s="2">
        <v>12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172</v>
      </c>
      <c r="C19" s="186">
        <v>4</v>
      </c>
      <c r="D19" s="16">
        <v>300</v>
      </c>
      <c r="E19" s="184">
        <v>1200</v>
      </c>
      <c r="F19" s="2">
        <v>13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209</v>
      </c>
      <c r="C20" s="186">
        <v>2</v>
      </c>
      <c r="D20" s="16">
        <v>300</v>
      </c>
      <c r="E20" s="184">
        <v>600</v>
      </c>
      <c r="F20" s="2">
        <v>10</v>
      </c>
      <c r="G20" s="2">
        <f>ROW()</f>
        <v>20</v>
      </c>
      <c r="Q20" s="2"/>
      <c r="R20" s="2"/>
      <c r="S20" s="2"/>
      <c r="T20" s="2"/>
    </row>
    <row r="21" spans="1:20" x14ac:dyDescent="0.25">
      <c r="C21" s="186"/>
      <c r="D21" s="2"/>
      <c r="F21" s="2"/>
      <c r="G21" s="2"/>
      <c r="Q21" s="2"/>
      <c r="R21" s="2"/>
      <c r="S21" s="2"/>
      <c r="T21" s="2"/>
    </row>
    <row r="22" spans="1:20" x14ac:dyDescent="0.25">
      <c r="C22" s="186"/>
      <c r="D22" s="2"/>
      <c r="F22" s="2"/>
      <c r="G22" s="2"/>
      <c r="Q22" s="2"/>
      <c r="R22" s="2"/>
      <c r="S22" s="2"/>
      <c r="T22" s="2"/>
    </row>
    <row r="23" spans="1:20" x14ac:dyDescent="0.25">
      <c r="C23" s="186"/>
      <c r="D23" s="2"/>
      <c r="F23" s="2"/>
      <c r="G23" s="2"/>
      <c r="Q23" s="2"/>
      <c r="R23" s="2"/>
      <c r="S23" s="2"/>
      <c r="T23" s="2"/>
    </row>
    <row r="24" spans="1:20" x14ac:dyDescent="0.25">
      <c r="C24" s="186"/>
      <c r="D24" s="2"/>
      <c r="F24" s="2"/>
      <c r="G24" s="2"/>
      <c r="Q24" s="2"/>
      <c r="R24" s="2"/>
      <c r="S24" s="2"/>
      <c r="T24" s="2"/>
    </row>
    <row r="25" spans="1:20" x14ac:dyDescent="0.25">
      <c r="C25" s="186"/>
      <c r="D25" s="2"/>
      <c r="F25" s="2"/>
      <c r="G25" s="2"/>
      <c r="Q25" s="2"/>
      <c r="R25" s="2"/>
      <c r="S25" s="2"/>
      <c r="T25" s="2"/>
    </row>
    <row r="26" spans="1:20" x14ac:dyDescent="0.25">
      <c r="C26" s="186"/>
      <c r="D26" s="2"/>
      <c r="F26" s="2"/>
      <c r="G26" s="2"/>
      <c r="Q26" s="2"/>
      <c r="R26" s="2"/>
      <c r="S26" s="2"/>
      <c r="T26" s="2"/>
    </row>
    <row r="27" spans="1:20" x14ac:dyDescent="0.25">
      <c r="C27" s="186"/>
      <c r="D27" s="2"/>
      <c r="F27" s="2"/>
      <c r="G27" s="2"/>
      <c r="Q27" s="2"/>
      <c r="R27" s="2"/>
      <c r="S27" s="2"/>
      <c r="T27" s="2"/>
    </row>
    <row r="28" spans="1:20" x14ac:dyDescent="0.25">
      <c r="C28" s="186"/>
      <c r="D28" s="2"/>
      <c r="F28" s="2"/>
      <c r="G28" s="2"/>
      <c r="Q28" s="2"/>
      <c r="R28" s="2"/>
      <c r="S28" s="2"/>
      <c r="T28" s="2"/>
    </row>
    <row r="29" spans="1:20" x14ac:dyDescent="0.25">
      <c r="C29" s="186"/>
      <c r="D29" s="2"/>
      <c r="F29" s="2"/>
      <c r="G29" s="2"/>
      <c r="Q29" s="2"/>
      <c r="R29" s="2"/>
      <c r="S29" s="2"/>
      <c r="T29" s="2"/>
    </row>
    <row r="30" spans="1:20" x14ac:dyDescent="0.25">
      <c r="C30" s="186"/>
      <c r="D30" s="2"/>
      <c r="F30" s="2"/>
      <c r="G30" s="2"/>
      <c r="Q30" s="2"/>
      <c r="R30" s="2"/>
      <c r="S30" s="2"/>
      <c r="T30" s="2"/>
    </row>
    <row r="31" spans="1:20" x14ac:dyDescent="0.25">
      <c r="C31" s="186"/>
      <c r="D31" s="2"/>
      <c r="F31" s="2"/>
      <c r="G31" s="2"/>
      <c r="Q31" s="2"/>
      <c r="R31" s="2"/>
      <c r="S31" s="2"/>
      <c r="T31" s="2"/>
    </row>
    <row r="32" spans="1:20" x14ac:dyDescent="0.25">
      <c r="C32" s="186"/>
      <c r="D32" s="2"/>
      <c r="F32" s="2"/>
      <c r="G32" s="2"/>
      <c r="Q32" s="2"/>
      <c r="R32" s="2"/>
      <c r="S32" s="2"/>
      <c r="T32" s="2"/>
    </row>
    <row r="33" spans="3:20" x14ac:dyDescent="0.25">
      <c r="C33" s="186"/>
      <c r="D33" s="2"/>
      <c r="F33" s="2"/>
      <c r="G33" s="2"/>
      <c r="Q33" s="2"/>
      <c r="R33" s="2"/>
      <c r="S33" s="2"/>
      <c r="T33" s="2"/>
    </row>
    <row r="34" spans="3:20" x14ac:dyDescent="0.25">
      <c r="C34" s="186"/>
      <c r="D34" s="2"/>
      <c r="F34" s="2"/>
      <c r="G34" s="2"/>
      <c r="Q34" s="2"/>
      <c r="R34" s="2"/>
      <c r="S34" s="2"/>
      <c r="T34" s="2"/>
    </row>
    <row r="35" spans="3:20" x14ac:dyDescent="0.25">
      <c r="C35" s="186"/>
      <c r="D35" s="2"/>
      <c r="F35" s="2"/>
      <c r="G35" s="2"/>
      <c r="Q35" s="2"/>
      <c r="R35" s="2"/>
      <c r="S35" s="2"/>
      <c r="T35" s="2"/>
    </row>
    <row r="36" spans="3:20" x14ac:dyDescent="0.25">
      <c r="C36" s="186"/>
      <c r="D36" s="2"/>
      <c r="F36" s="2"/>
      <c r="G36" s="2"/>
      <c r="Q36" s="2"/>
      <c r="R36" s="2"/>
      <c r="S36" s="2"/>
      <c r="T36" s="2"/>
    </row>
    <row r="37" spans="3:20" x14ac:dyDescent="0.25">
      <c r="C37" s="186"/>
      <c r="D37" s="2"/>
      <c r="F37" s="2"/>
      <c r="G37" s="2"/>
      <c r="Q37" s="2"/>
      <c r="R37" s="2"/>
      <c r="S37" s="2"/>
      <c r="T37" s="2"/>
    </row>
    <row r="38" spans="3:20" x14ac:dyDescent="0.25">
      <c r="C38" s="186"/>
      <c r="D38" s="2"/>
      <c r="F38" s="2"/>
      <c r="G38" s="2"/>
      <c r="Q38" s="2"/>
      <c r="R38" s="2"/>
      <c r="S38" s="2"/>
      <c r="T38" s="2"/>
    </row>
    <row r="39" spans="3:20" x14ac:dyDescent="0.25">
      <c r="C39" s="186"/>
      <c r="D39" s="2"/>
      <c r="F39" s="2"/>
      <c r="G39" s="2"/>
      <c r="Q39" s="2"/>
      <c r="R39" s="2"/>
      <c r="S39" s="2"/>
      <c r="T39" s="2"/>
    </row>
    <row r="40" spans="3:20" x14ac:dyDescent="0.25">
      <c r="C40" s="186"/>
      <c r="D40" s="2"/>
      <c r="F40" s="2"/>
      <c r="G40" s="2"/>
      <c r="Q40" s="2"/>
      <c r="R40" s="2"/>
      <c r="S40" s="2"/>
      <c r="T40" s="2"/>
    </row>
    <row r="41" spans="3:20" x14ac:dyDescent="0.25">
      <c r="C41" s="186"/>
      <c r="D41" s="2"/>
      <c r="F41" s="2"/>
      <c r="G41" s="2"/>
      <c r="Q41" s="2"/>
      <c r="R41" s="2"/>
      <c r="S41" s="2"/>
      <c r="T41" s="2"/>
    </row>
    <row r="42" spans="3:20" x14ac:dyDescent="0.25">
      <c r="C42" s="186"/>
      <c r="D42" s="2"/>
      <c r="F42" s="2"/>
      <c r="G42" s="2"/>
      <c r="Q42" s="2"/>
      <c r="R42" s="2"/>
      <c r="S42" s="2"/>
      <c r="T42" s="2"/>
    </row>
    <row r="43" spans="3:20" x14ac:dyDescent="0.25">
      <c r="C43" s="186"/>
      <c r="D43" s="2"/>
      <c r="F43" s="2"/>
      <c r="G43" s="2"/>
      <c r="Q43" s="2"/>
      <c r="R43" s="2"/>
      <c r="S43" s="2"/>
      <c r="T43" s="2"/>
    </row>
    <row r="44" spans="3:20" x14ac:dyDescent="0.25">
      <c r="C44" s="186"/>
      <c r="D44" s="2"/>
      <c r="F44" s="2"/>
      <c r="G44" s="2"/>
      <c r="Q44" s="2"/>
      <c r="R44" s="2"/>
      <c r="S44" s="2"/>
      <c r="T44" s="2"/>
    </row>
    <row r="45" spans="3:20" x14ac:dyDescent="0.25">
      <c r="C45" s="186"/>
      <c r="D45" s="2"/>
      <c r="F45" s="2"/>
      <c r="G45" s="2"/>
      <c r="Q45" s="2"/>
      <c r="R45" s="2"/>
      <c r="S45" s="2"/>
      <c r="T45" s="2"/>
    </row>
    <row r="46" spans="3:20" x14ac:dyDescent="0.25">
      <c r="C46" s="186"/>
      <c r="D46" s="2"/>
      <c r="F46" s="2"/>
      <c r="G46" s="2"/>
      <c r="Q46" s="2"/>
      <c r="R46" s="2"/>
      <c r="S46" s="2"/>
      <c r="T46" s="2"/>
    </row>
    <row r="47" spans="3:20" x14ac:dyDescent="0.25">
      <c r="C47" s="186"/>
      <c r="D47" s="2"/>
      <c r="F47" s="2"/>
      <c r="G47" s="2"/>
      <c r="Q47" s="2"/>
      <c r="R47" s="2"/>
      <c r="S47" s="2"/>
      <c r="T47" s="2"/>
    </row>
    <row r="48" spans="3:20" x14ac:dyDescent="0.25">
      <c r="C48" s="186"/>
      <c r="D48" s="2"/>
      <c r="F48" s="2"/>
      <c r="G48" s="2"/>
      <c r="Q48" s="2"/>
      <c r="R48" s="2"/>
      <c r="S48" s="2"/>
      <c r="T48" s="2"/>
    </row>
    <row r="49" spans="3:20" x14ac:dyDescent="0.25">
      <c r="C49" s="186"/>
      <c r="D49" s="2"/>
      <c r="F49" s="2"/>
      <c r="G49" s="2"/>
      <c r="Q49" s="2"/>
      <c r="R49" s="2"/>
      <c r="S49" s="2"/>
      <c r="T49" s="2"/>
    </row>
    <row r="50" spans="3:20" x14ac:dyDescent="0.25">
      <c r="C50" s="186"/>
      <c r="D50" s="2"/>
      <c r="F50" s="2"/>
      <c r="G50" s="2"/>
      <c r="Q50" s="2"/>
      <c r="R50" s="2"/>
      <c r="S50" s="2"/>
      <c r="T50" s="2"/>
    </row>
    <row r="51" spans="3:20" x14ac:dyDescent="0.25">
      <c r="C51" s="186"/>
      <c r="D51" s="2"/>
      <c r="F51" s="2"/>
      <c r="G51" s="2"/>
      <c r="Q51" s="2"/>
      <c r="R51" s="2"/>
      <c r="S51" s="2"/>
      <c r="T51" s="2"/>
    </row>
    <row r="52" spans="3:20" x14ac:dyDescent="0.25">
      <c r="C52" s="186"/>
      <c r="D52" s="2"/>
      <c r="F52" s="2"/>
      <c r="G52" s="2"/>
      <c r="Q52" s="2"/>
      <c r="R52" s="2"/>
      <c r="S52" s="2"/>
      <c r="T52" s="2"/>
    </row>
    <row r="53" spans="3:20" x14ac:dyDescent="0.25">
      <c r="C53" s="186"/>
      <c r="D53" s="2"/>
      <c r="F53" s="2"/>
      <c r="G53" s="2"/>
      <c r="Q53" s="2"/>
      <c r="R53" s="2"/>
      <c r="S53" s="2"/>
      <c r="T53" s="2"/>
    </row>
    <row r="54" spans="3:20" x14ac:dyDescent="0.25">
      <c r="C54" s="186"/>
      <c r="D54" s="2"/>
      <c r="F54" s="2"/>
      <c r="G54" s="2"/>
      <c r="Q54" s="2"/>
      <c r="R54" s="2"/>
      <c r="S54" s="2"/>
      <c r="T54" s="2"/>
    </row>
    <row r="55" spans="3:20" x14ac:dyDescent="0.25">
      <c r="C55" s="186"/>
      <c r="D55" s="2"/>
      <c r="F55" s="2"/>
      <c r="G55" s="2"/>
      <c r="Q55" s="2"/>
      <c r="R55" s="2"/>
      <c r="S55" s="2"/>
      <c r="T55" s="2"/>
    </row>
    <row r="56" spans="3:20" x14ac:dyDescent="0.25">
      <c r="C56" s="186"/>
      <c r="D56" s="2"/>
      <c r="F56" s="2"/>
      <c r="G56" s="2"/>
      <c r="Q56" s="2"/>
      <c r="R56" s="2"/>
      <c r="S56" s="2"/>
      <c r="T56" s="2"/>
    </row>
    <row r="57" spans="3:20" x14ac:dyDescent="0.25">
      <c r="C57" s="186"/>
      <c r="D57" s="2"/>
      <c r="F57" s="2"/>
      <c r="G57" s="2"/>
      <c r="Q57" s="2"/>
      <c r="R57" s="2"/>
      <c r="S57" s="2"/>
      <c r="T57" s="2"/>
    </row>
    <row r="58" spans="3:20" x14ac:dyDescent="0.25">
      <c r="C58" s="186"/>
      <c r="D58" s="2"/>
      <c r="F58" s="2"/>
      <c r="G58" s="2"/>
      <c r="Q58" s="2"/>
      <c r="R58" s="2"/>
      <c r="S58" s="2"/>
      <c r="T58" s="2"/>
    </row>
    <row r="59" spans="3:20" x14ac:dyDescent="0.25">
      <c r="C59" s="186"/>
      <c r="D59" s="2"/>
      <c r="F59" s="2"/>
      <c r="G59" s="2"/>
      <c r="Q59" s="2"/>
      <c r="R59" s="2"/>
      <c r="S59" s="2"/>
      <c r="T59" s="2"/>
    </row>
    <row r="60" spans="3:20" x14ac:dyDescent="0.25">
      <c r="C60" s="186"/>
      <c r="D60" s="2"/>
      <c r="F60" s="2"/>
      <c r="G60" s="2"/>
      <c r="Q60" s="2"/>
      <c r="R60" s="2"/>
      <c r="S60" s="2"/>
      <c r="T60" s="2"/>
    </row>
    <row r="61" spans="3:20" x14ac:dyDescent="0.25">
      <c r="C61" s="186"/>
      <c r="D61" s="2"/>
      <c r="F61" s="2"/>
      <c r="G61" s="2"/>
      <c r="Q61" s="2"/>
      <c r="R61" s="2"/>
      <c r="S61" s="2"/>
      <c r="T61" s="2"/>
    </row>
    <row r="62" spans="3:20" x14ac:dyDescent="0.25">
      <c r="C62" s="186"/>
      <c r="D62" s="2"/>
      <c r="F62" s="2"/>
      <c r="G62" s="2"/>
      <c r="Q62" s="2"/>
      <c r="R62" s="2"/>
      <c r="S62" s="2"/>
      <c r="T62" s="2"/>
    </row>
    <row r="63" spans="3:20" x14ac:dyDescent="0.25">
      <c r="C63" s="186"/>
      <c r="D63" s="2"/>
      <c r="F63" s="2"/>
      <c r="G63" s="2"/>
      <c r="Q63" s="2"/>
      <c r="R63" s="2"/>
      <c r="S63" s="2"/>
      <c r="T63" s="2"/>
    </row>
    <row r="64" spans="3:20" x14ac:dyDescent="0.25">
      <c r="C64" s="186"/>
      <c r="D64" s="2"/>
      <c r="F64" s="2"/>
      <c r="G64" s="2"/>
      <c r="Q64" s="2"/>
      <c r="R64" s="2"/>
      <c r="S64" s="2"/>
      <c r="T64" s="2"/>
    </row>
    <row r="65" spans="3:20" x14ac:dyDescent="0.25">
      <c r="C65" s="186"/>
      <c r="D65" s="2"/>
      <c r="F65" s="2"/>
      <c r="G65" s="2"/>
      <c r="Q65" s="2"/>
      <c r="R65" s="2"/>
      <c r="S65" s="2"/>
      <c r="T65" s="2"/>
    </row>
    <row r="66" spans="3:20" x14ac:dyDescent="0.25">
      <c r="C66" s="186"/>
      <c r="D66" s="2"/>
      <c r="F66" s="2"/>
      <c r="G66" s="2"/>
      <c r="Q66" s="2"/>
      <c r="R66" s="2"/>
      <c r="S66" s="2"/>
      <c r="T66" s="2"/>
    </row>
    <row r="67" spans="3:20" x14ac:dyDescent="0.25">
      <c r="C67" s="186"/>
      <c r="D67" s="2"/>
      <c r="F67" s="2"/>
      <c r="G67" s="2"/>
      <c r="Q67" s="2"/>
      <c r="R67" s="2"/>
      <c r="S67" s="2"/>
      <c r="T67" s="2"/>
    </row>
    <row r="68" spans="3:20" x14ac:dyDescent="0.25">
      <c r="C68" s="186"/>
      <c r="D68" s="2"/>
      <c r="F68" s="2"/>
      <c r="G68" s="2"/>
      <c r="Q68" s="2"/>
      <c r="R68" s="2"/>
      <c r="S68" s="2"/>
      <c r="T68" s="2"/>
    </row>
    <row r="69" spans="3:20" x14ac:dyDescent="0.25">
      <c r="C69" s="186"/>
      <c r="D69" s="2"/>
      <c r="F69" s="2"/>
      <c r="G69" s="2"/>
      <c r="Q69" s="2"/>
      <c r="R69" s="2"/>
      <c r="S69" s="2"/>
      <c r="T69" s="2"/>
    </row>
    <row r="70" spans="3:20" x14ac:dyDescent="0.25">
      <c r="C70" s="186"/>
      <c r="D70" s="2"/>
      <c r="F70" s="2"/>
      <c r="G70" s="2"/>
      <c r="Q70" s="2"/>
      <c r="R70" s="2"/>
      <c r="S70" s="2"/>
      <c r="T70" s="2"/>
    </row>
    <row r="71" spans="3:20" x14ac:dyDescent="0.25">
      <c r="C71" s="186"/>
      <c r="D71" s="2"/>
      <c r="F71" s="2"/>
      <c r="G71" s="2"/>
      <c r="Q71" s="2"/>
      <c r="R71" s="2"/>
      <c r="S71" s="2"/>
      <c r="T71" s="2"/>
    </row>
    <row r="72" spans="3:20" x14ac:dyDescent="0.25">
      <c r="C72" s="186"/>
      <c r="D72" s="2"/>
      <c r="F72" s="2"/>
      <c r="G72" s="2"/>
      <c r="Q72" s="2"/>
      <c r="R72" s="2"/>
      <c r="S72" s="2"/>
      <c r="T72" s="2"/>
    </row>
    <row r="73" spans="3:20" x14ac:dyDescent="0.25">
      <c r="C73" s="186"/>
      <c r="D73" s="2"/>
      <c r="F73" s="2"/>
      <c r="G73" s="2"/>
      <c r="Q73" s="2"/>
      <c r="R73" s="2"/>
      <c r="S73" s="2"/>
      <c r="T73" s="2"/>
    </row>
    <row r="74" spans="3:20" x14ac:dyDescent="0.25">
      <c r="C74" s="186"/>
      <c r="D74" s="2"/>
      <c r="F74" s="2"/>
      <c r="G74" s="2"/>
      <c r="Q74" s="2"/>
      <c r="R74" s="2"/>
      <c r="S74" s="2"/>
      <c r="T74" s="2"/>
    </row>
    <row r="75" spans="3:20" x14ac:dyDescent="0.25">
      <c r="C75" s="186"/>
      <c r="D75" s="2"/>
      <c r="F75" s="2"/>
      <c r="G75" s="2"/>
      <c r="Q75" s="2"/>
      <c r="R75" s="2"/>
      <c r="S75" s="2"/>
      <c r="T75" s="2"/>
    </row>
    <row r="76" spans="3:20" x14ac:dyDescent="0.25">
      <c r="C76" s="186"/>
      <c r="D76" s="2"/>
      <c r="F76" s="2"/>
      <c r="G76" s="2"/>
    </row>
    <row r="77" spans="3:20" x14ac:dyDescent="0.25">
      <c r="C77" s="186"/>
      <c r="D77" s="2"/>
      <c r="F77" s="2"/>
      <c r="G77" s="2"/>
    </row>
    <row r="78" spans="3:20" x14ac:dyDescent="0.25">
      <c r="C78" s="186"/>
      <c r="D78" s="2"/>
      <c r="F78" s="2"/>
      <c r="G78" s="2"/>
    </row>
    <row r="79" spans="3:20" x14ac:dyDescent="0.25">
      <c r="C79" s="186"/>
      <c r="D79" s="2"/>
      <c r="F79" s="2"/>
      <c r="G79" s="2"/>
    </row>
    <row r="80" spans="3:20" x14ac:dyDescent="0.25">
      <c r="C80" s="186"/>
      <c r="D80" s="2"/>
      <c r="F80" s="2"/>
      <c r="G80" s="2"/>
    </row>
    <row r="81" spans="3:7" x14ac:dyDescent="0.25">
      <c r="C81" s="186"/>
      <c r="D81" s="2"/>
      <c r="F81" s="2"/>
      <c r="G81" s="2"/>
    </row>
    <row r="82" spans="3:7" x14ac:dyDescent="0.25">
      <c r="C82" s="186"/>
      <c r="D82" s="2"/>
      <c r="F82" s="2"/>
      <c r="G82" s="2"/>
    </row>
    <row r="83" spans="3:7" x14ac:dyDescent="0.25">
      <c r="C83" s="186"/>
      <c r="D83" s="2"/>
      <c r="F83" s="2"/>
      <c r="G83" s="2"/>
    </row>
    <row r="84" spans="3:7" x14ac:dyDescent="0.25">
      <c r="C84" s="186"/>
      <c r="D84" s="2"/>
      <c r="F84" s="2"/>
      <c r="G84" s="2"/>
    </row>
    <row r="85" spans="3:7" x14ac:dyDescent="0.25">
      <c r="C85" s="186"/>
      <c r="D85" s="2"/>
      <c r="F85" s="2"/>
      <c r="G85" s="2"/>
    </row>
    <row r="86" spans="3:7" x14ac:dyDescent="0.25">
      <c r="C86" s="186"/>
      <c r="D86" s="2"/>
      <c r="F86" s="2"/>
      <c r="G86" s="2"/>
    </row>
    <row r="87" spans="3:7" x14ac:dyDescent="0.25">
      <c r="C87" s="186"/>
      <c r="D87" s="2"/>
      <c r="F87" s="2"/>
      <c r="G87" s="2"/>
    </row>
    <row r="88" spans="3:7" x14ac:dyDescent="0.25">
      <c r="C88" s="186"/>
      <c r="D88" s="2"/>
      <c r="F88" s="2"/>
      <c r="G88" s="2"/>
    </row>
    <row r="89" spans="3:7" x14ac:dyDescent="0.25">
      <c r="C89" s="186"/>
      <c r="D89" s="2"/>
      <c r="F89" s="2"/>
      <c r="G89" s="2"/>
    </row>
    <row r="90" spans="3:7" x14ac:dyDescent="0.25">
      <c r="C90" s="186"/>
      <c r="D90" s="2"/>
      <c r="F90" s="2"/>
      <c r="G90" s="2"/>
    </row>
    <row r="91" spans="3:7" x14ac:dyDescent="0.25">
      <c r="C91" s="186"/>
      <c r="D91" s="2"/>
      <c r="F91" s="2"/>
      <c r="G91" s="2"/>
    </row>
    <row r="92" spans="3:7" x14ac:dyDescent="0.25">
      <c r="C92" s="186"/>
      <c r="D92" s="2"/>
      <c r="F92" s="2"/>
      <c r="G92" s="2"/>
    </row>
    <row r="93" spans="3:7" x14ac:dyDescent="0.25">
      <c r="C93" s="186"/>
      <c r="D93" s="2"/>
      <c r="F93" s="2"/>
      <c r="G93" s="2"/>
    </row>
    <row r="94" spans="3:7" x14ac:dyDescent="0.25">
      <c r="C94" s="186"/>
      <c r="D94" s="2"/>
      <c r="F94" s="2"/>
      <c r="G94" s="2"/>
    </row>
    <row r="95" spans="3:7" x14ac:dyDescent="0.25">
      <c r="C95" s="186"/>
      <c r="D95" s="2"/>
      <c r="F95" s="2"/>
      <c r="G95" s="2"/>
    </row>
    <row r="96" spans="3:7" x14ac:dyDescent="0.25">
      <c r="C96" s="186"/>
      <c r="D96" s="2"/>
      <c r="F96" s="2"/>
      <c r="G96" s="2"/>
    </row>
    <row r="97" spans="3:7" x14ac:dyDescent="0.25">
      <c r="C97" s="186"/>
      <c r="D97" s="2"/>
      <c r="F97" s="2"/>
      <c r="G97" s="2"/>
    </row>
    <row r="98" spans="3:7" x14ac:dyDescent="0.25">
      <c r="C98" s="186"/>
      <c r="D98" s="2"/>
      <c r="F98" s="2"/>
      <c r="G98" s="2"/>
    </row>
    <row r="99" spans="3:7" x14ac:dyDescent="0.25">
      <c r="C99" s="186"/>
      <c r="D99" s="2"/>
      <c r="F99" s="2"/>
      <c r="G99" s="2"/>
    </row>
    <row r="100" spans="3:7" x14ac:dyDescent="0.25">
      <c r="C100" s="186"/>
      <c r="D100" s="2"/>
      <c r="F100" s="2"/>
      <c r="G100" s="2"/>
    </row>
    <row r="101" spans="3:7" x14ac:dyDescent="0.25">
      <c r="C101" s="186"/>
      <c r="D101" s="2"/>
      <c r="F101" s="2"/>
      <c r="G101" s="2"/>
    </row>
    <row r="102" spans="3:7" x14ac:dyDescent="0.25">
      <c r="C102" s="186"/>
      <c r="D102" s="2"/>
      <c r="F102" s="2"/>
      <c r="G102" s="2"/>
    </row>
    <row r="103" spans="3:7" x14ac:dyDescent="0.25">
      <c r="C103" s="186"/>
      <c r="D103" s="2"/>
      <c r="F103" s="2"/>
      <c r="G103" s="2"/>
    </row>
    <row r="104" spans="3:7" x14ac:dyDescent="0.25">
      <c r="C104" s="186"/>
      <c r="D104" s="2"/>
      <c r="F104" s="2"/>
      <c r="G104" s="2"/>
    </row>
    <row r="105" spans="3:7" x14ac:dyDescent="0.25">
      <c r="C105" s="186"/>
      <c r="D105" s="2"/>
      <c r="F105" s="2"/>
      <c r="G105" s="2"/>
    </row>
    <row r="106" spans="3:7" x14ac:dyDescent="0.25">
      <c r="C106" s="186"/>
      <c r="D106" s="2"/>
      <c r="F106" s="2"/>
      <c r="G106" s="2"/>
    </row>
    <row r="107" spans="3:7" x14ac:dyDescent="0.25">
      <c r="C107" s="186"/>
      <c r="D107" s="2"/>
      <c r="F107" s="2"/>
      <c r="G107" s="2"/>
    </row>
    <row r="108" spans="3:7" x14ac:dyDescent="0.25">
      <c r="C108" s="186"/>
      <c r="D108" s="2"/>
      <c r="F108" s="2"/>
      <c r="G108" s="2"/>
    </row>
    <row r="109" spans="3:7" x14ac:dyDescent="0.25">
      <c r="C109" s="186"/>
      <c r="D109" s="2"/>
      <c r="F109" s="2"/>
      <c r="G109" s="2"/>
    </row>
    <row r="110" spans="3:7" x14ac:dyDescent="0.25">
      <c r="C110" s="186"/>
      <c r="D110" s="2"/>
      <c r="F110" s="2"/>
      <c r="G110" s="2"/>
    </row>
    <row r="111" spans="3:7" x14ac:dyDescent="0.25">
      <c r="C111" s="186"/>
      <c r="D111" s="2"/>
      <c r="F111" s="2"/>
      <c r="G111" s="2"/>
    </row>
    <row r="112" spans="3:7" x14ac:dyDescent="0.25">
      <c r="C112" s="186"/>
      <c r="D112" s="2"/>
      <c r="F112" s="2"/>
      <c r="G112" s="2"/>
    </row>
    <row r="113" spans="3:7" x14ac:dyDescent="0.25">
      <c r="C113" s="186"/>
      <c r="D113" s="2"/>
      <c r="F113" s="2"/>
      <c r="G113" s="2"/>
    </row>
    <row r="114" spans="3:7" x14ac:dyDescent="0.25">
      <c r="C114" s="186"/>
      <c r="D114" s="2"/>
      <c r="F114" s="2"/>
      <c r="G114" s="2"/>
    </row>
    <row r="115" spans="3:7" x14ac:dyDescent="0.25">
      <c r="C115" s="186"/>
      <c r="D115" s="2"/>
      <c r="F115" s="2"/>
      <c r="G115" s="2"/>
    </row>
    <row r="116" spans="3:7" x14ac:dyDescent="0.25">
      <c r="C116" s="186"/>
      <c r="D116" s="2"/>
      <c r="F116" s="2"/>
      <c r="G116" s="2"/>
    </row>
    <row r="117" spans="3:7" x14ac:dyDescent="0.25">
      <c r="C117" s="186"/>
      <c r="D117" s="2"/>
      <c r="F117" s="2"/>
      <c r="G117" s="2"/>
    </row>
    <row r="118" spans="3:7" x14ac:dyDescent="0.25">
      <c r="C118" s="186"/>
      <c r="D118" s="2"/>
      <c r="F118" s="2"/>
      <c r="G118" s="2"/>
    </row>
    <row r="119" spans="3:7" x14ac:dyDescent="0.25">
      <c r="C119" s="186"/>
      <c r="D119" s="2"/>
      <c r="F119" s="2"/>
      <c r="G119" s="2"/>
    </row>
    <row r="120" spans="3:7" x14ac:dyDescent="0.25">
      <c r="C120" s="186"/>
      <c r="D120" s="2"/>
      <c r="F120" s="2"/>
      <c r="G120" s="2"/>
    </row>
    <row r="121" spans="3:7" x14ac:dyDescent="0.25">
      <c r="C121" s="186"/>
      <c r="D121" s="2"/>
      <c r="F121" s="2"/>
      <c r="G121" s="2"/>
    </row>
    <row r="122" spans="3:7" x14ac:dyDescent="0.25">
      <c r="C122" s="186"/>
      <c r="D122" s="2"/>
      <c r="F122" s="2"/>
      <c r="G122" s="2"/>
    </row>
    <row r="123" spans="3:7" x14ac:dyDescent="0.25">
      <c r="C123" s="186"/>
      <c r="D123" s="2"/>
      <c r="F123" s="2"/>
      <c r="G123" s="2"/>
    </row>
    <row r="124" spans="3:7" x14ac:dyDescent="0.25">
      <c r="C124" s="186"/>
      <c r="D124" s="2"/>
      <c r="F124" s="2"/>
      <c r="G124" s="2"/>
    </row>
    <row r="125" spans="3:7" x14ac:dyDescent="0.25">
      <c r="C125" s="186"/>
      <c r="D125" s="2"/>
      <c r="F125" s="2"/>
      <c r="G125" s="2"/>
    </row>
    <row r="126" spans="3:7" x14ac:dyDescent="0.25">
      <c r="C126" s="186"/>
      <c r="D126" s="2"/>
      <c r="F126" s="2"/>
      <c r="G126" s="2"/>
    </row>
    <row r="127" spans="3:7" x14ac:dyDescent="0.25">
      <c r="C127" s="186"/>
      <c r="D127" s="2"/>
      <c r="F127" s="2"/>
      <c r="G127" s="2"/>
    </row>
    <row r="128" spans="3:7" x14ac:dyDescent="0.25">
      <c r="C128" s="186"/>
      <c r="D128" s="2"/>
      <c r="F128" s="2"/>
      <c r="G128" s="2"/>
    </row>
    <row r="129" spans="3:7" x14ac:dyDescent="0.25">
      <c r="C129" s="186"/>
      <c r="D129" s="2"/>
      <c r="F129" s="2"/>
      <c r="G129" s="2"/>
    </row>
    <row r="130" spans="3:7" x14ac:dyDescent="0.25">
      <c r="C130" s="186"/>
      <c r="D130" s="2"/>
      <c r="F130" s="2"/>
      <c r="G130" s="2"/>
    </row>
    <row r="131" spans="3:7" x14ac:dyDescent="0.25">
      <c r="C131" s="186"/>
      <c r="D131" s="2"/>
      <c r="F131" s="2"/>
      <c r="G131" s="2"/>
    </row>
    <row r="132" spans="3:7" x14ac:dyDescent="0.25">
      <c r="C132" s="186"/>
      <c r="D132" s="2"/>
      <c r="F132" s="2"/>
      <c r="G132" s="2"/>
    </row>
    <row r="133" spans="3:7" x14ac:dyDescent="0.25">
      <c r="C133" s="186"/>
      <c r="D133" s="2"/>
      <c r="F133" s="2"/>
      <c r="G133" s="2"/>
    </row>
    <row r="134" spans="3:7" x14ac:dyDescent="0.25">
      <c r="C134" s="186"/>
      <c r="D134" s="2"/>
      <c r="F134" s="2"/>
      <c r="G134" s="2"/>
    </row>
    <row r="135" spans="3:7" x14ac:dyDescent="0.25">
      <c r="C135" s="186"/>
      <c r="D135" s="2"/>
      <c r="F135" s="2"/>
      <c r="G135" s="2"/>
    </row>
    <row r="136" spans="3:7" x14ac:dyDescent="0.25">
      <c r="C136" s="186"/>
      <c r="D136" s="2"/>
      <c r="F136" s="2"/>
      <c r="G136" s="2"/>
    </row>
    <row r="137" spans="3:7" x14ac:dyDescent="0.25">
      <c r="C137" s="186"/>
      <c r="D137" s="2"/>
      <c r="F137" s="2"/>
      <c r="G137" s="2"/>
    </row>
    <row r="138" spans="3:7" x14ac:dyDescent="0.25">
      <c r="C138" s="186"/>
      <c r="D138" s="2"/>
      <c r="F138" s="2"/>
      <c r="G138" s="2"/>
    </row>
    <row r="139" spans="3:7" x14ac:dyDescent="0.25">
      <c r="C139" s="186"/>
      <c r="D139" s="2"/>
      <c r="F139" s="2"/>
      <c r="G139" s="2"/>
    </row>
    <row r="140" spans="3:7" x14ac:dyDescent="0.25">
      <c r="C140" s="186"/>
      <c r="D140" s="2"/>
      <c r="F140" s="2"/>
      <c r="G140" s="2"/>
    </row>
    <row r="141" spans="3:7" x14ac:dyDescent="0.25">
      <c r="C141" s="186"/>
      <c r="D141" s="2"/>
      <c r="F141" s="2"/>
      <c r="G141" s="2"/>
    </row>
    <row r="142" spans="3:7" x14ac:dyDescent="0.25">
      <c r="C142" s="186"/>
      <c r="D142" s="2"/>
      <c r="F142" s="2"/>
      <c r="G142" s="2"/>
    </row>
    <row r="143" spans="3:7" x14ac:dyDescent="0.25">
      <c r="C143" s="186"/>
      <c r="D143" s="2"/>
      <c r="F143" s="2"/>
      <c r="G143" s="2"/>
    </row>
    <row r="144" spans="3:7" x14ac:dyDescent="0.25">
      <c r="C144" s="186"/>
      <c r="D144" s="2"/>
      <c r="F144" s="2"/>
      <c r="G144" s="2"/>
    </row>
    <row r="145" spans="3:7" x14ac:dyDescent="0.25">
      <c r="C145" s="186"/>
      <c r="D145" s="2"/>
      <c r="F145" s="2"/>
      <c r="G145" s="2"/>
    </row>
    <row r="146" spans="3:7" x14ac:dyDescent="0.25">
      <c r="C146" s="186"/>
      <c r="D146" s="2"/>
      <c r="F146" s="2"/>
      <c r="G146" s="2"/>
    </row>
    <row r="147" spans="3:7" x14ac:dyDescent="0.25">
      <c r="C147" s="186"/>
      <c r="D147" s="2"/>
      <c r="F147" s="2"/>
      <c r="G147" s="2"/>
    </row>
    <row r="148" spans="3:7" x14ac:dyDescent="0.25">
      <c r="C148" s="186"/>
      <c r="D148" s="2"/>
      <c r="F148" s="2"/>
      <c r="G148" s="2"/>
    </row>
    <row r="149" spans="3:7" x14ac:dyDescent="0.25">
      <c r="C149" s="186"/>
      <c r="D149" s="2"/>
      <c r="F149" s="2"/>
      <c r="G149" s="2"/>
    </row>
    <row r="150" spans="3:7" x14ac:dyDescent="0.25">
      <c r="C150" s="186"/>
      <c r="D150" s="2"/>
      <c r="F150" s="2"/>
      <c r="G150" s="2"/>
    </row>
    <row r="151" spans="3:7" x14ac:dyDescent="0.25">
      <c r="C151" s="186"/>
      <c r="D151" s="2"/>
      <c r="F151" s="2"/>
      <c r="G151" s="2"/>
    </row>
    <row r="152" spans="3:7" x14ac:dyDescent="0.25">
      <c r="C152" s="186"/>
      <c r="D152" s="2"/>
      <c r="F152" s="2"/>
      <c r="G152" s="2"/>
    </row>
    <row r="153" spans="3:7" x14ac:dyDescent="0.25">
      <c r="C153" s="186"/>
      <c r="D153" s="2"/>
      <c r="F153" s="2"/>
      <c r="G153" s="2"/>
    </row>
    <row r="154" spans="3:7" x14ac:dyDescent="0.25">
      <c r="C154" s="186"/>
      <c r="D154" s="2"/>
      <c r="F154" s="2"/>
      <c r="G154" s="2"/>
    </row>
    <row r="155" spans="3:7" x14ac:dyDescent="0.25">
      <c r="C155" s="186"/>
      <c r="D155" s="2"/>
      <c r="F155" s="2"/>
      <c r="G155" s="2"/>
    </row>
    <row r="156" spans="3:7" x14ac:dyDescent="0.25">
      <c r="C156" s="186"/>
      <c r="D156" s="2"/>
      <c r="F156" s="2"/>
      <c r="G156" s="2"/>
    </row>
    <row r="157" spans="3:7" x14ac:dyDescent="0.25">
      <c r="C157" s="186"/>
      <c r="D157" s="2"/>
      <c r="F157" s="2"/>
      <c r="G157" s="2"/>
    </row>
    <row r="158" spans="3:7" x14ac:dyDescent="0.25">
      <c r="C158" s="186"/>
      <c r="D158" s="2"/>
      <c r="F158" s="2"/>
      <c r="G158" s="2"/>
    </row>
    <row r="159" spans="3:7" x14ac:dyDescent="0.25">
      <c r="C159" s="186"/>
      <c r="D159" s="2"/>
      <c r="F159" s="2"/>
      <c r="G159" s="2"/>
    </row>
    <row r="160" spans="3:7" x14ac:dyDescent="0.25">
      <c r="C160" s="186"/>
      <c r="D160" s="2"/>
      <c r="F160" s="2"/>
      <c r="G160" s="2"/>
    </row>
    <row r="161" spans="3:7" x14ac:dyDescent="0.25">
      <c r="C161" s="186"/>
      <c r="D161" s="2"/>
      <c r="F161" s="2"/>
      <c r="G161" s="2"/>
    </row>
    <row r="162" spans="3:7" x14ac:dyDescent="0.25">
      <c r="C162" s="186"/>
      <c r="D162" s="2"/>
      <c r="F162" s="2"/>
      <c r="G162" s="2"/>
    </row>
    <row r="163" spans="3:7" x14ac:dyDescent="0.25">
      <c r="C163" s="186"/>
      <c r="D163" s="2"/>
      <c r="F163" s="2"/>
      <c r="G163" s="2"/>
    </row>
    <row r="164" spans="3:7" x14ac:dyDescent="0.25">
      <c r="C164" s="186"/>
      <c r="D164" s="2"/>
      <c r="F164" s="2"/>
      <c r="G164" s="2"/>
    </row>
    <row r="165" spans="3:7" x14ac:dyDescent="0.25">
      <c r="C165" s="186"/>
      <c r="D165" s="2"/>
      <c r="F165" s="2"/>
      <c r="G165" s="2"/>
    </row>
    <row r="166" spans="3:7" x14ac:dyDescent="0.25">
      <c r="C166" s="186"/>
      <c r="D166" s="2"/>
      <c r="F166" s="2"/>
      <c r="G166" s="2"/>
    </row>
    <row r="167" spans="3:7" x14ac:dyDescent="0.25">
      <c r="C167" s="186"/>
      <c r="D167" s="2"/>
      <c r="F167" s="2"/>
      <c r="G167" s="2"/>
    </row>
    <row r="168" spans="3:7" x14ac:dyDescent="0.25">
      <c r="C168" s="186"/>
      <c r="D168" s="2"/>
      <c r="F168" s="2"/>
      <c r="G168" s="2"/>
    </row>
    <row r="169" spans="3:7" x14ac:dyDescent="0.25">
      <c r="C169" s="186"/>
      <c r="D169" s="2"/>
      <c r="F169" s="2"/>
      <c r="G169" s="2"/>
    </row>
    <row r="170" spans="3:7" x14ac:dyDescent="0.25">
      <c r="C170" s="186"/>
      <c r="D170" s="2"/>
      <c r="F170" s="2"/>
      <c r="G170" s="2"/>
    </row>
    <row r="171" spans="3:7" x14ac:dyDescent="0.25">
      <c r="C171" s="186"/>
      <c r="D171" s="2"/>
      <c r="F171" s="2"/>
      <c r="G171" s="2"/>
    </row>
    <row r="172" spans="3:7" x14ac:dyDescent="0.25">
      <c r="C172" s="186"/>
      <c r="D172" s="2"/>
      <c r="F172" s="2"/>
      <c r="G172" s="2"/>
    </row>
    <row r="173" spans="3:7" x14ac:dyDescent="0.25">
      <c r="C173" s="186"/>
      <c r="D173" s="2"/>
      <c r="F173" s="2"/>
      <c r="G173" s="2"/>
    </row>
    <row r="174" spans="3:7" x14ac:dyDescent="0.25">
      <c r="C174" s="186"/>
      <c r="D174" s="2"/>
      <c r="F174" s="2"/>
      <c r="G174" s="2"/>
    </row>
    <row r="175" spans="3:7" x14ac:dyDescent="0.25">
      <c r="C175" s="186"/>
      <c r="D175" s="2"/>
      <c r="F175" s="2"/>
      <c r="G175" s="2"/>
    </row>
    <row r="176" spans="3:7" x14ac:dyDescent="0.25">
      <c r="C176" s="186"/>
      <c r="D176" s="2"/>
      <c r="F176" s="2"/>
      <c r="G176" s="2"/>
    </row>
    <row r="177" spans="3:7" x14ac:dyDescent="0.25">
      <c r="C177" s="186"/>
      <c r="D177" s="2"/>
      <c r="F177" s="2"/>
      <c r="G177" s="2"/>
    </row>
    <row r="178" spans="3:7" x14ac:dyDescent="0.25">
      <c r="C178" s="186"/>
      <c r="D178" s="2"/>
      <c r="F178" s="2"/>
      <c r="G178" s="2"/>
    </row>
    <row r="179" spans="3:7" x14ac:dyDescent="0.25">
      <c r="C179" s="186"/>
      <c r="D179" s="2"/>
      <c r="F179" s="2"/>
      <c r="G179" s="2"/>
    </row>
    <row r="180" spans="3:7" x14ac:dyDescent="0.25">
      <c r="C180" s="186"/>
      <c r="D180" s="2"/>
      <c r="F180" s="2"/>
      <c r="G180" s="2"/>
    </row>
    <row r="181" spans="3:7" x14ac:dyDescent="0.25">
      <c r="C181" s="186"/>
      <c r="D181" s="2"/>
      <c r="F181" s="2"/>
      <c r="G181" s="2"/>
    </row>
    <row r="182" spans="3:7" x14ac:dyDescent="0.25">
      <c r="C182" s="186"/>
      <c r="D182" s="2"/>
      <c r="F182" s="2"/>
      <c r="G182" s="2"/>
    </row>
    <row r="183" spans="3:7" x14ac:dyDescent="0.25">
      <c r="C183" s="186"/>
      <c r="D183" s="2"/>
      <c r="F183" s="2"/>
      <c r="G183" s="2"/>
    </row>
    <row r="184" spans="3:7" x14ac:dyDescent="0.25">
      <c r="C184" s="186"/>
      <c r="D184" s="2"/>
      <c r="F184" s="2"/>
      <c r="G184" s="2"/>
    </row>
    <row r="185" spans="3:7" x14ac:dyDescent="0.25">
      <c r="C185" s="186"/>
      <c r="D185" s="2"/>
      <c r="F185" s="2"/>
      <c r="G185" s="2"/>
    </row>
    <row r="186" spans="3:7" x14ac:dyDescent="0.25">
      <c r="C186" s="186"/>
      <c r="D186" s="2"/>
      <c r="F186" s="2"/>
      <c r="G186" s="2"/>
    </row>
    <row r="187" spans="3:7" x14ac:dyDescent="0.25">
      <c r="C187" s="186"/>
      <c r="D187" s="2"/>
      <c r="F187" s="2"/>
      <c r="G187" s="2"/>
    </row>
    <row r="188" spans="3:7" x14ac:dyDescent="0.25">
      <c r="C188" s="186"/>
      <c r="D188" s="2"/>
      <c r="F188" s="2"/>
      <c r="G188" s="2"/>
    </row>
    <row r="189" spans="3:7" x14ac:dyDescent="0.25">
      <c r="C189" s="186"/>
      <c r="D189" s="2"/>
      <c r="F189" s="2"/>
      <c r="G189" s="2"/>
    </row>
    <row r="190" spans="3:7" x14ac:dyDescent="0.25">
      <c r="C190" s="186"/>
      <c r="D190" s="2"/>
      <c r="F190" s="2"/>
      <c r="G190" s="2"/>
    </row>
    <row r="191" spans="3:7" x14ac:dyDescent="0.25">
      <c r="C191" s="186"/>
      <c r="D191" s="2"/>
      <c r="F191" s="2"/>
      <c r="G191" s="2"/>
    </row>
    <row r="192" spans="3:7" x14ac:dyDescent="0.25">
      <c r="C192" s="186"/>
      <c r="D192" s="2"/>
      <c r="F192" s="2"/>
      <c r="G192" s="2"/>
    </row>
    <row r="193" spans="3:7" x14ac:dyDescent="0.25">
      <c r="C193" s="186"/>
      <c r="D193" s="2"/>
      <c r="F193" s="2"/>
      <c r="G193" s="2"/>
    </row>
    <row r="194" spans="3:7" x14ac:dyDescent="0.25">
      <c r="C194" s="186"/>
      <c r="D194" s="2"/>
      <c r="F194" s="2"/>
      <c r="G194" s="2"/>
    </row>
    <row r="195" spans="3:7" x14ac:dyDescent="0.25">
      <c r="C195" s="186"/>
      <c r="D195" s="2"/>
      <c r="F195" s="2"/>
      <c r="G195" s="2"/>
    </row>
    <row r="196" spans="3:7" x14ac:dyDescent="0.25">
      <c r="C196" s="186"/>
      <c r="D196" s="2"/>
      <c r="F196" s="2"/>
      <c r="G196" s="2"/>
    </row>
    <row r="197" spans="3:7" x14ac:dyDescent="0.25">
      <c r="C197" s="186"/>
      <c r="D197" s="2"/>
      <c r="F197" s="2"/>
      <c r="G197" s="2"/>
    </row>
    <row r="198" spans="3:7" x14ac:dyDescent="0.25">
      <c r="C198" s="186"/>
      <c r="D198" s="2"/>
      <c r="F198" s="2"/>
      <c r="G198" s="2"/>
    </row>
    <row r="199" spans="3:7" x14ac:dyDescent="0.25">
      <c r="C199" s="186"/>
      <c r="D199" s="2"/>
      <c r="F199" s="2"/>
      <c r="G199" s="2"/>
    </row>
    <row r="200" spans="3:7" x14ac:dyDescent="0.25">
      <c r="C200" s="186"/>
      <c r="D200" s="2"/>
      <c r="F200" s="2"/>
      <c r="G200" s="2"/>
    </row>
    <row r="201" spans="3:7" x14ac:dyDescent="0.25">
      <c r="C201" s="186"/>
      <c r="D201" s="2"/>
      <c r="F201" s="2"/>
      <c r="G201" s="2"/>
    </row>
    <row r="202" spans="3:7" x14ac:dyDescent="0.25">
      <c r="C202" s="186"/>
      <c r="D202" s="2"/>
      <c r="F202" s="2"/>
      <c r="G202" s="2"/>
    </row>
    <row r="203" spans="3:7" x14ac:dyDescent="0.25">
      <c r="C203" s="186"/>
      <c r="D203" s="2"/>
      <c r="F203" s="2"/>
      <c r="G203" s="2"/>
    </row>
    <row r="204" spans="3:7" x14ac:dyDescent="0.25">
      <c r="C204" s="186"/>
      <c r="D204" s="2"/>
      <c r="F204" s="2"/>
      <c r="G204" s="2"/>
    </row>
    <row r="205" spans="3:7" x14ac:dyDescent="0.25">
      <c r="C205" s="186"/>
      <c r="D205" s="2"/>
      <c r="F205" s="2"/>
      <c r="G205" s="2"/>
    </row>
    <row r="206" spans="3:7" x14ac:dyDescent="0.25">
      <c r="C206" s="186"/>
      <c r="D206" s="2"/>
      <c r="F206" s="2"/>
      <c r="G206" s="2"/>
    </row>
    <row r="207" spans="3:7" x14ac:dyDescent="0.25">
      <c r="C207" s="186"/>
      <c r="D207" s="2"/>
      <c r="F207" s="2"/>
      <c r="G207" s="2"/>
    </row>
    <row r="208" spans="3:7" x14ac:dyDescent="0.25">
      <c r="C208" s="186"/>
      <c r="D208" s="2"/>
      <c r="F208" s="2"/>
      <c r="G208" s="2"/>
    </row>
    <row r="209" spans="3:7" x14ac:dyDescent="0.25">
      <c r="C209" s="186"/>
      <c r="D209" s="2"/>
      <c r="F209" s="2"/>
      <c r="G209" s="2"/>
    </row>
    <row r="210" spans="3:7" x14ac:dyDescent="0.25">
      <c r="C210" s="186"/>
      <c r="D210" s="2"/>
      <c r="F210" s="2"/>
      <c r="G210" s="2"/>
    </row>
    <row r="211" spans="3:7" x14ac:dyDescent="0.25">
      <c r="C211" s="186"/>
      <c r="D211" s="2"/>
      <c r="F211" s="2"/>
      <c r="G211" s="2"/>
    </row>
    <row r="212" spans="3:7" x14ac:dyDescent="0.25">
      <c r="C212" s="186"/>
      <c r="D212" s="2"/>
      <c r="F212" s="2"/>
      <c r="G212" s="2"/>
    </row>
    <row r="213" spans="3:7" x14ac:dyDescent="0.25">
      <c r="C213" s="186"/>
      <c r="D213" s="2"/>
      <c r="F213" s="2"/>
      <c r="G213" s="2"/>
    </row>
    <row r="214" spans="3:7" x14ac:dyDescent="0.25">
      <c r="C214" s="186"/>
      <c r="D214" s="2"/>
      <c r="F214" s="2"/>
      <c r="G214" s="2"/>
    </row>
    <row r="215" spans="3:7" x14ac:dyDescent="0.25">
      <c r="C215" s="186"/>
      <c r="D215" s="2"/>
      <c r="F215" s="2"/>
      <c r="G215" s="2"/>
    </row>
    <row r="216" spans="3:7" x14ac:dyDescent="0.25">
      <c r="C216" s="186"/>
      <c r="D216" s="2"/>
      <c r="F216" s="2"/>
      <c r="G216" s="2"/>
    </row>
    <row r="217" spans="3:7" x14ac:dyDescent="0.25">
      <c r="C217" s="186"/>
      <c r="D217" s="2"/>
      <c r="F217" s="2"/>
      <c r="G217" s="2"/>
    </row>
    <row r="218" spans="3:7" x14ac:dyDescent="0.25">
      <c r="C218" s="186"/>
      <c r="D218" s="2"/>
      <c r="F218" s="2"/>
      <c r="G218" s="2"/>
    </row>
    <row r="219" spans="3:7" x14ac:dyDescent="0.25">
      <c r="C219" s="186"/>
      <c r="D219" s="2"/>
      <c r="F219" s="2"/>
      <c r="G219" s="2"/>
    </row>
    <row r="220" spans="3:7" x14ac:dyDescent="0.25">
      <c r="C220" s="186"/>
      <c r="D220" s="2"/>
      <c r="F220" s="2"/>
      <c r="G220" s="2"/>
    </row>
    <row r="221" spans="3:7" x14ac:dyDescent="0.25">
      <c r="C221" s="186"/>
      <c r="D221" s="2"/>
      <c r="F221" s="2"/>
      <c r="G221" s="2"/>
    </row>
    <row r="222" spans="3:7" x14ac:dyDescent="0.25">
      <c r="C222" s="186"/>
      <c r="D222" s="2"/>
      <c r="F222" s="2"/>
      <c r="G222" s="2"/>
    </row>
    <row r="223" spans="3:7" x14ac:dyDescent="0.25">
      <c r="C223" s="186"/>
      <c r="D223" s="2"/>
      <c r="F223" s="2"/>
      <c r="G223" s="2"/>
    </row>
    <row r="224" spans="3:7" x14ac:dyDescent="0.25">
      <c r="C224" s="186"/>
      <c r="D224" s="2"/>
      <c r="F224" s="2"/>
      <c r="G224" s="2"/>
    </row>
    <row r="225" spans="3:7" x14ac:dyDescent="0.25">
      <c r="C225" s="186"/>
      <c r="D225" s="2"/>
      <c r="F225" s="2"/>
      <c r="G225" s="2"/>
    </row>
    <row r="226" spans="3:7" x14ac:dyDescent="0.25">
      <c r="C226" s="186"/>
      <c r="D226" s="2"/>
      <c r="F226" s="2"/>
      <c r="G226" s="2"/>
    </row>
    <row r="227" spans="3:7" x14ac:dyDescent="0.25">
      <c r="C227" s="186"/>
      <c r="D227" s="2"/>
      <c r="F227" s="2"/>
      <c r="G227" s="2"/>
    </row>
    <row r="228" spans="3:7" x14ac:dyDescent="0.25">
      <c r="C228" s="186"/>
      <c r="D228" s="2"/>
      <c r="F228" s="2"/>
      <c r="G228" s="2"/>
    </row>
    <row r="229" spans="3:7" x14ac:dyDescent="0.25">
      <c r="C229" s="186"/>
      <c r="D229" s="2"/>
      <c r="F229" s="2"/>
      <c r="G229" s="2"/>
    </row>
    <row r="230" spans="3:7" x14ac:dyDescent="0.25">
      <c r="C230" s="186"/>
      <c r="D230" s="2"/>
      <c r="F230" s="2"/>
      <c r="G230" s="2"/>
    </row>
    <row r="231" spans="3:7" x14ac:dyDescent="0.25">
      <c r="C231" s="186"/>
      <c r="D231" s="2"/>
      <c r="F231" s="2"/>
      <c r="G231" s="2"/>
    </row>
    <row r="232" spans="3:7" x14ac:dyDescent="0.25">
      <c r="C232" s="186"/>
      <c r="D232" s="2"/>
      <c r="F232" s="2"/>
      <c r="G232" s="2"/>
    </row>
    <row r="233" spans="3:7" x14ac:dyDescent="0.25">
      <c r="C233" s="186"/>
      <c r="D233" s="2"/>
      <c r="F233" s="2"/>
      <c r="G233" s="2"/>
    </row>
    <row r="234" spans="3:7" x14ac:dyDescent="0.25">
      <c r="C234" s="186"/>
      <c r="D234" s="2"/>
      <c r="F234" s="2"/>
      <c r="G234" s="2"/>
    </row>
    <row r="235" spans="3:7" x14ac:dyDescent="0.25">
      <c r="C235" s="186"/>
      <c r="D235" s="2"/>
      <c r="F235" s="2"/>
      <c r="G235" s="2"/>
    </row>
    <row r="236" spans="3:7" x14ac:dyDescent="0.25">
      <c r="C236" s="18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33</v>
      </c>
      <c r="C1" s="59" t="s">
        <v>35</v>
      </c>
      <c r="D1" s="59" t="s">
        <v>36</v>
      </c>
      <c r="E1" s="59" t="s">
        <v>34</v>
      </c>
      <c r="F1" s="59" t="s">
        <v>42</v>
      </c>
      <c r="G1" s="59" t="s">
        <v>37</v>
      </c>
      <c r="H1" s="59" t="s">
        <v>161</v>
      </c>
      <c r="I1" s="60" t="s">
        <v>162</v>
      </c>
      <c r="J1" s="59" t="s">
        <v>34</v>
      </c>
      <c r="K1" s="59" t="s">
        <v>159</v>
      </c>
      <c r="L1" s="59" t="s">
        <v>160</v>
      </c>
      <c r="M1" s="59"/>
      <c r="Q1" s="173" t="s">
        <v>43</v>
      </c>
      <c r="R1" s="174"/>
      <c r="U1" s="171" t="s">
        <v>97</v>
      </c>
      <c r="V1" s="172"/>
      <c r="W1" s="172"/>
      <c r="X1" s="172"/>
      <c r="Y1" s="172"/>
      <c r="Z1" s="172"/>
    </row>
    <row r="2" spans="1:26" ht="25.5" x14ac:dyDescent="0.25">
      <c r="A2" s="170" t="s">
        <v>96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Q2" s="104" t="s">
        <v>99</v>
      </c>
      <c r="R2" s="104" t="s">
        <v>2</v>
      </c>
      <c r="U2" s="52" t="s">
        <v>98</v>
      </c>
      <c r="V2" s="56" t="s">
        <v>5</v>
      </c>
      <c r="W2" s="56" t="s">
        <v>4</v>
      </c>
      <c r="X2" s="58" t="s">
        <v>1</v>
      </c>
      <c r="Y2" s="56" t="s">
        <v>2</v>
      </c>
      <c r="Z2" s="56" t="s">
        <v>27</v>
      </c>
    </row>
    <row r="3" spans="1:26" ht="25.5" x14ac:dyDescent="0.25">
      <c r="A3" s="52" t="s">
        <v>98</v>
      </c>
      <c r="B3" s="52" t="s">
        <v>107</v>
      </c>
      <c r="C3" s="52" t="s">
        <v>10</v>
      </c>
      <c r="D3" s="52" t="s">
        <v>100</v>
      </c>
      <c r="E3" s="52" t="s">
        <v>18</v>
      </c>
      <c r="F3" s="52" t="s">
        <v>105</v>
      </c>
      <c r="G3" s="52" t="s">
        <v>7</v>
      </c>
      <c r="H3" s="52" t="s">
        <v>5</v>
      </c>
      <c r="I3" s="53" t="s">
        <v>1</v>
      </c>
      <c r="J3" s="52" t="s">
        <v>4</v>
      </c>
      <c r="K3" s="52" t="s">
        <v>23</v>
      </c>
      <c r="L3" s="52" t="s">
        <v>2</v>
      </c>
      <c r="M3" s="52" t="s">
        <v>27</v>
      </c>
      <c r="Q3" s="57">
        <f ca="1">IF(Invoice!B18="","&lt;&gt;",Invoice!B18)</f>
        <v>3</v>
      </c>
      <c r="R3" s="57" t="str">
        <f>IF(Invoice!B16=TRUE,"&lt;&gt;","No")</f>
        <v>&lt;&gt;</v>
      </c>
      <c r="U3" s="2">
        <v>5</v>
      </c>
      <c r="V3" s="21">
        <v>45143</v>
      </c>
      <c r="W3" t="s">
        <v>174</v>
      </c>
      <c r="X3" s="83">
        <v>20</v>
      </c>
      <c r="Y3" s="2" t="s">
        <v>3</v>
      </c>
      <c r="Z3" s="2">
        <v>8</v>
      </c>
    </row>
    <row r="4" spans="1:26" x14ac:dyDescent="0.25">
      <c r="A4" s="2">
        <v>1</v>
      </c>
      <c r="B4" s="2">
        <v>1</v>
      </c>
      <c r="C4" t="s">
        <v>84</v>
      </c>
      <c r="D4" s="2">
        <v>1</v>
      </c>
      <c r="E4" t="s">
        <v>122</v>
      </c>
      <c r="F4" s="2">
        <v>1</v>
      </c>
      <c r="G4" t="s">
        <v>129</v>
      </c>
      <c r="H4" s="21">
        <v>45139</v>
      </c>
      <c r="I4" s="82">
        <v>5</v>
      </c>
      <c r="J4" t="s">
        <v>170</v>
      </c>
      <c r="K4" s="61">
        <v>10</v>
      </c>
      <c r="L4" s="16" t="s">
        <v>3</v>
      </c>
      <c r="M4" s="2">
        <f>ROW()</f>
        <v>4</v>
      </c>
      <c r="U4" s="2">
        <v>14</v>
      </c>
      <c r="V4" s="21">
        <v>45152</v>
      </c>
      <c r="W4" t="s">
        <v>174</v>
      </c>
      <c r="X4" s="83">
        <v>8</v>
      </c>
      <c r="Y4" s="2" t="s">
        <v>3</v>
      </c>
      <c r="Z4" s="2">
        <v>17</v>
      </c>
    </row>
    <row r="5" spans="1:26" x14ac:dyDescent="0.25">
      <c r="A5" s="2">
        <v>2</v>
      </c>
      <c r="B5" s="2">
        <v>1</v>
      </c>
      <c r="C5" t="s">
        <v>84</v>
      </c>
      <c r="D5" s="2">
        <v>1</v>
      </c>
      <c r="E5" t="s">
        <v>122</v>
      </c>
      <c r="F5" s="2">
        <v>2</v>
      </c>
      <c r="G5" t="s">
        <v>130</v>
      </c>
      <c r="H5" s="21">
        <v>45140</v>
      </c>
      <c r="I5" s="83">
        <v>5</v>
      </c>
      <c r="J5" t="s">
        <v>171</v>
      </c>
      <c r="K5" s="61">
        <v>20</v>
      </c>
      <c r="L5" s="2" t="s">
        <v>3</v>
      </c>
      <c r="M5" s="2">
        <f>ROW()</f>
        <v>5</v>
      </c>
      <c r="U5" s="2">
        <v>17</v>
      </c>
      <c r="V5" s="21">
        <v>45155</v>
      </c>
      <c r="W5" t="s">
        <v>174</v>
      </c>
      <c r="X5" s="83">
        <v>14</v>
      </c>
      <c r="Y5" s="2" t="s">
        <v>3</v>
      </c>
      <c r="Z5" s="2">
        <v>20</v>
      </c>
    </row>
    <row r="6" spans="1:26" x14ac:dyDescent="0.25">
      <c r="A6" s="2">
        <v>3</v>
      </c>
      <c r="B6" s="2">
        <v>1</v>
      </c>
      <c r="C6" t="s">
        <v>84</v>
      </c>
      <c r="D6" s="2">
        <v>1</v>
      </c>
      <c r="E6" t="s">
        <v>122</v>
      </c>
      <c r="F6" s="2">
        <v>3</v>
      </c>
      <c r="G6" t="s">
        <v>131</v>
      </c>
      <c r="H6" s="21">
        <v>45141</v>
      </c>
      <c r="I6" s="83">
        <v>6</v>
      </c>
      <c r="J6" t="s">
        <v>172</v>
      </c>
      <c r="K6" s="61">
        <v>30</v>
      </c>
      <c r="L6" s="2" t="s">
        <v>3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91</v>
      </c>
      <c r="D7" s="2">
        <v>2</v>
      </c>
      <c r="E7" t="s">
        <v>123</v>
      </c>
      <c r="F7" s="2">
        <v>4</v>
      </c>
      <c r="G7" t="s">
        <v>132</v>
      </c>
      <c r="H7" s="21">
        <v>45142</v>
      </c>
      <c r="I7" s="83">
        <v>6</v>
      </c>
      <c r="J7" t="s">
        <v>173</v>
      </c>
      <c r="K7" s="61">
        <v>40</v>
      </c>
      <c r="L7" s="2" t="s">
        <v>3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116</v>
      </c>
      <c r="D8" s="2">
        <v>3</v>
      </c>
      <c r="E8" t="s">
        <v>124</v>
      </c>
      <c r="F8" s="2">
        <v>5</v>
      </c>
      <c r="G8" t="s">
        <v>133</v>
      </c>
      <c r="H8" s="21">
        <v>45143</v>
      </c>
      <c r="I8" s="83">
        <v>20</v>
      </c>
      <c r="J8" t="s">
        <v>174</v>
      </c>
      <c r="K8" s="61">
        <v>50</v>
      </c>
      <c r="L8" s="2" t="s">
        <v>3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91</v>
      </c>
      <c r="D9" s="2">
        <v>2</v>
      </c>
      <c r="E9" t="s">
        <v>123</v>
      </c>
      <c r="F9" s="2">
        <v>3</v>
      </c>
      <c r="G9" t="s">
        <v>134</v>
      </c>
      <c r="H9" s="21">
        <v>45144</v>
      </c>
      <c r="I9" s="83">
        <v>20</v>
      </c>
      <c r="J9" t="s">
        <v>172</v>
      </c>
      <c r="K9" s="61">
        <v>30</v>
      </c>
      <c r="L9" s="2" t="s">
        <v>3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84</v>
      </c>
      <c r="D10" s="2">
        <v>1</v>
      </c>
      <c r="E10" t="s">
        <v>122</v>
      </c>
      <c r="F10" s="2">
        <v>4</v>
      </c>
      <c r="G10" t="s">
        <v>135</v>
      </c>
      <c r="H10" s="21">
        <v>45145</v>
      </c>
      <c r="I10" s="83">
        <v>12</v>
      </c>
      <c r="J10" t="s">
        <v>173</v>
      </c>
      <c r="K10" s="61">
        <v>40</v>
      </c>
      <c r="L10" s="2" t="s">
        <v>3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84</v>
      </c>
      <c r="D11" s="2">
        <v>1</v>
      </c>
      <c r="E11" t="s">
        <v>122</v>
      </c>
      <c r="F11" s="2">
        <v>5</v>
      </c>
      <c r="G11" t="s">
        <v>136</v>
      </c>
      <c r="H11" s="21">
        <v>45146</v>
      </c>
      <c r="I11" s="83">
        <v>2</v>
      </c>
      <c r="J11" t="s">
        <v>174</v>
      </c>
      <c r="K11" s="61">
        <v>50</v>
      </c>
      <c r="L11" s="2" t="s">
        <v>3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84</v>
      </c>
      <c r="D12" s="2">
        <v>1</v>
      </c>
      <c r="E12" t="s">
        <v>122</v>
      </c>
      <c r="F12" s="2">
        <v>6</v>
      </c>
      <c r="G12" t="s">
        <v>137</v>
      </c>
      <c r="H12" s="21">
        <v>45147</v>
      </c>
      <c r="I12" s="83">
        <v>8</v>
      </c>
      <c r="J12" t="s">
        <v>175</v>
      </c>
      <c r="K12" s="61">
        <v>60</v>
      </c>
      <c r="L12" s="2" t="s">
        <v>3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84</v>
      </c>
      <c r="D13" s="2">
        <v>1</v>
      </c>
      <c r="E13" t="s">
        <v>122</v>
      </c>
      <c r="F13" s="2">
        <v>7</v>
      </c>
      <c r="G13" t="s">
        <v>138</v>
      </c>
      <c r="H13" s="21">
        <v>45148</v>
      </c>
      <c r="I13" s="83">
        <v>7</v>
      </c>
      <c r="J13" t="s">
        <v>176</v>
      </c>
      <c r="K13" s="61">
        <v>70</v>
      </c>
      <c r="L13" s="2" t="s">
        <v>3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84</v>
      </c>
      <c r="D14" s="2">
        <v>1</v>
      </c>
      <c r="E14" t="s">
        <v>122</v>
      </c>
      <c r="F14" s="2">
        <v>8</v>
      </c>
      <c r="G14" t="s">
        <v>139</v>
      </c>
      <c r="H14" s="21">
        <v>45149</v>
      </c>
      <c r="I14" s="83">
        <v>6</v>
      </c>
      <c r="J14" t="s">
        <v>177</v>
      </c>
      <c r="K14" s="61">
        <v>80</v>
      </c>
      <c r="L14" s="2" t="s">
        <v>3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84</v>
      </c>
      <c r="D15" s="2">
        <v>1</v>
      </c>
      <c r="E15" t="s">
        <v>122</v>
      </c>
      <c r="F15" s="2">
        <v>9</v>
      </c>
      <c r="G15" t="s">
        <v>140</v>
      </c>
      <c r="H15" s="21">
        <v>45150</v>
      </c>
      <c r="I15" s="83">
        <v>10</v>
      </c>
      <c r="J15" t="s">
        <v>178</v>
      </c>
      <c r="K15" s="61">
        <v>90</v>
      </c>
      <c r="L15" s="2" t="s">
        <v>3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91</v>
      </c>
      <c r="D16" s="2">
        <v>2</v>
      </c>
      <c r="E16" t="s">
        <v>123</v>
      </c>
      <c r="F16" s="2">
        <v>4</v>
      </c>
      <c r="G16" t="s">
        <v>141</v>
      </c>
      <c r="H16" s="21">
        <v>45151</v>
      </c>
      <c r="I16" s="83">
        <v>16</v>
      </c>
      <c r="J16" t="s">
        <v>173</v>
      </c>
      <c r="K16" s="61">
        <v>40</v>
      </c>
      <c r="L16" s="2" t="s">
        <v>3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116</v>
      </c>
      <c r="D17" s="2">
        <v>3</v>
      </c>
      <c r="E17" t="s">
        <v>124</v>
      </c>
      <c r="F17" s="2">
        <v>5</v>
      </c>
      <c r="G17" t="s">
        <v>142</v>
      </c>
      <c r="H17" s="21">
        <v>45152</v>
      </c>
      <c r="I17" s="83">
        <v>8</v>
      </c>
      <c r="J17" t="s">
        <v>174</v>
      </c>
      <c r="K17" s="61">
        <v>50</v>
      </c>
      <c r="L17" s="2" t="s">
        <v>3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91</v>
      </c>
      <c r="D18" s="2">
        <v>2</v>
      </c>
      <c r="E18" t="s">
        <v>123</v>
      </c>
      <c r="F18" s="2">
        <v>3</v>
      </c>
      <c r="G18" t="s">
        <v>143</v>
      </c>
      <c r="H18" s="21">
        <v>45153</v>
      </c>
      <c r="I18" s="83">
        <v>10</v>
      </c>
      <c r="J18" t="s">
        <v>172</v>
      </c>
      <c r="K18" s="61">
        <v>30</v>
      </c>
      <c r="L18" s="2" t="s">
        <v>3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91</v>
      </c>
      <c r="D19" s="2">
        <v>2</v>
      </c>
      <c r="E19" t="s">
        <v>123</v>
      </c>
      <c r="F19" s="2">
        <v>4</v>
      </c>
      <c r="G19" t="s">
        <v>144</v>
      </c>
      <c r="H19" s="21">
        <v>45154</v>
      </c>
      <c r="I19" s="83">
        <v>26</v>
      </c>
      <c r="J19" t="s">
        <v>173</v>
      </c>
      <c r="K19" s="61">
        <v>40</v>
      </c>
      <c r="L19" s="2" t="s">
        <v>3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116</v>
      </c>
      <c r="D20" s="2">
        <v>3</v>
      </c>
      <c r="E20" t="s">
        <v>124</v>
      </c>
      <c r="F20" s="2">
        <v>5</v>
      </c>
      <c r="G20" t="s">
        <v>145</v>
      </c>
      <c r="H20" s="21">
        <v>45155</v>
      </c>
      <c r="I20" s="83">
        <v>14</v>
      </c>
      <c r="J20" t="s">
        <v>174</v>
      </c>
      <c r="K20" s="61">
        <v>50</v>
      </c>
      <c r="L20" s="2" t="s">
        <v>3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91</v>
      </c>
      <c r="D21" s="2">
        <v>2</v>
      </c>
      <c r="E21" t="s">
        <v>123</v>
      </c>
      <c r="F21" s="2">
        <v>3</v>
      </c>
      <c r="G21" t="s">
        <v>146</v>
      </c>
      <c r="H21" s="21">
        <v>45156</v>
      </c>
      <c r="I21" s="83">
        <v>5</v>
      </c>
      <c r="J21" t="s">
        <v>172</v>
      </c>
      <c r="K21" s="61">
        <v>30</v>
      </c>
      <c r="L21" s="2" t="s">
        <v>3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84</v>
      </c>
      <c r="D22" s="2">
        <v>1</v>
      </c>
      <c r="E22" t="s">
        <v>122</v>
      </c>
      <c r="F22" s="2">
        <v>1</v>
      </c>
      <c r="G22" t="s">
        <v>147</v>
      </c>
      <c r="H22" s="21">
        <v>45170</v>
      </c>
      <c r="I22" s="82">
        <v>5</v>
      </c>
      <c r="J22" t="s">
        <v>170</v>
      </c>
      <c r="K22" s="61">
        <v>10</v>
      </c>
      <c r="L22" s="16" t="s">
        <v>3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84</v>
      </c>
      <c r="D23" s="2">
        <v>1</v>
      </c>
      <c r="E23" t="s">
        <v>122</v>
      </c>
      <c r="F23" s="2">
        <v>2</v>
      </c>
      <c r="G23" t="s">
        <v>148</v>
      </c>
      <c r="H23" s="21">
        <v>45171</v>
      </c>
      <c r="I23" s="83">
        <v>5</v>
      </c>
      <c r="J23" t="s">
        <v>171</v>
      </c>
      <c r="K23" s="61">
        <v>20</v>
      </c>
      <c r="L23" s="2" t="s">
        <v>3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84</v>
      </c>
      <c r="D24" s="2">
        <v>1</v>
      </c>
      <c r="E24" t="s">
        <v>122</v>
      </c>
      <c r="F24" s="2">
        <v>3</v>
      </c>
      <c r="G24" t="s">
        <v>149</v>
      </c>
      <c r="H24" s="21">
        <v>45172</v>
      </c>
      <c r="I24" s="83">
        <v>6</v>
      </c>
      <c r="J24" t="s">
        <v>172</v>
      </c>
      <c r="K24" s="61">
        <v>30</v>
      </c>
      <c r="L24" s="2" t="s">
        <v>3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84</v>
      </c>
      <c r="D25" s="2">
        <v>1</v>
      </c>
      <c r="E25" t="s">
        <v>122</v>
      </c>
      <c r="F25" s="2">
        <v>4</v>
      </c>
      <c r="G25" t="s">
        <v>150</v>
      </c>
      <c r="H25" s="21">
        <v>45176</v>
      </c>
      <c r="I25" s="83">
        <v>12</v>
      </c>
      <c r="J25" t="s">
        <v>173</v>
      </c>
      <c r="K25" s="61">
        <v>40</v>
      </c>
      <c r="L25" s="2" t="s">
        <v>3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84</v>
      </c>
      <c r="D26" s="2">
        <v>1</v>
      </c>
      <c r="E26" t="s">
        <v>122</v>
      </c>
      <c r="F26" s="2">
        <v>5</v>
      </c>
      <c r="G26" t="s">
        <v>151</v>
      </c>
      <c r="H26" s="21">
        <v>45177</v>
      </c>
      <c r="I26" s="83">
        <v>2</v>
      </c>
      <c r="J26" t="s">
        <v>174</v>
      </c>
      <c r="K26" s="61">
        <v>50</v>
      </c>
      <c r="L26" s="2" t="s">
        <v>3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84</v>
      </c>
      <c r="D27" s="2">
        <v>1</v>
      </c>
      <c r="E27" t="s">
        <v>122</v>
      </c>
      <c r="F27" s="2">
        <v>6</v>
      </c>
      <c r="G27" t="s">
        <v>152</v>
      </c>
      <c r="H27" s="21">
        <v>45178</v>
      </c>
      <c r="I27" s="83">
        <v>8</v>
      </c>
      <c r="J27" t="s">
        <v>175</v>
      </c>
      <c r="K27" s="61">
        <v>60</v>
      </c>
      <c r="L27" s="2" t="s">
        <v>3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84</v>
      </c>
      <c r="D28" s="2">
        <v>1</v>
      </c>
      <c r="E28" t="s">
        <v>122</v>
      </c>
      <c r="F28" s="2">
        <v>7</v>
      </c>
      <c r="G28" t="s">
        <v>153</v>
      </c>
      <c r="H28" s="21">
        <v>45179</v>
      </c>
      <c r="I28" s="83">
        <v>7</v>
      </c>
      <c r="J28" t="s">
        <v>176</v>
      </c>
      <c r="K28" s="61">
        <v>70</v>
      </c>
      <c r="L28" s="2" t="s">
        <v>3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84</v>
      </c>
      <c r="D29" s="2">
        <v>1</v>
      </c>
      <c r="E29" t="s">
        <v>122</v>
      </c>
      <c r="F29" s="2">
        <v>8</v>
      </c>
      <c r="G29" t="s">
        <v>154</v>
      </c>
      <c r="H29" s="21">
        <v>45180</v>
      </c>
      <c r="I29" s="83">
        <v>6</v>
      </c>
      <c r="J29" t="s">
        <v>177</v>
      </c>
      <c r="K29" s="61">
        <v>80</v>
      </c>
      <c r="L29" s="2" t="s">
        <v>3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84</v>
      </c>
      <c r="D30" s="2">
        <v>1</v>
      </c>
      <c r="E30" t="s">
        <v>122</v>
      </c>
      <c r="F30" s="2">
        <v>9</v>
      </c>
      <c r="G30" t="s">
        <v>155</v>
      </c>
      <c r="H30" s="21">
        <v>45181</v>
      </c>
      <c r="I30" s="83">
        <v>10</v>
      </c>
      <c r="J30" t="s">
        <v>178</v>
      </c>
      <c r="K30" s="61">
        <v>90</v>
      </c>
      <c r="L30" s="2" t="s">
        <v>3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91</v>
      </c>
      <c r="D31" s="2">
        <v>2</v>
      </c>
      <c r="E31" t="s">
        <v>123</v>
      </c>
      <c r="F31" s="2">
        <v>3</v>
      </c>
      <c r="G31" t="s">
        <v>156</v>
      </c>
      <c r="H31" s="21">
        <v>45175</v>
      </c>
      <c r="I31" s="83">
        <v>10</v>
      </c>
      <c r="J31" t="s">
        <v>172</v>
      </c>
      <c r="K31" s="61">
        <v>30</v>
      </c>
      <c r="L31" s="2" t="s">
        <v>3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91</v>
      </c>
      <c r="D32" s="2">
        <v>2</v>
      </c>
      <c r="E32" t="s">
        <v>123</v>
      </c>
      <c r="F32" s="2">
        <v>4</v>
      </c>
      <c r="G32" t="s">
        <v>157</v>
      </c>
      <c r="H32" s="21">
        <v>45173</v>
      </c>
      <c r="I32" s="83">
        <v>26</v>
      </c>
      <c r="J32" t="s">
        <v>173</v>
      </c>
      <c r="K32" s="61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91</v>
      </c>
      <c r="D33" s="2">
        <v>2</v>
      </c>
      <c r="E33" t="s">
        <v>123</v>
      </c>
      <c r="F33" s="2">
        <v>3</v>
      </c>
      <c r="G33" t="s">
        <v>158</v>
      </c>
      <c r="H33" s="21">
        <v>45175</v>
      </c>
      <c r="I33" s="83">
        <v>5</v>
      </c>
      <c r="J33" t="s">
        <v>172</v>
      </c>
      <c r="K33" s="61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36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70" t="s">
        <v>126</v>
      </c>
      <c r="B1" s="170"/>
      <c r="C1" s="170"/>
      <c r="D1" s="175"/>
    </row>
    <row r="2" spans="1:5" x14ac:dyDescent="0.25">
      <c r="A2" s="169"/>
      <c r="B2" s="169"/>
      <c r="C2" s="169"/>
      <c r="D2" s="176"/>
    </row>
    <row r="3" spans="1:5" x14ac:dyDescent="0.25">
      <c r="A3" s="52" t="s">
        <v>105</v>
      </c>
      <c r="B3" s="56" t="s">
        <v>127</v>
      </c>
      <c r="C3" s="56" t="s">
        <v>125</v>
      </c>
      <c r="D3" s="56" t="s">
        <v>8</v>
      </c>
      <c r="E3" s="3"/>
    </row>
    <row r="4" spans="1:5" x14ac:dyDescent="0.25">
      <c r="A4" s="90">
        <v>1</v>
      </c>
      <c r="B4" s="97" t="s">
        <v>52</v>
      </c>
      <c r="C4" s="91" t="s">
        <v>170</v>
      </c>
      <c r="D4" s="105">
        <v>50</v>
      </c>
    </row>
    <row r="5" spans="1:5" x14ac:dyDescent="0.25">
      <c r="A5" s="92">
        <v>2</v>
      </c>
      <c r="B5" s="98" t="s">
        <v>53</v>
      </c>
      <c r="C5" s="93" t="s">
        <v>171</v>
      </c>
      <c r="D5" s="106">
        <v>40</v>
      </c>
    </row>
    <row r="6" spans="1:5" x14ac:dyDescent="0.25">
      <c r="A6" s="92">
        <v>3</v>
      </c>
      <c r="B6" s="98" t="s">
        <v>54</v>
      </c>
      <c r="C6" s="93" t="s">
        <v>172</v>
      </c>
      <c r="D6" s="106">
        <v>60</v>
      </c>
    </row>
    <row r="7" spans="1:5" x14ac:dyDescent="0.25">
      <c r="A7" s="92">
        <v>4</v>
      </c>
      <c r="B7" s="98" t="s">
        <v>55</v>
      </c>
      <c r="C7" s="93" t="s">
        <v>173</v>
      </c>
      <c r="D7" s="106">
        <v>75</v>
      </c>
    </row>
    <row r="8" spans="1:5" x14ac:dyDescent="0.25">
      <c r="A8" s="92">
        <v>5</v>
      </c>
      <c r="B8" s="98" t="s">
        <v>56</v>
      </c>
      <c r="C8" s="93" t="s">
        <v>174</v>
      </c>
      <c r="D8" s="106">
        <v>30</v>
      </c>
    </row>
    <row r="9" spans="1:5" x14ac:dyDescent="0.25">
      <c r="A9" s="92">
        <v>6</v>
      </c>
      <c r="B9" s="98" t="s">
        <v>57</v>
      </c>
      <c r="C9" s="93" t="s">
        <v>175</v>
      </c>
      <c r="D9" s="106">
        <v>80</v>
      </c>
    </row>
    <row r="10" spans="1:5" x14ac:dyDescent="0.25">
      <c r="A10" s="92">
        <v>7</v>
      </c>
      <c r="B10" s="98" t="s">
        <v>58</v>
      </c>
      <c r="C10" s="93" t="s">
        <v>176</v>
      </c>
      <c r="D10" s="106">
        <v>50</v>
      </c>
    </row>
    <row r="11" spans="1:5" x14ac:dyDescent="0.25">
      <c r="A11" s="92">
        <v>8</v>
      </c>
      <c r="B11" s="98" t="s">
        <v>59</v>
      </c>
      <c r="C11" s="93" t="s">
        <v>177</v>
      </c>
      <c r="D11" s="106">
        <v>60</v>
      </c>
    </row>
    <row r="12" spans="1:5" x14ac:dyDescent="0.25">
      <c r="A12" s="92">
        <v>9</v>
      </c>
      <c r="B12" s="98" t="s">
        <v>60</v>
      </c>
      <c r="C12" s="93" t="s">
        <v>178</v>
      </c>
      <c r="D12" s="106">
        <v>100</v>
      </c>
    </row>
    <row r="13" spans="1:5" x14ac:dyDescent="0.25">
      <c r="A13" s="92">
        <v>10</v>
      </c>
      <c r="B13" s="98" t="s">
        <v>61</v>
      </c>
      <c r="C13" s="93" t="s">
        <v>179</v>
      </c>
      <c r="D13" s="106">
        <v>35</v>
      </c>
    </row>
    <row r="14" spans="1:5" x14ac:dyDescent="0.25">
      <c r="A14" s="92">
        <v>11</v>
      </c>
      <c r="B14" s="98" t="s">
        <v>52</v>
      </c>
      <c r="C14" s="93" t="s">
        <v>180</v>
      </c>
      <c r="D14" s="106">
        <v>50</v>
      </c>
    </row>
    <row r="15" spans="1:5" x14ac:dyDescent="0.25">
      <c r="A15" s="92">
        <v>12</v>
      </c>
      <c r="B15" s="98" t="s">
        <v>53</v>
      </c>
      <c r="C15" s="93" t="s">
        <v>181</v>
      </c>
      <c r="D15" s="106">
        <v>40</v>
      </c>
    </row>
    <row r="16" spans="1:5" x14ac:dyDescent="0.25">
      <c r="A16" s="92">
        <v>13</v>
      </c>
      <c r="B16" s="98" t="s">
        <v>54</v>
      </c>
      <c r="C16" s="93" t="s">
        <v>182</v>
      </c>
      <c r="D16" s="106">
        <v>60</v>
      </c>
    </row>
    <row r="17" spans="1:4" x14ac:dyDescent="0.25">
      <c r="A17" s="92">
        <v>14</v>
      </c>
      <c r="B17" s="98" t="s">
        <v>55</v>
      </c>
      <c r="C17" s="93" t="s">
        <v>183</v>
      </c>
      <c r="D17" s="106">
        <v>75</v>
      </c>
    </row>
    <row r="18" spans="1:4" x14ac:dyDescent="0.25">
      <c r="A18" s="92">
        <v>15</v>
      </c>
      <c r="B18" s="98" t="s">
        <v>56</v>
      </c>
      <c r="C18" s="93" t="s">
        <v>184</v>
      </c>
      <c r="D18" s="106">
        <v>30</v>
      </c>
    </row>
    <row r="19" spans="1:4" x14ac:dyDescent="0.25">
      <c r="A19" s="92">
        <v>16</v>
      </c>
      <c r="B19" s="98" t="s">
        <v>57</v>
      </c>
      <c r="C19" s="93" t="s">
        <v>185</v>
      </c>
      <c r="D19" s="106">
        <v>80</v>
      </c>
    </row>
    <row r="20" spans="1:4" x14ac:dyDescent="0.25">
      <c r="A20" s="92">
        <v>17</v>
      </c>
      <c r="B20" s="98" t="s">
        <v>58</v>
      </c>
      <c r="C20" s="93" t="s">
        <v>186</v>
      </c>
      <c r="D20" s="106">
        <v>50</v>
      </c>
    </row>
    <row r="21" spans="1:4" x14ac:dyDescent="0.25">
      <c r="A21" s="92">
        <v>18</v>
      </c>
      <c r="B21" s="98" t="s">
        <v>59</v>
      </c>
      <c r="C21" s="93" t="s">
        <v>187</v>
      </c>
      <c r="D21" s="106">
        <v>60</v>
      </c>
    </row>
    <row r="22" spans="1:4" x14ac:dyDescent="0.25">
      <c r="A22" s="92">
        <v>19</v>
      </c>
      <c r="B22" s="98" t="s">
        <v>60</v>
      </c>
      <c r="C22" s="93" t="s">
        <v>188</v>
      </c>
      <c r="D22" s="106">
        <v>100</v>
      </c>
    </row>
    <row r="23" spans="1:4" x14ac:dyDescent="0.25">
      <c r="A23" s="92">
        <v>20</v>
      </c>
      <c r="B23" s="98" t="s">
        <v>61</v>
      </c>
      <c r="C23" s="93" t="s">
        <v>189</v>
      </c>
      <c r="D23" s="106">
        <v>35</v>
      </c>
    </row>
    <row r="24" spans="1:4" x14ac:dyDescent="0.25">
      <c r="A24" s="92">
        <v>21</v>
      </c>
      <c r="B24" s="98" t="s">
        <v>52</v>
      </c>
      <c r="C24" s="93" t="s">
        <v>190</v>
      </c>
      <c r="D24" s="106">
        <v>50</v>
      </c>
    </row>
    <row r="25" spans="1:4" x14ac:dyDescent="0.25">
      <c r="A25" s="92">
        <v>22</v>
      </c>
      <c r="B25" s="98" t="s">
        <v>53</v>
      </c>
      <c r="C25" s="93" t="s">
        <v>191</v>
      </c>
      <c r="D25" s="106">
        <v>40</v>
      </c>
    </row>
    <row r="26" spans="1:4" x14ac:dyDescent="0.25">
      <c r="A26" s="92">
        <v>23</v>
      </c>
      <c r="B26" s="98" t="s">
        <v>54</v>
      </c>
      <c r="C26" s="93" t="s">
        <v>192</v>
      </c>
      <c r="D26" s="106">
        <v>60</v>
      </c>
    </row>
    <row r="27" spans="1:4" x14ac:dyDescent="0.25">
      <c r="A27" s="92">
        <v>24</v>
      </c>
      <c r="B27" s="98" t="s">
        <v>55</v>
      </c>
      <c r="C27" s="93" t="s">
        <v>193</v>
      </c>
      <c r="D27" s="106">
        <v>75</v>
      </c>
    </row>
    <row r="28" spans="1:4" x14ac:dyDescent="0.25">
      <c r="A28" s="92">
        <v>25</v>
      </c>
      <c r="B28" s="98" t="s">
        <v>56</v>
      </c>
      <c r="C28" s="93" t="s">
        <v>194</v>
      </c>
      <c r="D28" s="106">
        <v>30</v>
      </c>
    </row>
    <row r="29" spans="1:4" x14ac:dyDescent="0.25">
      <c r="A29" s="92">
        <v>26</v>
      </c>
      <c r="B29" s="98" t="s">
        <v>57</v>
      </c>
      <c r="C29" s="93" t="s">
        <v>195</v>
      </c>
      <c r="D29" s="106">
        <v>80</v>
      </c>
    </row>
    <row r="30" spans="1:4" x14ac:dyDescent="0.25">
      <c r="A30" s="92">
        <v>27</v>
      </c>
      <c r="B30" s="98" t="s">
        <v>58</v>
      </c>
      <c r="C30" s="94" t="s">
        <v>196</v>
      </c>
      <c r="D30" s="106">
        <v>50</v>
      </c>
    </row>
    <row r="31" spans="1:4" x14ac:dyDescent="0.25">
      <c r="A31" s="92">
        <v>28</v>
      </c>
      <c r="B31" s="98" t="s">
        <v>59</v>
      </c>
      <c r="C31" s="94" t="s">
        <v>197</v>
      </c>
      <c r="D31" s="106">
        <v>60</v>
      </c>
    </row>
    <row r="32" spans="1:4" x14ac:dyDescent="0.25">
      <c r="A32" s="92">
        <v>29</v>
      </c>
      <c r="B32" s="98" t="s">
        <v>60</v>
      </c>
      <c r="C32" s="94" t="s">
        <v>198</v>
      </c>
      <c r="D32" s="106">
        <v>100</v>
      </c>
    </row>
    <row r="33" spans="1:4" x14ac:dyDescent="0.25">
      <c r="A33" s="92">
        <v>30</v>
      </c>
      <c r="B33" s="98" t="s">
        <v>61</v>
      </c>
      <c r="C33" s="94" t="s">
        <v>199</v>
      </c>
      <c r="D33" s="106">
        <v>35</v>
      </c>
    </row>
    <row r="34" spans="1:4" x14ac:dyDescent="0.25">
      <c r="A34" s="92">
        <v>31</v>
      </c>
      <c r="B34" s="98" t="s">
        <v>52</v>
      </c>
      <c r="C34" s="94" t="s">
        <v>200</v>
      </c>
      <c r="D34" s="106">
        <v>50</v>
      </c>
    </row>
    <row r="35" spans="1:4" x14ac:dyDescent="0.25">
      <c r="A35" s="92">
        <v>32</v>
      </c>
      <c r="B35" s="98" t="s">
        <v>53</v>
      </c>
      <c r="C35" s="94" t="s">
        <v>201</v>
      </c>
      <c r="D35" s="106">
        <v>40</v>
      </c>
    </row>
    <row r="36" spans="1:4" x14ac:dyDescent="0.25">
      <c r="A36" s="92">
        <v>33</v>
      </c>
      <c r="B36" s="98" t="s">
        <v>54</v>
      </c>
      <c r="C36" s="94" t="s">
        <v>202</v>
      </c>
      <c r="D36" s="106">
        <v>60</v>
      </c>
    </row>
    <row r="37" spans="1:4" x14ac:dyDescent="0.25">
      <c r="A37" s="92">
        <v>34</v>
      </c>
      <c r="B37" s="98" t="s">
        <v>55</v>
      </c>
      <c r="C37" s="94" t="s">
        <v>203</v>
      </c>
      <c r="D37" s="106">
        <v>75</v>
      </c>
    </row>
    <row r="38" spans="1:4" x14ac:dyDescent="0.25">
      <c r="A38" s="92">
        <v>35</v>
      </c>
      <c r="B38" s="98" t="s">
        <v>56</v>
      </c>
      <c r="C38" s="93" t="s">
        <v>204</v>
      </c>
      <c r="D38" s="106">
        <v>30</v>
      </c>
    </row>
    <row r="39" spans="1:4" x14ac:dyDescent="0.25">
      <c r="A39" s="92">
        <v>36</v>
      </c>
      <c r="B39" s="98" t="s">
        <v>57</v>
      </c>
      <c r="C39" s="93" t="s">
        <v>205</v>
      </c>
      <c r="D39" s="106">
        <v>80</v>
      </c>
    </row>
    <row r="40" spans="1:4" x14ac:dyDescent="0.25">
      <c r="A40" s="92">
        <v>37</v>
      </c>
      <c r="B40" s="98" t="s">
        <v>58</v>
      </c>
      <c r="C40" s="93" t="s">
        <v>206</v>
      </c>
      <c r="D40" s="106">
        <v>50</v>
      </c>
    </row>
    <row r="41" spans="1:4" x14ac:dyDescent="0.25">
      <c r="A41" s="92">
        <v>38</v>
      </c>
      <c r="B41" s="98" t="s">
        <v>59</v>
      </c>
      <c r="C41" s="93" t="s">
        <v>207</v>
      </c>
      <c r="D41" s="106">
        <v>60</v>
      </c>
    </row>
    <row r="42" spans="1:4" x14ac:dyDescent="0.25">
      <c r="A42" s="92">
        <v>39</v>
      </c>
      <c r="B42" s="98" t="s">
        <v>60</v>
      </c>
      <c r="C42" s="93" t="s">
        <v>208</v>
      </c>
      <c r="D42" s="106">
        <v>100</v>
      </c>
    </row>
    <row r="43" spans="1:4" x14ac:dyDescent="0.25">
      <c r="A43" s="95">
        <v>40</v>
      </c>
      <c r="B43" s="99" t="s">
        <v>61</v>
      </c>
      <c r="C43" s="96" t="s">
        <v>209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70" t="s">
        <v>17</v>
      </c>
      <c r="B1" s="170"/>
      <c r="C1" s="170"/>
      <c r="D1" s="170"/>
      <c r="E1" s="170"/>
      <c r="F1" s="170"/>
      <c r="G1" s="170"/>
      <c r="H1" s="170"/>
      <c r="K1" s="13" t="s">
        <v>43</v>
      </c>
      <c r="M1" s="64" t="s">
        <v>47</v>
      </c>
    </row>
    <row r="2" spans="1:13" ht="14.45" customHeight="1" x14ac:dyDescent="0.25">
      <c r="A2" s="169"/>
      <c r="B2" s="169"/>
      <c r="C2" s="169"/>
      <c r="D2" s="169"/>
      <c r="E2" s="169"/>
      <c r="F2" s="169"/>
      <c r="G2" s="169"/>
      <c r="H2" s="169"/>
      <c r="K2" s="5" t="s">
        <v>99</v>
      </c>
      <c r="M2" s="5" t="s">
        <v>18</v>
      </c>
    </row>
    <row r="3" spans="1:13" ht="25.5" x14ac:dyDescent="0.25">
      <c r="A3" s="52" t="s">
        <v>101</v>
      </c>
      <c r="B3" s="56" t="s">
        <v>18</v>
      </c>
      <c r="C3" s="52" t="s">
        <v>102</v>
      </c>
      <c r="D3" s="56" t="s">
        <v>10</v>
      </c>
      <c r="E3" s="52" t="s">
        <v>19</v>
      </c>
      <c r="F3" s="52" t="s">
        <v>20</v>
      </c>
      <c r="G3" s="52" t="s">
        <v>21</v>
      </c>
      <c r="H3" s="52" t="s">
        <v>22</v>
      </c>
      <c r="K3" s="80"/>
      <c r="M3" t="s">
        <v>122</v>
      </c>
    </row>
    <row r="4" spans="1:13" x14ac:dyDescent="0.25">
      <c r="A4" s="2">
        <v>1</v>
      </c>
      <c r="B4" t="s">
        <v>122</v>
      </c>
      <c r="C4" s="2">
        <v>1</v>
      </c>
      <c r="D4" t="s">
        <v>84</v>
      </c>
      <c r="G4" s="7"/>
      <c r="H4" s="4"/>
      <c r="M4" t="s">
        <v>123</v>
      </c>
    </row>
    <row r="5" spans="1:13" x14ac:dyDescent="0.25">
      <c r="A5" s="2">
        <v>2</v>
      </c>
      <c r="B5" t="s">
        <v>123</v>
      </c>
      <c r="C5" s="2">
        <v>2</v>
      </c>
      <c r="D5" t="s">
        <v>91</v>
      </c>
      <c r="G5" s="7"/>
      <c r="H5" s="4"/>
      <c r="M5" t="s">
        <v>124</v>
      </c>
    </row>
    <row r="6" spans="1:13" x14ac:dyDescent="0.25">
      <c r="A6" s="2">
        <v>3</v>
      </c>
      <c r="B6" t="s">
        <v>124</v>
      </c>
      <c r="C6" s="2">
        <v>3</v>
      </c>
      <c r="D6" t="s">
        <v>116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70" t="s">
        <v>9</v>
      </c>
      <c r="B1" s="170"/>
      <c r="C1" s="170"/>
      <c r="D1" s="170"/>
      <c r="E1" s="170"/>
      <c r="F1" s="170"/>
      <c r="G1" s="170"/>
      <c r="H1" s="170"/>
      <c r="I1" s="170"/>
    </row>
    <row r="2" spans="1:9" x14ac:dyDescent="0.25">
      <c r="A2" s="169"/>
      <c r="B2" s="169"/>
      <c r="C2" s="169"/>
      <c r="D2" s="169"/>
      <c r="E2" s="169"/>
      <c r="F2" s="169"/>
      <c r="G2" s="169"/>
      <c r="H2" s="169"/>
      <c r="I2" s="169"/>
    </row>
    <row r="3" spans="1:9" ht="26.25" x14ac:dyDescent="0.25">
      <c r="A3" s="51" t="s">
        <v>103</v>
      </c>
      <c r="B3" s="56" t="s">
        <v>10</v>
      </c>
      <c r="C3" s="56" t="s">
        <v>11</v>
      </c>
      <c r="D3" s="56" t="s">
        <v>12</v>
      </c>
      <c r="E3" s="56" t="s">
        <v>13</v>
      </c>
      <c r="F3" s="56" t="s">
        <v>14</v>
      </c>
      <c r="G3" s="56" t="s">
        <v>15</v>
      </c>
      <c r="H3" s="56"/>
      <c r="I3" s="56" t="s">
        <v>16</v>
      </c>
    </row>
    <row r="4" spans="1:9" x14ac:dyDescent="0.25">
      <c r="A4" s="2">
        <v>1</v>
      </c>
      <c r="B4" t="s">
        <v>84</v>
      </c>
      <c r="C4" t="s">
        <v>85</v>
      </c>
      <c r="D4" t="s">
        <v>86</v>
      </c>
      <c r="E4" t="s">
        <v>87</v>
      </c>
      <c r="F4" s="2" t="s">
        <v>88</v>
      </c>
      <c r="G4" s="6" t="s">
        <v>89</v>
      </c>
      <c r="H4" s="6" t="s">
        <v>165</v>
      </c>
      <c r="I4" s="46" t="s">
        <v>90</v>
      </c>
    </row>
    <row r="5" spans="1:9" x14ac:dyDescent="0.25">
      <c r="A5" s="2">
        <v>2</v>
      </c>
      <c r="B5" t="s">
        <v>91</v>
      </c>
      <c r="C5" t="s">
        <v>104</v>
      </c>
      <c r="D5" t="s">
        <v>92</v>
      </c>
      <c r="E5" t="s">
        <v>87</v>
      </c>
      <c r="F5" s="2" t="s">
        <v>93</v>
      </c>
      <c r="G5" t="s">
        <v>94</v>
      </c>
      <c r="H5" t="s">
        <v>166</v>
      </c>
      <c r="I5" s="46" t="s">
        <v>95</v>
      </c>
    </row>
    <row r="6" spans="1:9" x14ac:dyDescent="0.25">
      <c r="A6" s="2">
        <v>3</v>
      </c>
      <c r="B6" t="s">
        <v>116</v>
      </c>
      <c r="C6" t="s">
        <v>117</v>
      </c>
      <c r="D6" t="s">
        <v>118</v>
      </c>
      <c r="E6" t="s">
        <v>87</v>
      </c>
      <c r="F6" s="2" t="s">
        <v>119</v>
      </c>
      <c r="G6" t="s">
        <v>120</v>
      </c>
      <c r="H6" t="s">
        <v>167</v>
      </c>
      <c r="I6" s="46" t="s">
        <v>121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2023-09-29T20:09:15Z</cp:lastPrinted>
  <dcterms:created xsi:type="dcterms:W3CDTF">2023-05-08T04:58:50Z</dcterms:created>
  <dcterms:modified xsi:type="dcterms:W3CDTF">2023-09-29T20:14:21Z</dcterms:modified>
</cp:coreProperties>
</file>