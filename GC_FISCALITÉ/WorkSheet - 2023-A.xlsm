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9cfcb927093c144/_P E R S O N N E L/"/>
    </mc:Choice>
  </mc:AlternateContent>
  <xr:revisionPtr revIDLastSave="0" documentId="8_{1AD544F3-5EC5-4C5D-841E-67FA9DA04CED}" xr6:coauthVersionLast="47" xr6:coauthVersionMax="47" xr10:uidLastSave="{00000000-0000-0000-0000-000000000000}"/>
  <bookViews>
    <workbookView xWindow="-120" yWindow="-120" windowWidth="29040" windowHeight="15840" xr2:uid="{DB32AB96-91CD-4135-AC63-4541BE7EC7DC}"/>
  </bookViews>
  <sheets>
    <sheet name="2023-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8" i="1"/>
  <c r="G20" i="1"/>
  <c r="G17" i="1"/>
  <c r="G23" i="1"/>
  <c r="G25" i="1"/>
  <c r="G22" i="1"/>
  <c r="G18" i="1"/>
  <c r="G26" i="1"/>
  <c r="G24" i="1"/>
  <c r="G21" i="1"/>
  <c r="G19" i="1"/>
  <c r="G28" i="1" l="1"/>
  <c r="G31" i="1" l="1"/>
  <c r="G30" i="1"/>
  <c r="G33" i="1" l="1"/>
</calcChain>
</file>

<file path=xl/sharedStrings.xml><?xml version="1.0" encoding="utf-8"?>
<sst xmlns="http://schemas.openxmlformats.org/spreadsheetml/2006/main" count="29" uniqueCount="25">
  <si>
    <t>Participants</t>
  </si>
  <si>
    <t>S o m m a i r e</t>
  </si>
  <si>
    <t>Hébergement exclusif du site</t>
  </si>
  <si>
    <t>Compensation Foyer</t>
  </si>
  <si>
    <t>Literie à l'unité</t>
  </si>
  <si>
    <t>Nuitées du mercredi soir</t>
  </si>
  <si>
    <t>Repas - Samedi midi</t>
  </si>
  <si>
    <t>Nuitées du jeudi soir</t>
  </si>
  <si>
    <t>Personnes / Repas (6 au total)</t>
  </si>
  <si>
    <t>Frais de coordination</t>
  </si>
  <si>
    <t>TPS @ 5 %</t>
  </si>
  <si>
    <t>TVQ @ 9,975 %</t>
  </si>
  <si>
    <t>GRAND TOTAL</t>
  </si>
  <si>
    <t>SOUS TOTAL</t>
  </si>
  <si>
    <t>Qté</t>
  </si>
  <si>
    <t>Description</t>
  </si>
  <si>
    <t>Prix Unitaire</t>
  </si>
  <si>
    <t>Total</t>
  </si>
  <si>
    <t>Facturées</t>
  </si>
  <si>
    <t>Nombre de personnes (week-end)</t>
  </si>
  <si>
    <t>Literie (week-end)</t>
  </si>
  <si>
    <t>Repas additionnel (lunch samedi midi)</t>
  </si>
  <si>
    <t>Équipiers</t>
  </si>
  <si>
    <t>* Conforme à ce que nous avons demandé</t>
  </si>
  <si>
    <t xml:space="preserve">   la semaine précédant l'atelier.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</si>
</sst>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* #,##0.00_)\ &quot;$&quot;_ ;_ * \(#,##0.00\)\ &quot;$&quot;_ ;_ * &quot;-&quot;??_)\ &quot;$&quot;_ ;_ @_ 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44" fontId="0" fillId="0" borderId="0" xfId="1" applyFont="1" applyAlignment="1">
      <alignment horizontal="right" vertical="center"/>
    </xf>
    <xf numFmtId="44" fontId="0" fillId="0" borderId="0" xfId="1" applyFont="1" applyAlignment="1">
      <alignment vertical="center"/>
    </xf>
    <xf numFmtId="44" fontId="0" fillId="0" borderId="0" xfId="0" applyNumberFormat="1" applyAlignment="1">
      <alignment vertical="center"/>
    </xf>
    <xf numFmtId="0" fontId="4" fillId="0" borderId="1" xfId="0" applyFont="1" applyBorder="1" applyAlignment="1">
      <alignment horizontal="center" vertical="center"/>
    </xf>
    <xf numFmtId="44" fontId="2" fillId="0" borderId="2" xfId="0" applyNumberFormat="1" applyFont="1" applyBorder="1" applyAlignment="1">
      <alignment vertical="center"/>
    </xf>
    <xf numFmtId="44" fontId="2" fillId="0" borderId="0" xfId="0" applyNumberFormat="1" applyFont="1" applyBorder="1" applyAlignment="1">
      <alignment vertical="center"/>
    </xf>
    <xf numFmtId="44" fontId="2" fillId="0" borderId="0" xfId="1" applyFont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4" fontId="0" fillId="2" borderId="0" xfId="1" applyFont="1" applyFill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horizontal="left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2ADCF-14D6-448B-BAF4-8B128ECE836C}">
  <sheetPr codeName="Feuil1"/>
  <dimension ref="A2:I33"/>
  <sheetViews>
    <sheetView tabSelected="1" workbookViewId="0">
      <selection activeCell="K10" sqref="K10"/>
    </sheetView>
  </sheetViews>
  <sheetFormatPr baseColWidth="10" defaultRowHeight="15" x14ac:dyDescent="0.25"/>
  <cols>
    <col min="1" max="1" width="8.7109375" style="1" customWidth="1"/>
    <col min="2" max="2" width="35.85546875" style="1" bestFit="1" customWidth="1"/>
    <col min="3" max="3" width="8.7109375" style="2" customWidth="1"/>
    <col min="4" max="4" width="5.7109375" style="6" customWidth="1"/>
    <col min="5" max="5" width="14.140625" style="2" customWidth="1"/>
    <col min="6" max="6" width="5.7109375" style="1" customWidth="1"/>
    <col min="7" max="7" width="12" style="1" bestFit="1" customWidth="1"/>
    <col min="8" max="8" width="11.42578125" style="1"/>
    <col min="9" max="9" width="12" style="1" bestFit="1" customWidth="1"/>
    <col min="10" max="16384" width="11.42578125" style="1"/>
  </cols>
  <sheetData>
    <row r="2" spans="1:8" ht="20.100000000000001" customHeight="1" x14ac:dyDescent="0.25"/>
    <row r="3" spans="1:8" ht="20.100000000000001" customHeight="1" x14ac:dyDescent="0.25">
      <c r="B3" s="1" t="s">
        <v>22</v>
      </c>
      <c r="C3" s="2">
        <v>32</v>
      </c>
    </row>
    <row r="4" spans="1:8" ht="20.100000000000001" customHeight="1" x14ac:dyDescent="0.25">
      <c r="B4" s="1" t="s">
        <v>0</v>
      </c>
      <c r="C4" s="2">
        <v>14</v>
      </c>
    </row>
    <row r="5" spans="1:8" ht="20.100000000000001" customHeight="1" thickBot="1" x14ac:dyDescent="0.3">
      <c r="C5" s="22">
        <f>SUM(C3:C4)</f>
        <v>46</v>
      </c>
    </row>
    <row r="6" spans="1:8" ht="20.100000000000001" customHeight="1" x14ac:dyDescent="0.25">
      <c r="C6" s="5"/>
    </row>
    <row r="7" spans="1:8" ht="20.100000000000001" customHeight="1" x14ac:dyDescent="0.25">
      <c r="C7" s="23" t="s">
        <v>18</v>
      </c>
    </row>
    <row r="8" spans="1:8" ht="20.100000000000001" customHeight="1" x14ac:dyDescent="0.25">
      <c r="B8" s="19" t="s">
        <v>19</v>
      </c>
      <c r="C8" s="2">
        <f>A17+A18</f>
        <v>47</v>
      </c>
      <c r="E8" s="24" t="s">
        <v>23</v>
      </c>
      <c r="F8" s="25"/>
      <c r="G8" s="25"/>
      <c r="H8" s="25"/>
    </row>
    <row r="9" spans="1:8" ht="20.100000000000001" customHeight="1" x14ac:dyDescent="0.25">
      <c r="B9" s="19" t="s">
        <v>20</v>
      </c>
      <c r="C9" s="2">
        <v>47</v>
      </c>
      <c r="E9" s="26" t="s">
        <v>24</v>
      </c>
      <c r="F9" s="25"/>
      <c r="G9" s="25"/>
      <c r="H9" s="25"/>
    </row>
    <row r="10" spans="1:8" ht="20.100000000000001" customHeight="1" x14ac:dyDescent="0.25">
      <c r="B10" s="20" t="s">
        <v>5</v>
      </c>
      <c r="C10" s="18">
        <v>6</v>
      </c>
      <c r="D10" s="7"/>
    </row>
    <row r="11" spans="1:8" ht="20.100000000000001" customHeight="1" x14ac:dyDescent="0.25">
      <c r="A11" s="3"/>
      <c r="B11" s="21" t="s">
        <v>7</v>
      </c>
      <c r="C11" s="2">
        <v>30</v>
      </c>
      <c r="E11" s="15"/>
      <c r="F11" s="15"/>
    </row>
    <row r="12" spans="1:8" ht="20.100000000000001" customHeight="1" x14ac:dyDescent="0.25">
      <c r="B12" s="21" t="s">
        <v>21</v>
      </c>
      <c r="C12" s="2">
        <v>1</v>
      </c>
      <c r="E12" s="4"/>
    </row>
    <row r="13" spans="1:8" ht="20.100000000000001" customHeight="1" x14ac:dyDescent="0.25">
      <c r="B13" s="4"/>
      <c r="E13" s="4"/>
    </row>
    <row r="14" spans="1:8" ht="20.100000000000001" customHeight="1" x14ac:dyDescent="0.25"/>
    <row r="15" spans="1:8" ht="20.100000000000001" customHeight="1" x14ac:dyDescent="0.25">
      <c r="A15" s="11" t="s">
        <v>1</v>
      </c>
      <c r="B15" s="11"/>
      <c r="C15" s="11"/>
      <c r="D15" s="11"/>
      <c r="E15" s="11"/>
      <c r="F15" s="11"/>
      <c r="G15" s="11"/>
    </row>
    <row r="16" spans="1:8" ht="20.100000000000001" customHeight="1" x14ac:dyDescent="0.25">
      <c r="A16" s="16" t="s">
        <v>14</v>
      </c>
      <c r="B16" s="16" t="s">
        <v>15</v>
      </c>
      <c r="C16" s="16"/>
      <c r="D16" s="17"/>
      <c r="E16" s="16" t="s">
        <v>16</v>
      </c>
      <c r="F16" s="16"/>
      <c r="G16" s="16" t="s">
        <v>17</v>
      </c>
    </row>
    <row r="17" spans="1:9" ht="20.100000000000001" customHeight="1" x14ac:dyDescent="0.25">
      <c r="A17" s="2">
        <v>50</v>
      </c>
      <c r="B17" s="1" t="s">
        <v>8</v>
      </c>
      <c r="E17" s="8">
        <v>97.3</v>
      </c>
      <c r="G17" s="10">
        <f>A17*E17</f>
        <v>4865</v>
      </c>
      <c r="I17" s="9"/>
    </row>
    <row r="18" spans="1:9" ht="20.100000000000001" customHeight="1" x14ac:dyDescent="0.25">
      <c r="A18" s="2">
        <v>-3</v>
      </c>
      <c r="B18" s="1" t="s">
        <v>8</v>
      </c>
      <c r="E18" s="8">
        <v>97.3</v>
      </c>
      <c r="G18" s="10">
        <f>A18*E18</f>
        <v>-291.89999999999998</v>
      </c>
      <c r="I18" s="9"/>
    </row>
    <row r="19" spans="1:9" ht="20.100000000000001" customHeight="1" x14ac:dyDescent="0.25">
      <c r="A19" s="2">
        <v>2</v>
      </c>
      <c r="B19" s="1" t="s">
        <v>2</v>
      </c>
      <c r="E19" s="8">
        <v>3000</v>
      </c>
      <c r="G19" s="10">
        <f>A19*E19</f>
        <v>6000</v>
      </c>
      <c r="I19" s="9"/>
    </row>
    <row r="20" spans="1:9" ht="20.100000000000001" customHeight="1" x14ac:dyDescent="0.25">
      <c r="A20" s="2">
        <v>1</v>
      </c>
      <c r="B20" s="1" t="s">
        <v>9</v>
      </c>
      <c r="E20" s="8">
        <v>125</v>
      </c>
      <c r="G20" s="10">
        <f>A20*E20</f>
        <v>125</v>
      </c>
      <c r="I20" s="9"/>
    </row>
    <row r="21" spans="1:9" ht="20.100000000000001" customHeight="1" x14ac:dyDescent="0.25">
      <c r="A21" s="2">
        <v>-2</v>
      </c>
      <c r="B21" s="1" t="s">
        <v>3</v>
      </c>
      <c r="E21" s="8">
        <v>500</v>
      </c>
      <c r="G21" s="10">
        <f>A21*E21</f>
        <v>-1000</v>
      </c>
      <c r="I21" s="9"/>
    </row>
    <row r="22" spans="1:9" ht="20.100000000000001" customHeight="1" x14ac:dyDescent="0.25">
      <c r="A22" s="2">
        <v>6</v>
      </c>
      <c r="B22" s="1" t="s">
        <v>5</v>
      </c>
      <c r="E22" s="8">
        <v>15</v>
      </c>
      <c r="G22" s="10">
        <f>A22*E22</f>
        <v>90</v>
      </c>
      <c r="I22" s="9"/>
    </row>
    <row r="23" spans="1:9" ht="20.100000000000001" customHeight="1" x14ac:dyDescent="0.25">
      <c r="A23" s="2">
        <v>30</v>
      </c>
      <c r="B23" s="1" t="s">
        <v>7</v>
      </c>
      <c r="E23" s="8">
        <v>15</v>
      </c>
      <c r="G23" s="10">
        <f>A23*E23</f>
        <v>450</v>
      </c>
      <c r="I23" s="9"/>
    </row>
    <row r="24" spans="1:9" ht="20.100000000000001" customHeight="1" x14ac:dyDescent="0.25">
      <c r="A24" s="2">
        <v>50</v>
      </c>
      <c r="B24" s="1" t="s">
        <v>4</v>
      </c>
      <c r="E24" s="8">
        <v>10</v>
      </c>
      <c r="G24" s="10">
        <f>A24*E24</f>
        <v>500</v>
      </c>
      <c r="I24" s="9"/>
    </row>
    <row r="25" spans="1:9" ht="20.100000000000001" customHeight="1" x14ac:dyDescent="0.25">
      <c r="A25" s="2">
        <v>-3</v>
      </c>
      <c r="B25" s="1" t="s">
        <v>4</v>
      </c>
      <c r="E25" s="8">
        <v>10</v>
      </c>
      <c r="G25" s="10">
        <f>A25*E25</f>
        <v>-30</v>
      </c>
      <c r="I25" s="9"/>
    </row>
    <row r="26" spans="1:9" ht="20.100000000000001" customHeight="1" x14ac:dyDescent="0.25">
      <c r="A26" s="2">
        <v>1</v>
      </c>
      <c r="B26" s="1" t="s">
        <v>6</v>
      </c>
      <c r="E26" s="8">
        <v>17.5</v>
      </c>
      <c r="G26" s="10">
        <f>A26*E26</f>
        <v>17.5</v>
      </c>
      <c r="I26" s="9"/>
    </row>
    <row r="27" spans="1:9" ht="20.100000000000001" customHeight="1" x14ac:dyDescent="0.25">
      <c r="A27" s="2"/>
      <c r="I27" s="9"/>
    </row>
    <row r="28" spans="1:9" ht="20.100000000000001" customHeight="1" thickBot="1" x14ac:dyDescent="0.3">
      <c r="A28" s="2"/>
      <c r="E28" s="14" t="s">
        <v>13</v>
      </c>
      <c r="G28" s="12">
        <f>SUM(G17:G26)</f>
        <v>10725.6</v>
      </c>
      <c r="I28" s="9"/>
    </row>
    <row r="29" spans="1:9" ht="20.100000000000001" customHeight="1" x14ac:dyDescent="0.25">
      <c r="A29" s="2"/>
      <c r="E29" s="6"/>
      <c r="G29" s="13"/>
      <c r="I29" s="9"/>
    </row>
    <row r="30" spans="1:9" ht="20.100000000000001" customHeight="1" x14ac:dyDescent="0.25">
      <c r="A30" s="2"/>
      <c r="E30" s="8" t="s">
        <v>10</v>
      </c>
      <c r="G30" s="9">
        <f>ROUND(G28*0.05,2)</f>
        <v>536.28</v>
      </c>
      <c r="I30" s="9"/>
    </row>
    <row r="31" spans="1:9" ht="20.100000000000001" customHeight="1" x14ac:dyDescent="0.25">
      <c r="A31" s="2"/>
      <c r="E31" s="8" t="s">
        <v>11</v>
      </c>
      <c r="G31" s="10">
        <f>ROUND(G28*0.09975,2)</f>
        <v>1069.8800000000001</v>
      </c>
      <c r="I31" s="9"/>
    </row>
    <row r="32" spans="1:9" ht="20.100000000000001" customHeight="1" x14ac:dyDescent="0.25">
      <c r="E32" s="8"/>
    </row>
    <row r="33" spans="5:7" ht="20.100000000000001" customHeight="1" thickBot="1" x14ac:dyDescent="0.3">
      <c r="E33" s="14" t="s">
        <v>12</v>
      </c>
      <c r="G33" s="12">
        <f>G28+G30+G31</f>
        <v>12331.760000000002</v>
      </c>
    </row>
  </sheetData>
  <mergeCells count="2">
    <mergeCell ref="E11:F11"/>
    <mergeCell ref="A15:G15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2023-A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2023-11-24T18:32:29Z</dcterms:created>
  <dcterms:modified xsi:type="dcterms:W3CDTF">2023-11-24T19:37:14Z</dcterms:modified>
</cp:coreProperties>
</file>