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E9416CA-D94E-45BA-8563-E1E9CA376E7A}" xr6:coauthVersionLast="47" xr6:coauthVersionMax="47" xr10:uidLastSave="{00000000-0000-0000-0000-000000000000}"/>
  <bookViews>
    <workbookView xWindow="-120" yWindow="-120" windowWidth="29040" windowHeight="15840" tabRatio="882" activeTab="2" xr2:uid="{00000000-000D-0000-FFFF-FFFF00000000}"/>
  </bookViews>
  <sheets>
    <sheet name="BV" sheetId="50" r:id="rId1"/>
    <sheet name="Couv." sheetId="5" r:id="rId2"/>
    <sheet name="TM" sheetId="6" r:id="rId3"/>
    <sheet name="ER" sheetId="79" r:id="rId4"/>
    <sheet name="BNR" sheetId="8" r:id="rId5"/>
    <sheet name="Bilan" sheetId="4" r:id="rId6"/>
    <sheet name="A" sheetId="2" r:id="rId7"/>
    <sheet name="A2" sheetId="33" r:id="rId8"/>
    <sheet name="A3" sheetId="69" r:id="rId9"/>
  </sheets>
  <definedNames>
    <definedName name="_Order1" hidden="1">255</definedName>
    <definedName name="_Order2" hidden="1">255</definedName>
    <definedName name="Liste_clients">#REF!</definedName>
    <definedName name="Liste_de_comptes_de_GL" localSheetId="0">BV!$B$7:$B$75</definedName>
    <definedName name="Liste_de_comptes_de_GL">#REF!</definedName>
    <definedName name="oui_non">#REF!</definedName>
    <definedName name="taxes">#REF!</definedName>
    <definedName name="Taxesv2">#REF!</definedName>
    <definedName name="Ttaxes">#REF!</definedName>
    <definedName name="_xlnm.Print_Area" localSheetId="6">A!$A$1:$H$36</definedName>
    <definedName name="_xlnm.Print_Area" localSheetId="7">'A2'!$B$1:$I$26</definedName>
    <definedName name="_xlnm.Print_Area" localSheetId="8">'A3'!$A$1:$G$54</definedName>
    <definedName name="_xlnm.Print_Area" localSheetId="5">Bilan!$B$1:$F$48</definedName>
    <definedName name="_xlnm.Print_Area" localSheetId="4">BNR!$B$7:$E$26</definedName>
    <definedName name="_xlnm.Print_Area" localSheetId="1">'Couv.'!$A$1:$C$25</definedName>
    <definedName name="_xlnm.Print_Area" localSheetId="3">ER!$A$1:$D$47</definedName>
    <definedName name="_xlnm.Print_Area" localSheetId="2">TM!$A$1:$F$30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6" l="1"/>
  <c r="E9" i="50"/>
  <c r="F9" i="50"/>
  <c r="G9" i="50"/>
  <c r="H9" i="50"/>
  <c r="I9" i="50"/>
  <c r="D9" i="50"/>
  <c r="C9" i="50" s="1"/>
  <c r="J9" i="50"/>
  <c r="K9" i="50"/>
  <c r="L9" i="50"/>
  <c r="M9" i="50"/>
  <c r="N9" i="50"/>
  <c r="N8" i="50"/>
  <c r="N12" i="50"/>
  <c r="N24" i="50"/>
  <c r="N21" i="50"/>
  <c r="E28" i="50"/>
  <c r="F28" i="50"/>
  <c r="G28" i="50"/>
  <c r="H28" i="50"/>
  <c r="I28" i="50"/>
  <c r="D28" i="50"/>
  <c r="Q28" i="50" s="1"/>
  <c r="B27" i="79" s="1"/>
  <c r="J28" i="50"/>
  <c r="K28" i="50"/>
  <c r="L28" i="50"/>
  <c r="M28" i="50"/>
  <c r="N28" i="50"/>
  <c r="N25" i="50"/>
  <c r="N16" i="50"/>
  <c r="N17" i="50"/>
  <c r="N22" i="50"/>
  <c r="N20" i="50"/>
  <c r="E10" i="50"/>
  <c r="F10" i="50"/>
  <c r="G10" i="50"/>
  <c r="H10" i="50"/>
  <c r="I10" i="50"/>
  <c r="D10" i="50"/>
  <c r="Q10" i="50" s="1"/>
  <c r="J10" i="50"/>
  <c r="K10" i="50"/>
  <c r="L10" i="50"/>
  <c r="M10" i="50"/>
  <c r="E11" i="50"/>
  <c r="F11" i="50"/>
  <c r="G11" i="50"/>
  <c r="H11" i="50"/>
  <c r="I11" i="50"/>
  <c r="D11" i="50"/>
  <c r="Q11" i="50" s="1"/>
  <c r="J11" i="50"/>
  <c r="K11" i="50"/>
  <c r="L11" i="50"/>
  <c r="M11" i="50"/>
  <c r="N11" i="50"/>
  <c r="D22" i="69"/>
  <c r="A3" i="50"/>
  <c r="D4" i="50"/>
  <c r="E4" i="50" s="1"/>
  <c r="F4" i="50" s="1"/>
  <c r="G4" i="50" s="1"/>
  <c r="H4" i="50" s="1"/>
  <c r="I4" i="50" s="1"/>
  <c r="J4" i="50" s="1"/>
  <c r="K4" i="50" s="1"/>
  <c r="L4" i="50" s="1"/>
  <c r="M4" i="50" s="1"/>
  <c r="N4" i="50" s="1"/>
  <c r="O4" i="50" s="1"/>
  <c r="D30" i="69"/>
  <c r="M7" i="50"/>
  <c r="L7" i="50"/>
  <c r="L32" i="50" s="1"/>
  <c r="F42" i="69"/>
  <c r="A8" i="69"/>
  <c r="B10" i="33"/>
  <c r="B9" i="33"/>
  <c r="E23" i="2"/>
  <c r="B8" i="2"/>
  <c r="A6" i="69" s="1"/>
  <c r="C18" i="8"/>
  <c r="N36" i="50"/>
  <c r="P44" i="50"/>
  <c r="B12" i="79"/>
  <c r="B6" i="4"/>
  <c r="B10" i="8"/>
  <c r="B8" i="8"/>
  <c r="B12" i="6"/>
  <c r="K7" i="50"/>
  <c r="F7" i="50"/>
  <c r="F32" i="50" s="1"/>
  <c r="E7" i="50"/>
  <c r="H7" i="50"/>
  <c r="J7" i="50"/>
  <c r="D7" i="50"/>
  <c r="G7" i="50"/>
  <c r="I7" i="50"/>
  <c r="K8" i="50"/>
  <c r="L8" i="50"/>
  <c r="F8" i="50"/>
  <c r="E8" i="50"/>
  <c r="H8" i="50"/>
  <c r="J8" i="50"/>
  <c r="M8" i="50"/>
  <c r="D8" i="50"/>
  <c r="Q8" i="50" s="1"/>
  <c r="G8" i="50"/>
  <c r="I8" i="50"/>
  <c r="Q9" i="50"/>
  <c r="K12" i="50"/>
  <c r="L12" i="50"/>
  <c r="F12" i="50"/>
  <c r="E12" i="50"/>
  <c r="H12" i="50"/>
  <c r="J12" i="50"/>
  <c r="M12" i="50"/>
  <c r="D12" i="50"/>
  <c r="Q12" i="50" s="1"/>
  <c r="G12" i="50"/>
  <c r="I12" i="50"/>
  <c r="K13" i="50"/>
  <c r="L13" i="50"/>
  <c r="F13" i="50"/>
  <c r="E13" i="50"/>
  <c r="H13" i="50"/>
  <c r="J13" i="50"/>
  <c r="M13" i="50"/>
  <c r="D13" i="50"/>
  <c r="Q13" i="50" s="1"/>
  <c r="G13" i="50"/>
  <c r="I13" i="50"/>
  <c r="K14" i="50"/>
  <c r="L14" i="50"/>
  <c r="F14" i="50"/>
  <c r="E14" i="50"/>
  <c r="H14" i="50"/>
  <c r="J14" i="50"/>
  <c r="M14" i="50"/>
  <c r="D14" i="50"/>
  <c r="Q14" i="50" s="1"/>
  <c r="G14" i="50"/>
  <c r="I14" i="50"/>
  <c r="K15" i="50"/>
  <c r="L15" i="50"/>
  <c r="F15" i="50"/>
  <c r="E15" i="50"/>
  <c r="H15" i="50"/>
  <c r="J15" i="50"/>
  <c r="M15" i="50"/>
  <c r="D15" i="50"/>
  <c r="Q15" i="50" s="1"/>
  <c r="G15" i="50"/>
  <c r="I15" i="50"/>
  <c r="K16" i="50"/>
  <c r="L16" i="50"/>
  <c r="F16" i="50"/>
  <c r="E16" i="50"/>
  <c r="H16" i="50"/>
  <c r="J16" i="50"/>
  <c r="M16" i="50"/>
  <c r="D16" i="50"/>
  <c r="Q16" i="50" s="1"/>
  <c r="G16" i="50"/>
  <c r="I16" i="50"/>
  <c r="K17" i="50"/>
  <c r="L17" i="50"/>
  <c r="F17" i="50"/>
  <c r="E17" i="50"/>
  <c r="H17" i="50"/>
  <c r="J17" i="50"/>
  <c r="M17" i="50"/>
  <c r="D17" i="50"/>
  <c r="Q17" i="50" s="1"/>
  <c r="G17" i="50"/>
  <c r="I17" i="50"/>
  <c r="K18" i="50"/>
  <c r="L18" i="50"/>
  <c r="F18" i="50"/>
  <c r="E18" i="50"/>
  <c r="H18" i="50"/>
  <c r="J18" i="50"/>
  <c r="M18" i="50"/>
  <c r="N18" i="50"/>
  <c r="D18" i="50"/>
  <c r="Q18" i="50" s="1"/>
  <c r="G18" i="50"/>
  <c r="I18" i="50"/>
  <c r="K19" i="50"/>
  <c r="L19" i="50"/>
  <c r="F19" i="50"/>
  <c r="E19" i="50"/>
  <c r="H19" i="50"/>
  <c r="J19" i="50"/>
  <c r="M19" i="50"/>
  <c r="N19" i="50"/>
  <c r="D19" i="50"/>
  <c r="Q19" i="50" s="1"/>
  <c r="G19" i="50"/>
  <c r="I19" i="50"/>
  <c r="K20" i="50"/>
  <c r="L20" i="50"/>
  <c r="F20" i="50"/>
  <c r="E20" i="50"/>
  <c r="H20" i="50"/>
  <c r="J20" i="50"/>
  <c r="M20" i="50"/>
  <c r="D20" i="50"/>
  <c r="Q20" i="50" s="1"/>
  <c r="G20" i="50"/>
  <c r="I20" i="50"/>
  <c r="K21" i="50"/>
  <c r="L21" i="50"/>
  <c r="F21" i="50"/>
  <c r="E21" i="50"/>
  <c r="H21" i="50"/>
  <c r="J21" i="50"/>
  <c r="M21" i="50"/>
  <c r="D21" i="50"/>
  <c r="Q21" i="50" s="1"/>
  <c r="G21" i="50"/>
  <c r="I21" i="50"/>
  <c r="K22" i="50"/>
  <c r="L22" i="50"/>
  <c r="F22" i="50"/>
  <c r="E22" i="50"/>
  <c r="H22" i="50"/>
  <c r="J22" i="50"/>
  <c r="M22" i="50"/>
  <c r="D22" i="50"/>
  <c r="Q22" i="50" s="1"/>
  <c r="G22" i="50"/>
  <c r="I22" i="50"/>
  <c r="K23" i="50"/>
  <c r="L23" i="50"/>
  <c r="F23" i="50"/>
  <c r="E23" i="50"/>
  <c r="H23" i="50"/>
  <c r="J23" i="50"/>
  <c r="M23" i="50"/>
  <c r="N23" i="50"/>
  <c r="D23" i="50"/>
  <c r="Q23" i="50" s="1"/>
  <c r="G23" i="50"/>
  <c r="I23" i="50"/>
  <c r="K24" i="50"/>
  <c r="L24" i="50"/>
  <c r="F24" i="50"/>
  <c r="E24" i="50"/>
  <c r="H24" i="50"/>
  <c r="J24" i="50"/>
  <c r="M24" i="50"/>
  <c r="D24" i="50"/>
  <c r="Q24" i="50" s="1"/>
  <c r="G24" i="50"/>
  <c r="I24" i="50"/>
  <c r="K25" i="50"/>
  <c r="L25" i="50"/>
  <c r="F25" i="50"/>
  <c r="E25" i="50"/>
  <c r="H25" i="50"/>
  <c r="J25" i="50"/>
  <c r="M25" i="50"/>
  <c r="D25" i="50"/>
  <c r="Q25" i="50" s="1"/>
  <c r="G25" i="50"/>
  <c r="I25" i="50"/>
  <c r="K26" i="50"/>
  <c r="L26" i="50"/>
  <c r="F26" i="50"/>
  <c r="E26" i="50"/>
  <c r="H26" i="50"/>
  <c r="J26" i="50"/>
  <c r="M26" i="50"/>
  <c r="D26" i="50"/>
  <c r="Q26" i="50" s="1"/>
  <c r="G26" i="50"/>
  <c r="I26" i="50"/>
  <c r="K27" i="50"/>
  <c r="L27" i="50"/>
  <c r="F27" i="50"/>
  <c r="E27" i="50"/>
  <c r="H27" i="50"/>
  <c r="J27" i="50"/>
  <c r="M27" i="50"/>
  <c r="D27" i="50"/>
  <c r="Q27" i="50" s="1"/>
  <c r="G27" i="50"/>
  <c r="I27" i="50"/>
  <c r="K29" i="50"/>
  <c r="L29" i="50"/>
  <c r="F29" i="50"/>
  <c r="E29" i="50"/>
  <c r="H29" i="50"/>
  <c r="J29" i="50"/>
  <c r="M29" i="50"/>
  <c r="N29" i="50"/>
  <c r="D29" i="50"/>
  <c r="Q29" i="50" s="1"/>
  <c r="G29" i="50"/>
  <c r="I29" i="50"/>
  <c r="K30" i="50"/>
  <c r="L30" i="50"/>
  <c r="F30" i="50"/>
  <c r="E30" i="50"/>
  <c r="H30" i="50"/>
  <c r="J30" i="50"/>
  <c r="M30" i="50"/>
  <c r="D30" i="50"/>
  <c r="Q30" i="50" s="1"/>
  <c r="G30" i="50"/>
  <c r="I30" i="50"/>
  <c r="R55" i="50"/>
  <c r="R70" i="50"/>
  <c r="R77" i="50"/>
  <c r="P77" i="50"/>
  <c r="E32" i="50"/>
  <c r="J32" i="50"/>
  <c r="M32" i="50"/>
  <c r="N34" i="50"/>
  <c r="N55" i="50" s="1"/>
  <c r="N35" i="50"/>
  <c r="N58" i="50"/>
  <c r="N59" i="50"/>
  <c r="M34" i="50"/>
  <c r="M55" i="50" s="1"/>
  <c r="M35" i="50"/>
  <c r="M36" i="50"/>
  <c r="M37" i="50"/>
  <c r="M38" i="50"/>
  <c r="M39" i="50"/>
  <c r="M40" i="50"/>
  <c r="M41" i="50"/>
  <c r="M42" i="50"/>
  <c r="M43" i="50"/>
  <c r="M44" i="50"/>
  <c r="M45" i="50"/>
  <c r="M46" i="50"/>
  <c r="M47" i="50"/>
  <c r="M48" i="50"/>
  <c r="M49" i="50"/>
  <c r="M50" i="50"/>
  <c r="M51" i="50"/>
  <c r="M52" i="50"/>
  <c r="M53" i="50"/>
  <c r="M57" i="50"/>
  <c r="M70" i="50" s="1"/>
  <c r="M58" i="50"/>
  <c r="M59" i="50"/>
  <c r="M60" i="50"/>
  <c r="M61" i="50"/>
  <c r="M62" i="50"/>
  <c r="M63" i="50"/>
  <c r="M64" i="50"/>
  <c r="M65" i="50"/>
  <c r="M66" i="50"/>
  <c r="M67" i="50"/>
  <c r="M68" i="50"/>
  <c r="M72" i="50"/>
  <c r="M77" i="50" s="1"/>
  <c r="M73" i="50"/>
  <c r="M74" i="50"/>
  <c r="M75" i="50"/>
  <c r="L34" i="50"/>
  <c r="L55" i="50" s="1"/>
  <c r="L35" i="50"/>
  <c r="L36" i="50"/>
  <c r="L37" i="50"/>
  <c r="L38" i="50"/>
  <c r="L39" i="50"/>
  <c r="L40" i="50"/>
  <c r="L41" i="50"/>
  <c r="L42" i="50"/>
  <c r="L43" i="50"/>
  <c r="L44" i="50"/>
  <c r="L45" i="50"/>
  <c r="L46" i="50"/>
  <c r="L47" i="50"/>
  <c r="L48" i="50"/>
  <c r="L49" i="50"/>
  <c r="L50" i="50"/>
  <c r="L51" i="50"/>
  <c r="L52" i="50"/>
  <c r="L53" i="50"/>
  <c r="L57" i="50"/>
  <c r="L70" i="50" s="1"/>
  <c r="L58" i="50"/>
  <c r="L59" i="50"/>
  <c r="L60" i="50"/>
  <c r="L61" i="50"/>
  <c r="L62" i="50"/>
  <c r="L63" i="50"/>
  <c r="L64" i="50"/>
  <c r="L65" i="50"/>
  <c r="L66" i="50"/>
  <c r="L67" i="50"/>
  <c r="L68" i="50"/>
  <c r="L72" i="50"/>
  <c r="L77" i="50" s="1"/>
  <c r="L73" i="50"/>
  <c r="L74" i="50"/>
  <c r="L75" i="50"/>
  <c r="K34" i="50"/>
  <c r="K55" i="50" s="1"/>
  <c r="K35" i="50"/>
  <c r="K36" i="50"/>
  <c r="K37" i="50"/>
  <c r="K38" i="50"/>
  <c r="K39" i="50"/>
  <c r="K40" i="50"/>
  <c r="K41" i="50"/>
  <c r="K42" i="50"/>
  <c r="K43" i="50"/>
  <c r="K44" i="50"/>
  <c r="K45" i="50"/>
  <c r="K46" i="50"/>
  <c r="K47" i="50"/>
  <c r="K48" i="50"/>
  <c r="K49" i="50"/>
  <c r="K50" i="50"/>
  <c r="K51" i="50"/>
  <c r="K52" i="50"/>
  <c r="K53" i="50"/>
  <c r="K57" i="50"/>
  <c r="K70" i="50" s="1"/>
  <c r="K58" i="50"/>
  <c r="K59" i="50"/>
  <c r="K60" i="50"/>
  <c r="K61" i="50"/>
  <c r="K62" i="50"/>
  <c r="K63" i="50"/>
  <c r="K64" i="50"/>
  <c r="K65" i="50"/>
  <c r="K66" i="50"/>
  <c r="K67" i="50"/>
  <c r="K68" i="50"/>
  <c r="K72" i="50"/>
  <c r="K77" i="50" s="1"/>
  <c r="K73" i="50"/>
  <c r="K74" i="50"/>
  <c r="K75" i="50"/>
  <c r="J34" i="50"/>
  <c r="J55" i="50" s="1"/>
  <c r="J35" i="50"/>
  <c r="J36" i="50"/>
  <c r="J37" i="50"/>
  <c r="J38" i="50"/>
  <c r="J39" i="50"/>
  <c r="J40" i="50"/>
  <c r="J41" i="50"/>
  <c r="J42" i="50"/>
  <c r="J43" i="50"/>
  <c r="J44" i="50"/>
  <c r="J45" i="50"/>
  <c r="J46" i="50"/>
  <c r="J47" i="50"/>
  <c r="J48" i="50"/>
  <c r="J49" i="50"/>
  <c r="J50" i="50"/>
  <c r="J51" i="50"/>
  <c r="J52" i="50"/>
  <c r="J53" i="50"/>
  <c r="J57" i="50"/>
  <c r="J70" i="50" s="1"/>
  <c r="J58" i="50"/>
  <c r="J59" i="50"/>
  <c r="J60" i="50"/>
  <c r="J61" i="50"/>
  <c r="J62" i="50"/>
  <c r="J63" i="50"/>
  <c r="J64" i="50"/>
  <c r="J65" i="50"/>
  <c r="J66" i="50"/>
  <c r="J67" i="50"/>
  <c r="J68" i="50"/>
  <c r="J72" i="50"/>
  <c r="J77" i="50" s="1"/>
  <c r="J73" i="50"/>
  <c r="J74" i="50"/>
  <c r="J75" i="50"/>
  <c r="I34" i="50"/>
  <c r="I55" i="50" s="1"/>
  <c r="I35" i="50"/>
  <c r="I36" i="50"/>
  <c r="I37" i="50"/>
  <c r="I38" i="50"/>
  <c r="I39" i="50"/>
  <c r="I40" i="50"/>
  <c r="I41" i="50"/>
  <c r="I42" i="50"/>
  <c r="I43" i="50"/>
  <c r="I44" i="50"/>
  <c r="I45" i="50"/>
  <c r="I46" i="50"/>
  <c r="I47" i="50"/>
  <c r="I48" i="50"/>
  <c r="I49" i="50"/>
  <c r="I50" i="50"/>
  <c r="I51" i="50"/>
  <c r="I52" i="50"/>
  <c r="I53" i="50"/>
  <c r="I57" i="50"/>
  <c r="I58" i="50"/>
  <c r="I59" i="50"/>
  <c r="I60" i="50"/>
  <c r="I61" i="50"/>
  <c r="I62" i="50"/>
  <c r="I63" i="50"/>
  <c r="I64" i="50"/>
  <c r="I65" i="50"/>
  <c r="I66" i="50"/>
  <c r="I67" i="50"/>
  <c r="I68" i="50"/>
  <c r="I70" i="50"/>
  <c r="I72" i="50"/>
  <c r="I77" i="50" s="1"/>
  <c r="I73" i="50"/>
  <c r="I74" i="50"/>
  <c r="I75" i="50"/>
  <c r="H34" i="50"/>
  <c r="H55" i="50" s="1"/>
  <c r="H35" i="50"/>
  <c r="H36" i="50"/>
  <c r="H37" i="50"/>
  <c r="H38" i="50"/>
  <c r="H39" i="50"/>
  <c r="H40" i="50"/>
  <c r="H41" i="50"/>
  <c r="H42" i="50"/>
  <c r="H43" i="50"/>
  <c r="H44" i="50"/>
  <c r="H45" i="50"/>
  <c r="H46" i="50"/>
  <c r="H47" i="50"/>
  <c r="H48" i="50"/>
  <c r="H49" i="50"/>
  <c r="H50" i="50"/>
  <c r="H51" i="50"/>
  <c r="H52" i="50"/>
  <c r="H53" i="50"/>
  <c r="H57" i="50"/>
  <c r="H70" i="50" s="1"/>
  <c r="H58" i="50"/>
  <c r="H59" i="50"/>
  <c r="H60" i="50"/>
  <c r="H61" i="50"/>
  <c r="H62" i="50"/>
  <c r="H63" i="50"/>
  <c r="H64" i="50"/>
  <c r="H65" i="50"/>
  <c r="H66" i="50"/>
  <c r="H67" i="50"/>
  <c r="H68" i="50"/>
  <c r="H72" i="50"/>
  <c r="H77" i="50" s="1"/>
  <c r="H73" i="50"/>
  <c r="H74" i="50"/>
  <c r="H75" i="50"/>
  <c r="G34" i="50"/>
  <c r="G55" i="50" s="1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7" i="50"/>
  <c r="G70" i="50" s="1"/>
  <c r="G58" i="50"/>
  <c r="G59" i="50"/>
  <c r="G60" i="50"/>
  <c r="G61" i="50"/>
  <c r="G62" i="50"/>
  <c r="G63" i="50"/>
  <c r="G64" i="50"/>
  <c r="G65" i="50"/>
  <c r="G66" i="50"/>
  <c r="G67" i="50"/>
  <c r="G68" i="50"/>
  <c r="G72" i="50"/>
  <c r="G77" i="50" s="1"/>
  <c r="G73" i="50"/>
  <c r="G74" i="50"/>
  <c r="G75" i="50"/>
  <c r="F34" i="50"/>
  <c r="F55" i="50" s="1"/>
  <c r="F35" i="50"/>
  <c r="F36" i="50"/>
  <c r="F37" i="50"/>
  <c r="F38" i="50"/>
  <c r="F39" i="50"/>
  <c r="F40" i="50"/>
  <c r="F41" i="50"/>
  <c r="F42" i="50"/>
  <c r="F43" i="50"/>
  <c r="F44" i="50"/>
  <c r="F45" i="50"/>
  <c r="F46" i="50"/>
  <c r="F47" i="50"/>
  <c r="F48" i="50"/>
  <c r="F49" i="50"/>
  <c r="F50" i="50"/>
  <c r="F51" i="50"/>
  <c r="F52" i="50"/>
  <c r="F53" i="50"/>
  <c r="F57" i="50"/>
  <c r="F70" i="50" s="1"/>
  <c r="F58" i="50"/>
  <c r="F59" i="50"/>
  <c r="F60" i="50"/>
  <c r="F61" i="50"/>
  <c r="F62" i="50"/>
  <c r="F63" i="50"/>
  <c r="F64" i="50"/>
  <c r="F65" i="50"/>
  <c r="F66" i="50"/>
  <c r="F67" i="50"/>
  <c r="F68" i="50"/>
  <c r="F72" i="50"/>
  <c r="F77" i="50" s="1"/>
  <c r="F73" i="50"/>
  <c r="F74" i="50"/>
  <c r="F75" i="50"/>
  <c r="E34" i="50"/>
  <c r="E55" i="50" s="1"/>
  <c r="E35" i="50"/>
  <c r="E36" i="50"/>
  <c r="E37" i="50"/>
  <c r="E38" i="50"/>
  <c r="E39" i="50"/>
  <c r="E40" i="50"/>
  <c r="E41" i="50"/>
  <c r="E42" i="50"/>
  <c r="E43" i="50"/>
  <c r="E44" i="50"/>
  <c r="E45" i="50"/>
  <c r="E46" i="50"/>
  <c r="E47" i="50"/>
  <c r="E48" i="50"/>
  <c r="E49" i="50"/>
  <c r="E50" i="50"/>
  <c r="E51" i="50"/>
  <c r="E52" i="50"/>
  <c r="E53" i="50"/>
  <c r="E57" i="50"/>
  <c r="E70" i="50" s="1"/>
  <c r="E58" i="50"/>
  <c r="E59" i="50"/>
  <c r="E60" i="50"/>
  <c r="E61" i="50"/>
  <c r="E62" i="50"/>
  <c r="E63" i="50"/>
  <c r="E64" i="50"/>
  <c r="E65" i="50"/>
  <c r="E66" i="50"/>
  <c r="E67" i="50"/>
  <c r="E68" i="50"/>
  <c r="E72" i="50"/>
  <c r="E77" i="50" s="1"/>
  <c r="E73" i="50"/>
  <c r="E74" i="50"/>
  <c r="E75" i="50"/>
  <c r="D34" i="50"/>
  <c r="D55" i="50" s="1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7" i="50"/>
  <c r="D70" i="50" s="1"/>
  <c r="D58" i="50"/>
  <c r="D59" i="50"/>
  <c r="D60" i="50"/>
  <c r="D61" i="50"/>
  <c r="D62" i="50"/>
  <c r="D63" i="50"/>
  <c r="D64" i="50"/>
  <c r="D65" i="50"/>
  <c r="D66" i="50"/>
  <c r="D67" i="50"/>
  <c r="D68" i="50"/>
  <c r="D72" i="50"/>
  <c r="D77" i="50" s="1"/>
  <c r="D73" i="50"/>
  <c r="D74" i="50"/>
  <c r="D75" i="50"/>
  <c r="B67" i="50"/>
  <c r="A67" i="50"/>
  <c r="B66" i="50"/>
  <c r="A66" i="50"/>
  <c r="B63" i="50"/>
  <c r="A63" i="50"/>
  <c r="B62" i="50"/>
  <c r="B61" i="50"/>
  <c r="B59" i="50"/>
  <c r="B58" i="50"/>
  <c r="B53" i="50"/>
  <c r="A53" i="50"/>
  <c r="B52" i="50"/>
  <c r="B51" i="50"/>
  <c r="B36" i="50"/>
  <c r="A36" i="50"/>
  <c r="B25" i="50"/>
  <c r="B17" i="50"/>
  <c r="A17" i="50"/>
  <c r="B12" i="50"/>
  <c r="A12" i="50"/>
  <c r="B8" i="50"/>
  <c r="B7" i="50"/>
  <c r="O26" i="50" l="1"/>
  <c r="O19" i="50"/>
  <c r="O25" i="50"/>
  <c r="O64" i="50"/>
  <c r="O13" i="50"/>
  <c r="O15" i="50"/>
  <c r="O34" i="50"/>
  <c r="O55" i="50" s="1"/>
  <c r="O24" i="50"/>
  <c r="O16" i="50"/>
  <c r="C62" i="50"/>
  <c r="Q62" i="50" s="1"/>
  <c r="O12" i="50"/>
  <c r="O8" i="50"/>
  <c r="O23" i="50"/>
  <c r="O20" i="50"/>
  <c r="O17" i="50"/>
  <c r="O9" i="50"/>
  <c r="O14" i="50"/>
  <c r="O41" i="50"/>
  <c r="O22" i="50"/>
  <c r="O10" i="50"/>
  <c r="O27" i="50"/>
  <c r="O28" i="50"/>
  <c r="O7" i="50"/>
  <c r="O18" i="50"/>
  <c r="O29" i="50"/>
  <c r="O21" i="50"/>
  <c r="N46" i="50"/>
  <c r="N48" i="50"/>
  <c r="O40" i="50"/>
  <c r="C39" i="50"/>
  <c r="Q39" i="50" s="1"/>
  <c r="C42" i="50"/>
  <c r="Q42" i="50" s="1"/>
  <c r="N14" i="50"/>
  <c r="N15" i="50"/>
  <c r="N7" i="50"/>
  <c r="N26" i="50"/>
  <c r="C63" i="50"/>
  <c r="N63" i="50"/>
  <c r="C61" i="50"/>
  <c r="N61" i="50"/>
  <c r="N13" i="50"/>
  <c r="O30" i="50"/>
  <c r="O11" i="50"/>
  <c r="N10" i="50"/>
  <c r="K32" i="50"/>
  <c r="D32" i="50"/>
  <c r="E80" i="50" s="1"/>
  <c r="N30" i="50"/>
  <c r="N27" i="50"/>
  <c r="N47" i="50"/>
  <c r="C12" i="50"/>
  <c r="R12" i="50" s="1"/>
  <c r="C21" i="50"/>
  <c r="G32" i="50"/>
  <c r="C8" i="50"/>
  <c r="B17" i="79" s="1"/>
  <c r="C18" i="50"/>
  <c r="B24" i="79" s="1"/>
  <c r="N65" i="50"/>
  <c r="N41" i="50"/>
  <c r="N40" i="50"/>
  <c r="N39" i="50"/>
  <c r="N64" i="50"/>
  <c r="N38" i="50"/>
  <c r="H32" i="50"/>
  <c r="R9" i="50"/>
  <c r="N62" i="50"/>
  <c r="N42" i="50"/>
  <c r="N57" i="50"/>
  <c r="N70" i="50" s="1"/>
  <c r="N60" i="50"/>
  <c r="Q7" i="50"/>
  <c r="N52" i="50"/>
  <c r="B41" i="79"/>
  <c r="N50" i="50"/>
  <c r="I32" i="50"/>
  <c r="C34" i="50"/>
  <c r="C19" i="4"/>
  <c r="C59" i="50"/>
  <c r="O59" i="50"/>
  <c r="N37" i="50"/>
  <c r="C11" i="4"/>
  <c r="C15" i="8"/>
  <c r="B8" i="33"/>
  <c r="O61" i="50" l="1"/>
  <c r="C57" i="50"/>
  <c r="C51" i="50"/>
  <c r="O62" i="50"/>
  <c r="C19" i="50"/>
  <c r="B26" i="79" s="1"/>
  <c r="O35" i="50"/>
  <c r="C35" i="50"/>
  <c r="O60" i="50"/>
  <c r="C60" i="50"/>
  <c r="C27" i="4" s="1"/>
  <c r="C34" i="4" s="1"/>
  <c r="O58" i="50"/>
  <c r="C58" i="50"/>
  <c r="O57" i="50"/>
  <c r="O70" i="50" s="1"/>
  <c r="B25" i="79"/>
  <c r="C26" i="50"/>
  <c r="B36" i="79" s="1"/>
  <c r="C29" i="50"/>
  <c r="R29" i="50" s="1"/>
  <c r="C24" i="50"/>
  <c r="R24" i="50" s="1"/>
  <c r="O39" i="50"/>
  <c r="C41" i="50"/>
  <c r="Q41" i="50" s="1"/>
  <c r="B18" i="79"/>
  <c r="C10" i="50"/>
  <c r="R10" i="50" s="1"/>
  <c r="O48" i="50"/>
  <c r="C47" i="50"/>
  <c r="C22" i="50"/>
  <c r="B30" i="79" s="1"/>
  <c r="K80" i="50"/>
  <c r="O50" i="50"/>
  <c r="C50" i="50"/>
  <c r="Q50" i="50" s="1"/>
  <c r="O65" i="50"/>
  <c r="C11" i="50"/>
  <c r="R11" i="50" s="1"/>
  <c r="C14" i="50"/>
  <c r="C16" i="50"/>
  <c r="R16" i="50" s="1"/>
  <c r="O37" i="50"/>
  <c r="C37" i="50"/>
  <c r="C23" i="50"/>
  <c r="O63" i="50"/>
  <c r="C25" i="50"/>
  <c r="C13" i="50"/>
  <c r="C15" i="50"/>
  <c r="R22" i="50"/>
  <c r="C20" i="50"/>
  <c r="R20" i="50" s="1"/>
  <c r="C7" i="50"/>
  <c r="R7" i="50" s="1"/>
  <c r="R32" i="50" s="1"/>
  <c r="R80" i="50" s="1"/>
  <c r="C40" i="50"/>
  <c r="Q40" i="50" s="1"/>
  <c r="O42" i="50"/>
  <c r="F80" i="50"/>
  <c r="R21" i="50"/>
  <c r="C17" i="50"/>
  <c r="O32" i="50"/>
  <c r="C28" i="50"/>
  <c r="R28" i="50" s="1"/>
  <c r="O75" i="50"/>
  <c r="N75" i="50"/>
  <c r="N66" i="50"/>
  <c r="N45" i="50"/>
  <c r="D80" i="50"/>
  <c r="N32" i="50"/>
  <c r="N44" i="50"/>
  <c r="I80" i="50"/>
  <c r="M80" i="50"/>
  <c r="R18" i="50"/>
  <c r="N53" i="50"/>
  <c r="R19" i="50"/>
  <c r="N51" i="50"/>
  <c r="N72" i="50"/>
  <c r="N77" i="50" s="1"/>
  <c r="R8" i="50"/>
  <c r="N73" i="50"/>
  <c r="N49" i="50"/>
  <c r="J80" i="50"/>
  <c r="H80" i="50"/>
  <c r="N43" i="50"/>
  <c r="N74" i="50"/>
  <c r="N68" i="50"/>
  <c r="G80" i="50"/>
  <c r="N67" i="50"/>
  <c r="L80" i="50"/>
  <c r="O46" i="50"/>
  <c r="O51" i="50"/>
  <c r="C36" i="50"/>
  <c r="Q36" i="50" s="1"/>
  <c r="O36" i="50"/>
  <c r="Q35" i="50"/>
  <c r="Q32" i="50"/>
  <c r="Q60" i="50"/>
  <c r="Q59" i="50"/>
  <c r="C29" i="4"/>
  <c r="C17" i="4"/>
  <c r="Q37" i="50"/>
  <c r="Q61" i="50"/>
  <c r="C30" i="4"/>
  <c r="C31" i="4"/>
  <c r="Q63" i="50"/>
  <c r="C55" i="50"/>
  <c r="C13" i="4"/>
  <c r="C23" i="4" s="1"/>
  <c r="Q34" i="50"/>
  <c r="Q55" i="50" s="1"/>
  <c r="Q58" i="50"/>
  <c r="C32" i="4"/>
  <c r="O47" i="50"/>
  <c r="Q57" i="50"/>
  <c r="Q70" i="50" s="1"/>
  <c r="C70" i="50"/>
  <c r="D32" i="2"/>
  <c r="Q51" i="50"/>
  <c r="B23" i="79" l="1"/>
  <c r="B39" i="79" s="1"/>
  <c r="C38" i="50"/>
  <c r="Q38" i="50" s="1"/>
  <c r="O38" i="50"/>
  <c r="R26" i="50"/>
  <c r="E31" i="2"/>
  <c r="B33" i="79"/>
  <c r="B34" i="79"/>
  <c r="R14" i="50"/>
  <c r="B31" i="79"/>
  <c r="R13" i="50"/>
  <c r="B32" i="79"/>
  <c r="R15" i="50"/>
  <c r="B28" i="79"/>
  <c r="R25" i="50"/>
  <c r="C32" i="50"/>
  <c r="B16" i="79"/>
  <c r="R23" i="50"/>
  <c r="B35" i="79"/>
  <c r="D20" i="69"/>
  <c r="R17" i="50"/>
  <c r="C14" i="4"/>
  <c r="O67" i="50"/>
  <c r="C67" i="50"/>
  <c r="Q67" i="50" s="1"/>
  <c r="B29" i="79"/>
  <c r="D18" i="69" s="1"/>
  <c r="O43" i="50"/>
  <c r="C43" i="50"/>
  <c r="O53" i="50"/>
  <c r="C53" i="50"/>
  <c r="C52" i="50"/>
  <c r="O52" i="50"/>
  <c r="N80" i="50"/>
  <c r="C45" i="50"/>
  <c r="O45" i="50"/>
  <c r="C75" i="50"/>
  <c r="C68" i="50"/>
  <c r="O68" i="50"/>
  <c r="O72" i="50"/>
  <c r="O77" i="50" s="1"/>
  <c r="O80" i="50" s="1"/>
  <c r="C72" i="50"/>
  <c r="O66" i="50"/>
  <c r="C66" i="50"/>
  <c r="Q66" i="50" s="1"/>
  <c r="C74" i="50"/>
  <c r="Q74" i="50" s="1"/>
  <c r="O74" i="50"/>
  <c r="C49" i="50"/>
  <c r="O49" i="50"/>
  <c r="O44" i="50"/>
  <c r="C44" i="50"/>
  <c r="C73" i="50"/>
  <c r="Q73" i="50" s="1"/>
  <c r="O73" i="50"/>
  <c r="D30" i="2"/>
  <c r="Q47" i="50"/>
  <c r="B19" i="79" l="1"/>
  <c r="B43" i="79" s="1"/>
  <c r="D15" i="69" s="1"/>
  <c r="D33" i="69" s="1"/>
  <c r="E33" i="69" s="1"/>
  <c r="Q45" i="50"/>
  <c r="D29" i="2"/>
  <c r="Q52" i="50"/>
  <c r="E32" i="2"/>
  <c r="F32" i="2" s="1"/>
  <c r="C21" i="4"/>
  <c r="Q53" i="50"/>
  <c r="Q44" i="50"/>
  <c r="C16" i="4"/>
  <c r="Q72" i="50"/>
  <c r="Q77" i="50" s="1"/>
  <c r="Q80" i="50" s="1"/>
  <c r="C77" i="50"/>
  <c r="C80" i="50" s="1"/>
  <c r="C37" i="4"/>
  <c r="C39" i="4" s="1"/>
  <c r="C41" i="4" s="1"/>
  <c r="D31" i="2"/>
  <c r="Q49" i="50"/>
  <c r="C28" i="4"/>
  <c r="Q68" i="50"/>
  <c r="C24" i="8"/>
  <c r="Q75" i="50"/>
  <c r="C15" i="4"/>
  <c r="D31" i="69"/>
  <c r="Q43" i="50"/>
  <c r="K20" i="33"/>
  <c r="I20" i="33" s="1"/>
  <c r="E38" i="69" l="1"/>
  <c r="E41" i="69" s="1"/>
  <c r="E43" i="69" s="1"/>
  <c r="K22" i="33"/>
  <c r="I22" i="33" s="1"/>
  <c r="F31" i="2"/>
  <c r="D34" i="2"/>
  <c r="K21" i="33"/>
  <c r="I21" i="33" s="1"/>
  <c r="P46" i="50" s="1"/>
  <c r="P48" i="50"/>
  <c r="I24" i="33"/>
  <c r="E39" i="69" l="1"/>
  <c r="E45" i="69" s="1"/>
  <c r="P64" i="50" s="1"/>
  <c r="F38" i="69"/>
  <c r="F39" i="69" s="1"/>
  <c r="C46" i="50"/>
  <c r="P55" i="50"/>
  <c r="C48" i="50"/>
  <c r="P27" i="50"/>
  <c r="F41" i="69" l="1"/>
  <c r="F43" i="69" s="1"/>
  <c r="F45" i="69" s="1"/>
  <c r="P65" i="50" s="1"/>
  <c r="C65" i="50" s="1"/>
  <c r="Q65" i="50" s="1"/>
  <c r="E29" i="2"/>
  <c r="Q46" i="50"/>
  <c r="Q48" i="50"/>
  <c r="E30" i="2"/>
  <c r="F30" i="2" s="1"/>
  <c r="C20" i="4"/>
  <c r="P70" i="50"/>
  <c r="C64" i="50"/>
  <c r="P32" i="50"/>
  <c r="C27" i="50"/>
  <c r="D47" i="69" l="1"/>
  <c r="D53" i="69" s="1"/>
  <c r="P80" i="50"/>
  <c r="E34" i="2"/>
  <c r="F29" i="2"/>
  <c r="F34" i="2" s="1"/>
  <c r="R27" i="50"/>
  <c r="B37" i="79"/>
  <c r="D21" i="69" s="1"/>
  <c r="D28" i="69" s="1"/>
  <c r="C18" i="4"/>
  <c r="Q64" i="50"/>
  <c r="P30" i="50" l="1"/>
  <c r="C30" i="50" s="1"/>
  <c r="R30" i="50" s="1"/>
  <c r="B45" i="79" l="1"/>
  <c r="B47" i="79" s="1"/>
  <c r="C20" i="8" s="1"/>
  <c r="C22" i="8" s="1"/>
  <c r="C26" i="8" s="1"/>
  <c r="C38" i="4" s="1"/>
</calcChain>
</file>

<file path=xl/sharedStrings.xml><?xml version="1.0" encoding="utf-8"?>
<sst xmlns="http://schemas.openxmlformats.org/spreadsheetml/2006/main" count="191" uniqueCount="166">
  <si>
    <t>Travaux en cours</t>
  </si>
  <si>
    <t>BALANCE DE VÉRIFICATION AU</t>
  </si>
  <si>
    <t>TOTAL ANNÉE</t>
  </si>
  <si>
    <t>TOTAL</t>
  </si>
  <si>
    <t>Écart</t>
  </si>
  <si>
    <t>TOTAL DE L'ACTIF</t>
  </si>
  <si>
    <t>TOTAL DU PASSIF</t>
  </si>
  <si>
    <t>TOTAL CAPITAUX PROPRES</t>
  </si>
  <si>
    <t>Documentation et outils de recherche</t>
  </si>
  <si>
    <t>Frais de communications</t>
  </si>
  <si>
    <t>Frais de poste</t>
  </si>
  <si>
    <t>Mauvaises créances</t>
  </si>
  <si>
    <t>Revenus d'intérêts</t>
  </si>
  <si>
    <t>Mauvaises Créances</t>
  </si>
  <si>
    <t>Autres revenus</t>
  </si>
  <si>
    <t>TOTAL DES REVENUS</t>
  </si>
  <si>
    <t>BNR</t>
  </si>
  <si>
    <t>TPS payées</t>
  </si>
  <si>
    <t>TVQ payées</t>
  </si>
  <si>
    <t>TPS percues</t>
  </si>
  <si>
    <t>TVQ percues</t>
  </si>
  <si>
    <t>Compte fournisseur</t>
  </si>
  <si>
    <t>Impôt Québec à payer</t>
  </si>
  <si>
    <t>Impôt Fédéral à payer</t>
  </si>
  <si>
    <t>Impôts exigibles</t>
  </si>
  <si>
    <t>Produit perçu d'avance</t>
  </si>
  <si>
    <t>Actions ordinaires</t>
  </si>
  <si>
    <t>Actions privilégiées</t>
  </si>
  <si>
    <t>BÉNÉFICES NON RÉPARTIS</t>
  </si>
  <si>
    <t>SOLDE DU DÉBUT</t>
  </si>
  <si>
    <t>Bénéfice net</t>
  </si>
  <si>
    <t>SOLDE DE FIN</t>
  </si>
  <si>
    <t>Dividendes</t>
  </si>
  <si>
    <t>Capital action</t>
  </si>
  <si>
    <t>Bénéfices non répartis</t>
  </si>
  <si>
    <t>Page</t>
  </si>
  <si>
    <t>TABLE DES MATIÈRES</t>
  </si>
  <si>
    <t>FNACC Début</t>
  </si>
  <si>
    <t>Acquisition</t>
  </si>
  <si>
    <t>4</t>
  </si>
  <si>
    <t>AMORTISSEMENT</t>
  </si>
  <si>
    <t>IMMOBILISATIONS</t>
  </si>
  <si>
    <t>TOTAL DES AMORTISSEMENT</t>
  </si>
  <si>
    <t>Équipements de bureau</t>
  </si>
  <si>
    <t>Équipements informatique</t>
  </si>
  <si>
    <t>Logiciels</t>
  </si>
  <si>
    <t>Dégressif</t>
  </si>
  <si>
    <t>Taux d'imposition</t>
  </si>
  <si>
    <t>BILAN</t>
  </si>
  <si>
    <t>Doc. et outils de recherche</t>
  </si>
  <si>
    <t>Logiciel informatique</t>
  </si>
  <si>
    <t>Amort. Cum - logiciels</t>
  </si>
  <si>
    <t>Frais de constitution</t>
  </si>
  <si>
    <t>Carte de crédit</t>
  </si>
  <si>
    <t xml:space="preserve">Formations </t>
  </si>
  <si>
    <t>Publicité</t>
  </si>
  <si>
    <t>Moins:</t>
  </si>
  <si>
    <t>Revenu net fiscal</t>
  </si>
  <si>
    <t>CONSTITUTION DE LA SOCIÉTÉ</t>
  </si>
  <si>
    <t>Déduction pour amortissement (DPA Fiscale)</t>
  </si>
  <si>
    <t>Amortissement comptable</t>
  </si>
  <si>
    <t>Comptes à recevoir</t>
  </si>
  <si>
    <t>Les frais payés d'avance sont constitués des éléments suivants:</t>
  </si>
  <si>
    <t>Cotisation professionnelle</t>
  </si>
  <si>
    <t>Assurance professionnelle</t>
  </si>
  <si>
    <t>Total</t>
  </si>
  <si>
    <t>FRAIS PAYÉS D'AVANCES</t>
  </si>
  <si>
    <t>Les immobilisations sont constitués des éléments suivants:</t>
  </si>
  <si>
    <t>Coût</t>
  </si>
  <si>
    <t>Amortissement cumulé</t>
  </si>
  <si>
    <t>Valeur nette</t>
  </si>
  <si>
    <t>IMPÔTS EXIGIBLES</t>
  </si>
  <si>
    <t>TOTAL - DÉPENSES</t>
  </si>
  <si>
    <t>Variable</t>
  </si>
  <si>
    <t>L'amortissement des immobilisation et des frais de constitution est effectuée de la façon suivante:</t>
  </si>
  <si>
    <t>Un impôt exigible a été déterminé comme suit:</t>
  </si>
  <si>
    <t>AU 31 JUILLET</t>
  </si>
  <si>
    <t>POUR L'EXERCICE FINANCIER SE TERMINANT LE 31 JUILLET</t>
  </si>
  <si>
    <t>La société a été constituée le 24 juillet 2008 en vertue de la Partie IA de la Loi sur les Compagnies du Québec. Elle œuvre dans le domaine de la consultation en fiscalité.</t>
  </si>
  <si>
    <t>NOTES AUX ÉTATS FINANCIERS</t>
  </si>
  <si>
    <t>Fournitures informatiques</t>
  </si>
  <si>
    <t>Loyer</t>
  </si>
  <si>
    <t>Frais financiers</t>
  </si>
  <si>
    <t>Amortissement</t>
  </si>
  <si>
    <t>Frais de publicité</t>
  </si>
  <si>
    <t>Fournitures de bureau</t>
  </si>
  <si>
    <t>Comptes clients</t>
  </si>
  <si>
    <t>Mobilier de bureau</t>
  </si>
  <si>
    <t>Matériel informatique</t>
  </si>
  <si>
    <t>Bilan</t>
  </si>
  <si>
    <t>ÉTAT DES RÉSULTATS</t>
  </si>
  <si>
    <t>Frais de déplacement</t>
  </si>
  <si>
    <t>Communications</t>
  </si>
  <si>
    <t>Amort. Cum - mobil. de bureau</t>
  </si>
  <si>
    <t>Amort. Cum - mat. Inform.</t>
  </si>
  <si>
    <t>Bénéfice comptable:</t>
  </si>
  <si>
    <t>Plus:</t>
  </si>
  <si>
    <t>50% Frais de représentation</t>
  </si>
  <si>
    <t>Demi taux la première année</t>
  </si>
  <si>
    <t>Écritures de régul</t>
  </si>
  <si>
    <t>Revenus - travaux en cours</t>
  </si>
  <si>
    <t>Revenus reportés</t>
  </si>
  <si>
    <t>ACTIFS</t>
  </si>
  <si>
    <t>Encaisse</t>
  </si>
  <si>
    <t>Frais payés d'avance</t>
  </si>
  <si>
    <t>PASSIFS</t>
  </si>
  <si>
    <t>Total actifs</t>
  </si>
  <si>
    <t>Total passifs</t>
  </si>
  <si>
    <t>AVOIR DES ACTIONNAIRES</t>
  </si>
  <si>
    <t>REVENU NET AVANT IMPÔTS</t>
  </si>
  <si>
    <t>REVENU NET</t>
  </si>
  <si>
    <t>GC FISCALITÉ PLUS INC.</t>
  </si>
  <si>
    <t>ÉTATS FINANCIERS</t>
  </si>
  <si>
    <t>DÉPENSES</t>
  </si>
  <si>
    <t>GC FISCALITÉ PLUS INC</t>
  </si>
  <si>
    <t>Formations</t>
  </si>
  <si>
    <t>Frais de représentation</t>
  </si>
  <si>
    <t>Assurance-habitation</t>
  </si>
  <si>
    <t>Fournisseurs</t>
  </si>
  <si>
    <t>Acompte TPS</t>
  </si>
  <si>
    <t>Acompte TVQ</t>
  </si>
  <si>
    <t>Loyer et frais de locaux</t>
  </si>
  <si>
    <t>Taxes à recevoir</t>
  </si>
  <si>
    <t>Impôt à recevoir</t>
  </si>
  <si>
    <t>Immobilisations</t>
  </si>
  <si>
    <t>Assurances professionnelles et cotisations</t>
  </si>
  <si>
    <t>Travaux en cours de début</t>
  </si>
  <si>
    <t>Travaux en cours de fin</t>
  </si>
  <si>
    <t>Revenus de dividendes</t>
  </si>
  <si>
    <t>Avances à 9249-3626 Québec inc.</t>
  </si>
  <si>
    <t>Avances des actionnaires</t>
  </si>
  <si>
    <t>REVENUS</t>
  </si>
  <si>
    <t>IMPÔTS</t>
  </si>
  <si>
    <t>Loyer payé d'avance - 1 mois</t>
  </si>
  <si>
    <t>Avances à 9333-4829 Québec inc.</t>
  </si>
  <si>
    <t>IMPÔT DE LA PARTIE IV À PAYER</t>
  </si>
  <si>
    <t>RTD SUR DIVIDENDE VERSÉ</t>
  </si>
  <si>
    <t>IMPÔTS TOTAL</t>
  </si>
  <si>
    <t>Billet à demande envers Fiducie</t>
  </si>
  <si>
    <t>Impôt fédéral</t>
  </si>
  <si>
    <t>Impôt total</t>
  </si>
  <si>
    <t>Impôt Québec</t>
  </si>
  <si>
    <t>Premier 500 000 $ - DPE</t>
  </si>
  <si>
    <t>Excédent de 500 000 $</t>
  </si>
  <si>
    <t>Impôts totaux</t>
  </si>
  <si>
    <t>Fournitures informatiques &amp; Site web</t>
  </si>
  <si>
    <t>Revenus de consultations</t>
  </si>
  <si>
    <t>Placement -Actions de 9350-5311 Québec inc</t>
  </si>
  <si>
    <t>Dons</t>
  </si>
  <si>
    <t>Frais de golf, pourvoirie autres non déductibles</t>
  </si>
  <si>
    <t>Quote-part de la filiale - valeur de consolidation</t>
  </si>
  <si>
    <t>DPA sur catégorie 14.1</t>
  </si>
  <si>
    <t>Frais d'intérêts non déductibles</t>
  </si>
  <si>
    <t>Constats d'infractions - frais de déplacement</t>
  </si>
  <si>
    <t>Québec</t>
  </si>
  <si>
    <t>Fédéral</t>
  </si>
  <si>
    <t>Salaires et Sous-traitance</t>
  </si>
  <si>
    <t>États des résultats</t>
  </si>
  <si>
    <t>État des Bénéfices non répartis</t>
  </si>
  <si>
    <t>2</t>
  </si>
  <si>
    <t>3</t>
  </si>
  <si>
    <t>5</t>
  </si>
  <si>
    <t>Prêt - Compte d'Urgence</t>
  </si>
  <si>
    <t>Revenus de sociétés apparentées &amp; Subventions</t>
  </si>
  <si>
    <t>Salaires et sous-traitance</t>
  </si>
  <si>
    <t>Location auto &gt; 5 150$/année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</si>
</sst>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_ * #,##0.00_)\ _$_ ;_ * \(#,##0.00\)\ _$_ ;_ * &quot;-&quot;??_)\ _$_ ;_ @_ "/>
    <numFmt numFmtId="171" formatCode="#\ ##0_);\(#\ ##0\)"/>
    <numFmt numFmtId="172" formatCode="d\ mmmm\ yyyy"/>
    <numFmt numFmtId="173" formatCode="#,##0\ &quot;$&quot;"/>
    <numFmt numFmtId="175" formatCode="[$-C0C]d\ mmm\ yyyy;@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Times New Roman"/>
      <family val="1"/>
    </font>
    <font>
      <sz val="11"/>
      <name val="Times New Roman"/>
      <family val="1"/>
    </font>
    <font>
      <u/>
      <sz val="7.5"/>
      <color indexed="36"/>
      <name val="Arial"/>
      <family val="2"/>
    </font>
    <font>
      <u/>
      <sz val="7.5"/>
      <color indexed="12"/>
      <name val="Arial"/>
      <family val="2"/>
    </font>
    <font>
      <sz val="12"/>
      <color rgb="FF8C8375"/>
      <name val="Verdana"/>
      <family val="2"/>
    </font>
    <font>
      <b/>
      <sz val="12"/>
      <color rgb="FF8C8375"/>
      <name val="Verdana"/>
      <family val="2"/>
    </font>
    <font>
      <sz val="24"/>
      <color rgb="FF8C8375"/>
      <name val="Verdana"/>
      <family val="2"/>
    </font>
    <font>
      <sz val="11"/>
      <color rgb="FF625850"/>
      <name val="Verdana"/>
      <family val="2"/>
    </font>
    <font>
      <b/>
      <sz val="12"/>
      <color rgb="FF625850"/>
      <name val="Verdana"/>
      <family val="2"/>
    </font>
    <font>
      <b/>
      <sz val="11"/>
      <color rgb="FF625850"/>
      <name val="Verdana"/>
      <family val="2"/>
    </font>
    <font>
      <b/>
      <sz val="14"/>
      <color rgb="FF625850"/>
      <name val="Verdana"/>
      <family val="2"/>
    </font>
    <font>
      <u/>
      <sz val="11"/>
      <color rgb="FF625850"/>
      <name val="Verdana"/>
      <family val="2"/>
    </font>
    <font>
      <sz val="10"/>
      <color rgb="FF625850"/>
      <name val="Verdana"/>
      <family val="2"/>
    </font>
    <font>
      <i/>
      <sz val="11"/>
      <color rgb="FF625850"/>
      <name val="Verdana"/>
      <family val="2"/>
    </font>
    <font>
      <b/>
      <u/>
      <sz val="11"/>
      <color rgb="FF625850"/>
      <name val="Verdana"/>
      <family val="2"/>
    </font>
    <font>
      <sz val="12"/>
      <color rgb="FF625850"/>
      <name val="Verdana"/>
      <family val="2"/>
    </font>
    <font>
      <b/>
      <sz val="10"/>
      <color rgb="FF625850"/>
      <name val="Verdana"/>
      <family val="2"/>
    </font>
    <font>
      <b/>
      <u/>
      <sz val="10"/>
      <color rgb="FF625850"/>
      <name val="Verdana"/>
      <family val="2"/>
    </font>
    <font>
      <b/>
      <sz val="11"/>
      <color rgb="FF8C8375"/>
      <name val="Verdana"/>
      <family val="2"/>
    </font>
    <font>
      <b/>
      <sz val="10"/>
      <color theme="0"/>
      <name val="Verdana"/>
      <family val="2"/>
    </font>
    <font>
      <sz val="14"/>
      <color rgb="FF625850"/>
      <name val="Verdana"/>
      <family val="2"/>
    </font>
    <font>
      <b/>
      <sz val="20"/>
      <color rgb="FF8C8375"/>
      <name val="Verdana"/>
      <family val="2"/>
    </font>
    <font>
      <sz val="20"/>
      <color rgb="FF8C8375"/>
      <name val="Verdana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numFmtId="175" fontId="0" fillId="0" borderId="0"/>
    <xf numFmtId="171" fontId="4" fillId="0" borderId="0" applyFill="0" applyBorder="0" applyAlignment="0">
      <alignment horizontal="left"/>
    </xf>
    <xf numFmtId="175" fontId="2" fillId="0" borderId="0" applyFont="0" applyFill="0" applyBorder="0" applyAlignment="0" applyProtection="0"/>
    <xf numFmtId="175" fontId="6" fillId="0" borderId="0" applyNumberFormat="0" applyFill="0" applyBorder="0" applyAlignment="0" applyProtection="0">
      <alignment vertical="top"/>
      <protection locked="0"/>
    </xf>
    <xf numFmtId="175" fontId="7" fillId="0" borderId="0" applyNumberFormat="0" applyFill="0" applyBorder="0" applyAlignment="0" applyProtection="0">
      <alignment vertical="top"/>
      <protection locked="0"/>
    </xf>
    <xf numFmtId="3" fontId="5" fillId="0" borderId="0" applyFont="0" applyFill="0" applyBorder="0" applyAlignment="0">
      <alignment horizontal="left"/>
    </xf>
    <xf numFmtId="175" fontId="1" fillId="0" borderId="0"/>
    <xf numFmtId="0" fontId="27" fillId="0" borderId="0"/>
    <xf numFmtId="169" fontId="2" fillId="0" borderId="0" applyFont="0" applyFill="0" applyBorder="0" applyAlignment="0" applyProtection="0"/>
    <xf numFmtId="170" fontId="2" fillId="0" borderId="0" applyFont="0" applyFill="0" applyBorder="0" applyAlignment="0" applyProtection="0"/>
  </cellStyleXfs>
  <cellXfs count="171">
    <xf numFmtId="175" fontId="0" fillId="0" borderId="0" xfId="0"/>
    <xf numFmtId="171" fontId="11" fillId="2" borderId="0" xfId="1" applyFont="1" applyFill="1">
      <alignment horizontal="left"/>
    </xf>
    <xf numFmtId="171" fontId="11" fillId="2" borderId="0" xfId="1" applyFont="1" applyFill="1" applyAlignment="1">
      <alignment horizontal="right"/>
    </xf>
    <xf numFmtId="171" fontId="11" fillId="2" borderId="0" xfId="1" applyFont="1" applyFill="1" applyAlignment="1">
      <alignment horizontal="centerContinuous"/>
    </xf>
    <xf numFmtId="171" fontId="12" fillId="2" borderId="0" xfId="1" applyFont="1" applyFill="1">
      <alignment horizontal="left"/>
    </xf>
    <xf numFmtId="171" fontId="13" fillId="2" borderId="0" xfId="1" applyFont="1" applyFill="1">
      <alignment horizontal="left"/>
    </xf>
    <xf numFmtId="171" fontId="13" fillId="2" borderId="0" xfId="1" applyFont="1" applyFill="1" applyAlignment="1">
      <alignment horizontal="centerContinuous"/>
    </xf>
    <xf numFmtId="171" fontId="11" fillId="2" borderId="2" xfId="1" applyFont="1" applyFill="1" applyBorder="1" applyAlignment="1">
      <alignment horizontal="centerContinuous"/>
    </xf>
    <xf numFmtId="171" fontId="13" fillId="2" borderId="2" xfId="1" applyFont="1" applyFill="1" applyBorder="1">
      <alignment horizontal="left"/>
    </xf>
    <xf numFmtId="171" fontId="11" fillId="2" borderId="2" xfId="1" applyFont="1" applyFill="1" applyBorder="1">
      <alignment horizontal="left"/>
    </xf>
    <xf numFmtId="171" fontId="11" fillId="2" borderId="0" xfId="1" applyFont="1" applyFill="1" applyAlignment="1">
      <alignment horizontal="center"/>
    </xf>
    <xf numFmtId="49" fontId="11" fillId="2" borderId="0" xfId="1" applyNumberFormat="1" applyFont="1" applyFill="1" applyAlignment="1">
      <alignment horizontal="right"/>
    </xf>
    <xf numFmtId="171" fontId="11" fillId="2" borderId="0" xfId="1" quotePrefix="1" applyFont="1" applyFill="1">
      <alignment horizontal="left"/>
    </xf>
    <xf numFmtId="175" fontId="11" fillId="2" borderId="0" xfId="0" applyFont="1" applyFill="1"/>
    <xf numFmtId="175" fontId="14" fillId="2" borderId="0" xfId="0" applyFont="1" applyFill="1"/>
    <xf numFmtId="3" fontId="11" fillId="2" borderId="2" xfId="1" applyNumberFormat="1" applyFont="1" applyFill="1" applyBorder="1">
      <alignment horizontal="left"/>
    </xf>
    <xf numFmtId="3" fontId="11" fillId="2" borderId="0" xfId="1" applyNumberFormat="1" applyFont="1" applyFill="1" applyAlignment="1">
      <alignment horizontal="centerContinuous"/>
    </xf>
    <xf numFmtId="175" fontId="13" fillId="2" borderId="0" xfId="0" applyFont="1" applyFill="1"/>
    <xf numFmtId="175" fontId="11" fillId="2" borderId="0" xfId="0" applyFont="1" applyFill="1" applyAlignment="1">
      <alignment horizontal="left" indent="1"/>
    </xf>
    <xf numFmtId="164" fontId="11" fillId="2" borderId="0" xfId="0" applyNumberFormat="1" applyFont="1" applyFill="1" applyAlignment="1">
      <alignment horizontal="center"/>
    </xf>
    <xf numFmtId="175" fontId="15" fillId="2" borderId="0" xfId="0" applyFont="1" applyFill="1"/>
    <xf numFmtId="175" fontId="11" fillId="2" borderId="0" xfId="0" applyFont="1" applyFill="1" applyAlignment="1">
      <alignment horizontal="center"/>
    </xf>
    <xf numFmtId="164" fontId="11" fillId="2" borderId="4" xfId="0" applyNumberFormat="1" applyFont="1" applyFill="1" applyBorder="1" applyAlignment="1">
      <alignment horizontal="center"/>
    </xf>
    <xf numFmtId="10" fontId="11" fillId="2" borderId="0" xfId="0" applyNumberFormat="1" applyFont="1" applyFill="1" applyAlignment="1">
      <alignment horizontal="center"/>
    </xf>
    <xf numFmtId="164" fontId="13" fillId="2" borderId="4" xfId="0" applyNumberFormat="1" applyFont="1" applyFill="1" applyBorder="1" applyAlignment="1">
      <alignment horizontal="center"/>
    </xf>
    <xf numFmtId="164" fontId="13" fillId="2" borderId="0" xfId="0" applyNumberFormat="1" applyFont="1" applyFill="1" applyAlignment="1">
      <alignment horizontal="center"/>
    </xf>
    <xf numFmtId="175" fontId="11" fillId="2" borderId="0" xfId="0" applyFont="1" applyFill="1" applyAlignment="1">
      <alignment vertical="center" wrapText="1" shrinkToFit="1"/>
    </xf>
    <xf numFmtId="175" fontId="11" fillId="2" borderId="0" xfId="0" applyFont="1" applyFill="1" applyAlignment="1">
      <alignment horizontal="left"/>
    </xf>
    <xf numFmtId="164" fontId="11" fillId="2" borderId="1" xfId="0" applyNumberFormat="1" applyFont="1" applyFill="1" applyBorder="1" applyAlignment="1">
      <alignment horizontal="center"/>
    </xf>
    <xf numFmtId="175" fontId="13" fillId="2" borderId="0" xfId="0" applyFont="1" applyFill="1" applyAlignment="1">
      <alignment horizontal="left"/>
    </xf>
    <xf numFmtId="165" fontId="13" fillId="2" borderId="0" xfId="0" applyNumberFormat="1" applyFont="1" applyFill="1"/>
    <xf numFmtId="175" fontId="11" fillId="2" borderId="0" xfId="0" applyFont="1" applyFill="1" applyAlignment="1">
      <alignment horizontal="left" indent="4"/>
    </xf>
    <xf numFmtId="175" fontId="11" fillId="2" borderId="0" xfId="0" applyFont="1" applyFill="1" applyAlignment="1">
      <alignment horizontal="center" vertical="center" wrapText="1" shrinkToFit="1"/>
    </xf>
    <xf numFmtId="175" fontId="13" fillId="2" borderId="0" xfId="0" applyFont="1" applyFill="1" applyAlignment="1">
      <alignment horizontal="left" indent="4"/>
    </xf>
    <xf numFmtId="175" fontId="16" fillId="0" borderId="0" xfId="0" applyFont="1" applyAlignment="1">
      <alignment wrapText="1" shrinkToFit="1"/>
    </xf>
    <xf numFmtId="175" fontId="17" fillId="2" borderId="0" xfId="0" applyFont="1" applyFill="1"/>
    <xf numFmtId="3" fontId="11" fillId="2" borderId="2" xfId="1" applyNumberFormat="1" applyFont="1" applyFill="1" applyBorder="1" applyAlignment="1">
      <alignment horizontal="center"/>
    </xf>
    <xf numFmtId="175" fontId="18" fillId="2" borderId="0" xfId="0" applyFont="1" applyFill="1" applyAlignment="1">
      <alignment horizontal="left"/>
    </xf>
    <xf numFmtId="175" fontId="11" fillId="2" borderId="0" xfId="0" applyFont="1" applyFill="1" applyAlignment="1">
      <alignment horizontal="left" indent="3"/>
    </xf>
    <xf numFmtId="175" fontId="11" fillId="2" borderId="0" xfId="0" applyFont="1" applyFill="1" applyAlignment="1">
      <alignment horizontal="center" wrapText="1" shrinkToFit="1"/>
    </xf>
    <xf numFmtId="175" fontId="11" fillId="2" borderId="0" xfId="0" applyFont="1" applyFill="1" applyAlignment="1">
      <alignment horizontal="center" vertical="center"/>
    </xf>
    <xf numFmtId="10" fontId="11" fillId="2" borderId="0" xfId="0" applyNumberFormat="1" applyFont="1" applyFill="1" applyAlignment="1">
      <alignment horizontal="center" vertical="center"/>
    </xf>
    <xf numFmtId="165" fontId="11" fillId="2" borderId="0" xfId="0" applyNumberFormat="1" applyFont="1" applyFill="1" applyAlignment="1">
      <alignment horizontal="center"/>
    </xf>
    <xf numFmtId="10" fontId="11" fillId="2" borderId="0" xfId="0" applyNumberFormat="1" applyFont="1" applyFill="1"/>
    <xf numFmtId="175" fontId="16" fillId="2" borderId="0" xfId="0" applyFont="1" applyFill="1"/>
    <xf numFmtId="175" fontId="16" fillId="0" borderId="0" xfId="0" applyFont="1"/>
    <xf numFmtId="175" fontId="11" fillId="2" borderId="2" xfId="0" applyFont="1" applyFill="1" applyBorder="1"/>
    <xf numFmtId="171" fontId="13" fillId="2" borderId="2" xfId="1" applyFont="1" applyFill="1" applyBorder="1" applyAlignment="1">
      <alignment horizontal="center"/>
    </xf>
    <xf numFmtId="175" fontId="11" fillId="2" borderId="0" xfId="0" applyFont="1" applyFill="1" applyAlignment="1">
      <alignment horizontal="left" indent="2"/>
    </xf>
    <xf numFmtId="165" fontId="11" fillId="2" borderId="0" xfId="0" applyNumberFormat="1" applyFont="1" applyFill="1"/>
    <xf numFmtId="175" fontId="13" fillId="2" borderId="0" xfId="0" applyFont="1" applyFill="1" applyAlignment="1">
      <alignment horizontal="center" vertical="center" wrapText="1" shrinkToFit="1"/>
    </xf>
    <xf numFmtId="165" fontId="11" fillId="2" borderId="1" xfId="0" applyNumberFormat="1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75" fontId="12" fillId="2" borderId="0" xfId="0" applyFont="1" applyFill="1"/>
    <xf numFmtId="175" fontId="19" fillId="2" borderId="0" xfId="0" applyFont="1" applyFill="1"/>
    <xf numFmtId="171" fontId="20" fillId="2" borderId="0" xfId="1" applyFont="1" applyFill="1">
      <alignment horizontal="left"/>
    </xf>
    <xf numFmtId="175" fontId="16" fillId="2" borderId="0" xfId="0" applyFont="1" applyFill="1" applyAlignment="1">
      <alignment horizontal="left" indent="1"/>
    </xf>
    <xf numFmtId="175" fontId="20" fillId="2" borderId="0" xfId="0" applyFont="1" applyFill="1" applyAlignment="1">
      <alignment horizontal="right"/>
    </xf>
    <xf numFmtId="175" fontId="20" fillId="2" borderId="0" xfId="0" applyFont="1" applyFill="1" applyAlignment="1">
      <alignment horizontal="left" indent="1"/>
    </xf>
    <xf numFmtId="164" fontId="16" fillId="2" borderId="0" xfId="0" applyNumberFormat="1" applyFont="1" applyFill="1" applyAlignment="1">
      <alignment horizontal="right"/>
    </xf>
    <xf numFmtId="164" fontId="16" fillId="2" borderId="0" xfId="0" applyNumberFormat="1" applyFont="1" applyFill="1" applyAlignment="1">
      <alignment horizontal="center"/>
    </xf>
    <xf numFmtId="164" fontId="16" fillId="2" borderId="1" xfId="0" applyNumberFormat="1" applyFont="1" applyFill="1" applyBorder="1" applyAlignment="1">
      <alignment horizontal="right"/>
    </xf>
    <xf numFmtId="164" fontId="16" fillId="2" borderId="1" xfId="0" applyNumberFormat="1" applyFont="1" applyFill="1" applyBorder="1" applyAlignment="1">
      <alignment horizontal="center"/>
    </xf>
    <xf numFmtId="164" fontId="20" fillId="2" borderId="0" xfId="0" applyNumberFormat="1" applyFont="1" applyFill="1" applyAlignment="1">
      <alignment horizontal="right"/>
    </xf>
    <xf numFmtId="175" fontId="20" fillId="2" borderId="0" xfId="0" applyFont="1" applyFill="1"/>
    <xf numFmtId="164" fontId="20" fillId="2" borderId="0" xfId="0" applyNumberFormat="1" applyFont="1" applyFill="1" applyAlignment="1">
      <alignment horizontal="center"/>
    </xf>
    <xf numFmtId="164" fontId="16" fillId="2" borderId="0" xfId="0" quotePrefix="1" applyNumberFormat="1" applyFont="1" applyFill="1" applyAlignment="1">
      <alignment horizontal="right"/>
    </xf>
    <xf numFmtId="171" fontId="19" fillId="2" borderId="0" xfId="1" applyFont="1" applyFill="1" applyAlignment="1">
      <alignment horizontal="centerContinuous"/>
    </xf>
    <xf numFmtId="171" fontId="19" fillId="2" borderId="0" xfId="1" applyFont="1" applyFill="1">
      <alignment horizontal="left"/>
    </xf>
    <xf numFmtId="171" fontId="12" fillId="2" borderId="0" xfId="1" applyFont="1" applyFill="1" applyAlignment="1">
      <alignment horizontal="centerContinuous"/>
    </xf>
    <xf numFmtId="171" fontId="16" fillId="2" borderId="0" xfId="1" applyFont="1" applyFill="1">
      <alignment horizontal="left"/>
    </xf>
    <xf numFmtId="3" fontId="16" fillId="2" borderId="0" xfId="5" applyFont="1" applyFill="1">
      <alignment horizontal="left"/>
    </xf>
    <xf numFmtId="164" fontId="20" fillId="2" borderId="0" xfId="5" applyNumberFormat="1" applyFont="1" applyFill="1" applyAlignment="1">
      <alignment horizontal="right"/>
    </xf>
    <xf numFmtId="164" fontId="16" fillId="2" borderId="1" xfId="5" applyNumberFormat="1" applyFont="1" applyFill="1" applyBorder="1" applyAlignment="1">
      <alignment horizontal="right"/>
    </xf>
    <xf numFmtId="164" fontId="16" fillId="2" borderId="0" xfId="5" applyNumberFormat="1" applyFont="1" applyFill="1" applyAlignment="1">
      <alignment horizontal="right"/>
    </xf>
    <xf numFmtId="164" fontId="20" fillId="2" borderId="4" xfId="5" applyNumberFormat="1" applyFont="1" applyFill="1" applyBorder="1" applyAlignment="1">
      <alignment horizontal="right"/>
    </xf>
    <xf numFmtId="164" fontId="13" fillId="2" borderId="0" xfId="1" applyNumberFormat="1" applyFont="1" applyFill="1" applyAlignment="1">
      <alignment horizontal="center"/>
    </xf>
    <xf numFmtId="164" fontId="13" fillId="2" borderId="0" xfId="1" applyNumberFormat="1" applyFont="1" applyFill="1">
      <alignment horizontal="left"/>
    </xf>
    <xf numFmtId="171" fontId="13" fillId="2" borderId="0" xfId="1" applyFont="1" applyFill="1" applyAlignment="1">
      <alignment horizontal="center"/>
    </xf>
    <xf numFmtId="175" fontId="16" fillId="2" borderId="0" xfId="0" applyFont="1" applyFill="1" applyAlignment="1">
      <alignment horizontal="right"/>
    </xf>
    <xf numFmtId="164" fontId="20" fillId="2" borderId="8" xfId="0" applyNumberFormat="1" applyFont="1" applyFill="1" applyBorder="1" applyAlignment="1">
      <alignment horizontal="right"/>
    </xf>
    <xf numFmtId="164" fontId="20" fillId="2" borderId="7" xfId="0" applyNumberFormat="1" applyFont="1" applyFill="1" applyBorder="1" applyAlignment="1">
      <alignment horizontal="right"/>
    </xf>
    <xf numFmtId="168" fontId="16" fillId="2" borderId="0" xfId="0" applyNumberFormat="1" applyFont="1" applyFill="1" applyAlignment="1">
      <alignment horizontal="center"/>
    </xf>
    <xf numFmtId="168" fontId="16" fillId="2" borderId="0" xfId="0" applyNumberFormat="1" applyFont="1" applyFill="1" applyAlignment="1">
      <alignment horizontal="right"/>
    </xf>
    <xf numFmtId="171" fontId="13" fillId="2" borderId="0" xfId="1" applyFont="1" applyFill="1" applyAlignment="1">
      <alignment horizontal="left" indent="2"/>
    </xf>
    <xf numFmtId="171" fontId="11" fillId="2" borderId="0" xfId="1" applyFont="1" applyFill="1" applyAlignment="1">
      <alignment horizontal="left" indent="2"/>
    </xf>
    <xf numFmtId="171" fontId="22" fillId="2" borderId="0" xfId="1" applyFont="1" applyFill="1" applyAlignment="1">
      <alignment horizontal="left" indent="3"/>
    </xf>
    <xf numFmtId="171" fontId="22" fillId="2" borderId="2" xfId="1" applyFont="1" applyFill="1" applyBorder="1" applyAlignment="1">
      <alignment horizontal="left" indent="3"/>
    </xf>
    <xf numFmtId="171" fontId="13" fillId="2" borderId="0" xfId="1" applyFont="1" applyFill="1" applyAlignment="1">
      <alignment horizontal="left" indent="3"/>
    </xf>
    <xf numFmtId="171" fontId="11" fillId="2" borderId="0" xfId="1" applyFont="1" applyFill="1" applyAlignment="1">
      <alignment horizontal="left" indent="3"/>
    </xf>
    <xf numFmtId="171" fontId="11" fillId="2" borderId="0" xfId="1" quotePrefix="1" applyFont="1" applyFill="1" applyAlignment="1">
      <alignment horizontal="left" indent="3"/>
    </xf>
    <xf numFmtId="175" fontId="9" fillId="2" borderId="0" xfId="0" applyFont="1" applyFill="1" applyAlignment="1">
      <alignment horizontal="left" indent="2"/>
    </xf>
    <xf numFmtId="175" fontId="9" fillId="2" borderId="0" xfId="0" applyFont="1" applyFill="1" applyAlignment="1">
      <alignment horizontal="left" indent="3"/>
    </xf>
    <xf numFmtId="171" fontId="16" fillId="2" borderId="0" xfId="1" applyFont="1" applyFill="1" applyAlignment="1">
      <alignment horizontal="left" indent="3"/>
    </xf>
    <xf numFmtId="3" fontId="16" fillId="2" borderId="0" xfId="5" applyFont="1" applyFill="1" applyAlignment="1">
      <alignment horizontal="left" indent="3"/>
    </xf>
    <xf numFmtId="175" fontId="20" fillId="2" borderId="0" xfId="0" applyFont="1" applyFill="1" applyAlignment="1">
      <alignment horizontal="left" indent="3"/>
    </xf>
    <xf numFmtId="175" fontId="16" fillId="2" borderId="0" xfId="0" applyFont="1" applyFill="1" applyAlignment="1">
      <alignment horizontal="left" indent="3"/>
    </xf>
    <xf numFmtId="175" fontId="21" fillId="2" borderId="0" xfId="0" applyFont="1" applyFill="1" applyAlignment="1">
      <alignment horizontal="left" indent="3"/>
    </xf>
    <xf numFmtId="175" fontId="16" fillId="2" borderId="0" xfId="0" applyFont="1" applyFill="1" applyAlignment="1">
      <alignment horizontal="left" wrapText="1" indent="3" shrinkToFit="1"/>
    </xf>
    <xf numFmtId="171" fontId="13" fillId="2" borderId="2" xfId="1" applyFont="1" applyFill="1" applyBorder="1" applyAlignment="1">
      <alignment horizontal="left" indent="2"/>
    </xf>
    <xf numFmtId="171" fontId="13" fillId="2" borderId="2" xfId="1" applyFont="1" applyFill="1" applyBorder="1" applyAlignment="1">
      <alignment horizontal="left" indent="3"/>
    </xf>
    <xf numFmtId="49" fontId="13" fillId="2" borderId="0" xfId="1" applyNumberFormat="1" applyFont="1" applyFill="1" applyAlignment="1">
      <alignment horizontal="left" indent="2"/>
    </xf>
    <xf numFmtId="49" fontId="13" fillId="2" borderId="0" xfId="1" applyNumberFormat="1" applyFont="1" applyFill="1" applyAlignment="1">
      <alignment horizontal="left" indent="3"/>
    </xf>
    <xf numFmtId="175" fontId="23" fillId="3" borderId="3" xfId="0" applyFont="1" applyFill="1" applyBorder="1" applyAlignment="1">
      <alignment horizontal="center" wrapText="1" shrinkToFit="1"/>
    </xf>
    <xf numFmtId="175" fontId="20" fillId="0" borderId="0" xfId="0" applyFont="1"/>
    <xf numFmtId="175" fontId="23" fillId="3" borderId="0" xfId="0" applyFont="1" applyFill="1"/>
    <xf numFmtId="175" fontId="20" fillId="0" borderId="0" xfId="0" applyFont="1" applyAlignment="1">
      <alignment horizontal="center" wrapText="1" shrinkToFit="1"/>
    </xf>
    <xf numFmtId="166" fontId="16" fillId="0" borderId="0" xfId="0" applyNumberFormat="1" applyFont="1"/>
    <xf numFmtId="175" fontId="23" fillId="3" borderId="5" xfId="0" applyFont="1" applyFill="1" applyBorder="1" applyAlignment="1">
      <alignment horizontal="center" wrapText="1" shrinkToFit="1"/>
    </xf>
    <xf numFmtId="175" fontId="23" fillId="3" borderId="6" xfId="0" applyFont="1" applyFill="1" applyBorder="1" applyAlignment="1">
      <alignment horizontal="center" wrapText="1" shrinkToFit="1"/>
    </xf>
    <xf numFmtId="166" fontId="23" fillId="3" borderId="0" xfId="0" applyNumberFormat="1" applyFont="1" applyFill="1"/>
    <xf numFmtId="1" fontId="16" fillId="0" borderId="0" xfId="0" applyNumberFormat="1" applyFont="1"/>
    <xf numFmtId="1" fontId="20" fillId="2" borderId="1" xfId="0" applyNumberFormat="1" applyFont="1" applyFill="1" applyBorder="1" applyAlignment="1">
      <alignment horizontal="right"/>
    </xf>
    <xf numFmtId="1" fontId="16" fillId="2" borderId="0" xfId="0" applyNumberFormat="1" applyFont="1" applyFill="1" applyAlignment="1">
      <alignment horizontal="right"/>
    </xf>
    <xf numFmtId="173" fontId="11" fillId="2" borderId="0" xfId="0" applyNumberFormat="1" applyFont="1" applyFill="1" applyAlignment="1">
      <alignment horizontal="center"/>
    </xf>
    <xf numFmtId="1" fontId="20" fillId="2" borderId="2" xfId="0" applyNumberFormat="1" applyFont="1" applyFill="1" applyBorder="1" applyAlignment="1">
      <alignment horizontal="right"/>
    </xf>
    <xf numFmtId="1" fontId="20" fillId="2" borderId="2" xfId="0" applyNumberFormat="1" applyFont="1" applyFill="1" applyBorder="1" applyAlignment="1">
      <alignment horizontal="center"/>
    </xf>
    <xf numFmtId="1" fontId="16" fillId="2" borderId="0" xfId="0" applyNumberFormat="1" applyFont="1" applyFill="1"/>
    <xf numFmtId="164" fontId="11" fillId="4" borderId="0" xfId="0" applyNumberFormat="1" applyFont="1" applyFill="1" applyAlignment="1">
      <alignment horizontal="center"/>
    </xf>
    <xf numFmtId="1" fontId="16" fillId="0" borderId="0" xfId="0" applyNumberFormat="1" applyFont="1" applyAlignment="1">
      <alignment horizontal="right"/>
    </xf>
    <xf numFmtId="1" fontId="20" fillId="2" borderId="1" xfId="0" applyNumberFormat="1" applyFont="1" applyFill="1" applyBorder="1" applyAlignment="1">
      <alignment horizontal="center" vertical="center"/>
    </xf>
    <xf numFmtId="1" fontId="16" fillId="2" borderId="0" xfId="1" applyNumberFormat="1" applyFont="1" applyFill="1" applyAlignment="1">
      <alignment horizontal="center" vertical="center"/>
    </xf>
    <xf numFmtId="171" fontId="20" fillId="2" borderId="0" xfId="1" applyFont="1" applyFill="1" applyAlignment="1">
      <alignment horizontal="left" indent="4"/>
    </xf>
    <xf numFmtId="171" fontId="16" fillId="2" borderId="0" xfId="1" applyFont="1" applyFill="1" applyAlignment="1">
      <alignment horizontal="left" indent="4"/>
    </xf>
    <xf numFmtId="3" fontId="16" fillId="2" borderId="0" xfId="5" applyFont="1" applyFill="1" applyAlignment="1">
      <alignment horizontal="left" indent="4"/>
    </xf>
    <xf numFmtId="3" fontId="20" fillId="2" borderId="0" xfId="5" applyFont="1" applyFill="1" applyAlignment="1">
      <alignment horizontal="left" indent="4"/>
    </xf>
    <xf numFmtId="175" fontId="16" fillId="4" borderId="0" xfId="0" applyFont="1" applyFill="1"/>
    <xf numFmtId="175" fontId="11" fillId="4" borderId="0" xfId="0" applyFont="1" applyFill="1"/>
    <xf numFmtId="165" fontId="13" fillId="2" borderId="4" xfId="0" applyNumberFormat="1" applyFont="1" applyFill="1" applyBorder="1"/>
    <xf numFmtId="175" fontId="16" fillId="2" borderId="0" xfId="0" applyFont="1" applyFill="1" applyAlignment="1">
      <alignment horizontal="left" vertical="center" wrapText="1" shrinkToFit="1"/>
    </xf>
    <xf numFmtId="173" fontId="11" fillId="2" borderId="0" xfId="0" applyNumberFormat="1" applyFont="1" applyFill="1"/>
    <xf numFmtId="175" fontId="13" fillId="2" borderId="4" xfId="0" applyFont="1" applyFill="1" applyBorder="1"/>
    <xf numFmtId="10" fontId="13" fillId="2" borderId="4" xfId="0" applyNumberFormat="1" applyFont="1" applyFill="1" applyBorder="1" applyAlignment="1">
      <alignment horizontal="center"/>
    </xf>
    <xf numFmtId="164" fontId="11" fillId="5" borderId="0" xfId="0" applyNumberFormat="1" applyFont="1" applyFill="1" applyAlignment="1">
      <alignment horizontal="center"/>
    </xf>
    <xf numFmtId="9" fontId="16" fillId="2" borderId="0" xfId="0" applyNumberFormat="1" applyFont="1" applyFill="1" applyAlignment="1">
      <alignment horizontal="right"/>
    </xf>
    <xf numFmtId="175" fontId="18" fillId="2" borderId="0" xfId="0" applyFont="1" applyFill="1" applyAlignment="1">
      <alignment horizontal="center"/>
    </xf>
    <xf numFmtId="175" fontId="16" fillId="4" borderId="0" xfId="0" applyFont="1" applyFill="1" applyAlignment="1">
      <alignment horizontal="center"/>
    </xf>
    <xf numFmtId="175" fontId="24" fillId="4" borderId="0" xfId="0" applyFont="1" applyFill="1"/>
    <xf numFmtId="166" fontId="16" fillId="4" borderId="0" xfId="0" applyNumberFormat="1" applyFont="1" applyFill="1"/>
    <xf numFmtId="1" fontId="16" fillId="4" borderId="0" xfId="0" applyNumberFormat="1" applyFont="1" applyFill="1"/>
    <xf numFmtId="166" fontId="16" fillId="4" borderId="0" xfId="0" applyNumberFormat="1" applyFont="1" applyFill="1" applyAlignment="1">
      <alignment horizontal="center"/>
    </xf>
    <xf numFmtId="166" fontId="16" fillId="4" borderId="1" xfId="0" applyNumberFormat="1" applyFont="1" applyFill="1" applyBorder="1"/>
    <xf numFmtId="175" fontId="20" fillId="4" borderId="0" xfId="0" applyFont="1" applyFill="1" applyAlignment="1">
      <alignment horizontal="center" wrapText="1" shrinkToFit="1"/>
    </xf>
    <xf numFmtId="49" fontId="16" fillId="4" borderId="0" xfId="0" applyNumberFormat="1" applyFont="1" applyFill="1"/>
    <xf numFmtId="49" fontId="16" fillId="0" borderId="0" xfId="0" applyNumberFormat="1" applyFont="1"/>
    <xf numFmtId="49" fontId="23" fillId="3" borderId="0" xfId="0" applyNumberFormat="1" applyFont="1" applyFill="1"/>
    <xf numFmtId="2" fontId="11" fillId="2" borderId="0" xfId="0" applyNumberFormat="1" applyFont="1" applyFill="1"/>
    <xf numFmtId="175" fontId="14" fillId="4" borderId="0" xfId="0" applyFont="1" applyFill="1" applyAlignment="1">
      <alignment horizontal="left"/>
    </xf>
    <xf numFmtId="175" fontId="11" fillId="2" borderId="0" xfId="0" applyFont="1" applyFill="1" applyAlignment="1">
      <alignment horizontal="left" vertical="center" wrapText="1" shrinkToFit="1"/>
    </xf>
    <xf numFmtId="175" fontId="16" fillId="2" borderId="0" xfId="0" applyFont="1" applyFill="1" applyAlignment="1">
      <alignment horizontal="left" vertical="center" wrapText="1" shrinkToFit="1"/>
    </xf>
    <xf numFmtId="175" fontId="11" fillId="2" borderId="0" xfId="0" applyFont="1" applyFill="1" applyAlignment="1">
      <alignment horizontal="left" vertical="center"/>
    </xf>
    <xf numFmtId="175" fontId="11" fillId="2" borderId="0" xfId="0" applyFont="1" applyFill="1" applyAlignment="1">
      <alignment wrapText="1" shrinkToFit="1"/>
    </xf>
    <xf numFmtId="164" fontId="16" fillId="5" borderId="0" xfId="0" applyNumberFormat="1" applyFont="1" applyFill="1" applyAlignment="1">
      <alignment horizontal="right"/>
    </xf>
    <xf numFmtId="171" fontId="9" fillId="5" borderId="0" xfId="1" applyFont="1" applyFill="1" applyAlignment="1">
      <alignment horizontal="left" indent="3"/>
    </xf>
    <xf numFmtId="175" fontId="9" fillId="5" borderId="0" xfId="0" applyFont="1" applyFill="1" applyAlignment="1">
      <alignment horizontal="left" indent="3"/>
    </xf>
    <xf numFmtId="171" fontId="9" fillId="2" borderId="0" xfId="1" applyFont="1" applyFill="1" applyAlignment="1"/>
    <xf numFmtId="1" fontId="20" fillId="5" borderId="2" xfId="0" applyNumberFormat="1" applyFont="1" applyFill="1" applyBorder="1" applyAlignment="1">
      <alignment horizontal="right"/>
    </xf>
    <xf numFmtId="164" fontId="16" fillId="5" borderId="0" xfId="0" quotePrefix="1" applyNumberFormat="1" applyFont="1" applyFill="1" applyAlignment="1">
      <alignment horizontal="right"/>
    </xf>
    <xf numFmtId="164" fontId="16" fillId="5" borderId="1" xfId="0" applyNumberFormat="1" applyFont="1" applyFill="1" applyBorder="1" applyAlignment="1">
      <alignment horizontal="right"/>
    </xf>
    <xf numFmtId="175" fontId="9" fillId="2" borderId="0" xfId="0" applyFont="1" applyFill="1" applyAlignment="1"/>
    <xf numFmtId="164" fontId="11" fillId="5" borderId="0" xfId="0" applyNumberFormat="1" applyFont="1" applyFill="1" applyAlignment="1">
      <alignment horizontal="center" vertical="center"/>
    </xf>
    <xf numFmtId="165" fontId="11" fillId="5" borderId="0" xfId="0" applyNumberFormat="1" applyFont="1" applyFill="1" applyAlignment="1">
      <alignment horizontal="center"/>
    </xf>
    <xf numFmtId="171" fontId="10" fillId="2" borderId="0" xfId="1" applyFont="1" applyFill="1" applyAlignment="1">
      <alignment horizontal="left" vertical="center"/>
    </xf>
    <xf numFmtId="171" fontId="8" fillId="2" borderId="0" xfId="1" applyFont="1" applyFill="1" applyAlignment="1">
      <alignment horizontal="left" vertical="center"/>
    </xf>
    <xf numFmtId="171" fontId="9" fillId="2" borderId="0" xfId="1" applyFont="1" applyFill="1" applyAlignment="1">
      <alignment horizontal="centerContinuous" vertical="center"/>
    </xf>
    <xf numFmtId="171" fontId="25" fillId="2" borderId="0" xfId="1" applyFont="1" applyFill="1" applyAlignment="1">
      <alignment horizontal="centerContinuous" vertical="center"/>
    </xf>
    <xf numFmtId="171" fontId="25" fillId="2" borderId="0" xfId="1" applyFont="1" applyFill="1" applyAlignment="1">
      <alignment horizontal="center" vertical="center"/>
    </xf>
    <xf numFmtId="171" fontId="26" fillId="2" borderId="0" xfId="1" applyFont="1" applyFill="1" applyAlignment="1">
      <alignment horizontal="left" vertical="center"/>
    </xf>
    <xf numFmtId="171" fontId="10" fillId="0" borderId="0" xfId="1" applyFont="1" applyFill="1" applyAlignment="1">
      <alignment horizontal="left" vertical="center"/>
    </xf>
    <xf numFmtId="172" fontId="25" fillId="0" borderId="0" xfId="1" applyNumberFormat="1" applyFont="1" applyFill="1" applyAlignment="1">
      <alignment horizontal="center" vertical="center"/>
    </xf>
    <xf numFmtId="172" fontId="22" fillId="0" borderId="0" xfId="1" applyNumberFormat="1" applyFont="1" applyFill="1" applyAlignment="1">
      <alignment horizontal="left" indent="3"/>
    </xf>
  </cellXfs>
  <cellStyles count="10">
    <cellStyle name="États financiers" xfId="1" xr:uid="{00000000-0005-0000-0000-000000000000}"/>
    <cellStyle name="Euro" xfId="2" xr:uid="{00000000-0005-0000-0000-000001000000}"/>
    <cellStyle name="Followed Hyperlink" xfId="3" xr:uid="{00000000-0005-0000-0000-000002000000}"/>
    <cellStyle name="Hyperlink" xfId="4" xr:uid="{00000000-0005-0000-0000-000003000000}"/>
    <cellStyle name="Milliers 2" xfId="9" xr:uid="{0EE41C51-9DC5-4E75-BEEB-77EC83A9ACCD}"/>
    <cellStyle name="Monétaire 2" xfId="8" xr:uid="{4D006E4B-D9E7-4343-8837-F3E70D45C2C3}"/>
    <cellStyle name="Normal" xfId="0" builtinId="0"/>
    <cellStyle name="Normal 2" xfId="6" xr:uid="{00000000-0005-0000-0000-000005000000}"/>
    <cellStyle name="Normal 3" xfId="7" xr:uid="{49E100CC-0A87-4EDB-8F98-5C9295B202D5}"/>
    <cellStyle name="Normal_Copie de États financiers modèles v2" xfId="5" xr:uid="{00000000-0005-0000-0000-000006000000}"/>
  </cellStyles>
  <dxfs count="1">
    <dxf>
      <fill>
        <patternFill>
          <bgColor theme="4" tint="0.79998168889431442"/>
        </patternFill>
      </fill>
    </dxf>
  </dxfs>
  <tableStyles count="1" defaultTableStyle="TableStyleMedium9" defaultPivotStyle="PivotStyleLight16">
    <tableStyle name="Invisible" pivot="0" table="0" count="0" xr9:uid="{653A1F31-782D-4A9F-A5A6-E9A84281DA15}"/>
  </tableStyles>
  <colors>
    <mruColors>
      <color rgb="FFAFDC7E"/>
      <color rgb="FFD56161"/>
      <color rgb="FF8C8375"/>
      <color rgb="FFB4DE86"/>
      <color rgb="FFA4D76B"/>
      <color rgb="FFDDD9C3"/>
      <color rgb="FF6258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7483C5-C667-4EA0-8B9C-A69DB3847F0C}">
  <we:reference id="wa104072495" version="5.1.0.0" store="fr-CA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1">
    <tabColor rgb="FF8C8375"/>
    <pageSetUpPr fitToPage="1"/>
  </sheetPr>
  <dimension ref="A1:S80"/>
  <sheetViews>
    <sheetView view="pageBreakPreview" zoomScale="75" zoomScaleNormal="100" zoomScaleSheetLayoutView="75" workbookViewId="0">
      <selection activeCell="A3" sqref="A3:C3"/>
    </sheetView>
  </sheetViews>
  <sheetFormatPr baseColWidth="10" defaultColWidth="10.7109375" defaultRowHeight="12.75" x14ac:dyDescent="0.2"/>
  <cols>
    <col min="1" max="1" width="15.7109375" style="45" customWidth="1"/>
    <col min="2" max="2" width="45" style="45" customWidth="1"/>
    <col min="3" max="3" width="17.85546875" style="45" bestFit="1" customWidth="1"/>
    <col min="4" max="5" width="17.140625" style="45" bestFit="1" customWidth="1"/>
    <col min="6" max="12" width="16.85546875" style="45" bestFit="1" customWidth="1"/>
    <col min="13" max="13" width="17.85546875" style="45" bestFit="1" customWidth="1"/>
    <col min="14" max="15" width="16.85546875" style="45" bestFit="1" customWidth="1"/>
    <col min="16" max="16" width="20.140625" style="45" bestFit="1" customWidth="1"/>
    <col min="17" max="17" width="17.85546875" style="45" bestFit="1" customWidth="1"/>
    <col min="18" max="18" width="14" style="126" bestFit="1" customWidth="1"/>
    <col min="19" max="16384" width="10.7109375" style="45"/>
  </cols>
  <sheetData>
    <row r="1" spans="1:18" s="137" customFormat="1" ht="18" x14ac:dyDescent="0.25">
      <c r="A1" s="147" t="s">
        <v>114</v>
      </c>
      <c r="B1" s="147"/>
      <c r="C1" s="147"/>
    </row>
    <row r="2" spans="1:18" s="137" customFormat="1" ht="18" x14ac:dyDescent="0.25">
      <c r="A2" s="147" t="s">
        <v>1</v>
      </c>
      <c r="B2" s="147"/>
      <c r="C2" s="147"/>
    </row>
    <row r="3" spans="1:18" s="137" customFormat="1" ht="18.75" thickBot="1" x14ac:dyDescent="0.3">
      <c r="A3" s="147" t="e">
        <f>#REF!</f>
        <v>#REF!</v>
      </c>
      <c r="B3" s="147"/>
      <c r="C3" s="147"/>
    </row>
    <row r="4" spans="1:18" s="106" customFormat="1" ht="41.25" customHeight="1" thickBot="1" x14ac:dyDescent="0.25">
      <c r="A4" s="108"/>
      <c r="B4" s="103"/>
      <c r="C4" s="103" t="s">
        <v>2</v>
      </c>
      <c r="D4" s="103" t="e">
        <f>EOMONTH(A3,-11)</f>
        <v>#REF!</v>
      </c>
      <c r="E4" s="103" t="e">
        <f>EOMONTH(D4,1)</f>
        <v>#REF!</v>
      </c>
      <c r="F4" s="103" t="e">
        <f t="shared" ref="F4:O4" si="0">EOMONTH(E4,1)</f>
        <v>#REF!</v>
      </c>
      <c r="G4" s="103" t="e">
        <f t="shared" si="0"/>
        <v>#REF!</v>
      </c>
      <c r="H4" s="103" t="e">
        <f t="shared" si="0"/>
        <v>#REF!</v>
      </c>
      <c r="I4" s="103" t="e">
        <f t="shared" si="0"/>
        <v>#REF!</v>
      </c>
      <c r="J4" s="103" t="e">
        <f t="shared" si="0"/>
        <v>#REF!</v>
      </c>
      <c r="K4" s="103" t="e">
        <f t="shared" si="0"/>
        <v>#REF!</v>
      </c>
      <c r="L4" s="103" t="e">
        <f t="shared" si="0"/>
        <v>#REF!</v>
      </c>
      <c r="M4" s="103" t="e">
        <f t="shared" si="0"/>
        <v>#REF!</v>
      </c>
      <c r="N4" s="103" t="e">
        <f t="shared" si="0"/>
        <v>#REF!</v>
      </c>
      <c r="O4" s="103" t="e">
        <f t="shared" si="0"/>
        <v>#REF!</v>
      </c>
      <c r="P4" s="103" t="s">
        <v>99</v>
      </c>
      <c r="Q4" s="109" t="s">
        <v>3</v>
      </c>
      <c r="R4" s="142" t="s">
        <v>4</v>
      </c>
    </row>
    <row r="5" spans="1:18" s="126" customFormat="1" x14ac:dyDescent="0.2">
      <c r="R5" s="136"/>
    </row>
    <row r="6" spans="1:18" s="126" customFormat="1" x14ac:dyDescent="0.2"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R6" s="136"/>
    </row>
    <row r="7" spans="1:18" x14ac:dyDescent="0.2">
      <c r="A7" s="111">
        <v>4000</v>
      </c>
      <c r="B7" s="144" t="e">
        <f>#REF!</f>
        <v>#REF!</v>
      </c>
      <c r="C7" s="107" t="e">
        <f>#REF!</f>
        <v>#REF!</v>
      </c>
      <c r="D7" s="107" t="e">
        <f>#REF!</f>
        <v>#REF!</v>
      </c>
      <c r="E7" s="107" t="e">
        <f>#REF!</f>
        <v>#REF!</v>
      </c>
      <c r="F7" s="107" t="e">
        <f>#REF!</f>
        <v>#REF!</v>
      </c>
      <c r="G7" s="107" t="e">
        <f>#REF!</f>
        <v>#REF!</v>
      </c>
      <c r="H7" s="107" t="e">
        <f>#REF!</f>
        <v>#REF!</v>
      </c>
      <c r="I7" s="107" t="e">
        <f>#REF!</f>
        <v>#REF!</v>
      </c>
      <c r="J7" s="107" t="e">
        <f>#REF!</f>
        <v>#REF!</v>
      </c>
      <c r="K7" s="107" t="e">
        <f>#REF!</f>
        <v>#REF!</v>
      </c>
      <c r="L7" s="107" t="e">
        <f>#REF!</f>
        <v>#REF!</v>
      </c>
      <c r="M7" s="107" t="e">
        <f>#REF!</f>
        <v>#REF!</v>
      </c>
      <c r="N7" s="107" t="e">
        <f>#REF!</f>
        <v>#REF!</v>
      </c>
      <c r="O7" s="107" t="e">
        <f>#REF!</f>
        <v>#REF!</v>
      </c>
      <c r="P7" s="107"/>
      <c r="Q7" s="107" t="e">
        <f t="shared" ref="Q7:Q30" si="1">SUM(D7:P7)</f>
        <v>#REF!</v>
      </c>
      <c r="R7" s="140" t="e">
        <f t="shared" ref="R7:R30" si="2">Q7-C7</f>
        <v>#REF!</v>
      </c>
    </row>
    <row r="8" spans="1:18" s="126" customFormat="1" x14ac:dyDescent="0.2">
      <c r="A8" s="139">
        <v>4001</v>
      </c>
      <c r="B8" s="143" t="e">
        <f>#REF!</f>
        <v>#REF!</v>
      </c>
      <c r="C8" s="138" t="e">
        <f>#REF!</f>
        <v>#REF!</v>
      </c>
      <c r="D8" s="138" t="e">
        <f>#REF!</f>
        <v>#REF!</v>
      </c>
      <c r="E8" s="138" t="e">
        <f>#REF!</f>
        <v>#REF!</v>
      </c>
      <c r="F8" s="138" t="e">
        <f>#REF!</f>
        <v>#REF!</v>
      </c>
      <c r="G8" s="138" t="e">
        <f>#REF!</f>
        <v>#REF!</v>
      </c>
      <c r="H8" s="138" t="e">
        <f>#REF!</f>
        <v>#REF!</v>
      </c>
      <c r="I8" s="138" t="e">
        <f>#REF!</f>
        <v>#REF!</v>
      </c>
      <c r="J8" s="138" t="e">
        <f>#REF!</f>
        <v>#REF!</v>
      </c>
      <c r="K8" s="138" t="e">
        <f>#REF!</f>
        <v>#REF!</v>
      </c>
      <c r="L8" s="138" t="e">
        <f>#REF!</f>
        <v>#REF!</v>
      </c>
      <c r="M8" s="138" t="e">
        <f>#REF!</f>
        <v>#REF!</v>
      </c>
      <c r="N8" s="138" t="e">
        <f>#REF!</f>
        <v>#REF!</v>
      </c>
      <c r="O8" s="138" t="e">
        <f>#REF!</f>
        <v>#REF!</v>
      </c>
      <c r="P8" s="138"/>
      <c r="Q8" s="138" t="e">
        <f t="shared" si="1"/>
        <v>#REF!</v>
      </c>
      <c r="R8" s="140" t="e">
        <f t="shared" si="2"/>
        <v>#REF!</v>
      </c>
    </row>
    <row r="9" spans="1:18" x14ac:dyDescent="0.2">
      <c r="A9" s="111">
        <v>4010</v>
      </c>
      <c r="B9" s="144" t="s">
        <v>100</v>
      </c>
      <c r="C9" s="107" t="e">
        <f>SUM(D9:P9)</f>
        <v>#REF!</v>
      </c>
      <c r="D9" s="107" t="e">
        <f>#REF!</f>
        <v>#REF!</v>
      </c>
      <c r="E9" s="107" t="e">
        <f>#REF!</f>
        <v>#REF!</v>
      </c>
      <c r="F9" s="107" t="e">
        <f>#REF!</f>
        <v>#REF!</v>
      </c>
      <c r="G9" s="107" t="e">
        <f>#REF!</f>
        <v>#REF!</v>
      </c>
      <c r="H9" s="107" t="e">
        <f>#REF!</f>
        <v>#REF!</v>
      </c>
      <c r="I9" s="107" t="e">
        <f>#REF!</f>
        <v>#REF!</v>
      </c>
      <c r="J9" s="107" t="e">
        <f>#REF!</f>
        <v>#REF!</v>
      </c>
      <c r="K9" s="107" t="e">
        <f>#REF!</f>
        <v>#REF!</v>
      </c>
      <c r="L9" s="107" t="e">
        <f>#REF!</f>
        <v>#REF!</v>
      </c>
      <c r="M9" s="107" t="e">
        <f>#REF!</f>
        <v>#REF!</v>
      </c>
      <c r="N9" s="107" t="e">
        <f>#REF!</f>
        <v>#REF!</v>
      </c>
      <c r="O9" s="107" t="e">
        <f>#REF!</f>
        <v>#REF!</v>
      </c>
      <c r="P9" s="107"/>
      <c r="Q9" s="107" t="e">
        <f t="shared" si="1"/>
        <v>#REF!</v>
      </c>
      <c r="R9" s="140" t="e">
        <f t="shared" si="2"/>
        <v>#REF!</v>
      </c>
    </row>
    <row r="10" spans="1:18" s="126" customFormat="1" x14ac:dyDescent="0.2">
      <c r="A10" s="139">
        <v>4015</v>
      </c>
      <c r="B10" s="143" t="s">
        <v>12</v>
      </c>
      <c r="C10" s="138" t="e">
        <f>#REF!</f>
        <v>#REF!</v>
      </c>
      <c r="D10" s="138" t="e">
        <f>#REF!</f>
        <v>#REF!</v>
      </c>
      <c r="E10" s="138" t="e">
        <f>#REF!</f>
        <v>#REF!</v>
      </c>
      <c r="F10" s="138" t="e">
        <f>#REF!</f>
        <v>#REF!</v>
      </c>
      <c r="G10" s="138" t="e">
        <f>#REF!</f>
        <v>#REF!</v>
      </c>
      <c r="H10" s="138" t="e">
        <f>#REF!</f>
        <v>#REF!</v>
      </c>
      <c r="I10" s="138" t="e">
        <f>#REF!</f>
        <v>#REF!</v>
      </c>
      <c r="J10" s="138" t="e">
        <f>#REF!</f>
        <v>#REF!</v>
      </c>
      <c r="K10" s="138" t="e">
        <f>#REF!</f>
        <v>#REF!</v>
      </c>
      <c r="L10" s="138" t="e">
        <f>#REF!</f>
        <v>#REF!</v>
      </c>
      <c r="M10" s="138" t="e">
        <f>#REF!</f>
        <v>#REF!</v>
      </c>
      <c r="N10" s="138" t="e">
        <f>#REF!</f>
        <v>#REF!</v>
      </c>
      <c r="O10" s="138" t="e">
        <f>#REF!</f>
        <v>#REF!</v>
      </c>
      <c r="P10" s="138"/>
      <c r="Q10" s="138" t="e">
        <f t="shared" si="1"/>
        <v>#REF!</v>
      </c>
      <c r="R10" s="140" t="e">
        <f t="shared" si="2"/>
        <v>#REF!</v>
      </c>
    </row>
    <row r="11" spans="1:18" x14ac:dyDescent="0.2">
      <c r="A11" s="111">
        <v>4016</v>
      </c>
      <c r="B11" s="144" t="s">
        <v>128</v>
      </c>
      <c r="C11" s="107" t="e">
        <f>#REF!+P11</f>
        <v>#REF!</v>
      </c>
      <c r="D11" s="107" t="e">
        <f>#REF!</f>
        <v>#REF!</v>
      </c>
      <c r="E11" s="107" t="e">
        <f>#REF!</f>
        <v>#REF!</v>
      </c>
      <c r="F11" s="107" t="e">
        <f>#REF!</f>
        <v>#REF!</v>
      </c>
      <c r="G11" s="107" t="e">
        <f>#REF!</f>
        <v>#REF!</v>
      </c>
      <c r="H11" s="107" t="e">
        <f>#REF!</f>
        <v>#REF!</v>
      </c>
      <c r="I11" s="107" t="e">
        <f>#REF!</f>
        <v>#REF!</v>
      </c>
      <c r="J11" s="107" t="e">
        <f>#REF!</f>
        <v>#REF!</v>
      </c>
      <c r="K11" s="107" t="e">
        <f>#REF!</f>
        <v>#REF!</v>
      </c>
      <c r="L11" s="107" t="e">
        <f>#REF!</f>
        <v>#REF!</v>
      </c>
      <c r="M11" s="107" t="e">
        <f>#REF!</f>
        <v>#REF!</v>
      </c>
      <c r="N11" s="107" t="e">
        <f>#REF!</f>
        <v>#REF!</v>
      </c>
      <c r="O11" s="107" t="e">
        <f>#REF!</f>
        <v>#REF!</v>
      </c>
      <c r="P11" s="107"/>
      <c r="Q11" s="107" t="e">
        <f t="shared" si="1"/>
        <v>#REF!</v>
      </c>
      <c r="R11" s="140" t="e">
        <f t="shared" si="2"/>
        <v>#REF!</v>
      </c>
    </row>
    <row r="12" spans="1:18" s="126" customFormat="1" x14ac:dyDescent="0.2">
      <c r="A12" s="139" t="e">
        <f>#REF!</f>
        <v>#REF!</v>
      </c>
      <c r="B12" s="143" t="e">
        <f>#REF!</f>
        <v>#REF!</v>
      </c>
      <c r="C12" s="138" t="e">
        <f>#REF!+P12</f>
        <v>#REF!</v>
      </c>
      <c r="D12" s="138" t="e">
        <f>#REF!</f>
        <v>#REF!</v>
      </c>
      <c r="E12" s="138" t="e">
        <f>#REF!</f>
        <v>#REF!</v>
      </c>
      <c r="F12" s="138" t="e">
        <f>#REF!</f>
        <v>#REF!</v>
      </c>
      <c r="G12" s="138" t="e">
        <f>#REF!</f>
        <v>#REF!</v>
      </c>
      <c r="H12" s="138" t="e">
        <f>#REF!</f>
        <v>#REF!</v>
      </c>
      <c r="I12" s="138" t="e">
        <f>#REF!</f>
        <v>#REF!</v>
      </c>
      <c r="J12" s="138" t="e">
        <f>#REF!</f>
        <v>#REF!</v>
      </c>
      <c r="K12" s="138" t="e">
        <f>#REF!</f>
        <v>#REF!</v>
      </c>
      <c r="L12" s="138" t="e">
        <f>#REF!</f>
        <v>#REF!</v>
      </c>
      <c r="M12" s="138" t="e">
        <f>#REF!</f>
        <v>#REF!</v>
      </c>
      <c r="N12" s="138" t="e">
        <f>#REF!</f>
        <v>#REF!</v>
      </c>
      <c r="O12" s="138" t="e">
        <f>#REF!</f>
        <v>#REF!</v>
      </c>
      <c r="P12" s="138"/>
      <c r="Q12" s="138" t="e">
        <f t="shared" si="1"/>
        <v>#REF!</v>
      </c>
      <c r="R12" s="140" t="e">
        <f t="shared" si="2"/>
        <v>#REF!</v>
      </c>
    </row>
    <row r="13" spans="1:18" x14ac:dyDescent="0.2">
      <c r="A13" s="111">
        <v>5000</v>
      </c>
      <c r="B13" s="144" t="s">
        <v>49</v>
      </c>
      <c r="C13" s="107" t="e">
        <f>#REF!</f>
        <v>#REF!</v>
      </c>
      <c r="D13" s="107" t="e">
        <f>#REF!</f>
        <v>#REF!</v>
      </c>
      <c r="E13" s="107" t="e">
        <f>#REF!</f>
        <v>#REF!</v>
      </c>
      <c r="F13" s="107" t="e">
        <f>#REF!</f>
        <v>#REF!</v>
      </c>
      <c r="G13" s="107" t="e">
        <f>#REF!</f>
        <v>#REF!</v>
      </c>
      <c r="H13" s="107" t="e">
        <f>#REF!</f>
        <v>#REF!</v>
      </c>
      <c r="I13" s="107" t="e">
        <f>#REF!</f>
        <v>#REF!</v>
      </c>
      <c r="J13" s="107" t="e">
        <f>#REF!</f>
        <v>#REF!</v>
      </c>
      <c r="K13" s="107" t="e">
        <f>#REF!</f>
        <v>#REF!</v>
      </c>
      <c r="L13" s="107" t="e">
        <f>#REF!</f>
        <v>#REF!</v>
      </c>
      <c r="M13" s="107" t="e">
        <f>#REF!</f>
        <v>#REF!</v>
      </c>
      <c r="N13" s="107" t="e">
        <f>#REF!</f>
        <v>#REF!</v>
      </c>
      <c r="O13" s="107" t="e">
        <f>#REF!</f>
        <v>#REF!</v>
      </c>
      <c r="P13" s="107"/>
      <c r="Q13" s="107" t="e">
        <f t="shared" si="1"/>
        <v>#REF!</v>
      </c>
      <c r="R13" s="140" t="e">
        <f t="shared" si="2"/>
        <v>#REF!</v>
      </c>
    </row>
    <row r="14" spans="1:18" s="126" customFormat="1" x14ac:dyDescent="0.2">
      <c r="A14" s="139">
        <v>5001</v>
      </c>
      <c r="B14" s="143" t="s">
        <v>115</v>
      </c>
      <c r="C14" s="138" t="e">
        <f>#REF!</f>
        <v>#REF!</v>
      </c>
      <c r="D14" s="138" t="e">
        <f>#REF!</f>
        <v>#REF!</v>
      </c>
      <c r="E14" s="138" t="e">
        <f>#REF!</f>
        <v>#REF!</v>
      </c>
      <c r="F14" s="138" t="e">
        <f>#REF!</f>
        <v>#REF!</v>
      </c>
      <c r="G14" s="138" t="e">
        <f>#REF!</f>
        <v>#REF!</v>
      </c>
      <c r="H14" s="138" t="e">
        <f>#REF!</f>
        <v>#REF!</v>
      </c>
      <c r="I14" s="138" t="e">
        <f>#REF!</f>
        <v>#REF!</v>
      </c>
      <c r="J14" s="138" t="e">
        <f>#REF!</f>
        <v>#REF!</v>
      </c>
      <c r="K14" s="138" t="e">
        <f>#REF!</f>
        <v>#REF!</v>
      </c>
      <c r="L14" s="138" t="e">
        <f>#REF!</f>
        <v>#REF!</v>
      </c>
      <c r="M14" s="138" t="e">
        <f>#REF!</f>
        <v>#REF!</v>
      </c>
      <c r="N14" s="138" t="e">
        <f>#REF!</f>
        <v>#REF!</v>
      </c>
      <c r="O14" s="138" t="e">
        <f>#REF!</f>
        <v>#REF!</v>
      </c>
      <c r="P14" s="138"/>
      <c r="Q14" s="138" t="e">
        <f t="shared" si="1"/>
        <v>#REF!</v>
      </c>
      <c r="R14" s="140" t="e">
        <f t="shared" si="2"/>
        <v>#REF!</v>
      </c>
    </row>
    <row r="15" spans="1:18" x14ac:dyDescent="0.2">
      <c r="A15" s="111">
        <v>5002</v>
      </c>
      <c r="B15" s="144" t="s">
        <v>85</v>
      </c>
      <c r="C15" s="107" t="e">
        <f>#REF!</f>
        <v>#REF!</v>
      </c>
      <c r="D15" s="107" t="e">
        <f>#REF!</f>
        <v>#REF!</v>
      </c>
      <c r="E15" s="107" t="e">
        <f>#REF!</f>
        <v>#REF!</v>
      </c>
      <c r="F15" s="107" t="e">
        <f>#REF!</f>
        <v>#REF!</v>
      </c>
      <c r="G15" s="107" t="e">
        <f>#REF!</f>
        <v>#REF!</v>
      </c>
      <c r="H15" s="107" t="e">
        <f>#REF!</f>
        <v>#REF!</v>
      </c>
      <c r="I15" s="107" t="e">
        <f>#REF!</f>
        <v>#REF!</v>
      </c>
      <c r="J15" s="107" t="e">
        <f>#REF!</f>
        <v>#REF!</v>
      </c>
      <c r="K15" s="107" t="e">
        <f>#REF!</f>
        <v>#REF!</v>
      </c>
      <c r="L15" s="107" t="e">
        <f>#REF!</f>
        <v>#REF!</v>
      </c>
      <c r="M15" s="107" t="e">
        <f>#REF!</f>
        <v>#REF!</v>
      </c>
      <c r="N15" s="107" t="e">
        <f>#REF!</f>
        <v>#REF!</v>
      </c>
      <c r="O15" s="107" t="e">
        <f>#REF!</f>
        <v>#REF!</v>
      </c>
      <c r="P15" s="107"/>
      <c r="Q15" s="107" t="e">
        <f t="shared" si="1"/>
        <v>#REF!</v>
      </c>
      <c r="R15" s="140" t="e">
        <f t="shared" si="2"/>
        <v>#REF!</v>
      </c>
    </row>
    <row r="16" spans="1:18" s="126" customFormat="1" x14ac:dyDescent="0.2">
      <c r="A16" s="139">
        <v>5003</v>
      </c>
      <c r="B16" s="143" t="s">
        <v>116</v>
      </c>
      <c r="C16" s="138" t="e">
        <f>#REF!</f>
        <v>#REF!</v>
      </c>
      <c r="D16" s="138" t="e">
        <f>#REF!</f>
        <v>#REF!</v>
      </c>
      <c r="E16" s="138" t="e">
        <f>#REF!</f>
        <v>#REF!</v>
      </c>
      <c r="F16" s="138" t="e">
        <f>#REF!</f>
        <v>#REF!</v>
      </c>
      <c r="G16" s="138" t="e">
        <f>#REF!</f>
        <v>#REF!</v>
      </c>
      <c r="H16" s="138" t="e">
        <f>#REF!</f>
        <v>#REF!</v>
      </c>
      <c r="I16" s="138" t="e">
        <f>#REF!</f>
        <v>#REF!</v>
      </c>
      <c r="J16" s="138" t="e">
        <f>#REF!</f>
        <v>#REF!</v>
      </c>
      <c r="K16" s="138" t="e">
        <f>#REF!</f>
        <v>#REF!</v>
      </c>
      <c r="L16" s="138" t="e">
        <f>#REF!</f>
        <v>#REF!</v>
      </c>
      <c r="M16" s="138" t="e">
        <f>#REF!</f>
        <v>#REF!</v>
      </c>
      <c r="N16" s="138" t="e">
        <f>#REF!</f>
        <v>#REF!</v>
      </c>
      <c r="O16" s="138" t="e">
        <f>#REF!</f>
        <v>#REF!</v>
      </c>
      <c r="P16" s="138"/>
      <c r="Q16" s="138" t="e">
        <f t="shared" si="1"/>
        <v>#REF!</v>
      </c>
      <c r="R16" s="140" t="e">
        <f t="shared" si="2"/>
        <v>#REF!</v>
      </c>
    </row>
    <row r="17" spans="1:19" x14ac:dyDescent="0.2">
      <c r="A17" s="119" t="e">
        <f>#REF!</f>
        <v>#REF!</v>
      </c>
      <c r="B17" s="144" t="e">
        <f>#REF!</f>
        <v>#REF!</v>
      </c>
      <c r="C17" s="107" t="e">
        <f>#REF!</f>
        <v>#REF!</v>
      </c>
      <c r="D17" s="107" t="e">
        <f>#REF!</f>
        <v>#REF!</v>
      </c>
      <c r="E17" s="107" t="e">
        <f>#REF!</f>
        <v>#REF!</v>
      </c>
      <c r="F17" s="107" t="e">
        <f>#REF!</f>
        <v>#REF!</v>
      </c>
      <c r="G17" s="107" t="e">
        <f>#REF!</f>
        <v>#REF!</v>
      </c>
      <c r="H17" s="107" t="e">
        <f>#REF!</f>
        <v>#REF!</v>
      </c>
      <c r="I17" s="107" t="e">
        <f>#REF!</f>
        <v>#REF!</v>
      </c>
      <c r="J17" s="107" t="e">
        <f>#REF!</f>
        <v>#REF!</v>
      </c>
      <c r="K17" s="107" t="e">
        <f>#REF!</f>
        <v>#REF!</v>
      </c>
      <c r="L17" s="107" t="e">
        <f>#REF!</f>
        <v>#REF!</v>
      </c>
      <c r="M17" s="107" t="e">
        <f>#REF!</f>
        <v>#REF!</v>
      </c>
      <c r="N17" s="107" t="e">
        <f>#REF!</f>
        <v>#REF!</v>
      </c>
      <c r="O17" s="107" t="e">
        <f>#REF!</f>
        <v>#REF!</v>
      </c>
      <c r="P17" s="107"/>
      <c r="Q17" s="107" t="e">
        <f t="shared" si="1"/>
        <v>#REF!</v>
      </c>
      <c r="R17" s="140" t="e">
        <f t="shared" si="2"/>
        <v>#REF!</v>
      </c>
    </row>
    <row r="18" spans="1:19" s="126" customFormat="1" x14ac:dyDescent="0.2">
      <c r="A18" s="139">
        <v>5004</v>
      </c>
      <c r="B18" s="143" t="s">
        <v>91</v>
      </c>
      <c r="C18" s="138" t="e">
        <f>#REF!</f>
        <v>#REF!</v>
      </c>
      <c r="D18" s="138" t="e">
        <f>#REF!</f>
        <v>#REF!</v>
      </c>
      <c r="E18" s="138" t="e">
        <f>#REF!</f>
        <v>#REF!</v>
      </c>
      <c r="F18" s="138" t="e">
        <f>#REF!</f>
        <v>#REF!</v>
      </c>
      <c r="G18" s="138" t="e">
        <f>#REF!</f>
        <v>#REF!</v>
      </c>
      <c r="H18" s="138" t="e">
        <f>#REF!</f>
        <v>#REF!</v>
      </c>
      <c r="I18" s="138" t="e">
        <f>#REF!</f>
        <v>#REF!</v>
      </c>
      <c r="J18" s="138" t="e">
        <f>#REF!</f>
        <v>#REF!</v>
      </c>
      <c r="K18" s="138" t="e">
        <f>#REF!</f>
        <v>#REF!</v>
      </c>
      <c r="L18" s="138" t="e">
        <f>#REF!</f>
        <v>#REF!</v>
      </c>
      <c r="M18" s="138" t="e">
        <f>#REF!</f>
        <v>#REF!</v>
      </c>
      <c r="N18" s="138" t="e">
        <f>#REF!</f>
        <v>#REF!</v>
      </c>
      <c r="O18" s="138" t="e">
        <f>#REF!</f>
        <v>#REF!</v>
      </c>
      <c r="P18" s="138"/>
      <c r="Q18" s="138" t="e">
        <f t="shared" si="1"/>
        <v>#REF!</v>
      </c>
      <c r="R18" s="140" t="e">
        <f t="shared" si="2"/>
        <v>#REF!</v>
      </c>
    </row>
    <row r="19" spans="1:19" x14ac:dyDescent="0.2">
      <c r="A19" s="111">
        <v>5005</v>
      </c>
      <c r="B19" s="144" t="s">
        <v>84</v>
      </c>
      <c r="C19" s="107" t="e">
        <f>#REF!</f>
        <v>#REF!</v>
      </c>
      <c r="D19" s="107" t="e">
        <f>#REF!</f>
        <v>#REF!</v>
      </c>
      <c r="E19" s="107" t="e">
        <f>#REF!</f>
        <v>#REF!</v>
      </c>
      <c r="F19" s="107" t="e">
        <f>#REF!</f>
        <v>#REF!</v>
      </c>
      <c r="G19" s="107" t="e">
        <f>#REF!</f>
        <v>#REF!</v>
      </c>
      <c r="H19" s="107" t="e">
        <f>#REF!</f>
        <v>#REF!</v>
      </c>
      <c r="I19" s="107" t="e">
        <f>#REF!</f>
        <v>#REF!</v>
      </c>
      <c r="J19" s="107" t="e">
        <f>#REF!</f>
        <v>#REF!</v>
      </c>
      <c r="K19" s="107" t="e">
        <f>#REF!</f>
        <v>#REF!</v>
      </c>
      <c r="L19" s="107" t="e">
        <f>#REF!</f>
        <v>#REF!</v>
      </c>
      <c r="M19" s="107" t="e">
        <f>#REF!</f>
        <v>#REF!</v>
      </c>
      <c r="N19" s="107" t="e">
        <f>#REF!</f>
        <v>#REF!</v>
      </c>
      <c r="O19" s="107" t="e">
        <f>#REF!</f>
        <v>#REF!</v>
      </c>
      <c r="P19" s="107"/>
      <c r="Q19" s="107" t="e">
        <f t="shared" si="1"/>
        <v>#REF!</v>
      </c>
      <c r="R19" s="140" t="e">
        <f t="shared" si="2"/>
        <v>#REF!</v>
      </c>
    </row>
    <row r="20" spans="1:19" s="126" customFormat="1" x14ac:dyDescent="0.2">
      <c r="A20" s="139">
        <v>5006</v>
      </c>
      <c r="B20" s="143" t="s">
        <v>80</v>
      </c>
      <c r="C20" s="138" t="e">
        <f>#REF!</f>
        <v>#REF!</v>
      </c>
      <c r="D20" s="138" t="e">
        <f>#REF!</f>
        <v>#REF!</v>
      </c>
      <c r="E20" s="138" t="e">
        <f>#REF!</f>
        <v>#REF!</v>
      </c>
      <c r="F20" s="138" t="e">
        <f>#REF!</f>
        <v>#REF!</v>
      </c>
      <c r="G20" s="138" t="e">
        <f>#REF!</f>
        <v>#REF!</v>
      </c>
      <c r="H20" s="138" t="e">
        <f>#REF!</f>
        <v>#REF!</v>
      </c>
      <c r="I20" s="138" t="e">
        <f>#REF!</f>
        <v>#REF!</v>
      </c>
      <c r="J20" s="138" t="e">
        <f>#REF!</f>
        <v>#REF!</v>
      </c>
      <c r="K20" s="138" t="e">
        <f>#REF!</f>
        <v>#REF!</v>
      </c>
      <c r="L20" s="138" t="e">
        <f>#REF!</f>
        <v>#REF!</v>
      </c>
      <c r="M20" s="138" t="e">
        <f>#REF!</f>
        <v>#REF!</v>
      </c>
      <c r="N20" s="138" t="e">
        <f>#REF!</f>
        <v>#REF!</v>
      </c>
      <c r="O20" s="138" t="e">
        <f>#REF!</f>
        <v>#REF!</v>
      </c>
      <c r="P20" s="138"/>
      <c r="Q20" s="138" t="e">
        <f t="shared" si="1"/>
        <v>#REF!</v>
      </c>
      <c r="R20" s="140" t="e">
        <f t="shared" si="2"/>
        <v>#REF!</v>
      </c>
    </row>
    <row r="21" spans="1:19" x14ac:dyDescent="0.2">
      <c r="A21" s="111">
        <v>5007</v>
      </c>
      <c r="B21" s="144" t="s">
        <v>81</v>
      </c>
      <c r="C21" s="107" t="e">
        <f>#REF!+P21</f>
        <v>#REF!</v>
      </c>
      <c r="D21" s="107" t="e">
        <f>#REF!</f>
        <v>#REF!</v>
      </c>
      <c r="E21" s="107" t="e">
        <f>#REF!</f>
        <v>#REF!</v>
      </c>
      <c r="F21" s="107" t="e">
        <f>#REF!</f>
        <v>#REF!</v>
      </c>
      <c r="G21" s="107" t="e">
        <f>#REF!</f>
        <v>#REF!</v>
      </c>
      <c r="H21" s="107" t="e">
        <f>#REF!</f>
        <v>#REF!</v>
      </c>
      <c r="I21" s="107" t="e">
        <f>#REF!</f>
        <v>#REF!</v>
      </c>
      <c r="J21" s="107" t="e">
        <f>#REF!</f>
        <v>#REF!</v>
      </c>
      <c r="K21" s="107" t="e">
        <f>#REF!</f>
        <v>#REF!</v>
      </c>
      <c r="L21" s="107" t="e">
        <f>#REF!</f>
        <v>#REF!</v>
      </c>
      <c r="M21" s="107" t="e">
        <f>#REF!</f>
        <v>#REF!</v>
      </c>
      <c r="N21" s="107" t="e">
        <f>#REF!</f>
        <v>#REF!</v>
      </c>
      <c r="O21" s="107" t="e">
        <f>#REF!</f>
        <v>#REF!</v>
      </c>
      <c r="P21" s="107"/>
      <c r="Q21" s="107" t="e">
        <f t="shared" si="1"/>
        <v>#REF!</v>
      </c>
      <c r="R21" s="140" t="e">
        <f t="shared" si="2"/>
        <v>#REF!</v>
      </c>
    </row>
    <row r="22" spans="1:19" s="126" customFormat="1" x14ac:dyDescent="0.2">
      <c r="A22" s="139">
        <v>5008</v>
      </c>
      <c r="B22" s="143" t="s">
        <v>92</v>
      </c>
      <c r="C22" s="138" t="e">
        <f>#REF!</f>
        <v>#REF!</v>
      </c>
      <c r="D22" s="138" t="e">
        <f>#REF!</f>
        <v>#REF!</v>
      </c>
      <c r="E22" s="138" t="e">
        <f>#REF!</f>
        <v>#REF!</v>
      </c>
      <c r="F22" s="138" t="e">
        <f>#REF!</f>
        <v>#REF!</v>
      </c>
      <c r="G22" s="138" t="e">
        <f>#REF!</f>
        <v>#REF!</v>
      </c>
      <c r="H22" s="138" t="e">
        <f>#REF!</f>
        <v>#REF!</v>
      </c>
      <c r="I22" s="138" t="e">
        <f>#REF!</f>
        <v>#REF!</v>
      </c>
      <c r="J22" s="138" t="e">
        <f>#REF!</f>
        <v>#REF!</v>
      </c>
      <c r="K22" s="138" t="e">
        <f>#REF!</f>
        <v>#REF!</v>
      </c>
      <c r="L22" s="138" t="e">
        <f>#REF!</f>
        <v>#REF!</v>
      </c>
      <c r="M22" s="138" t="e">
        <f>#REF!</f>
        <v>#REF!</v>
      </c>
      <c r="N22" s="138" t="e">
        <f>#REF!</f>
        <v>#REF!</v>
      </c>
      <c r="O22" s="138" t="e">
        <f>#REF!</f>
        <v>#REF!</v>
      </c>
      <c r="P22" s="138"/>
      <c r="Q22" s="138" t="e">
        <f t="shared" si="1"/>
        <v>#REF!</v>
      </c>
      <c r="R22" s="140" t="e">
        <f t="shared" si="2"/>
        <v>#REF!</v>
      </c>
    </row>
    <row r="23" spans="1:19" x14ac:dyDescent="0.2">
      <c r="A23" s="111">
        <v>5009</v>
      </c>
      <c r="B23" s="144" t="s">
        <v>10</v>
      </c>
      <c r="C23" s="107" t="e">
        <f>#REF!</f>
        <v>#REF!</v>
      </c>
      <c r="D23" s="107" t="e">
        <f>#REF!</f>
        <v>#REF!</v>
      </c>
      <c r="E23" s="107" t="e">
        <f>#REF!</f>
        <v>#REF!</v>
      </c>
      <c r="F23" s="107" t="e">
        <f>#REF!</f>
        <v>#REF!</v>
      </c>
      <c r="G23" s="107" t="e">
        <f>#REF!</f>
        <v>#REF!</v>
      </c>
      <c r="H23" s="107" t="e">
        <f>#REF!</f>
        <v>#REF!</v>
      </c>
      <c r="I23" s="107" t="e">
        <f>#REF!</f>
        <v>#REF!</v>
      </c>
      <c r="J23" s="107" t="e">
        <f>#REF!</f>
        <v>#REF!</v>
      </c>
      <c r="K23" s="107" t="e">
        <f>#REF!</f>
        <v>#REF!</v>
      </c>
      <c r="L23" s="107" t="e">
        <f>#REF!</f>
        <v>#REF!</v>
      </c>
      <c r="M23" s="107" t="e">
        <f>#REF!</f>
        <v>#REF!</v>
      </c>
      <c r="N23" s="107" t="e">
        <f>#REF!</f>
        <v>#REF!</v>
      </c>
      <c r="O23" s="107" t="e">
        <f>#REF!</f>
        <v>#REF!</v>
      </c>
      <c r="P23" s="107"/>
      <c r="Q23" s="107" t="e">
        <f t="shared" si="1"/>
        <v>#REF!</v>
      </c>
      <c r="R23" s="140" t="e">
        <f t="shared" si="2"/>
        <v>#REF!</v>
      </c>
    </row>
    <row r="24" spans="1:19" s="126" customFormat="1" x14ac:dyDescent="0.2">
      <c r="A24" s="139">
        <v>5010</v>
      </c>
      <c r="B24" s="143" t="s">
        <v>156</v>
      </c>
      <c r="C24" s="138" t="e">
        <f>#REF!</f>
        <v>#REF!</v>
      </c>
      <c r="D24" s="138" t="e">
        <f>#REF!</f>
        <v>#REF!</v>
      </c>
      <c r="E24" s="138" t="e">
        <f>#REF!</f>
        <v>#REF!</v>
      </c>
      <c r="F24" s="138" t="e">
        <f>#REF!</f>
        <v>#REF!</v>
      </c>
      <c r="G24" s="138" t="e">
        <f>#REF!</f>
        <v>#REF!</v>
      </c>
      <c r="H24" s="138" t="e">
        <f>#REF!</f>
        <v>#REF!</v>
      </c>
      <c r="I24" s="138" t="e">
        <f>#REF!</f>
        <v>#REF!</v>
      </c>
      <c r="J24" s="138" t="e">
        <f>#REF!</f>
        <v>#REF!</v>
      </c>
      <c r="K24" s="138" t="e">
        <f>#REF!</f>
        <v>#REF!</v>
      </c>
      <c r="L24" s="138" t="e">
        <f>#REF!</f>
        <v>#REF!</v>
      </c>
      <c r="M24" s="138" t="e">
        <f>#REF!</f>
        <v>#REF!</v>
      </c>
      <c r="N24" s="138" t="e">
        <f>#REF!</f>
        <v>#REF!</v>
      </c>
      <c r="O24" s="138" t="e">
        <f>#REF!</f>
        <v>#REF!</v>
      </c>
      <c r="P24" s="138"/>
      <c r="Q24" s="138" t="e">
        <f t="shared" si="1"/>
        <v>#REF!</v>
      </c>
      <c r="R24" s="140" t="e">
        <f t="shared" si="2"/>
        <v>#REF!</v>
      </c>
    </row>
    <row r="25" spans="1:19" x14ac:dyDescent="0.2">
      <c r="A25" s="111">
        <v>5011</v>
      </c>
      <c r="B25" s="144" t="e">
        <f>+#REF!</f>
        <v>#REF!</v>
      </c>
      <c r="C25" s="107" t="e">
        <f>#REF!+P25</f>
        <v>#REF!</v>
      </c>
      <c r="D25" s="107" t="e">
        <f>#REF!</f>
        <v>#REF!</v>
      </c>
      <c r="E25" s="107" t="e">
        <f>#REF!</f>
        <v>#REF!</v>
      </c>
      <c r="F25" s="107" t="e">
        <f>#REF!</f>
        <v>#REF!</v>
      </c>
      <c r="G25" s="107" t="e">
        <f>#REF!</f>
        <v>#REF!</v>
      </c>
      <c r="H25" s="107" t="e">
        <f>#REF!</f>
        <v>#REF!</v>
      </c>
      <c r="I25" s="107" t="e">
        <f>#REF!</f>
        <v>#REF!</v>
      </c>
      <c r="J25" s="107" t="e">
        <f>#REF!</f>
        <v>#REF!</v>
      </c>
      <c r="K25" s="107" t="e">
        <f>#REF!</f>
        <v>#REF!</v>
      </c>
      <c r="L25" s="107" t="e">
        <f>#REF!</f>
        <v>#REF!</v>
      </c>
      <c r="M25" s="107" t="e">
        <f>#REF!</f>
        <v>#REF!</v>
      </c>
      <c r="N25" s="107" t="e">
        <f>#REF!</f>
        <v>#REF!</v>
      </c>
      <c r="O25" s="107" t="e">
        <f>#REF!</f>
        <v>#REF!</v>
      </c>
      <c r="P25" s="107"/>
      <c r="Q25" s="107" t="e">
        <f t="shared" si="1"/>
        <v>#REF!</v>
      </c>
      <c r="R25" s="140" t="e">
        <f t="shared" si="2"/>
        <v>#REF!</v>
      </c>
    </row>
    <row r="26" spans="1:19" s="126" customFormat="1" x14ac:dyDescent="0.2">
      <c r="A26" s="139">
        <v>5013</v>
      </c>
      <c r="B26" s="143" t="s">
        <v>82</v>
      </c>
      <c r="C26" s="138" t="e">
        <f>#REF!</f>
        <v>#REF!</v>
      </c>
      <c r="D26" s="138" t="e">
        <f>#REF!</f>
        <v>#REF!</v>
      </c>
      <c r="E26" s="138" t="e">
        <f>#REF!</f>
        <v>#REF!</v>
      </c>
      <c r="F26" s="138" t="e">
        <f>#REF!</f>
        <v>#REF!</v>
      </c>
      <c r="G26" s="138" t="e">
        <f>#REF!</f>
        <v>#REF!</v>
      </c>
      <c r="H26" s="138" t="e">
        <f>#REF!</f>
        <v>#REF!</v>
      </c>
      <c r="I26" s="138" t="e">
        <f>#REF!</f>
        <v>#REF!</v>
      </c>
      <c r="J26" s="138" t="e">
        <f>#REF!</f>
        <v>#REF!</v>
      </c>
      <c r="K26" s="138" t="e">
        <f>#REF!</f>
        <v>#REF!</v>
      </c>
      <c r="L26" s="138" t="e">
        <f>#REF!</f>
        <v>#REF!</v>
      </c>
      <c r="M26" s="138" t="e">
        <f>#REF!</f>
        <v>#REF!</v>
      </c>
      <c r="N26" s="138" t="e">
        <f>#REF!</f>
        <v>#REF!</v>
      </c>
      <c r="O26" s="138" t="e">
        <f>#REF!</f>
        <v>#REF!</v>
      </c>
      <c r="P26" s="138"/>
      <c r="Q26" s="138" t="e">
        <f t="shared" si="1"/>
        <v>#REF!</v>
      </c>
      <c r="R26" s="140" t="e">
        <f t="shared" si="2"/>
        <v>#REF!</v>
      </c>
    </row>
    <row r="27" spans="1:19" x14ac:dyDescent="0.2">
      <c r="A27" s="111">
        <v>5015</v>
      </c>
      <c r="B27" s="144" t="s">
        <v>83</v>
      </c>
      <c r="C27" s="107" t="e">
        <f>#REF!+P27</f>
        <v>#REF!</v>
      </c>
      <c r="D27" s="107" t="e">
        <f>#REF!</f>
        <v>#REF!</v>
      </c>
      <c r="E27" s="107" t="e">
        <f>#REF!</f>
        <v>#REF!</v>
      </c>
      <c r="F27" s="107" t="e">
        <f>#REF!</f>
        <v>#REF!</v>
      </c>
      <c r="G27" s="107" t="e">
        <f>#REF!</f>
        <v>#REF!</v>
      </c>
      <c r="H27" s="107" t="e">
        <f>#REF!</f>
        <v>#REF!</v>
      </c>
      <c r="I27" s="107" t="e">
        <f>#REF!</f>
        <v>#REF!</v>
      </c>
      <c r="J27" s="107" t="e">
        <f>#REF!</f>
        <v>#REF!</v>
      </c>
      <c r="K27" s="107" t="e">
        <f>#REF!</f>
        <v>#REF!</v>
      </c>
      <c r="L27" s="107" t="e">
        <f>#REF!</f>
        <v>#REF!</v>
      </c>
      <c r="M27" s="107" t="e">
        <f>#REF!</f>
        <v>#REF!</v>
      </c>
      <c r="N27" s="107" t="e">
        <f>#REF!</f>
        <v>#REF!</v>
      </c>
      <c r="O27" s="107" t="e">
        <f>#REF!</f>
        <v>#REF!</v>
      </c>
      <c r="P27" s="107" t="e">
        <f>-P46-P48-P50-P52</f>
        <v>#REF!</v>
      </c>
      <c r="Q27" s="107" t="e">
        <f t="shared" si="1"/>
        <v>#REF!</v>
      </c>
      <c r="R27" s="140" t="e">
        <f t="shared" si="2"/>
        <v>#REF!</v>
      </c>
    </row>
    <row r="28" spans="1:19" s="126" customFormat="1" x14ac:dyDescent="0.2">
      <c r="A28" s="139">
        <v>5016</v>
      </c>
      <c r="B28" s="143" t="s">
        <v>11</v>
      </c>
      <c r="C28" s="138" t="e">
        <f>#REF!+P28</f>
        <v>#REF!</v>
      </c>
      <c r="D28" s="138" t="e">
        <f>#REF!</f>
        <v>#REF!</v>
      </c>
      <c r="E28" s="138" t="e">
        <f>#REF!</f>
        <v>#REF!</v>
      </c>
      <c r="F28" s="138" t="e">
        <f>#REF!</f>
        <v>#REF!</v>
      </c>
      <c r="G28" s="138" t="e">
        <f>#REF!</f>
        <v>#REF!</v>
      </c>
      <c r="H28" s="138" t="e">
        <f>#REF!</f>
        <v>#REF!</v>
      </c>
      <c r="I28" s="138" t="e">
        <f>#REF!</f>
        <v>#REF!</v>
      </c>
      <c r="J28" s="138" t="e">
        <f>#REF!</f>
        <v>#REF!</v>
      </c>
      <c r="K28" s="138" t="e">
        <f>#REF!</f>
        <v>#REF!</v>
      </c>
      <c r="L28" s="138" t="e">
        <f>#REF!</f>
        <v>#REF!</v>
      </c>
      <c r="M28" s="138" t="e">
        <f>#REF!</f>
        <v>#REF!</v>
      </c>
      <c r="N28" s="138" t="e">
        <f>#REF!</f>
        <v>#REF!</v>
      </c>
      <c r="O28" s="138" t="e">
        <f>#REF!</f>
        <v>#REF!</v>
      </c>
      <c r="P28" s="138"/>
      <c r="Q28" s="138" t="e">
        <f t="shared" si="1"/>
        <v>#REF!</v>
      </c>
      <c r="R28" s="140" t="e">
        <f t="shared" si="2"/>
        <v>#REF!</v>
      </c>
    </row>
    <row r="29" spans="1:19" x14ac:dyDescent="0.2">
      <c r="A29" s="111">
        <v>5020</v>
      </c>
      <c r="B29" s="144" t="s">
        <v>117</v>
      </c>
      <c r="C29" s="107" t="e">
        <f>#REF!+P29</f>
        <v>#REF!</v>
      </c>
      <c r="D29" s="107" t="e">
        <f>#REF!</f>
        <v>#REF!</v>
      </c>
      <c r="E29" s="107" t="e">
        <f>#REF!</f>
        <v>#REF!</v>
      </c>
      <c r="F29" s="107" t="e">
        <f>#REF!</f>
        <v>#REF!</v>
      </c>
      <c r="G29" s="107" t="e">
        <f>#REF!</f>
        <v>#REF!</v>
      </c>
      <c r="H29" s="107" t="e">
        <f>#REF!</f>
        <v>#REF!</v>
      </c>
      <c r="I29" s="107" t="e">
        <f>#REF!</f>
        <v>#REF!</v>
      </c>
      <c r="J29" s="107" t="e">
        <f>#REF!</f>
        <v>#REF!</v>
      </c>
      <c r="K29" s="107" t="e">
        <f>#REF!</f>
        <v>#REF!</v>
      </c>
      <c r="L29" s="107" t="e">
        <f>#REF!</f>
        <v>#REF!</v>
      </c>
      <c r="M29" s="107" t="e">
        <f>#REF!</f>
        <v>#REF!</v>
      </c>
      <c r="N29" s="107" t="e">
        <f>#REF!</f>
        <v>#REF!</v>
      </c>
      <c r="O29" s="107" t="e">
        <f>#REF!</f>
        <v>#REF!</v>
      </c>
      <c r="P29" s="107"/>
      <c r="Q29" s="107" t="e">
        <f t="shared" si="1"/>
        <v>#REF!</v>
      </c>
      <c r="R29" s="140" t="e">
        <f t="shared" si="2"/>
        <v>#REF!</v>
      </c>
    </row>
    <row r="30" spans="1:19" s="126" customFormat="1" x14ac:dyDescent="0.2">
      <c r="A30" s="139">
        <v>9000</v>
      </c>
      <c r="B30" s="143" t="s">
        <v>24</v>
      </c>
      <c r="C30" s="141" t="e">
        <f>#REF!+P30</f>
        <v>#REF!</v>
      </c>
      <c r="D30" s="141" t="e">
        <f>#REF!</f>
        <v>#REF!</v>
      </c>
      <c r="E30" s="141" t="e">
        <f>#REF!</f>
        <v>#REF!</v>
      </c>
      <c r="F30" s="141" t="e">
        <f>#REF!</f>
        <v>#REF!</v>
      </c>
      <c r="G30" s="141" t="e">
        <f>#REF!</f>
        <v>#REF!</v>
      </c>
      <c r="H30" s="141" t="e">
        <f>#REF!</f>
        <v>#REF!</v>
      </c>
      <c r="I30" s="141" t="e">
        <f>#REF!</f>
        <v>#REF!</v>
      </c>
      <c r="J30" s="141" t="e">
        <f>#REF!</f>
        <v>#REF!</v>
      </c>
      <c r="K30" s="141" t="e">
        <f>#REF!</f>
        <v>#REF!</v>
      </c>
      <c r="L30" s="141" t="e">
        <f>#REF!</f>
        <v>#REF!</v>
      </c>
      <c r="M30" s="141" t="e">
        <f>#REF!</f>
        <v>#REF!</v>
      </c>
      <c r="N30" s="141" t="e">
        <f>#REF!</f>
        <v>#REF!</v>
      </c>
      <c r="O30" s="141" t="e">
        <f>#REF!</f>
        <v>#REF!</v>
      </c>
      <c r="P30" s="141" t="e">
        <f>ROUND('A3'!D47,0)</f>
        <v>#REF!</v>
      </c>
      <c r="Q30" s="141" t="e">
        <f t="shared" si="1"/>
        <v>#REF!</v>
      </c>
      <c r="R30" s="140" t="e">
        <f t="shared" si="2"/>
        <v>#REF!</v>
      </c>
    </row>
    <row r="31" spans="1:19" s="126" customFormat="1" x14ac:dyDescent="0.2">
      <c r="B31" s="143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40"/>
    </row>
    <row r="32" spans="1:19" s="104" customFormat="1" x14ac:dyDescent="0.2">
      <c r="A32" s="105"/>
      <c r="B32" s="145" t="s">
        <v>110</v>
      </c>
      <c r="C32" s="110" t="e">
        <f t="shared" ref="C32:R32" si="3">-SUM(C7:C31)</f>
        <v>#REF!</v>
      </c>
      <c r="D32" s="110" t="e">
        <f t="shared" si="3"/>
        <v>#REF!</v>
      </c>
      <c r="E32" s="110" t="e">
        <f t="shared" si="3"/>
        <v>#REF!</v>
      </c>
      <c r="F32" s="110" t="e">
        <f t="shared" si="3"/>
        <v>#REF!</v>
      </c>
      <c r="G32" s="110" t="e">
        <f t="shared" si="3"/>
        <v>#REF!</v>
      </c>
      <c r="H32" s="110" t="e">
        <f t="shared" si="3"/>
        <v>#REF!</v>
      </c>
      <c r="I32" s="110" t="e">
        <f t="shared" si="3"/>
        <v>#REF!</v>
      </c>
      <c r="J32" s="110" t="e">
        <f t="shared" si="3"/>
        <v>#REF!</v>
      </c>
      <c r="K32" s="110" t="e">
        <f t="shared" si="3"/>
        <v>#REF!</v>
      </c>
      <c r="L32" s="110" t="e">
        <f t="shared" si="3"/>
        <v>#REF!</v>
      </c>
      <c r="M32" s="110" t="e">
        <f t="shared" si="3"/>
        <v>#REF!</v>
      </c>
      <c r="N32" s="110" t="e">
        <f t="shared" si="3"/>
        <v>#REF!</v>
      </c>
      <c r="O32" s="110" t="e">
        <f t="shared" si="3"/>
        <v>#REF!</v>
      </c>
      <c r="P32" s="110" t="e">
        <f t="shared" si="3"/>
        <v>#REF!</v>
      </c>
      <c r="Q32" s="110" t="e">
        <f t="shared" si="3"/>
        <v>#REF!</v>
      </c>
      <c r="R32" s="110" t="e">
        <f t="shared" si="3"/>
        <v>#REF!</v>
      </c>
      <c r="S32" s="110"/>
    </row>
    <row r="33" spans="1:18" s="126" customFormat="1" x14ac:dyDescent="0.2">
      <c r="B33" s="143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</row>
    <row r="34" spans="1:18" s="126" customFormat="1" x14ac:dyDescent="0.2">
      <c r="A34" s="139">
        <v>1000</v>
      </c>
      <c r="B34" s="143" t="s">
        <v>103</v>
      </c>
      <c r="C34" s="138" t="e">
        <f>#REF!</f>
        <v>#REF!</v>
      </c>
      <c r="D34" s="138" t="e">
        <f>#REF!</f>
        <v>#REF!</v>
      </c>
      <c r="E34" s="138" t="e">
        <f>#REF!</f>
        <v>#REF!</v>
      </c>
      <c r="F34" s="138" t="e">
        <f>#REF!</f>
        <v>#REF!</v>
      </c>
      <c r="G34" s="138" t="e">
        <f>#REF!</f>
        <v>#REF!</v>
      </c>
      <c r="H34" s="138" t="e">
        <f>#REF!</f>
        <v>#REF!</v>
      </c>
      <c r="I34" s="138" t="e">
        <f>#REF!</f>
        <v>#REF!</v>
      </c>
      <c r="J34" s="138" t="e">
        <f>#REF!</f>
        <v>#REF!</v>
      </c>
      <c r="K34" s="138" t="e">
        <f>#REF!</f>
        <v>#REF!</v>
      </c>
      <c r="L34" s="138" t="e">
        <f>#REF!</f>
        <v>#REF!</v>
      </c>
      <c r="M34" s="138" t="e">
        <f>#REF!</f>
        <v>#REF!</v>
      </c>
      <c r="N34" s="138" t="e">
        <f>#REF!</f>
        <v>#REF!</v>
      </c>
      <c r="O34" s="138" t="e">
        <f>#REF!</f>
        <v>#REF!</v>
      </c>
      <c r="P34" s="138"/>
      <c r="Q34" s="138" t="e">
        <f t="shared" ref="Q34:Q53" si="4">C34</f>
        <v>#REF!</v>
      </c>
      <c r="R34" s="138"/>
    </row>
    <row r="35" spans="1:18" s="126" customFormat="1" x14ac:dyDescent="0.2">
      <c r="A35" s="139">
        <v>1100</v>
      </c>
      <c r="B35" s="143" t="s">
        <v>86</v>
      </c>
      <c r="C35" s="138" t="e">
        <f>#REF!+P35</f>
        <v>#REF!</v>
      </c>
      <c r="D35" s="138" t="e">
        <f>#REF!</f>
        <v>#REF!</v>
      </c>
      <c r="E35" s="138" t="e">
        <f>#REF!</f>
        <v>#REF!</v>
      </c>
      <c r="F35" s="138" t="e">
        <f>#REF!</f>
        <v>#REF!</v>
      </c>
      <c r="G35" s="138" t="e">
        <f>#REF!</f>
        <v>#REF!</v>
      </c>
      <c r="H35" s="138" t="e">
        <f>#REF!</f>
        <v>#REF!</v>
      </c>
      <c r="I35" s="138" t="e">
        <f>#REF!</f>
        <v>#REF!</v>
      </c>
      <c r="J35" s="138" t="e">
        <f>#REF!</f>
        <v>#REF!</v>
      </c>
      <c r="K35" s="138" t="e">
        <f>#REF!</f>
        <v>#REF!</v>
      </c>
      <c r="L35" s="138" t="e">
        <f>#REF!</f>
        <v>#REF!</v>
      </c>
      <c r="M35" s="138" t="e">
        <f>#REF!</f>
        <v>#REF!</v>
      </c>
      <c r="N35" s="138" t="e">
        <f>#REF!</f>
        <v>#REF!</v>
      </c>
      <c r="O35" s="138" t="e">
        <f>#REF!</f>
        <v>#REF!</v>
      </c>
      <c r="P35" s="138"/>
      <c r="Q35" s="138" t="e">
        <f t="shared" si="4"/>
        <v>#REF!</v>
      </c>
      <c r="R35" s="138"/>
    </row>
    <row r="36" spans="1:18" s="126" customFormat="1" x14ac:dyDescent="0.2">
      <c r="A36" s="139" t="e">
        <f>#REF!</f>
        <v>#REF!</v>
      </c>
      <c r="B36" s="143" t="e">
        <f>#REF!</f>
        <v>#REF!</v>
      </c>
      <c r="C36" s="138" t="e">
        <f>#REF!</f>
        <v>#REF!</v>
      </c>
      <c r="D36" s="138" t="e">
        <f>#REF!</f>
        <v>#REF!</v>
      </c>
      <c r="E36" s="138" t="e">
        <f>#REF!</f>
        <v>#REF!</v>
      </c>
      <c r="F36" s="138" t="e">
        <f>#REF!</f>
        <v>#REF!</v>
      </c>
      <c r="G36" s="138" t="e">
        <f>#REF!</f>
        <v>#REF!</v>
      </c>
      <c r="H36" s="138" t="e">
        <f>#REF!</f>
        <v>#REF!</v>
      </c>
      <c r="I36" s="138" t="e">
        <f>#REF!</f>
        <v>#REF!</v>
      </c>
      <c r="J36" s="138" t="e">
        <f>#REF!</f>
        <v>#REF!</v>
      </c>
      <c r="K36" s="138" t="e">
        <f>#REF!</f>
        <v>#REF!</v>
      </c>
      <c r="L36" s="138" t="e">
        <f>#REF!</f>
        <v>#REF!</v>
      </c>
      <c r="M36" s="138" t="e">
        <f>#REF!</f>
        <v>#REF!</v>
      </c>
      <c r="N36" s="138" t="e">
        <f>#REF!</f>
        <v>#REF!</v>
      </c>
      <c r="O36" s="138" t="e">
        <f>#REF!</f>
        <v>#REF!</v>
      </c>
      <c r="P36" s="138"/>
      <c r="Q36" s="138" t="e">
        <f t="shared" si="4"/>
        <v>#REF!</v>
      </c>
      <c r="R36" s="138"/>
    </row>
    <row r="37" spans="1:18" s="126" customFormat="1" x14ac:dyDescent="0.2">
      <c r="A37" s="139">
        <v>1200</v>
      </c>
      <c r="B37" s="143" t="s">
        <v>17</v>
      </c>
      <c r="C37" s="138" t="e">
        <f>#REF!</f>
        <v>#REF!</v>
      </c>
      <c r="D37" s="138" t="e">
        <f>#REF!</f>
        <v>#REF!</v>
      </c>
      <c r="E37" s="138" t="e">
        <f>#REF!</f>
        <v>#REF!</v>
      </c>
      <c r="F37" s="138" t="e">
        <f>#REF!</f>
        <v>#REF!</v>
      </c>
      <c r="G37" s="138" t="e">
        <f>#REF!</f>
        <v>#REF!</v>
      </c>
      <c r="H37" s="138" t="e">
        <f>#REF!</f>
        <v>#REF!</v>
      </c>
      <c r="I37" s="138" t="e">
        <f>#REF!</f>
        <v>#REF!</v>
      </c>
      <c r="J37" s="138" t="e">
        <f>#REF!</f>
        <v>#REF!</v>
      </c>
      <c r="K37" s="138" t="e">
        <f>#REF!</f>
        <v>#REF!</v>
      </c>
      <c r="L37" s="138" t="e">
        <f>#REF!</f>
        <v>#REF!</v>
      </c>
      <c r="M37" s="138" t="e">
        <f>#REF!</f>
        <v>#REF!</v>
      </c>
      <c r="N37" s="138" t="e">
        <f>#REF!</f>
        <v>#REF!</v>
      </c>
      <c r="O37" s="138" t="e">
        <f>#REF!</f>
        <v>#REF!</v>
      </c>
      <c r="P37" s="138"/>
      <c r="Q37" s="138" t="e">
        <f t="shared" si="4"/>
        <v>#REF!</v>
      </c>
      <c r="R37" s="138"/>
    </row>
    <row r="38" spans="1:18" s="126" customFormat="1" x14ac:dyDescent="0.2">
      <c r="A38" s="139">
        <v>1201</v>
      </c>
      <c r="B38" s="143" t="s">
        <v>18</v>
      </c>
      <c r="C38" s="138" t="e">
        <f>#REF!</f>
        <v>#REF!</v>
      </c>
      <c r="D38" s="138" t="e">
        <f>#REF!</f>
        <v>#REF!</v>
      </c>
      <c r="E38" s="138" t="e">
        <f>#REF!</f>
        <v>#REF!</v>
      </c>
      <c r="F38" s="138" t="e">
        <f>#REF!</f>
        <v>#REF!</v>
      </c>
      <c r="G38" s="138" t="e">
        <f>#REF!</f>
        <v>#REF!</v>
      </c>
      <c r="H38" s="138" t="e">
        <f>#REF!</f>
        <v>#REF!</v>
      </c>
      <c r="I38" s="138" t="e">
        <f>#REF!</f>
        <v>#REF!</v>
      </c>
      <c r="J38" s="138" t="e">
        <f>#REF!</f>
        <v>#REF!</v>
      </c>
      <c r="K38" s="138" t="e">
        <f>#REF!</f>
        <v>#REF!</v>
      </c>
      <c r="L38" s="138" t="e">
        <f>#REF!</f>
        <v>#REF!</v>
      </c>
      <c r="M38" s="138" t="e">
        <f>#REF!</f>
        <v>#REF!</v>
      </c>
      <c r="N38" s="138" t="e">
        <f>#REF!</f>
        <v>#REF!</v>
      </c>
      <c r="O38" s="138" t="e">
        <f>#REF!</f>
        <v>#REF!</v>
      </c>
      <c r="P38" s="138"/>
      <c r="Q38" s="138" t="e">
        <f t="shared" si="4"/>
        <v>#REF!</v>
      </c>
      <c r="R38" s="138"/>
    </row>
    <row r="39" spans="1:18" s="126" customFormat="1" x14ac:dyDescent="0.2">
      <c r="A39" s="139">
        <v>1202</v>
      </c>
      <c r="B39" s="143" t="s">
        <v>19</v>
      </c>
      <c r="C39" s="138" t="e">
        <f>#REF!</f>
        <v>#REF!</v>
      </c>
      <c r="D39" s="138" t="e">
        <f>#REF!</f>
        <v>#REF!</v>
      </c>
      <c r="E39" s="138" t="e">
        <f>#REF!</f>
        <v>#REF!</v>
      </c>
      <c r="F39" s="138" t="e">
        <f>#REF!</f>
        <v>#REF!</v>
      </c>
      <c r="G39" s="138" t="e">
        <f>#REF!</f>
        <v>#REF!</v>
      </c>
      <c r="H39" s="138" t="e">
        <f>#REF!</f>
        <v>#REF!</v>
      </c>
      <c r="I39" s="138" t="e">
        <f>#REF!</f>
        <v>#REF!</v>
      </c>
      <c r="J39" s="138" t="e">
        <f>#REF!</f>
        <v>#REF!</v>
      </c>
      <c r="K39" s="138" t="e">
        <f>#REF!</f>
        <v>#REF!</v>
      </c>
      <c r="L39" s="138" t="e">
        <f>#REF!</f>
        <v>#REF!</v>
      </c>
      <c r="M39" s="138" t="e">
        <f>#REF!</f>
        <v>#REF!</v>
      </c>
      <c r="N39" s="138" t="e">
        <f>#REF!</f>
        <v>#REF!</v>
      </c>
      <c r="O39" s="138" t="e">
        <f>#REF!</f>
        <v>#REF!</v>
      </c>
      <c r="P39" s="138"/>
      <c r="Q39" s="138" t="e">
        <f t="shared" si="4"/>
        <v>#REF!</v>
      </c>
      <c r="R39" s="138"/>
    </row>
    <row r="40" spans="1:18" s="126" customFormat="1" x14ac:dyDescent="0.2">
      <c r="A40" s="139">
        <v>1203</v>
      </c>
      <c r="B40" s="143" t="s">
        <v>20</v>
      </c>
      <c r="C40" s="138" t="e">
        <f>#REF!</f>
        <v>#REF!</v>
      </c>
      <c r="D40" s="138" t="e">
        <f>#REF!</f>
        <v>#REF!</v>
      </c>
      <c r="E40" s="138" t="e">
        <f>#REF!</f>
        <v>#REF!</v>
      </c>
      <c r="F40" s="138" t="e">
        <f>#REF!</f>
        <v>#REF!</v>
      </c>
      <c r="G40" s="138" t="e">
        <f>#REF!</f>
        <v>#REF!</v>
      </c>
      <c r="H40" s="138" t="e">
        <f>#REF!</f>
        <v>#REF!</v>
      </c>
      <c r="I40" s="138" t="e">
        <f>#REF!</f>
        <v>#REF!</v>
      </c>
      <c r="J40" s="138" t="e">
        <f>#REF!</f>
        <v>#REF!</v>
      </c>
      <c r="K40" s="138" t="e">
        <f>#REF!</f>
        <v>#REF!</v>
      </c>
      <c r="L40" s="138" t="e">
        <f>#REF!</f>
        <v>#REF!</v>
      </c>
      <c r="M40" s="138" t="e">
        <f>#REF!</f>
        <v>#REF!</v>
      </c>
      <c r="N40" s="138" t="e">
        <f>#REF!</f>
        <v>#REF!</v>
      </c>
      <c r="O40" s="138" t="e">
        <f>#REF!</f>
        <v>#REF!</v>
      </c>
      <c r="P40" s="138"/>
      <c r="Q40" s="138" t="e">
        <f t="shared" si="4"/>
        <v>#REF!</v>
      </c>
      <c r="R40" s="138"/>
    </row>
    <row r="41" spans="1:18" s="126" customFormat="1" x14ac:dyDescent="0.2">
      <c r="A41" s="139">
        <v>1204</v>
      </c>
      <c r="B41" s="143" t="s">
        <v>119</v>
      </c>
      <c r="C41" s="138" t="e">
        <f>#REF!</f>
        <v>#REF!</v>
      </c>
      <c r="D41" s="138" t="e">
        <f>#REF!</f>
        <v>#REF!</v>
      </c>
      <c r="E41" s="138" t="e">
        <f>#REF!</f>
        <v>#REF!</v>
      </c>
      <c r="F41" s="138" t="e">
        <f>#REF!</f>
        <v>#REF!</v>
      </c>
      <c r="G41" s="138" t="e">
        <f>#REF!</f>
        <v>#REF!</v>
      </c>
      <c r="H41" s="138" t="e">
        <f>#REF!</f>
        <v>#REF!</v>
      </c>
      <c r="I41" s="138" t="e">
        <f>#REF!</f>
        <v>#REF!</v>
      </c>
      <c r="J41" s="138" t="e">
        <f>#REF!</f>
        <v>#REF!</v>
      </c>
      <c r="K41" s="138" t="e">
        <f>#REF!</f>
        <v>#REF!</v>
      </c>
      <c r="L41" s="138" t="e">
        <f>#REF!</f>
        <v>#REF!</v>
      </c>
      <c r="M41" s="138" t="e">
        <f>#REF!</f>
        <v>#REF!</v>
      </c>
      <c r="N41" s="138" t="e">
        <f>#REF!</f>
        <v>#REF!</v>
      </c>
      <c r="O41" s="138" t="e">
        <f>#REF!</f>
        <v>#REF!</v>
      </c>
      <c r="P41" s="138"/>
      <c r="Q41" s="138" t="e">
        <f t="shared" si="4"/>
        <v>#REF!</v>
      </c>
      <c r="R41" s="138"/>
    </row>
    <row r="42" spans="1:18" s="126" customFormat="1" x14ac:dyDescent="0.2">
      <c r="A42" s="139">
        <v>1205</v>
      </c>
      <c r="B42" s="143" t="s">
        <v>120</v>
      </c>
      <c r="C42" s="138" t="e">
        <f>#REF!</f>
        <v>#REF!</v>
      </c>
      <c r="D42" s="138" t="e">
        <f>#REF!</f>
        <v>#REF!</v>
      </c>
      <c r="E42" s="138" t="e">
        <f>#REF!</f>
        <v>#REF!</v>
      </c>
      <c r="F42" s="138" t="e">
        <f>#REF!</f>
        <v>#REF!</v>
      </c>
      <c r="G42" s="138" t="e">
        <f>#REF!</f>
        <v>#REF!</v>
      </c>
      <c r="H42" s="138" t="e">
        <f>#REF!</f>
        <v>#REF!</v>
      </c>
      <c r="I42" s="138" t="e">
        <f>#REF!</f>
        <v>#REF!</v>
      </c>
      <c r="J42" s="138" t="e">
        <f>#REF!</f>
        <v>#REF!</v>
      </c>
      <c r="K42" s="138" t="e">
        <f>#REF!</f>
        <v>#REF!</v>
      </c>
      <c r="L42" s="138" t="e">
        <f>#REF!</f>
        <v>#REF!</v>
      </c>
      <c r="M42" s="138" t="e">
        <f>#REF!</f>
        <v>#REF!</v>
      </c>
      <c r="N42" s="138" t="e">
        <f>#REF!</f>
        <v>#REF!</v>
      </c>
      <c r="O42" s="138" t="e">
        <f>#REF!</f>
        <v>#REF!</v>
      </c>
      <c r="P42" s="138"/>
      <c r="Q42" s="138" t="e">
        <f t="shared" si="4"/>
        <v>#REF!</v>
      </c>
      <c r="R42" s="138"/>
    </row>
    <row r="43" spans="1:18" s="126" customFormat="1" x14ac:dyDescent="0.2">
      <c r="A43" s="139">
        <v>1210</v>
      </c>
      <c r="B43" s="143" t="s">
        <v>0</v>
      </c>
      <c r="C43" s="138" t="e">
        <f>#REF!+P43</f>
        <v>#REF!</v>
      </c>
      <c r="D43" s="138" t="e">
        <f>#REF!</f>
        <v>#REF!</v>
      </c>
      <c r="E43" s="138" t="e">
        <f>#REF!</f>
        <v>#REF!</v>
      </c>
      <c r="F43" s="138" t="e">
        <f>#REF!</f>
        <v>#REF!</v>
      </c>
      <c r="G43" s="138" t="e">
        <f>#REF!</f>
        <v>#REF!</v>
      </c>
      <c r="H43" s="138" t="e">
        <f>#REF!</f>
        <v>#REF!</v>
      </c>
      <c r="I43" s="138" t="e">
        <f>#REF!</f>
        <v>#REF!</v>
      </c>
      <c r="J43" s="138" t="e">
        <f>#REF!</f>
        <v>#REF!</v>
      </c>
      <c r="K43" s="138" t="e">
        <f>#REF!</f>
        <v>#REF!</v>
      </c>
      <c r="L43" s="138" t="e">
        <f>#REF!</f>
        <v>#REF!</v>
      </c>
      <c r="M43" s="138" t="e">
        <f>#REF!</f>
        <v>#REF!</v>
      </c>
      <c r="N43" s="138" t="e">
        <f>#REF!</f>
        <v>#REF!</v>
      </c>
      <c r="O43" s="138" t="e">
        <f>#REF!</f>
        <v>#REF!</v>
      </c>
      <c r="P43" s="138"/>
      <c r="Q43" s="138" t="e">
        <f t="shared" si="4"/>
        <v>#REF!</v>
      </c>
      <c r="R43" s="138"/>
    </row>
    <row r="44" spans="1:18" s="126" customFormat="1" x14ac:dyDescent="0.2">
      <c r="A44" s="139">
        <v>1230</v>
      </c>
      <c r="B44" s="143" t="s">
        <v>104</v>
      </c>
      <c r="C44" s="138" t="e">
        <f>#REF!+P44</f>
        <v>#REF!</v>
      </c>
      <c r="D44" s="138" t="e">
        <f>#REF!</f>
        <v>#REF!</v>
      </c>
      <c r="E44" s="138" t="e">
        <f>#REF!</f>
        <v>#REF!</v>
      </c>
      <c r="F44" s="138" t="e">
        <f>#REF!</f>
        <v>#REF!</v>
      </c>
      <c r="G44" s="138" t="e">
        <f>#REF!</f>
        <v>#REF!</v>
      </c>
      <c r="H44" s="138" t="e">
        <f>#REF!</f>
        <v>#REF!</v>
      </c>
      <c r="I44" s="138" t="e">
        <f>#REF!</f>
        <v>#REF!</v>
      </c>
      <c r="J44" s="138" t="e">
        <f>#REF!</f>
        <v>#REF!</v>
      </c>
      <c r="K44" s="138" t="e">
        <f>#REF!</f>
        <v>#REF!</v>
      </c>
      <c r="L44" s="138" t="e">
        <f>#REF!</f>
        <v>#REF!</v>
      </c>
      <c r="M44" s="138" t="e">
        <f>#REF!</f>
        <v>#REF!</v>
      </c>
      <c r="N44" s="138" t="e">
        <f>#REF!</f>
        <v>#REF!</v>
      </c>
      <c r="O44" s="138" t="e">
        <f>#REF!</f>
        <v>#REF!</v>
      </c>
      <c r="P44" s="138">
        <f>-P25-P21</f>
        <v>0</v>
      </c>
      <c r="Q44" s="138" t="e">
        <f t="shared" si="4"/>
        <v>#REF!</v>
      </c>
      <c r="R44" s="138"/>
    </row>
    <row r="45" spans="1:18" s="126" customFormat="1" x14ac:dyDescent="0.2">
      <c r="A45" s="139">
        <v>1250</v>
      </c>
      <c r="B45" s="143" t="s">
        <v>87</v>
      </c>
      <c r="C45" s="138" t="e">
        <f>#REF!</f>
        <v>#REF!</v>
      </c>
      <c r="D45" s="138" t="e">
        <f>#REF!</f>
        <v>#REF!</v>
      </c>
      <c r="E45" s="138" t="e">
        <f>#REF!</f>
        <v>#REF!</v>
      </c>
      <c r="F45" s="138" t="e">
        <f>#REF!</f>
        <v>#REF!</v>
      </c>
      <c r="G45" s="138" t="e">
        <f>#REF!</f>
        <v>#REF!</v>
      </c>
      <c r="H45" s="138" t="e">
        <f>#REF!</f>
        <v>#REF!</v>
      </c>
      <c r="I45" s="138" t="e">
        <f>#REF!</f>
        <v>#REF!</v>
      </c>
      <c r="J45" s="138" t="e">
        <f>#REF!</f>
        <v>#REF!</v>
      </c>
      <c r="K45" s="138" t="e">
        <f>#REF!</f>
        <v>#REF!</v>
      </c>
      <c r="L45" s="138" t="e">
        <f>#REF!</f>
        <v>#REF!</v>
      </c>
      <c r="M45" s="138" t="e">
        <f>#REF!</f>
        <v>#REF!</v>
      </c>
      <c r="N45" s="138" t="e">
        <f>#REF!</f>
        <v>#REF!</v>
      </c>
      <c r="O45" s="138" t="e">
        <f>#REF!</f>
        <v>#REF!</v>
      </c>
      <c r="P45" s="138"/>
      <c r="Q45" s="138" t="e">
        <f t="shared" si="4"/>
        <v>#REF!</v>
      </c>
      <c r="R45" s="138"/>
    </row>
    <row r="46" spans="1:18" s="126" customFormat="1" x14ac:dyDescent="0.2">
      <c r="A46" s="139">
        <v>1251</v>
      </c>
      <c r="B46" s="143" t="s">
        <v>93</v>
      </c>
      <c r="C46" s="138" t="e">
        <f>#REF!+P46</f>
        <v>#REF!</v>
      </c>
      <c r="D46" s="138" t="e">
        <f>#REF!</f>
        <v>#REF!</v>
      </c>
      <c r="E46" s="138" t="e">
        <f>#REF!</f>
        <v>#REF!</v>
      </c>
      <c r="F46" s="138" t="e">
        <f>#REF!</f>
        <v>#REF!</v>
      </c>
      <c r="G46" s="138" t="e">
        <f>#REF!</f>
        <v>#REF!</v>
      </c>
      <c r="H46" s="138" t="e">
        <f>#REF!</f>
        <v>#REF!</v>
      </c>
      <c r="I46" s="138" t="e">
        <f>#REF!</f>
        <v>#REF!</v>
      </c>
      <c r="J46" s="138" t="e">
        <f>#REF!</f>
        <v>#REF!</v>
      </c>
      <c r="K46" s="138" t="e">
        <f>#REF!</f>
        <v>#REF!</v>
      </c>
      <c r="L46" s="138" t="e">
        <f>#REF!</f>
        <v>#REF!</v>
      </c>
      <c r="M46" s="138" t="e">
        <f>#REF!</f>
        <v>#REF!</v>
      </c>
      <c r="N46" s="138" t="e">
        <f>#REF!</f>
        <v>#REF!</v>
      </c>
      <c r="O46" s="138" t="e">
        <f>#REF!</f>
        <v>#REF!</v>
      </c>
      <c r="P46" s="138" t="e">
        <f>-'A2'!I21</f>
        <v>#REF!</v>
      </c>
      <c r="Q46" s="138" t="e">
        <f t="shared" si="4"/>
        <v>#REF!</v>
      </c>
      <c r="R46" s="138"/>
    </row>
    <row r="47" spans="1:18" s="126" customFormat="1" x14ac:dyDescent="0.2">
      <c r="A47" s="139">
        <v>1260</v>
      </c>
      <c r="B47" s="143" t="s">
        <v>88</v>
      </c>
      <c r="C47" s="138" t="e">
        <f>#REF!</f>
        <v>#REF!</v>
      </c>
      <c r="D47" s="138" t="e">
        <f>#REF!</f>
        <v>#REF!</v>
      </c>
      <c r="E47" s="138" t="e">
        <f>#REF!</f>
        <v>#REF!</v>
      </c>
      <c r="F47" s="138" t="e">
        <f>#REF!</f>
        <v>#REF!</v>
      </c>
      <c r="G47" s="138" t="e">
        <f>#REF!</f>
        <v>#REF!</v>
      </c>
      <c r="H47" s="138" t="e">
        <f>#REF!</f>
        <v>#REF!</v>
      </c>
      <c r="I47" s="138" t="e">
        <f>#REF!</f>
        <v>#REF!</v>
      </c>
      <c r="J47" s="138" t="e">
        <f>#REF!</f>
        <v>#REF!</v>
      </c>
      <c r="K47" s="138" t="e">
        <f>#REF!</f>
        <v>#REF!</v>
      </c>
      <c r="L47" s="138" t="e">
        <f>#REF!</f>
        <v>#REF!</v>
      </c>
      <c r="M47" s="138" t="e">
        <f>#REF!</f>
        <v>#REF!</v>
      </c>
      <c r="N47" s="138" t="e">
        <f>#REF!</f>
        <v>#REF!</v>
      </c>
      <c r="O47" s="138" t="e">
        <f>#REF!</f>
        <v>#REF!</v>
      </c>
      <c r="P47" s="138"/>
      <c r="Q47" s="138" t="e">
        <f t="shared" si="4"/>
        <v>#REF!</v>
      </c>
      <c r="R47" s="138"/>
    </row>
    <row r="48" spans="1:18" s="126" customFormat="1" x14ac:dyDescent="0.2">
      <c r="A48" s="139">
        <v>1261</v>
      </c>
      <c r="B48" s="143" t="s">
        <v>94</v>
      </c>
      <c r="C48" s="138" t="e">
        <f>#REF!+P48</f>
        <v>#REF!</v>
      </c>
      <c r="D48" s="138" t="e">
        <f>#REF!</f>
        <v>#REF!</v>
      </c>
      <c r="E48" s="138" t="e">
        <f>#REF!</f>
        <v>#REF!</v>
      </c>
      <c r="F48" s="138" t="e">
        <f>#REF!</f>
        <v>#REF!</v>
      </c>
      <c r="G48" s="138" t="e">
        <f>#REF!</f>
        <v>#REF!</v>
      </c>
      <c r="H48" s="138" t="e">
        <f>#REF!</f>
        <v>#REF!</v>
      </c>
      <c r="I48" s="138" t="e">
        <f>#REF!</f>
        <v>#REF!</v>
      </c>
      <c r="J48" s="138" t="e">
        <f>#REF!</f>
        <v>#REF!</v>
      </c>
      <c r="K48" s="138" t="e">
        <f>#REF!</f>
        <v>#REF!</v>
      </c>
      <c r="L48" s="138" t="e">
        <f>#REF!</f>
        <v>#REF!</v>
      </c>
      <c r="M48" s="138" t="e">
        <f>#REF!</f>
        <v>#REF!</v>
      </c>
      <c r="N48" s="138" t="e">
        <f>#REF!</f>
        <v>#REF!</v>
      </c>
      <c r="O48" s="138" t="e">
        <f>#REF!</f>
        <v>#REF!</v>
      </c>
      <c r="P48" s="138" t="e">
        <f>-'A2'!I20</f>
        <v>#REF!</v>
      </c>
      <c r="Q48" s="138" t="e">
        <f t="shared" si="4"/>
        <v>#REF!</v>
      </c>
      <c r="R48" s="138"/>
    </row>
    <row r="49" spans="1:18" s="126" customFormat="1" x14ac:dyDescent="0.2">
      <c r="A49" s="139">
        <v>1270</v>
      </c>
      <c r="B49" s="143" t="s">
        <v>50</v>
      </c>
      <c r="C49" s="138" t="e">
        <f>#REF!</f>
        <v>#REF!</v>
      </c>
      <c r="D49" s="138" t="e">
        <f>#REF!</f>
        <v>#REF!</v>
      </c>
      <c r="E49" s="138" t="e">
        <f>#REF!</f>
        <v>#REF!</v>
      </c>
      <c r="F49" s="138" t="e">
        <f>#REF!</f>
        <v>#REF!</v>
      </c>
      <c r="G49" s="138" t="e">
        <f>#REF!</f>
        <v>#REF!</v>
      </c>
      <c r="H49" s="138" t="e">
        <f>#REF!</f>
        <v>#REF!</v>
      </c>
      <c r="I49" s="138" t="e">
        <f>#REF!</f>
        <v>#REF!</v>
      </c>
      <c r="J49" s="138" t="e">
        <f>#REF!</f>
        <v>#REF!</v>
      </c>
      <c r="K49" s="138" t="e">
        <f>#REF!</f>
        <v>#REF!</v>
      </c>
      <c r="L49" s="138" t="e">
        <f>#REF!</f>
        <v>#REF!</v>
      </c>
      <c r="M49" s="138" t="e">
        <f>#REF!</f>
        <v>#REF!</v>
      </c>
      <c r="N49" s="138" t="e">
        <f>#REF!</f>
        <v>#REF!</v>
      </c>
      <c r="O49" s="138" t="e">
        <f>#REF!</f>
        <v>#REF!</v>
      </c>
      <c r="P49" s="138"/>
      <c r="Q49" s="138" t="e">
        <f t="shared" si="4"/>
        <v>#REF!</v>
      </c>
      <c r="R49" s="138"/>
    </row>
    <row r="50" spans="1:18" s="126" customFormat="1" x14ac:dyDescent="0.2">
      <c r="A50" s="139">
        <v>1271</v>
      </c>
      <c r="B50" s="143" t="s">
        <v>51</v>
      </c>
      <c r="C50" s="138" t="e">
        <f>#REF!+P50</f>
        <v>#REF!</v>
      </c>
      <c r="D50" s="138" t="e">
        <f>#REF!</f>
        <v>#REF!</v>
      </c>
      <c r="E50" s="138" t="e">
        <f>#REF!</f>
        <v>#REF!</v>
      </c>
      <c r="F50" s="138" t="e">
        <f>#REF!</f>
        <v>#REF!</v>
      </c>
      <c r="G50" s="138" t="e">
        <f>#REF!</f>
        <v>#REF!</v>
      </c>
      <c r="H50" s="138" t="e">
        <f>#REF!</f>
        <v>#REF!</v>
      </c>
      <c r="I50" s="138" t="e">
        <f>#REF!</f>
        <v>#REF!</v>
      </c>
      <c r="J50" s="138" t="e">
        <f>#REF!</f>
        <v>#REF!</v>
      </c>
      <c r="K50" s="138" t="e">
        <f>#REF!</f>
        <v>#REF!</v>
      </c>
      <c r="L50" s="138" t="e">
        <f>#REF!</f>
        <v>#REF!</v>
      </c>
      <c r="M50" s="138" t="e">
        <f>#REF!</f>
        <v>#REF!</v>
      </c>
      <c r="N50" s="138" t="e">
        <f>#REF!</f>
        <v>#REF!</v>
      </c>
      <c r="O50" s="138" t="e">
        <f>#REF!</f>
        <v>#REF!</v>
      </c>
      <c r="P50" s="138">
        <v>0</v>
      </c>
      <c r="Q50" s="138" t="e">
        <f t="shared" si="4"/>
        <v>#REF!</v>
      </c>
      <c r="R50" s="138"/>
    </row>
    <row r="51" spans="1:18" s="126" customFormat="1" x14ac:dyDescent="0.2">
      <c r="A51" s="139">
        <v>1300</v>
      </c>
      <c r="B51" s="143" t="e">
        <f>#REF!</f>
        <v>#REF!</v>
      </c>
      <c r="C51" s="138" t="e">
        <f>#REF!</f>
        <v>#REF!</v>
      </c>
      <c r="D51" s="138" t="e">
        <f>#REF!</f>
        <v>#REF!</v>
      </c>
      <c r="E51" s="138" t="e">
        <f>#REF!</f>
        <v>#REF!</v>
      </c>
      <c r="F51" s="138" t="e">
        <f>#REF!</f>
        <v>#REF!</v>
      </c>
      <c r="G51" s="138" t="e">
        <f>#REF!</f>
        <v>#REF!</v>
      </c>
      <c r="H51" s="138" t="e">
        <f>#REF!</f>
        <v>#REF!</v>
      </c>
      <c r="I51" s="138" t="e">
        <f>#REF!</f>
        <v>#REF!</v>
      </c>
      <c r="J51" s="138" t="e">
        <f>#REF!</f>
        <v>#REF!</v>
      </c>
      <c r="K51" s="138" t="e">
        <f>#REF!</f>
        <v>#REF!</v>
      </c>
      <c r="L51" s="138" t="e">
        <f>#REF!</f>
        <v>#REF!</v>
      </c>
      <c r="M51" s="138" t="e">
        <f>#REF!</f>
        <v>#REF!</v>
      </c>
      <c r="N51" s="138" t="e">
        <f>#REF!</f>
        <v>#REF!</v>
      </c>
      <c r="O51" s="138" t="e">
        <f>#REF!</f>
        <v>#REF!</v>
      </c>
      <c r="P51" s="138"/>
      <c r="Q51" s="138" t="e">
        <f t="shared" si="4"/>
        <v>#REF!</v>
      </c>
      <c r="R51" s="138"/>
    </row>
    <row r="52" spans="1:18" s="126" customFormat="1" x14ac:dyDescent="0.2">
      <c r="A52" s="139">
        <v>1301</v>
      </c>
      <c r="B52" s="143" t="e">
        <f>#REF!</f>
        <v>#REF!</v>
      </c>
      <c r="C52" s="138" t="e">
        <f>#REF!+P52</f>
        <v>#REF!</v>
      </c>
      <c r="D52" s="138" t="e">
        <f>#REF!</f>
        <v>#REF!</v>
      </c>
      <c r="E52" s="138" t="e">
        <f>#REF!</f>
        <v>#REF!</v>
      </c>
      <c r="F52" s="138" t="e">
        <f>#REF!</f>
        <v>#REF!</v>
      </c>
      <c r="G52" s="138" t="e">
        <f>#REF!</f>
        <v>#REF!</v>
      </c>
      <c r="H52" s="138" t="e">
        <f>#REF!</f>
        <v>#REF!</v>
      </c>
      <c r="I52" s="138" t="e">
        <f>#REF!</f>
        <v>#REF!</v>
      </c>
      <c r="J52" s="138" t="e">
        <f>#REF!</f>
        <v>#REF!</v>
      </c>
      <c r="K52" s="138" t="e">
        <f>#REF!</f>
        <v>#REF!</v>
      </c>
      <c r="L52" s="138" t="e">
        <f>#REF!</f>
        <v>#REF!</v>
      </c>
      <c r="M52" s="138" t="e">
        <f>#REF!</f>
        <v>#REF!</v>
      </c>
      <c r="N52" s="138" t="e">
        <f>#REF!</f>
        <v>#REF!</v>
      </c>
      <c r="O52" s="138" t="e">
        <f>#REF!</f>
        <v>#REF!</v>
      </c>
      <c r="P52" s="138"/>
      <c r="Q52" s="138" t="e">
        <f t="shared" si="4"/>
        <v>#REF!</v>
      </c>
      <c r="R52" s="138"/>
    </row>
    <row r="53" spans="1:18" s="126" customFormat="1" x14ac:dyDescent="0.2">
      <c r="A53" s="139" t="e">
        <f>#REF!</f>
        <v>#REF!</v>
      </c>
      <c r="B53" s="143" t="e">
        <f>#REF!</f>
        <v>#REF!</v>
      </c>
      <c r="C53" s="141" t="e">
        <f>#REF!</f>
        <v>#REF!</v>
      </c>
      <c r="D53" s="141" t="e">
        <f>#REF!</f>
        <v>#REF!</v>
      </c>
      <c r="E53" s="141" t="e">
        <f>#REF!</f>
        <v>#REF!</v>
      </c>
      <c r="F53" s="141" t="e">
        <f>#REF!</f>
        <v>#REF!</v>
      </c>
      <c r="G53" s="141" t="e">
        <f>#REF!</f>
        <v>#REF!</v>
      </c>
      <c r="H53" s="141" t="e">
        <f>#REF!</f>
        <v>#REF!</v>
      </c>
      <c r="I53" s="141" t="e">
        <f>#REF!</f>
        <v>#REF!</v>
      </c>
      <c r="J53" s="141" t="e">
        <f>#REF!</f>
        <v>#REF!</v>
      </c>
      <c r="K53" s="141" t="e">
        <f>#REF!</f>
        <v>#REF!</v>
      </c>
      <c r="L53" s="141" t="e">
        <f>#REF!</f>
        <v>#REF!</v>
      </c>
      <c r="M53" s="141" t="e">
        <f>#REF!</f>
        <v>#REF!</v>
      </c>
      <c r="N53" s="141" t="e">
        <f>#REF!</f>
        <v>#REF!</v>
      </c>
      <c r="O53" s="141" t="e">
        <f>#REF!</f>
        <v>#REF!</v>
      </c>
      <c r="P53" s="141"/>
      <c r="Q53" s="141" t="e">
        <f t="shared" si="4"/>
        <v>#REF!</v>
      </c>
      <c r="R53" s="138"/>
    </row>
    <row r="54" spans="1:18" s="126" customFormat="1" x14ac:dyDescent="0.2">
      <c r="B54" s="143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</row>
    <row r="55" spans="1:18" s="105" customFormat="1" x14ac:dyDescent="0.2">
      <c r="B55" s="145" t="s">
        <v>5</v>
      </c>
      <c r="C55" s="110" t="e">
        <f t="shared" ref="C55:R55" si="5">SUM(C34:C54)</f>
        <v>#REF!</v>
      </c>
      <c r="D55" s="110" t="e">
        <f t="shared" si="5"/>
        <v>#REF!</v>
      </c>
      <c r="E55" s="110" t="e">
        <f t="shared" si="5"/>
        <v>#REF!</v>
      </c>
      <c r="F55" s="110" t="e">
        <f t="shared" si="5"/>
        <v>#REF!</v>
      </c>
      <c r="G55" s="110" t="e">
        <f t="shared" si="5"/>
        <v>#REF!</v>
      </c>
      <c r="H55" s="110" t="e">
        <f t="shared" si="5"/>
        <v>#REF!</v>
      </c>
      <c r="I55" s="110" t="e">
        <f t="shared" si="5"/>
        <v>#REF!</v>
      </c>
      <c r="J55" s="110" t="e">
        <f t="shared" si="5"/>
        <v>#REF!</v>
      </c>
      <c r="K55" s="110" t="e">
        <f t="shared" si="5"/>
        <v>#REF!</v>
      </c>
      <c r="L55" s="110" t="e">
        <f t="shared" si="5"/>
        <v>#REF!</v>
      </c>
      <c r="M55" s="110" t="e">
        <f t="shared" si="5"/>
        <v>#REF!</v>
      </c>
      <c r="N55" s="110" t="e">
        <f t="shared" si="5"/>
        <v>#REF!</v>
      </c>
      <c r="O55" s="110" t="e">
        <f t="shared" si="5"/>
        <v>#REF!</v>
      </c>
      <c r="P55" s="110" t="e">
        <f t="shared" si="5"/>
        <v>#REF!</v>
      </c>
      <c r="Q55" s="110" t="e">
        <f t="shared" si="5"/>
        <v>#REF!</v>
      </c>
      <c r="R55" s="110">
        <f t="shared" si="5"/>
        <v>0</v>
      </c>
    </row>
    <row r="56" spans="1:18" s="126" customFormat="1" x14ac:dyDescent="0.2">
      <c r="B56" s="143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</row>
    <row r="57" spans="1:18" s="126" customFormat="1" x14ac:dyDescent="0.2">
      <c r="A57" s="139">
        <v>2000</v>
      </c>
      <c r="B57" s="143" t="s">
        <v>53</v>
      </c>
      <c r="C57" s="138" t="e">
        <f>#REF!</f>
        <v>#REF!</v>
      </c>
      <c r="D57" s="138" t="e">
        <f>#REF!</f>
        <v>#REF!</v>
      </c>
      <c r="E57" s="138" t="e">
        <f>#REF!</f>
        <v>#REF!</v>
      </c>
      <c r="F57" s="138" t="e">
        <f>#REF!</f>
        <v>#REF!</v>
      </c>
      <c r="G57" s="138" t="e">
        <f>#REF!</f>
        <v>#REF!</v>
      </c>
      <c r="H57" s="138" t="e">
        <f>#REF!</f>
        <v>#REF!</v>
      </c>
      <c r="I57" s="138" t="e">
        <f>#REF!</f>
        <v>#REF!</v>
      </c>
      <c r="J57" s="138" t="e">
        <f>#REF!</f>
        <v>#REF!</v>
      </c>
      <c r="K57" s="138" t="e">
        <f>#REF!</f>
        <v>#REF!</v>
      </c>
      <c r="L57" s="138" t="e">
        <f>#REF!</f>
        <v>#REF!</v>
      </c>
      <c r="M57" s="138" t="e">
        <f>#REF!</f>
        <v>#REF!</v>
      </c>
      <c r="N57" s="138" t="e">
        <f>#REF!</f>
        <v>#REF!</v>
      </c>
      <c r="O57" s="138" t="e">
        <f>#REF!</f>
        <v>#REF!</v>
      </c>
      <c r="P57" s="138"/>
      <c r="Q57" s="138" t="e">
        <f t="shared" ref="Q57:Q68" si="6">C57</f>
        <v>#REF!</v>
      </c>
      <c r="R57" s="138"/>
    </row>
    <row r="58" spans="1:18" s="126" customFormat="1" x14ac:dyDescent="0.2">
      <c r="A58" s="139">
        <v>2010</v>
      </c>
      <c r="B58" s="143" t="e">
        <f>#REF!</f>
        <v>#REF!</v>
      </c>
      <c r="C58" s="138" t="e">
        <f>#REF!+P58</f>
        <v>#REF!</v>
      </c>
      <c r="D58" s="138" t="e">
        <f>#REF!</f>
        <v>#REF!</v>
      </c>
      <c r="E58" s="138" t="e">
        <f>#REF!</f>
        <v>#REF!</v>
      </c>
      <c r="F58" s="138" t="e">
        <f>#REF!</f>
        <v>#REF!</v>
      </c>
      <c r="G58" s="138" t="e">
        <f>#REF!</f>
        <v>#REF!</v>
      </c>
      <c r="H58" s="138" t="e">
        <f>#REF!</f>
        <v>#REF!</v>
      </c>
      <c r="I58" s="138" t="e">
        <f>#REF!</f>
        <v>#REF!</v>
      </c>
      <c r="J58" s="138" t="e">
        <f>#REF!</f>
        <v>#REF!</v>
      </c>
      <c r="K58" s="138" t="e">
        <f>#REF!</f>
        <v>#REF!</v>
      </c>
      <c r="L58" s="138" t="e">
        <f>#REF!</f>
        <v>#REF!</v>
      </c>
      <c r="M58" s="138" t="e">
        <f>#REF!</f>
        <v>#REF!</v>
      </c>
      <c r="N58" s="138" t="e">
        <f>#REF!</f>
        <v>#REF!</v>
      </c>
      <c r="O58" s="138" t="e">
        <f>#REF!</f>
        <v>#REF!</v>
      </c>
      <c r="P58" s="138"/>
      <c r="Q58" s="138" t="e">
        <f t="shared" si="6"/>
        <v>#REF!</v>
      </c>
      <c r="R58" s="138"/>
    </row>
    <row r="59" spans="1:18" s="126" customFormat="1" x14ac:dyDescent="0.2">
      <c r="A59" s="139">
        <v>2011</v>
      </c>
      <c r="B59" s="143" t="e">
        <f>#REF!</f>
        <v>#REF!</v>
      </c>
      <c r="C59" s="138" t="e">
        <f>#REF!+P59</f>
        <v>#REF!</v>
      </c>
      <c r="D59" s="138" t="e">
        <f>#REF!</f>
        <v>#REF!</v>
      </c>
      <c r="E59" s="138" t="e">
        <f>#REF!</f>
        <v>#REF!</v>
      </c>
      <c r="F59" s="138" t="e">
        <f>#REF!</f>
        <v>#REF!</v>
      </c>
      <c r="G59" s="138" t="e">
        <f>#REF!</f>
        <v>#REF!</v>
      </c>
      <c r="H59" s="138" t="e">
        <f>#REF!</f>
        <v>#REF!</v>
      </c>
      <c r="I59" s="138" t="e">
        <f>#REF!</f>
        <v>#REF!</v>
      </c>
      <c r="J59" s="138" t="e">
        <f>#REF!</f>
        <v>#REF!</v>
      </c>
      <c r="K59" s="138" t="e">
        <f>#REF!</f>
        <v>#REF!</v>
      </c>
      <c r="L59" s="138" t="e">
        <f>#REF!</f>
        <v>#REF!</v>
      </c>
      <c r="M59" s="138" t="e">
        <f>#REF!</f>
        <v>#REF!</v>
      </c>
      <c r="N59" s="138" t="e">
        <f>#REF!</f>
        <v>#REF!</v>
      </c>
      <c r="O59" s="138" t="e">
        <f>#REF!</f>
        <v>#REF!</v>
      </c>
      <c r="P59" s="138"/>
      <c r="Q59" s="138" t="e">
        <f t="shared" si="6"/>
        <v>#REF!</v>
      </c>
      <c r="R59" s="138"/>
    </row>
    <row r="60" spans="1:18" s="126" customFormat="1" x14ac:dyDescent="0.2">
      <c r="A60" s="139">
        <v>2100</v>
      </c>
      <c r="B60" s="143" t="s">
        <v>21</v>
      </c>
      <c r="C60" s="138" t="e">
        <f>#REF!</f>
        <v>#REF!</v>
      </c>
      <c r="D60" s="138" t="e">
        <f>#REF!</f>
        <v>#REF!</v>
      </c>
      <c r="E60" s="138" t="e">
        <f>#REF!</f>
        <v>#REF!</v>
      </c>
      <c r="F60" s="138" t="e">
        <f>#REF!</f>
        <v>#REF!</v>
      </c>
      <c r="G60" s="138" t="e">
        <f>#REF!</f>
        <v>#REF!</v>
      </c>
      <c r="H60" s="138" t="e">
        <f>#REF!</f>
        <v>#REF!</v>
      </c>
      <c r="I60" s="138" t="e">
        <f>#REF!</f>
        <v>#REF!</v>
      </c>
      <c r="J60" s="138" t="e">
        <f>#REF!</f>
        <v>#REF!</v>
      </c>
      <c r="K60" s="138" t="e">
        <f>#REF!</f>
        <v>#REF!</v>
      </c>
      <c r="L60" s="138" t="e">
        <f>#REF!</f>
        <v>#REF!</v>
      </c>
      <c r="M60" s="138" t="e">
        <f>#REF!</f>
        <v>#REF!</v>
      </c>
      <c r="N60" s="138" t="e">
        <f>#REF!</f>
        <v>#REF!</v>
      </c>
      <c r="O60" s="138" t="e">
        <f>#REF!</f>
        <v>#REF!</v>
      </c>
      <c r="P60" s="138"/>
      <c r="Q60" s="138" t="e">
        <f t="shared" si="6"/>
        <v>#REF!</v>
      </c>
      <c r="R60" s="138"/>
    </row>
    <row r="61" spans="1:18" s="126" customFormat="1" x14ac:dyDescent="0.2">
      <c r="A61" s="139">
        <v>2105</v>
      </c>
      <c r="B61" s="143" t="e">
        <f>#REF!</f>
        <v>#REF!</v>
      </c>
      <c r="C61" s="138" t="e">
        <f>#REF!</f>
        <v>#REF!</v>
      </c>
      <c r="D61" s="138" t="e">
        <f>#REF!</f>
        <v>#REF!</v>
      </c>
      <c r="E61" s="138" t="e">
        <f>#REF!</f>
        <v>#REF!</v>
      </c>
      <c r="F61" s="138" t="e">
        <f>#REF!</f>
        <v>#REF!</v>
      </c>
      <c r="G61" s="138" t="e">
        <f>#REF!</f>
        <v>#REF!</v>
      </c>
      <c r="H61" s="138" t="e">
        <f>#REF!</f>
        <v>#REF!</v>
      </c>
      <c r="I61" s="138" t="e">
        <f>#REF!</f>
        <v>#REF!</v>
      </c>
      <c r="J61" s="138" t="e">
        <f>#REF!</f>
        <v>#REF!</v>
      </c>
      <c r="K61" s="138" t="e">
        <f>#REF!</f>
        <v>#REF!</v>
      </c>
      <c r="L61" s="138" t="e">
        <f>#REF!</f>
        <v>#REF!</v>
      </c>
      <c r="M61" s="138" t="e">
        <f>#REF!</f>
        <v>#REF!</v>
      </c>
      <c r="N61" s="138" t="e">
        <f>#REF!</f>
        <v>#REF!</v>
      </c>
      <c r="O61" s="138" t="e">
        <f>#REF!</f>
        <v>#REF!</v>
      </c>
      <c r="P61" s="138"/>
      <c r="Q61" s="138" t="e">
        <f t="shared" si="6"/>
        <v>#REF!</v>
      </c>
      <c r="R61" s="138"/>
    </row>
    <row r="62" spans="1:18" s="126" customFormat="1" x14ac:dyDescent="0.2">
      <c r="A62" s="139">
        <v>2106</v>
      </c>
      <c r="B62" s="143" t="e">
        <f>#REF!</f>
        <v>#REF!</v>
      </c>
      <c r="C62" s="138" t="e">
        <f>#REF!</f>
        <v>#REF!</v>
      </c>
      <c r="D62" s="138" t="e">
        <f>#REF!</f>
        <v>#REF!</v>
      </c>
      <c r="E62" s="138" t="e">
        <f>#REF!</f>
        <v>#REF!</v>
      </c>
      <c r="F62" s="138" t="e">
        <f>#REF!</f>
        <v>#REF!</v>
      </c>
      <c r="G62" s="138" t="e">
        <f>#REF!</f>
        <v>#REF!</v>
      </c>
      <c r="H62" s="138" t="e">
        <f>#REF!</f>
        <v>#REF!</v>
      </c>
      <c r="I62" s="138" t="e">
        <f>#REF!</f>
        <v>#REF!</v>
      </c>
      <c r="J62" s="138" t="e">
        <f>#REF!</f>
        <v>#REF!</v>
      </c>
      <c r="K62" s="138" t="e">
        <f>#REF!</f>
        <v>#REF!</v>
      </c>
      <c r="L62" s="138" t="e">
        <f>#REF!</f>
        <v>#REF!</v>
      </c>
      <c r="M62" s="138" t="e">
        <f>#REF!</f>
        <v>#REF!</v>
      </c>
      <c r="N62" s="138" t="e">
        <f>#REF!</f>
        <v>#REF!</v>
      </c>
      <c r="O62" s="138" t="e">
        <f>#REF!</f>
        <v>#REF!</v>
      </c>
      <c r="P62" s="138"/>
      <c r="Q62" s="138" t="e">
        <f t="shared" si="6"/>
        <v>#REF!</v>
      </c>
      <c r="R62" s="138"/>
    </row>
    <row r="63" spans="1:18" s="126" customFormat="1" x14ac:dyDescent="0.2">
      <c r="A63" s="139" t="e">
        <f>#REF!</f>
        <v>#REF!</v>
      </c>
      <c r="B63" s="143" t="e">
        <f>#REF!</f>
        <v>#REF!</v>
      </c>
      <c r="C63" s="138" t="e">
        <f>#REF!</f>
        <v>#REF!</v>
      </c>
      <c r="D63" s="138" t="e">
        <f>#REF!</f>
        <v>#REF!</v>
      </c>
      <c r="E63" s="138" t="e">
        <f>#REF!</f>
        <v>#REF!</v>
      </c>
      <c r="F63" s="138" t="e">
        <f>#REF!</f>
        <v>#REF!</v>
      </c>
      <c r="G63" s="138" t="e">
        <f>#REF!</f>
        <v>#REF!</v>
      </c>
      <c r="H63" s="138" t="e">
        <f>#REF!</f>
        <v>#REF!</v>
      </c>
      <c r="I63" s="138" t="e">
        <f>#REF!</f>
        <v>#REF!</v>
      </c>
      <c r="J63" s="138" t="e">
        <f>#REF!</f>
        <v>#REF!</v>
      </c>
      <c r="K63" s="138" t="e">
        <f>#REF!</f>
        <v>#REF!</v>
      </c>
      <c r="L63" s="138" t="e">
        <f>#REF!</f>
        <v>#REF!</v>
      </c>
      <c r="M63" s="138" t="e">
        <f>#REF!</f>
        <v>#REF!</v>
      </c>
      <c r="N63" s="138" t="e">
        <f>#REF!</f>
        <v>#REF!</v>
      </c>
      <c r="O63" s="138" t="e">
        <f>#REF!</f>
        <v>#REF!</v>
      </c>
      <c r="P63" s="138"/>
      <c r="Q63" s="138" t="e">
        <f t="shared" si="6"/>
        <v>#REF!</v>
      </c>
      <c r="R63" s="138"/>
    </row>
    <row r="64" spans="1:18" s="126" customFormat="1" x14ac:dyDescent="0.2">
      <c r="A64" s="139">
        <v>2200</v>
      </c>
      <c r="B64" s="143" t="s">
        <v>23</v>
      </c>
      <c r="C64" s="138" t="e">
        <f>#REF!+P64</f>
        <v>#REF!</v>
      </c>
      <c r="D64" s="138" t="e">
        <f>#REF!</f>
        <v>#REF!</v>
      </c>
      <c r="E64" s="138" t="e">
        <f>#REF!</f>
        <v>#REF!</v>
      </c>
      <c r="F64" s="138" t="e">
        <f>#REF!</f>
        <v>#REF!</v>
      </c>
      <c r="G64" s="138" t="e">
        <f>#REF!</f>
        <v>#REF!</v>
      </c>
      <c r="H64" s="138" t="e">
        <f>#REF!</f>
        <v>#REF!</v>
      </c>
      <c r="I64" s="138" t="e">
        <f>#REF!</f>
        <v>#REF!</v>
      </c>
      <c r="J64" s="138" t="e">
        <f>#REF!</f>
        <v>#REF!</v>
      </c>
      <c r="K64" s="138" t="e">
        <f>#REF!</f>
        <v>#REF!</v>
      </c>
      <c r="L64" s="138" t="e">
        <f>#REF!</f>
        <v>#REF!</v>
      </c>
      <c r="M64" s="138" t="e">
        <f>#REF!</f>
        <v>#REF!</v>
      </c>
      <c r="N64" s="138" t="e">
        <f>#REF!</f>
        <v>#REF!</v>
      </c>
      <c r="O64" s="138" t="e">
        <f>#REF!</f>
        <v>#REF!</v>
      </c>
      <c r="P64" s="138" t="e">
        <f>-'A3'!E45</f>
        <v>#REF!</v>
      </c>
      <c r="Q64" s="138" t="e">
        <f t="shared" si="6"/>
        <v>#REF!</v>
      </c>
      <c r="R64" s="138"/>
    </row>
    <row r="65" spans="1:18" s="126" customFormat="1" x14ac:dyDescent="0.2">
      <c r="A65" s="139">
        <v>2201</v>
      </c>
      <c r="B65" s="143" t="s">
        <v>22</v>
      </c>
      <c r="C65" s="138" t="e">
        <f>#REF!+P65</f>
        <v>#REF!</v>
      </c>
      <c r="D65" s="138" t="e">
        <f>#REF!</f>
        <v>#REF!</v>
      </c>
      <c r="E65" s="138" t="e">
        <f>#REF!</f>
        <v>#REF!</v>
      </c>
      <c r="F65" s="138" t="e">
        <f>#REF!</f>
        <v>#REF!</v>
      </c>
      <c r="G65" s="138" t="e">
        <f>#REF!</f>
        <v>#REF!</v>
      </c>
      <c r="H65" s="138" t="e">
        <f>#REF!</f>
        <v>#REF!</v>
      </c>
      <c r="I65" s="138" t="e">
        <f>#REF!</f>
        <v>#REF!</v>
      </c>
      <c r="J65" s="138" t="e">
        <f>#REF!</f>
        <v>#REF!</v>
      </c>
      <c r="K65" s="138" t="e">
        <f>#REF!</f>
        <v>#REF!</v>
      </c>
      <c r="L65" s="138" t="e">
        <f>#REF!</f>
        <v>#REF!</v>
      </c>
      <c r="M65" s="138" t="e">
        <f>#REF!</f>
        <v>#REF!</v>
      </c>
      <c r="N65" s="138" t="e">
        <f>#REF!</f>
        <v>#REF!</v>
      </c>
      <c r="O65" s="138" t="e">
        <f>#REF!</f>
        <v>#REF!</v>
      </c>
      <c r="P65" s="138" t="e">
        <f>-'A3'!F45</f>
        <v>#REF!</v>
      </c>
      <c r="Q65" s="138" t="e">
        <f t="shared" si="6"/>
        <v>#REF!</v>
      </c>
      <c r="R65" s="138"/>
    </row>
    <row r="66" spans="1:18" s="126" customFormat="1" x14ac:dyDescent="0.2">
      <c r="A66" s="139" t="e">
        <f>#REF!</f>
        <v>#REF!</v>
      </c>
      <c r="B66" s="143" t="e">
        <f>#REF!</f>
        <v>#REF!</v>
      </c>
      <c r="C66" s="138" t="e">
        <f>#REF!</f>
        <v>#REF!</v>
      </c>
      <c r="D66" s="138" t="e">
        <f>#REF!</f>
        <v>#REF!</v>
      </c>
      <c r="E66" s="138" t="e">
        <f>#REF!</f>
        <v>#REF!</v>
      </c>
      <c r="F66" s="138" t="e">
        <f>#REF!</f>
        <v>#REF!</v>
      </c>
      <c r="G66" s="138" t="e">
        <f>#REF!</f>
        <v>#REF!</v>
      </c>
      <c r="H66" s="138" t="e">
        <f>#REF!</f>
        <v>#REF!</v>
      </c>
      <c r="I66" s="138" t="e">
        <f>#REF!</f>
        <v>#REF!</v>
      </c>
      <c r="J66" s="138" t="e">
        <f>#REF!</f>
        <v>#REF!</v>
      </c>
      <c r="K66" s="138" t="e">
        <f>#REF!</f>
        <v>#REF!</v>
      </c>
      <c r="L66" s="138" t="e">
        <f>#REF!</f>
        <v>#REF!</v>
      </c>
      <c r="M66" s="138" t="e">
        <f>#REF!</f>
        <v>#REF!</v>
      </c>
      <c r="N66" s="138" t="e">
        <f>#REF!</f>
        <v>#REF!</v>
      </c>
      <c r="O66" s="138" t="e">
        <f>#REF!</f>
        <v>#REF!</v>
      </c>
      <c r="P66" s="138"/>
      <c r="Q66" s="138" t="e">
        <f t="shared" si="6"/>
        <v>#REF!</v>
      </c>
      <c r="R66" s="138"/>
    </row>
    <row r="67" spans="1:18" s="126" customFormat="1" x14ac:dyDescent="0.2">
      <c r="A67" s="139" t="e">
        <f>#REF!</f>
        <v>#REF!</v>
      </c>
      <c r="B67" s="143" t="e">
        <f>#REF!</f>
        <v>#REF!</v>
      </c>
      <c r="C67" s="138" t="e">
        <f>#REF!</f>
        <v>#REF!</v>
      </c>
      <c r="D67" s="138" t="e">
        <f>#REF!</f>
        <v>#REF!</v>
      </c>
      <c r="E67" s="138" t="e">
        <f>#REF!</f>
        <v>#REF!</v>
      </c>
      <c r="F67" s="138" t="e">
        <f>#REF!</f>
        <v>#REF!</v>
      </c>
      <c r="G67" s="138" t="e">
        <f>#REF!</f>
        <v>#REF!</v>
      </c>
      <c r="H67" s="138" t="e">
        <f>#REF!</f>
        <v>#REF!</v>
      </c>
      <c r="I67" s="138" t="e">
        <f>#REF!</f>
        <v>#REF!</v>
      </c>
      <c r="J67" s="138" t="e">
        <f>#REF!</f>
        <v>#REF!</v>
      </c>
      <c r="K67" s="138" t="e">
        <f>#REF!</f>
        <v>#REF!</v>
      </c>
      <c r="L67" s="138" t="e">
        <f>#REF!</f>
        <v>#REF!</v>
      </c>
      <c r="M67" s="138" t="e">
        <f>#REF!</f>
        <v>#REF!</v>
      </c>
      <c r="N67" s="138" t="e">
        <f>#REF!</f>
        <v>#REF!</v>
      </c>
      <c r="O67" s="138" t="e">
        <f>#REF!</f>
        <v>#REF!</v>
      </c>
      <c r="P67" s="138"/>
      <c r="Q67" s="138" t="e">
        <f t="shared" si="6"/>
        <v>#REF!</v>
      </c>
      <c r="R67" s="138"/>
    </row>
    <row r="68" spans="1:18" s="126" customFormat="1" x14ac:dyDescent="0.2">
      <c r="A68" s="139">
        <v>2300</v>
      </c>
      <c r="B68" s="143" t="s">
        <v>25</v>
      </c>
      <c r="C68" s="141" t="e">
        <f>#REF!</f>
        <v>#REF!</v>
      </c>
      <c r="D68" s="141" t="e">
        <f>#REF!</f>
        <v>#REF!</v>
      </c>
      <c r="E68" s="141" t="e">
        <f>#REF!</f>
        <v>#REF!</v>
      </c>
      <c r="F68" s="141" t="e">
        <f>#REF!</f>
        <v>#REF!</v>
      </c>
      <c r="G68" s="141" t="e">
        <f>#REF!</f>
        <v>#REF!</v>
      </c>
      <c r="H68" s="141" t="e">
        <f>#REF!</f>
        <v>#REF!</v>
      </c>
      <c r="I68" s="141" t="e">
        <f>#REF!</f>
        <v>#REF!</v>
      </c>
      <c r="J68" s="141" t="e">
        <f>#REF!</f>
        <v>#REF!</v>
      </c>
      <c r="K68" s="141" t="e">
        <f>#REF!</f>
        <v>#REF!</v>
      </c>
      <c r="L68" s="141" t="e">
        <f>#REF!</f>
        <v>#REF!</v>
      </c>
      <c r="M68" s="141" t="e">
        <f>#REF!</f>
        <v>#REF!</v>
      </c>
      <c r="N68" s="141" t="e">
        <f>#REF!</f>
        <v>#REF!</v>
      </c>
      <c r="O68" s="141" t="e">
        <f>#REF!</f>
        <v>#REF!</v>
      </c>
      <c r="P68" s="141"/>
      <c r="Q68" s="141" t="e">
        <f t="shared" si="6"/>
        <v>#REF!</v>
      </c>
      <c r="R68" s="138"/>
    </row>
    <row r="69" spans="1:18" s="126" customFormat="1" x14ac:dyDescent="0.2">
      <c r="B69" s="143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</row>
    <row r="70" spans="1:18" s="105" customFormat="1" x14ac:dyDescent="0.2">
      <c r="B70" s="145" t="s">
        <v>6</v>
      </c>
      <c r="C70" s="110" t="e">
        <f>SUM(C57:C69)</f>
        <v>#REF!</v>
      </c>
      <c r="D70" s="110" t="e">
        <f t="shared" ref="D70:R70" si="7">SUM(D57:D69)</f>
        <v>#REF!</v>
      </c>
      <c r="E70" s="110" t="e">
        <f t="shared" si="7"/>
        <v>#REF!</v>
      </c>
      <c r="F70" s="110" t="e">
        <f t="shared" si="7"/>
        <v>#REF!</v>
      </c>
      <c r="G70" s="110" t="e">
        <f t="shared" si="7"/>
        <v>#REF!</v>
      </c>
      <c r="H70" s="110" t="e">
        <f t="shared" si="7"/>
        <v>#REF!</v>
      </c>
      <c r="I70" s="110" t="e">
        <f t="shared" si="7"/>
        <v>#REF!</v>
      </c>
      <c r="J70" s="110" t="e">
        <f t="shared" si="7"/>
        <v>#REF!</v>
      </c>
      <c r="K70" s="110" t="e">
        <f t="shared" si="7"/>
        <v>#REF!</v>
      </c>
      <c r="L70" s="110" t="e">
        <f t="shared" si="7"/>
        <v>#REF!</v>
      </c>
      <c r="M70" s="110" t="e">
        <f t="shared" si="7"/>
        <v>#REF!</v>
      </c>
      <c r="N70" s="110" t="e">
        <f t="shared" si="7"/>
        <v>#REF!</v>
      </c>
      <c r="O70" s="110" t="e">
        <f t="shared" si="7"/>
        <v>#REF!</v>
      </c>
      <c r="P70" s="110" t="e">
        <f t="shared" si="7"/>
        <v>#REF!</v>
      </c>
      <c r="Q70" s="110" t="e">
        <f t="shared" si="7"/>
        <v>#REF!</v>
      </c>
      <c r="R70" s="110">
        <f t="shared" si="7"/>
        <v>0</v>
      </c>
    </row>
    <row r="71" spans="1:18" s="126" customFormat="1" x14ac:dyDescent="0.2">
      <c r="B71" s="143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</row>
    <row r="72" spans="1:18" s="126" customFormat="1" x14ac:dyDescent="0.2">
      <c r="A72" s="139">
        <v>2500</v>
      </c>
      <c r="B72" s="143" t="s">
        <v>26</v>
      </c>
      <c r="C72" s="138" t="e">
        <f>#REF!+P72</f>
        <v>#REF!</v>
      </c>
      <c r="D72" s="138" t="e">
        <f>#REF!</f>
        <v>#REF!</v>
      </c>
      <c r="E72" s="138" t="e">
        <f>#REF!</f>
        <v>#REF!</v>
      </c>
      <c r="F72" s="138" t="e">
        <f>#REF!</f>
        <v>#REF!</v>
      </c>
      <c r="G72" s="138" t="e">
        <f>#REF!</f>
        <v>#REF!</v>
      </c>
      <c r="H72" s="138" t="e">
        <f>#REF!</f>
        <v>#REF!</v>
      </c>
      <c r="I72" s="138" t="e">
        <f>#REF!</f>
        <v>#REF!</v>
      </c>
      <c r="J72" s="138" t="e">
        <f>#REF!</f>
        <v>#REF!</v>
      </c>
      <c r="K72" s="138" t="e">
        <f>#REF!</f>
        <v>#REF!</v>
      </c>
      <c r="L72" s="138" t="e">
        <f>#REF!</f>
        <v>#REF!</v>
      </c>
      <c r="M72" s="138" t="e">
        <f>#REF!</f>
        <v>#REF!</v>
      </c>
      <c r="N72" s="138" t="e">
        <f>#REF!</f>
        <v>#REF!</v>
      </c>
      <c r="O72" s="138" t="e">
        <f>#REF!</f>
        <v>#REF!</v>
      </c>
      <c r="P72" s="138"/>
      <c r="Q72" s="138" t="e">
        <f>C72</f>
        <v>#REF!</v>
      </c>
      <c r="R72" s="138"/>
    </row>
    <row r="73" spans="1:18" s="126" customFormat="1" x14ac:dyDescent="0.2">
      <c r="A73" s="139">
        <v>2501</v>
      </c>
      <c r="B73" s="143" t="s">
        <v>27</v>
      </c>
      <c r="C73" s="138" t="e">
        <f>#REF!</f>
        <v>#REF!</v>
      </c>
      <c r="D73" s="138" t="e">
        <f>#REF!</f>
        <v>#REF!</v>
      </c>
      <c r="E73" s="138" t="e">
        <f>#REF!</f>
        <v>#REF!</v>
      </c>
      <c r="F73" s="138" t="e">
        <f>#REF!</f>
        <v>#REF!</v>
      </c>
      <c r="G73" s="138" t="e">
        <f>#REF!</f>
        <v>#REF!</v>
      </c>
      <c r="H73" s="138" t="e">
        <f>#REF!</f>
        <v>#REF!</v>
      </c>
      <c r="I73" s="138" t="e">
        <f>#REF!</f>
        <v>#REF!</v>
      </c>
      <c r="J73" s="138" t="e">
        <f>#REF!</f>
        <v>#REF!</v>
      </c>
      <c r="K73" s="138" t="e">
        <f>#REF!</f>
        <v>#REF!</v>
      </c>
      <c r="L73" s="138" t="e">
        <f>#REF!</f>
        <v>#REF!</v>
      </c>
      <c r="M73" s="138" t="e">
        <f>#REF!</f>
        <v>#REF!</v>
      </c>
      <c r="N73" s="138" t="e">
        <f>#REF!</f>
        <v>#REF!</v>
      </c>
      <c r="O73" s="138" t="e">
        <f>#REF!</f>
        <v>#REF!</v>
      </c>
      <c r="P73" s="138"/>
      <c r="Q73" s="138" t="e">
        <f>C73</f>
        <v>#REF!</v>
      </c>
      <c r="R73" s="138"/>
    </row>
    <row r="74" spans="1:18" s="126" customFormat="1" x14ac:dyDescent="0.2">
      <c r="A74" s="139">
        <v>2600</v>
      </c>
      <c r="B74" s="143" t="s">
        <v>16</v>
      </c>
      <c r="C74" s="138" t="e">
        <f>#REF!</f>
        <v>#REF!</v>
      </c>
      <c r="D74" s="138" t="e">
        <f>#REF!</f>
        <v>#REF!</v>
      </c>
      <c r="E74" s="138" t="e">
        <f>#REF!</f>
        <v>#REF!</v>
      </c>
      <c r="F74" s="138" t="e">
        <f>#REF!</f>
        <v>#REF!</v>
      </c>
      <c r="G74" s="138" t="e">
        <f>#REF!</f>
        <v>#REF!</v>
      </c>
      <c r="H74" s="138" t="e">
        <f>#REF!</f>
        <v>#REF!</v>
      </c>
      <c r="I74" s="138" t="e">
        <f>#REF!</f>
        <v>#REF!</v>
      </c>
      <c r="J74" s="138" t="e">
        <f>#REF!</f>
        <v>#REF!</v>
      </c>
      <c r="K74" s="138" t="e">
        <f>#REF!</f>
        <v>#REF!</v>
      </c>
      <c r="L74" s="138" t="e">
        <f>#REF!</f>
        <v>#REF!</v>
      </c>
      <c r="M74" s="138" t="e">
        <f>#REF!</f>
        <v>#REF!</v>
      </c>
      <c r="N74" s="138" t="e">
        <f>#REF!</f>
        <v>#REF!</v>
      </c>
      <c r="O74" s="138" t="e">
        <f>#REF!</f>
        <v>#REF!</v>
      </c>
      <c r="P74" s="138"/>
      <c r="Q74" s="138" t="e">
        <f>C74</f>
        <v>#REF!</v>
      </c>
      <c r="R74" s="138"/>
    </row>
    <row r="75" spans="1:18" s="126" customFormat="1" x14ac:dyDescent="0.2">
      <c r="A75" s="139">
        <v>2700</v>
      </c>
      <c r="B75" s="143" t="s">
        <v>32</v>
      </c>
      <c r="C75" s="141" t="e">
        <f>#REF!</f>
        <v>#REF!</v>
      </c>
      <c r="D75" s="141" t="e">
        <f>#REF!</f>
        <v>#REF!</v>
      </c>
      <c r="E75" s="141" t="e">
        <f>#REF!</f>
        <v>#REF!</v>
      </c>
      <c r="F75" s="141" t="e">
        <f>#REF!</f>
        <v>#REF!</v>
      </c>
      <c r="G75" s="141" t="e">
        <f>#REF!</f>
        <v>#REF!</v>
      </c>
      <c r="H75" s="141" t="e">
        <f>#REF!</f>
        <v>#REF!</v>
      </c>
      <c r="I75" s="141" t="e">
        <f>#REF!</f>
        <v>#REF!</v>
      </c>
      <c r="J75" s="141" t="e">
        <f>#REF!</f>
        <v>#REF!</v>
      </c>
      <c r="K75" s="141" t="e">
        <f>#REF!</f>
        <v>#REF!</v>
      </c>
      <c r="L75" s="141" t="e">
        <f>#REF!</f>
        <v>#REF!</v>
      </c>
      <c r="M75" s="141" t="e">
        <f>#REF!</f>
        <v>#REF!</v>
      </c>
      <c r="N75" s="141" t="e">
        <f>#REF!</f>
        <v>#REF!</v>
      </c>
      <c r="O75" s="141" t="e">
        <f>#REF!</f>
        <v>#REF!</v>
      </c>
      <c r="P75" s="141"/>
      <c r="Q75" s="141" t="e">
        <f>C75</f>
        <v>#REF!</v>
      </c>
      <c r="R75" s="138"/>
    </row>
    <row r="76" spans="1:18" s="126" customFormat="1" x14ac:dyDescent="0.2">
      <c r="B76" s="143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</row>
    <row r="77" spans="1:18" s="105" customFormat="1" x14ac:dyDescent="0.2">
      <c r="B77" s="145" t="s">
        <v>7</v>
      </c>
      <c r="C77" s="110" t="e">
        <f>SUM(C72:C76)</f>
        <v>#REF!</v>
      </c>
      <c r="D77" s="110" t="e">
        <f t="shared" ref="D77:R77" si="8">SUM(D72:D76)</f>
        <v>#REF!</v>
      </c>
      <c r="E77" s="110" t="e">
        <f t="shared" si="8"/>
        <v>#REF!</v>
      </c>
      <c r="F77" s="110" t="e">
        <f t="shared" si="8"/>
        <v>#REF!</v>
      </c>
      <c r="G77" s="110" t="e">
        <f t="shared" si="8"/>
        <v>#REF!</v>
      </c>
      <c r="H77" s="110" t="e">
        <f t="shared" si="8"/>
        <v>#REF!</v>
      </c>
      <c r="I77" s="110" t="e">
        <f t="shared" si="8"/>
        <v>#REF!</v>
      </c>
      <c r="J77" s="110" t="e">
        <f t="shared" si="8"/>
        <v>#REF!</v>
      </c>
      <c r="K77" s="110" t="e">
        <f t="shared" si="8"/>
        <v>#REF!</v>
      </c>
      <c r="L77" s="110" t="e">
        <f t="shared" si="8"/>
        <v>#REF!</v>
      </c>
      <c r="M77" s="110" t="e">
        <f t="shared" si="8"/>
        <v>#REF!</v>
      </c>
      <c r="N77" s="110" t="e">
        <f t="shared" si="8"/>
        <v>#REF!</v>
      </c>
      <c r="O77" s="110" t="e">
        <f t="shared" si="8"/>
        <v>#REF!</v>
      </c>
      <c r="P77" s="110">
        <f t="shared" si="8"/>
        <v>0</v>
      </c>
      <c r="Q77" s="110" t="e">
        <f t="shared" si="8"/>
        <v>#REF!</v>
      </c>
      <c r="R77" s="110">
        <f t="shared" si="8"/>
        <v>0</v>
      </c>
    </row>
    <row r="78" spans="1:18" s="126" customFormat="1" x14ac:dyDescent="0.2">
      <c r="B78" s="143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</row>
    <row r="79" spans="1:18" s="126" customFormat="1" x14ac:dyDescent="0.2">
      <c r="B79" s="143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</row>
    <row r="80" spans="1:18" s="105" customFormat="1" x14ac:dyDescent="0.2">
      <c r="B80" s="145" t="s">
        <v>3</v>
      </c>
      <c r="C80" s="110" t="e">
        <f>-C32+C55+C70+C77</f>
        <v>#REF!</v>
      </c>
      <c r="D80" s="110" t="e">
        <f>-D32+D55+D70+D77</f>
        <v>#REF!</v>
      </c>
      <c r="E80" s="110" t="e">
        <f>-E32+E55+E70+E77-D32</f>
        <v>#REF!</v>
      </c>
      <c r="F80" s="110" t="e">
        <f>-F32+F55+F70+F77-E32-D32</f>
        <v>#REF!</v>
      </c>
      <c r="G80" s="110" t="e">
        <f>-G32+G55+G70+G77-F32-D32-E32</f>
        <v>#REF!</v>
      </c>
      <c r="H80" s="110" t="e">
        <f>-H32+H55+H70+H77-G32-D32-E32-F32</f>
        <v>#REF!</v>
      </c>
      <c r="I80" s="110" t="e">
        <f>-I32+I55+I70+I77-H32-D32-E32-F32-G32</f>
        <v>#REF!</v>
      </c>
      <c r="J80" s="110" t="e">
        <f>-J32+J55+J70+J77-I32-D32-E32-F32-G32-H32</f>
        <v>#REF!</v>
      </c>
      <c r="K80" s="110" t="e">
        <f>-K32+K55+K70+K77-J32-D32-E32-F32-G32-H32-I32</f>
        <v>#REF!</v>
      </c>
      <c r="L80" s="110" t="e">
        <f>-L32+L55+L70+L77-K32-D32-E32-F32-G32-H32-I32-J32</f>
        <v>#REF!</v>
      </c>
      <c r="M80" s="110" t="e">
        <f>-M32+M55+M70+M77-L32-D32-E32-F32-G32-H32-I32-J32-K32</f>
        <v>#REF!</v>
      </c>
      <c r="N80" s="110" t="e">
        <f>-N32+N55+N70+N77-M32-D32-E32-F32-G32-H32-I32-J32-K32-L32</f>
        <v>#REF!</v>
      </c>
      <c r="O80" s="110" t="e">
        <f>-O32+O55+O70+O77-N32-D32-E32-F32-G32-H32-I32-J32-K32-L32-M32</f>
        <v>#REF!</v>
      </c>
      <c r="P80" s="110" t="e">
        <f>-P32+P55+P70+P77</f>
        <v>#REF!</v>
      </c>
      <c r="Q80" s="110" t="e">
        <f>-Q32+Q55+Q70+Q77</f>
        <v>#REF!</v>
      </c>
      <c r="R80" s="110" t="e">
        <f>-R32+R55+R70+R77</f>
        <v>#REF!</v>
      </c>
    </row>
  </sheetData>
  <mergeCells count="3">
    <mergeCell ref="A2:C2"/>
    <mergeCell ref="A1:C1"/>
    <mergeCell ref="A3:C3"/>
  </mergeCells>
  <phoneticPr fontId="3" type="noConversion"/>
  <conditionalFormatting sqref="A72:XFD75 A34:XFD53 A57:XFD68 A7:XFD30">
    <cfRule type="expression" dxfId="0" priority="5">
      <formula>MOD(ROW(),2)</formula>
    </cfRule>
  </conditionalFormatting>
  <pageMargins left="0.78740157480314965" right="0.78740157480314965" top="0.98425196850393704" bottom="0.98425196850393704" header="0.51181102362204722" footer="0.51181102362204722"/>
  <pageSetup scale="26" fitToHeight="2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shCouverture">
    <tabColor rgb="FF8C8375"/>
    <pageSetUpPr autoPageBreaks="0" fitToPage="1"/>
  </sheetPr>
  <dimension ref="B2:B27"/>
  <sheetViews>
    <sheetView topLeftCell="A15" zoomScaleNormal="100" zoomScaleSheetLayoutView="100" workbookViewId="0">
      <selection activeCell="C25" sqref="A1:C25"/>
    </sheetView>
  </sheetViews>
  <sheetFormatPr baseColWidth="10" defaultColWidth="10.7109375" defaultRowHeight="15" x14ac:dyDescent="0.2"/>
  <cols>
    <col min="1" max="1" width="3.7109375" style="163" customWidth="1"/>
    <col min="2" max="2" width="53.5703125" style="163" bestFit="1" customWidth="1"/>
    <col min="3" max="3" width="3.7109375" style="163" customWidth="1"/>
    <col min="4" max="16384" width="10.7109375" style="163"/>
  </cols>
  <sheetData>
    <row r="2" spans="2:2" x14ac:dyDescent="0.2">
      <c r="B2" s="164"/>
    </row>
    <row r="3" spans="2:2" x14ac:dyDescent="0.2">
      <c r="B3" s="164"/>
    </row>
    <row r="4" spans="2:2" x14ac:dyDescent="0.2">
      <c r="B4" s="164"/>
    </row>
    <row r="5" spans="2:2" ht="24.75" x14ac:dyDescent="0.2">
      <c r="B5" s="165"/>
    </row>
    <row r="6" spans="2:2" ht="24.75" x14ac:dyDescent="0.2">
      <c r="B6" s="165"/>
    </row>
    <row r="7" spans="2:2" ht="24.75" x14ac:dyDescent="0.2">
      <c r="B7" s="165"/>
    </row>
    <row r="8" spans="2:2" ht="24.75" x14ac:dyDescent="0.2">
      <c r="B8" s="165" t="s">
        <v>111</v>
      </c>
    </row>
    <row r="9" spans="2:2" ht="24.75" x14ac:dyDescent="0.2">
      <c r="B9" s="165"/>
    </row>
    <row r="10" spans="2:2" ht="24.75" x14ac:dyDescent="0.2">
      <c r="B10" s="165"/>
    </row>
    <row r="11" spans="2:2" ht="24.75" x14ac:dyDescent="0.2">
      <c r="B11" s="165"/>
    </row>
    <row r="12" spans="2:2" ht="24.75" x14ac:dyDescent="0.2">
      <c r="B12" s="165"/>
    </row>
    <row r="13" spans="2:2" ht="24.75" x14ac:dyDescent="0.2">
      <c r="B13" s="165"/>
    </row>
    <row r="14" spans="2:2" ht="24.75" x14ac:dyDescent="0.2">
      <c r="B14" s="165"/>
    </row>
    <row r="15" spans="2:2" s="162" customFormat="1" ht="29.25" x14ac:dyDescent="0.2">
      <c r="B15" s="166" t="s">
        <v>112</v>
      </c>
    </row>
    <row r="16" spans="2:2" s="162" customFormat="1" ht="29.25" x14ac:dyDescent="0.2">
      <c r="B16" s="165"/>
    </row>
    <row r="17" spans="2:2" ht="24.75" x14ac:dyDescent="0.2">
      <c r="B17" s="166"/>
    </row>
    <row r="18" spans="2:2" ht="24.75" x14ac:dyDescent="0.2">
      <c r="B18" s="167"/>
    </row>
    <row r="19" spans="2:2" ht="24.75" x14ac:dyDescent="0.2">
      <c r="B19" s="167"/>
    </row>
    <row r="20" spans="2:2" ht="24.75" x14ac:dyDescent="0.2">
      <c r="B20" s="167"/>
    </row>
    <row r="21" spans="2:2" ht="24.75" x14ac:dyDescent="0.2">
      <c r="B21" s="167"/>
    </row>
    <row r="22" spans="2:2" ht="24.75" x14ac:dyDescent="0.2">
      <c r="B22" s="167"/>
    </row>
    <row r="23" spans="2:2" s="162" customFormat="1" ht="29.25" x14ac:dyDescent="0.2">
      <c r="B23" s="165"/>
    </row>
    <row r="24" spans="2:2" s="162" customFormat="1" ht="29.25" x14ac:dyDescent="0.2">
      <c r="B24" s="165"/>
    </row>
    <row r="25" spans="2:2" s="168" customFormat="1" ht="29.25" x14ac:dyDescent="0.2">
      <c r="B25" s="169">
        <v>45535</v>
      </c>
    </row>
    <row r="26" spans="2:2" ht="24.75" x14ac:dyDescent="0.2">
      <c r="B26" s="167"/>
    </row>
    <row r="27" spans="2:2" ht="24.75" x14ac:dyDescent="0.2">
      <c r="B27" s="167"/>
    </row>
  </sheetData>
  <phoneticPr fontId="5" type="noConversion"/>
  <printOptions horizontalCentered="1" verticalCentered="1"/>
  <pageMargins left="0.19685039370078741" right="0.19685039370078741" top="0.19685039370078741" bottom="0.19685039370078741" header="0.39370078740157483" footer="0.3937007874015748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shTM">
    <tabColor rgb="FF8C8375"/>
    <pageSetUpPr autoPageBreaks="0" fitToPage="1"/>
  </sheetPr>
  <dimension ref="B5:F36"/>
  <sheetViews>
    <sheetView tabSelected="1" zoomScaleNormal="100" zoomScaleSheetLayoutView="100" workbookViewId="0">
      <selection sqref="A1:F30"/>
    </sheetView>
  </sheetViews>
  <sheetFormatPr baseColWidth="10" defaultColWidth="10.7109375" defaultRowHeight="14.25" x14ac:dyDescent="0.2"/>
  <cols>
    <col min="1" max="1" width="3.7109375" style="1" customWidth="1"/>
    <col min="2" max="2" width="58.85546875" style="1" bestFit="1" customWidth="1"/>
    <col min="3" max="3" width="0.28515625" style="1" customWidth="1"/>
    <col min="4" max="4" width="0.28515625" style="10" customWidth="1"/>
    <col min="5" max="5" width="6.42578125" style="2" bestFit="1" customWidth="1"/>
    <col min="6" max="6" width="3.7109375" style="1" customWidth="1"/>
    <col min="7" max="16384" width="10.7109375" style="1"/>
  </cols>
  <sheetData>
    <row r="5" spans="2:6" ht="15" customHeight="1" x14ac:dyDescent="0.2">
      <c r="B5" s="85"/>
      <c r="E5" s="11"/>
      <c r="F5" s="12"/>
    </row>
    <row r="6" spans="2:6" ht="15" customHeight="1" x14ac:dyDescent="0.2">
      <c r="B6" s="85"/>
      <c r="E6" s="11"/>
      <c r="F6" s="12"/>
    </row>
    <row r="7" spans="2:6" ht="15" customHeight="1" x14ac:dyDescent="0.2">
      <c r="B7" s="85"/>
      <c r="E7" s="11"/>
      <c r="F7" s="12"/>
    </row>
    <row r="8" spans="2:6" ht="15" customHeight="1" x14ac:dyDescent="0.2">
      <c r="B8" s="85"/>
      <c r="E8" s="11"/>
      <c r="F8" s="12"/>
    </row>
    <row r="9" spans="2:6" ht="15" customHeight="1" x14ac:dyDescent="0.2">
      <c r="B9" s="86" t="str">
        <f>'Couv.'!B8</f>
        <v>GC FISCALITÉ PLUS INC.</v>
      </c>
      <c r="E9" s="11"/>
      <c r="F9" s="12"/>
    </row>
    <row r="10" spans="2:6" ht="15" customHeight="1" x14ac:dyDescent="0.2">
      <c r="B10" s="86" t="s">
        <v>36</v>
      </c>
      <c r="C10" s="3"/>
      <c r="D10" s="6"/>
      <c r="E10" s="3"/>
      <c r="F10" s="3"/>
    </row>
    <row r="11" spans="2:6" ht="15" customHeight="1" x14ac:dyDescent="0.2">
      <c r="B11" s="86" t="s">
        <v>112</v>
      </c>
      <c r="C11" s="3"/>
      <c r="D11" s="6"/>
      <c r="E11" s="3"/>
      <c r="F11" s="3"/>
    </row>
    <row r="12" spans="2:6" ht="15" customHeight="1" x14ac:dyDescent="0.2">
      <c r="B12" s="170">
        <f>'Couv.'!B25</f>
        <v>45535</v>
      </c>
      <c r="C12" s="3"/>
      <c r="D12" s="6"/>
      <c r="E12" s="3"/>
      <c r="F12" s="3"/>
    </row>
    <row r="13" spans="2:6" ht="15" customHeight="1" thickBot="1" x14ac:dyDescent="0.25">
      <c r="B13" s="87"/>
      <c r="C13" s="7"/>
      <c r="D13" s="7"/>
      <c r="E13" s="7"/>
      <c r="F13" s="9"/>
    </row>
    <row r="14" spans="2:6" ht="15" customHeight="1" x14ac:dyDescent="0.2">
      <c r="B14" s="88"/>
      <c r="C14" s="3"/>
      <c r="D14" s="3"/>
      <c r="E14" s="3"/>
    </row>
    <row r="15" spans="2:6" ht="15" customHeight="1" x14ac:dyDescent="0.2">
      <c r="B15" s="88"/>
      <c r="C15" s="3"/>
      <c r="D15" s="3"/>
      <c r="E15" s="3"/>
    </row>
    <row r="16" spans="2:6" ht="15" customHeight="1" x14ac:dyDescent="0.2">
      <c r="B16" s="89"/>
    </row>
    <row r="17" spans="2:6" ht="15" customHeight="1" x14ac:dyDescent="0.2">
      <c r="B17" s="88"/>
      <c r="C17" s="3"/>
      <c r="D17" s="3"/>
      <c r="E17" s="3"/>
      <c r="F17" s="3"/>
    </row>
    <row r="18" spans="2:6" ht="15" customHeight="1" x14ac:dyDescent="0.2">
      <c r="B18" s="89"/>
    </row>
    <row r="19" spans="2:6" ht="15" customHeight="1" x14ac:dyDescent="0.2">
      <c r="B19" s="88"/>
    </row>
    <row r="20" spans="2:6" ht="15" customHeight="1" x14ac:dyDescent="0.2">
      <c r="B20" s="88"/>
      <c r="E20" s="11" t="s">
        <v>35</v>
      </c>
    </row>
    <row r="21" spans="2:6" ht="15" customHeight="1" x14ac:dyDescent="0.2">
      <c r="B21" s="88"/>
      <c r="E21" s="11"/>
      <c r="F21" s="12"/>
    </row>
    <row r="22" spans="2:6" ht="15" customHeight="1" x14ac:dyDescent="0.2">
      <c r="B22" s="88"/>
      <c r="E22" s="11"/>
    </row>
    <row r="23" spans="2:6" ht="15" customHeight="1" x14ac:dyDescent="0.2">
      <c r="B23" s="88"/>
      <c r="E23" s="11"/>
    </row>
    <row r="24" spans="2:6" ht="15" customHeight="1" x14ac:dyDescent="0.2">
      <c r="B24" s="89"/>
      <c r="E24" s="11"/>
    </row>
    <row r="25" spans="2:6" ht="15" customHeight="1" x14ac:dyDescent="0.2">
      <c r="B25" s="89" t="s">
        <v>157</v>
      </c>
      <c r="E25" s="11" t="s">
        <v>159</v>
      </c>
      <c r="F25" s="12"/>
    </row>
    <row r="26" spans="2:6" ht="15" customHeight="1" x14ac:dyDescent="0.2">
      <c r="B26" s="89"/>
      <c r="E26" s="11"/>
    </row>
    <row r="27" spans="2:6" ht="15" customHeight="1" x14ac:dyDescent="0.2">
      <c r="B27" s="89" t="s">
        <v>158</v>
      </c>
      <c r="E27" s="11" t="s">
        <v>160</v>
      </c>
      <c r="F27" s="12"/>
    </row>
    <row r="28" spans="2:6" ht="15" customHeight="1" x14ac:dyDescent="0.2">
      <c r="B28" s="89"/>
      <c r="E28" s="11"/>
    </row>
    <row r="29" spans="2:6" ht="15" customHeight="1" x14ac:dyDescent="0.2">
      <c r="B29" s="89" t="s">
        <v>89</v>
      </c>
      <c r="E29" s="11" t="s">
        <v>39</v>
      </c>
      <c r="F29" s="12"/>
    </row>
    <row r="30" spans="2:6" ht="15" customHeight="1" x14ac:dyDescent="0.2">
      <c r="B30" s="90"/>
      <c r="E30" s="11"/>
    </row>
    <row r="31" spans="2:6" x14ac:dyDescent="0.2">
      <c r="B31" s="89"/>
      <c r="E31" s="11"/>
      <c r="F31" s="12"/>
    </row>
    <row r="32" spans="2:6" x14ac:dyDescent="0.2">
      <c r="E32" s="11"/>
      <c r="F32" s="12"/>
    </row>
    <row r="33" spans="5:6" x14ac:dyDescent="0.2">
      <c r="E33" s="11"/>
      <c r="F33" s="12"/>
    </row>
    <row r="34" spans="5:6" x14ac:dyDescent="0.2">
      <c r="E34" s="11"/>
      <c r="F34" s="12"/>
    </row>
    <row r="35" spans="5:6" x14ac:dyDescent="0.2">
      <c r="E35" s="11"/>
      <c r="F35" s="12"/>
    </row>
    <row r="36" spans="5:6" x14ac:dyDescent="0.2">
      <c r="E36" s="11"/>
      <c r="F36" s="12"/>
    </row>
  </sheetData>
  <phoneticPr fontId="5" type="noConversion"/>
  <printOptions horizontalCentered="1"/>
  <pageMargins left="0.19685039370078741" right="0.19685039370078741" top="0.19685039370078741" bottom="0.19685039370078741" header="0.39370078740157483" footer="0.39370078740157483"/>
  <pageSetup orientation="portrait" r:id="rId1"/>
  <headerFooter scaleWithDoc="0"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shER">
    <tabColor rgb="FF8C8375"/>
  </sheetPr>
  <dimension ref="A1:D52"/>
  <sheetViews>
    <sheetView showFormulas="1" zoomScaleNormal="100" zoomScaleSheetLayoutView="100" workbookViewId="0">
      <selection activeCell="E1" sqref="E1:XFD1048576"/>
    </sheetView>
  </sheetViews>
  <sheetFormatPr baseColWidth="10" defaultColWidth="10.7109375" defaultRowHeight="14.25" x14ac:dyDescent="0.2"/>
  <cols>
    <col min="1" max="1" width="29" style="13" customWidth="1"/>
    <col min="2" max="2" width="16.28515625" style="13" bestFit="1" customWidth="1"/>
    <col min="3" max="3" width="1.140625" style="13" customWidth="1"/>
    <col min="4" max="4" width="15.7109375" style="13" customWidth="1"/>
  </cols>
  <sheetData>
    <row r="1" spans="1:4" x14ac:dyDescent="0.2">
      <c r="A1" s="1"/>
      <c r="B1" s="1"/>
      <c r="C1" s="1"/>
      <c r="D1" s="1"/>
    </row>
    <row r="2" spans="1:4" x14ac:dyDescent="0.2">
      <c r="A2" s="1"/>
      <c r="B2" s="1"/>
      <c r="C2" s="1"/>
      <c r="D2" s="1"/>
    </row>
    <row r="3" spans="1:4" x14ac:dyDescent="0.2">
      <c r="A3" s="1"/>
      <c r="B3" s="1"/>
      <c r="C3" s="1"/>
      <c r="D3" s="1"/>
    </row>
    <row r="4" spans="1:4" x14ac:dyDescent="0.2">
      <c r="A4" s="1"/>
      <c r="B4" s="1"/>
      <c r="C4" s="1"/>
      <c r="D4" s="1"/>
    </row>
    <row r="5" spans="1:4" x14ac:dyDescent="0.2">
      <c r="A5" s="1"/>
      <c r="B5" s="1"/>
      <c r="C5" s="1"/>
      <c r="D5" s="1"/>
    </row>
    <row r="6" spans="1:4" x14ac:dyDescent="0.2">
      <c r="A6" s="1"/>
      <c r="B6" s="1"/>
      <c r="C6" s="1"/>
      <c r="D6" s="1"/>
    </row>
    <row r="7" spans="1:4" ht="15" x14ac:dyDescent="0.2">
      <c r="A7" s="92"/>
    </row>
    <row r="8" spans="1:4" ht="15" x14ac:dyDescent="0.2">
      <c r="A8" s="92" t="s">
        <v>90</v>
      </c>
      <c r="B8" s="54"/>
      <c r="C8" s="54"/>
      <c r="D8" s="54"/>
    </row>
    <row r="9" spans="1:4" ht="15" x14ac:dyDescent="0.2">
      <c r="A9" s="92" t="s">
        <v>77</v>
      </c>
      <c r="B9" s="54"/>
      <c r="C9" s="54"/>
      <c r="D9" s="54"/>
    </row>
    <row r="10" spans="1:4" ht="12.75" customHeight="1" thickBot="1" x14ac:dyDescent="0.25">
      <c r="A10" s="87"/>
      <c r="B10" s="7"/>
      <c r="C10" s="7"/>
      <c r="D10" s="46"/>
    </row>
    <row r="11" spans="1:4" x14ac:dyDescent="0.2">
      <c r="A11" s="88"/>
      <c r="B11" s="3"/>
      <c r="C11" s="3"/>
      <c r="D11" s="3"/>
    </row>
    <row r="12" spans="1:4" ht="12.75" x14ac:dyDescent="0.2">
      <c r="A12" s="95"/>
      <c r="B12" s="112">
        <f>YEAR('Couv.'!B25)</f>
        <v>2024</v>
      </c>
      <c r="C12" s="113"/>
      <c r="D12" s="112">
        <v>2022</v>
      </c>
    </row>
    <row r="13" spans="1:4" ht="12.75" x14ac:dyDescent="0.2">
      <c r="A13" s="96"/>
      <c r="B13" s="44"/>
      <c r="C13" s="44"/>
      <c r="D13" s="79"/>
    </row>
    <row r="14" spans="1:4" ht="12.75" x14ac:dyDescent="0.2">
      <c r="A14" s="97" t="s">
        <v>131</v>
      </c>
      <c r="B14" s="63"/>
      <c r="C14" s="44"/>
      <c r="D14" s="63"/>
    </row>
    <row r="15" spans="1:4" ht="12.75" x14ac:dyDescent="0.2">
      <c r="A15" s="96"/>
      <c r="B15" s="134"/>
      <c r="C15" s="44"/>
      <c r="D15" s="134"/>
    </row>
    <row r="16" spans="1:4" ht="12.75" x14ac:dyDescent="0.2">
      <c r="A16" s="96" t="s">
        <v>146</v>
      </c>
      <c r="B16" s="152" t="e">
        <f>ROUND(-BV!C7-BV!C9,0)</f>
        <v>#REF!</v>
      </c>
      <c r="C16" s="44"/>
      <c r="D16" s="59">
        <v>0</v>
      </c>
    </row>
    <row r="17" spans="1:4" ht="12.75" x14ac:dyDescent="0.2">
      <c r="A17" s="96" t="s">
        <v>163</v>
      </c>
      <c r="B17" s="152" t="e">
        <f>-BV!C8</f>
        <v>#REF!</v>
      </c>
      <c r="C17" s="44"/>
      <c r="D17" s="59">
        <v>0</v>
      </c>
    </row>
    <row r="18" spans="1:4" ht="12.75" x14ac:dyDescent="0.2">
      <c r="A18" s="96" t="s">
        <v>150</v>
      </c>
      <c r="B18" s="152" t="e">
        <f>-BV!C12</f>
        <v>#REF!</v>
      </c>
      <c r="C18" s="44"/>
      <c r="D18" s="59">
        <v>0</v>
      </c>
    </row>
    <row r="19" spans="1:4" ht="18.75" customHeight="1" x14ac:dyDescent="0.2">
      <c r="A19" s="95" t="s">
        <v>15</v>
      </c>
      <c r="B19" s="80" t="e">
        <f>SUM(B16:B18)</f>
        <v>#REF!</v>
      </c>
      <c r="C19" s="44"/>
      <c r="D19" s="80">
        <v>0</v>
      </c>
    </row>
    <row r="20" spans="1:4" ht="12.75" x14ac:dyDescent="0.2">
      <c r="A20" s="95"/>
      <c r="B20" s="63"/>
      <c r="C20" s="44"/>
      <c r="D20" s="63"/>
    </row>
    <row r="21" spans="1:4" ht="12.75" x14ac:dyDescent="0.2">
      <c r="A21" s="97" t="s">
        <v>113</v>
      </c>
      <c r="B21" s="57"/>
      <c r="C21" s="44"/>
      <c r="D21" s="57"/>
    </row>
    <row r="22" spans="1:4" ht="12.75" x14ac:dyDescent="0.2">
      <c r="A22" s="96"/>
      <c r="B22" s="79"/>
      <c r="C22" s="44"/>
      <c r="D22" s="79"/>
    </row>
    <row r="23" spans="1:4" ht="12.75" x14ac:dyDescent="0.2">
      <c r="A23" s="96" t="s">
        <v>164</v>
      </c>
      <c r="B23" s="152" t="e">
        <f>ROUND(BV!C24,0)</f>
        <v>#REF!</v>
      </c>
      <c r="C23" s="44"/>
      <c r="D23" s="59">
        <v>0</v>
      </c>
    </row>
    <row r="24" spans="1:4" ht="12.75" x14ac:dyDescent="0.2">
      <c r="A24" s="96" t="s">
        <v>91</v>
      </c>
      <c r="B24" s="152" t="e">
        <f>ROUND(BV!C18,0)</f>
        <v>#REF!</v>
      </c>
      <c r="C24" s="44"/>
      <c r="D24" s="59">
        <v>0</v>
      </c>
    </row>
    <row r="25" spans="1:4" ht="12.75" x14ac:dyDescent="0.2">
      <c r="A25" s="96" t="s">
        <v>121</v>
      </c>
      <c r="B25" s="152" t="e">
        <f>ROUND((BV!C21+BV!C29),0)</f>
        <v>#REF!</v>
      </c>
      <c r="C25" s="44"/>
      <c r="D25" s="59">
        <v>0</v>
      </c>
    </row>
    <row r="26" spans="1:4" ht="12.75" x14ac:dyDescent="0.2">
      <c r="A26" s="96" t="s">
        <v>55</v>
      </c>
      <c r="B26" s="152" t="e">
        <f>ROUND(BV!C19,0)</f>
        <v>#REF!</v>
      </c>
      <c r="C26" s="44"/>
      <c r="D26" s="59">
        <v>0</v>
      </c>
    </row>
    <row r="27" spans="1:4" ht="12.75" x14ac:dyDescent="0.2">
      <c r="A27" s="96" t="s">
        <v>13</v>
      </c>
      <c r="B27" s="152" t="e">
        <f>ROUND(BV!Q28,0)</f>
        <v>#REF!</v>
      </c>
      <c r="C27" s="44"/>
      <c r="D27" s="59">
        <v>0</v>
      </c>
    </row>
    <row r="28" spans="1:4" ht="12.75" x14ac:dyDescent="0.2">
      <c r="A28" s="96" t="s">
        <v>125</v>
      </c>
      <c r="B28" s="152" t="e">
        <f>ROUND((BV!C25),0)</f>
        <v>#REF!</v>
      </c>
      <c r="C28" s="44"/>
      <c r="D28" s="59">
        <v>0</v>
      </c>
    </row>
    <row r="29" spans="1:4" ht="12.75" x14ac:dyDescent="0.2">
      <c r="A29" s="98" t="s">
        <v>116</v>
      </c>
      <c r="B29" s="152" t="e">
        <f>ROUND(BV!C16+BV!C17,0)</f>
        <v>#REF!</v>
      </c>
      <c r="C29" s="44"/>
      <c r="D29" s="59">
        <v>0</v>
      </c>
    </row>
    <row r="30" spans="1:4" ht="12.75" x14ac:dyDescent="0.2">
      <c r="A30" s="96" t="s">
        <v>9</v>
      </c>
      <c r="B30" s="152" t="e">
        <f>ROUND(BV!C22,0)</f>
        <v>#REF!</v>
      </c>
      <c r="C30" s="44"/>
      <c r="D30" s="59">
        <v>0</v>
      </c>
    </row>
    <row r="31" spans="1:4" ht="12.75" x14ac:dyDescent="0.2">
      <c r="A31" s="96" t="s">
        <v>8</v>
      </c>
      <c r="B31" s="152" t="e">
        <f>ROUND(BV!C13,0)</f>
        <v>#REF!</v>
      </c>
      <c r="C31" s="44"/>
      <c r="D31" s="59">
        <v>0</v>
      </c>
    </row>
    <row r="32" spans="1:4" ht="12.75" x14ac:dyDescent="0.2">
      <c r="A32" s="96" t="s">
        <v>85</v>
      </c>
      <c r="B32" s="152" t="e">
        <f>ROUND(BV!C15,0)</f>
        <v>#REF!</v>
      </c>
      <c r="C32" s="44"/>
      <c r="D32" s="59">
        <v>0</v>
      </c>
    </row>
    <row r="33" spans="1:4" ht="12.75" x14ac:dyDescent="0.2">
      <c r="A33" s="96" t="s">
        <v>145</v>
      </c>
      <c r="B33" s="152" t="e">
        <f>ROUND(BV!C20,0)</f>
        <v>#REF!</v>
      </c>
      <c r="C33" s="44"/>
      <c r="D33" s="59">
        <v>0</v>
      </c>
    </row>
    <row r="34" spans="1:4" ht="12.75" x14ac:dyDescent="0.2">
      <c r="A34" s="98" t="s">
        <v>54</v>
      </c>
      <c r="B34" s="152" t="e">
        <f>ROUND(BV!C14,0)</f>
        <v>#REF!</v>
      </c>
      <c r="C34" s="44"/>
      <c r="D34" s="59">
        <v>0</v>
      </c>
    </row>
    <row r="35" spans="1:4" ht="12.75" x14ac:dyDescent="0.2">
      <c r="A35" s="96" t="s">
        <v>10</v>
      </c>
      <c r="B35" s="152" t="e">
        <f>ROUND(BV!C23,0)</f>
        <v>#REF!</v>
      </c>
      <c r="C35" s="44"/>
      <c r="D35" s="59">
        <v>0</v>
      </c>
    </row>
    <row r="36" spans="1:4" ht="12.75" x14ac:dyDescent="0.2">
      <c r="A36" s="96" t="s">
        <v>82</v>
      </c>
      <c r="B36" s="152" t="e">
        <f>ROUND(BV!C26,0)</f>
        <v>#REF!</v>
      </c>
      <c r="C36" s="44"/>
      <c r="D36" s="59">
        <v>0</v>
      </c>
    </row>
    <row r="37" spans="1:4" ht="12.75" x14ac:dyDescent="0.2">
      <c r="A37" s="96" t="s">
        <v>83</v>
      </c>
      <c r="B37" s="152" t="e">
        <f>ROUND(BV!C27,0)</f>
        <v>#REF!</v>
      </c>
      <c r="C37" s="44"/>
      <c r="D37" s="59">
        <v>0</v>
      </c>
    </row>
    <row r="38" spans="1:4" ht="12.75" x14ac:dyDescent="0.2">
      <c r="A38" s="96"/>
      <c r="B38" s="59"/>
      <c r="C38" s="44"/>
      <c r="D38" s="59"/>
    </row>
    <row r="39" spans="1:4" ht="12.75" x14ac:dyDescent="0.2">
      <c r="A39" s="95" t="s">
        <v>72</v>
      </c>
      <c r="B39" s="80" t="e">
        <f>SUM(B23:B37)</f>
        <v>#REF!</v>
      </c>
      <c r="C39" s="44"/>
      <c r="D39" s="80">
        <v>0</v>
      </c>
    </row>
    <row r="40" spans="1:4" ht="12.75" x14ac:dyDescent="0.2">
      <c r="A40" s="95"/>
      <c r="B40" s="63"/>
      <c r="C40" s="44"/>
      <c r="D40" s="63"/>
    </row>
    <row r="41" spans="1:4" ht="12.75" x14ac:dyDescent="0.2">
      <c r="A41" s="96" t="s">
        <v>14</v>
      </c>
      <c r="B41" s="152" t="e">
        <f>ROUND((-BV!Q10-BV!Q11),0)</f>
        <v>#REF!</v>
      </c>
      <c r="C41" s="44"/>
      <c r="D41" s="59">
        <v>0</v>
      </c>
    </row>
    <row r="42" spans="1:4" ht="12.75" x14ac:dyDescent="0.2">
      <c r="A42" s="96"/>
      <c r="B42" s="59"/>
      <c r="C42" s="44"/>
      <c r="D42" s="59"/>
    </row>
    <row r="43" spans="1:4" ht="12.75" x14ac:dyDescent="0.2">
      <c r="A43" s="95" t="s">
        <v>109</v>
      </c>
      <c r="B43" s="81" t="e">
        <f>B19-B39+B41</f>
        <v>#REF!</v>
      </c>
      <c r="C43" s="44"/>
      <c r="D43" s="81">
        <v>0</v>
      </c>
    </row>
    <row r="44" spans="1:4" ht="12.75" x14ac:dyDescent="0.2">
      <c r="A44" s="95"/>
      <c r="B44" s="63"/>
      <c r="C44" s="44"/>
      <c r="D44" s="63"/>
    </row>
    <row r="45" spans="1:4" ht="12.75" x14ac:dyDescent="0.2">
      <c r="A45" s="95" t="s">
        <v>132</v>
      </c>
      <c r="B45" s="152" t="e">
        <f>ROUND(-BV!C30,0)</f>
        <v>#REF!</v>
      </c>
      <c r="C45" s="82"/>
      <c r="D45" s="59">
        <v>0</v>
      </c>
    </row>
    <row r="46" spans="1:4" ht="12.75" x14ac:dyDescent="0.2">
      <c r="A46" s="96"/>
      <c r="B46" s="83"/>
      <c r="C46" s="44"/>
      <c r="D46" s="83"/>
    </row>
    <row r="47" spans="1:4" ht="12.75" x14ac:dyDescent="0.2">
      <c r="A47" s="95" t="s">
        <v>110</v>
      </c>
      <c r="B47" s="81" t="e">
        <f>B43+B45</f>
        <v>#REF!</v>
      </c>
      <c r="C47" s="44"/>
      <c r="D47" s="81">
        <v>0</v>
      </c>
    </row>
    <row r="48" spans="1:4" ht="12.75" x14ac:dyDescent="0.2">
      <c r="A48" s="58"/>
      <c r="B48" s="63"/>
      <c r="C48" s="44"/>
      <c r="D48" s="63"/>
    </row>
    <row r="49" spans="1:4" ht="12.75" x14ac:dyDescent="0.2">
      <c r="A49" s="58"/>
      <c r="B49" s="63"/>
      <c r="C49" s="44"/>
      <c r="D49" s="63"/>
    </row>
    <row r="50" spans="1:4" ht="12.75" x14ac:dyDescent="0.2">
      <c r="A50" s="58"/>
      <c r="B50" s="63"/>
      <c r="C50" s="44"/>
      <c r="D50" s="63"/>
    </row>
    <row r="51" spans="1:4" ht="12.75" x14ac:dyDescent="0.2">
      <c r="A51" s="58"/>
      <c r="B51" s="63"/>
      <c r="C51" s="44"/>
      <c r="D51" s="63"/>
    </row>
    <row r="52" spans="1:4" ht="12.75" x14ac:dyDescent="0.2">
      <c r="A52" s="58"/>
      <c r="B52" s="63"/>
      <c r="C52" s="44"/>
      <c r="D52" s="63"/>
    </row>
  </sheetData>
  <pageMargins left="0.15748031496062992" right="0.15748031496062992" top="0.34" bottom="0.34" header="0.15748031496062992" footer="0.1574803149606299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shBNR">
    <tabColor rgb="FF8C8375"/>
    <pageSetUpPr fitToPage="1"/>
  </sheetPr>
  <dimension ref="B1:E36"/>
  <sheetViews>
    <sheetView showFormulas="1" zoomScaleNormal="100" zoomScaleSheetLayoutView="100" workbookViewId="0">
      <selection activeCell="P10" sqref="P10"/>
    </sheetView>
  </sheetViews>
  <sheetFormatPr baseColWidth="10" defaultColWidth="1.5703125" defaultRowHeight="14.25" x14ac:dyDescent="0.2"/>
  <cols>
    <col min="1" max="1" width="5.7109375" style="1" customWidth="1"/>
    <col min="2" max="2" width="22.42578125" style="1" customWidth="1"/>
    <col min="3" max="3" width="14.28515625" style="10" bestFit="1" customWidth="1"/>
    <col min="4" max="4" width="0.5703125" style="10" customWidth="1"/>
    <col min="5" max="5" width="14.28515625" style="1" bestFit="1" customWidth="1"/>
    <col min="6" max="6" width="5.7109375" style="1" customWidth="1"/>
    <col min="7" max="16384" width="1.5703125" style="1"/>
  </cols>
  <sheetData>
    <row r="1" spans="2:5" ht="9.9499999999999993" customHeight="1" x14ac:dyDescent="0.2">
      <c r="C1" s="2"/>
      <c r="D1" s="2"/>
    </row>
    <row r="2" spans="2:5" x14ac:dyDescent="0.2">
      <c r="C2" s="2"/>
      <c r="D2" s="2"/>
    </row>
    <row r="3" spans="2:5" s="68" customFormat="1" ht="15" x14ac:dyDescent="0.2">
      <c r="B3" s="4"/>
      <c r="C3" s="67"/>
      <c r="D3" s="67"/>
      <c r="E3" s="67"/>
    </row>
    <row r="4" spans="2:5" x14ac:dyDescent="0.2">
      <c r="C4" s="78"/>
      <c r="D4" s="78"/>
      <c r="E4" s="5"/>
    </row>
    <row r="5" spans="2:5" x14ac:dyDescent="0.2">
      <c r="C5" s="78"/>
      <c r="D5" s="78"/>
      <c r="E5" s="5"/>
    </row>
    <row r="6" spans="2:5" s="68" customFormat="1" ht="15" x14ac:dyDescent="0.2">
      <c r="B6" s="4"/>
      <c r="C6" s="67"/>
      <c r="D6" s="67"/>
      <c r="E6" s="67"/>
    </row>
    <row r="7" spans="2:5" s="68" customFormat="1" ht="15" x14ac:dyDescent="0.2">
      <c r="B7" s="4"/>
      <c r="C7" s="67"/>
      <c r="D7" s="67"/>
      <c r="E7" s="67"/>
    </row>
    <row r="8" spans="2:5" s="68" customFormat="1" ht="15" x14ac:dyDescent="0.2">
      <c r="B8" s="153" t="str">
        <f>'Couv.'!B8</f>
        <v>GC FISCALITÉ PLUS INC.</v>
      </c>
      <c r="C8" s="67"/>
      <c r="D8" s="67"/>
      <c r="E8" s="67"/>
    </row>
    <row r="9" spans="2:5" s="68" customFormat="1" ht="15" x14ac:dyDescent="0.2">
      <c r="B9" s="155" t="s">
        <v>28</v>
      </c>
      <c r="C9" s="67"/>
      <c r="D9" s="67"/>
      <c r="E9" s="69"/>
    </row>
    <row r="10" spans="2:5" s="54" customFormat="1" ht="15" x14ac:dyDescent="0.2">
      <c r="B10" s="154" t="str">
        <f>ER!A9</f>
        <v>POUR L'EXERCICE FINANCIER SE TERMINANT LE 31 JUILLET</v>
      </c>
    </row>
    <row r="11" spans="2:5" ht="12.75" customHeight="1" thickBot="1" x14ac:dyDescent="0.25">
      <c r="B11" s="87"/>
      <c r="C11" s="7"/>
      <c r="D11" s="7"/>
    </row>
    <row r="12" spans="2:5" ht="9.9499999999999993" customHeight="1" thickBot="1" x14ac:dyDescent="0.25">
      <c r="B12" s="88"/>
      <c r="C12" s="3"/>
      <c r="D12" s="3"/>
      <c r="E12" s="7"/>
    </row>
    <row r="13" spans="2:5" x14ac:dyDescent="0.2">
      <c r="B13" s="85"/>
      <c r="C13" s="78"/>
      <c r="D13" s="78"/>
      <c r="E13" s="3"/>
    </row>
    <row r="14" spans="2:5" x14ac:dyDescent="0.2">
      <c r="B14" s="85"/>
      <c r="C14" s="78"/>
      <c r="D14" s="78"/>
      <c r="E14" s="5"/>
    </row>
    <row r="15" spans="2:5" s="70" customFormat="1" ht="15.75" customHeight="1" x14ac:dyDescent="0.2">
      <c r="B15" s="93"/>
      <c r="C15" s="120">
        <f>ER!B12</f>
        <v>2024</v>
      </c>
      <c r="D15" s="121"/>
      <c r="E15" s="120">
        <v>2022</v>
      </c>
    </row>
    <row r="16" spans="2:5" s="70" customFormat="1" ht="15" customHeight="1" x14ac:dyDescent="0.2">
      <c r="B16" s="93"/>
      <c r="C16" s="59"/>
      <c r="E16" s="59"/>
    </row>
    <row r="17" spans="2:5" s="70" customFormat="1" ht="15" customHeight="1" x14ac:dyDescent="0.2">
      <c r="B17" s="94"/>
      <c r="C17" s="72"/>
      <c r="E17" s="72"/>
    </row>
    <row r="18" spans="2:5" s="70" customFormat="1" ht="15" customHeight="1" x14ac:dyDescent="0.2">
      <c r="B18" s="122" t="s">
        <v>29</v>
      </c>
      <c r="C18" s="72">
        <f>E26</f>
        <v>0</v>
      </c>
      <c r="E18" s="72">
        <v>0</v>
      </c>
    </row>
    <row r="19" spans="2:5" s="70" customFormat="1" ht="15" customHeight="1" x14ac:dyDescent="0.2">
      <c r="B19" s="123"/>
      <c r="C19" s="72"/>
      <c r="E19" s="72"/>
    </row>
    <row r="20" spans="2:5" s="70" customFormat="1" ht="15" customHeight="1" x14ac:dyDescent="0.2">
      <c r="B20" s="124" t="s">
        <v>30</v>
      </c>
      <c r="C20" s="73" t="e">
        <f>ROUND(ER!B47,0)</f>
        <v>#REF!</v>
      </c>
      <c r="E20" s="73">
        <v>0</v>
      </c>
    </row>
    <row r="21" spans="2:5" s="70" customFormat="1" ht="15" customHeight="1" x14ac:dyDescent="0.2">
      <c r="B21" s="124"/>
      <c r="C21" s="74"/>
      <c r="E21" s="74"/>
    </row>
    <row r="22" spans="2:5" s="70" customFormat="1" ht="15" customHeight="1" x14ac:dyDescent="0.2">
      <c r="B22" s="124"/>
      <c r="C22" s="72" t="e">
        <f>SUM(C18:C20)</f>
        <v>#REF!</v>
      </c>
      <c r="E22" s="72">
        <v>0</v>
      </c>
    </row>
    <row r="23" spans="2:5" s="70" customFormat="1" ht="15" customHeight="1" x14ac:dyDescent="0.2">
      <c r="B23" s="124"/>
      <c r="C23" s="74"/>
      <c r="E23" s="74"/>
    </row>
    <row r="24" spans="2:5" s="70" customFormat="1" ht="15" customHeight="1" x14ac:dyDescent="0.2">
      <c r="B24" s="124" t="s">
        <v>32</v>
      </c>
      <c r="C24" s="74" t="e">
        <f>-ROUND(BV!C75,0)</f>
        <v>#REF!</v>
      </c>
      <c r="E24" s="74">
        <v>0</v>
      </c>
    </row>
    <row r="25" spans="2:5" s="70" customFormat="1" ht="15" customHeight="1" x14ac:dyDescent="0.2">
      <c r="B25" s="124"/>
      <c r="C25" s="72"/>
      <c r="E25" s="72"/>
    </row>
    <row r="26" spans="2:5" s="70" customFormat="1" ht="20.100000000000001" customHeight="1" thickBot="1" x14ac:dyDescent="0.25">
      <c r="B26" s="125" t="s">
        <v>31</v>
      </c>
      <c r="C26" s="75" t="e">
        <f>+C22+C24</f>
        <v>#REF!</v>
      </c>
      <c r="E26" s="75">
        <v>0</v>
      </c>
    </row>
    <row r="27" spans="2:5" s="70" customFormat="1" ht="13.5" thickTop="1" x14ac:dyDescent="0.2">
      <c r="B27" s="71"/>
      <c r="C27" s="72"/>
      <c r="D27" s="72"/>
      <c r="E27" s="72"/>
    </row>
    <row r="28" spans="2:5" x14ac:dyDescent="0.2">
      <c r="C28" s="76"/>
      <c r="D28" s="76"/>
      <c r="E28" s="77"/>
    </row>
    <row r="29" spans="2:5" x14ac:dyDescent="0.2">
      <c r="C29" s="78"/>
      <c r="D29" s="78"/>
      <c r="E29" s="5"/>
    </row>
    <row r="30" spans="2:5" x14ac:dyDescent="0.2">
      <c r="C30" s="78"/>
      <c r="D30" s="78"/>
      <c r="E30" s="5"/>
    </row>
    <row r="31" spans="2:5" x14ac:dyDescent="0.2">
      <c r="C31" s="78"/>
      <c r="D31" s="78"/>
      <c r="E31" s="5"/>
    </row>
    <row r="32" spans="2:5" x14ac:dyDescent="0.2">
      <c r="C32" s="78"/>
      <c r="D32" s="78"/>
      <c r="E32" s="5"/>
    </row>
    <row r="33" spans="3:5" x14ac:dyDescent="0.2">
      <c r="C33" s="78"/>
      <c r="D33" s="78"/>
      <c r="E33" s="5"/>
    </row>
    <row r="34" spans="3:5" x14ac:dyDescent="0.2">
      <c r="C34" s="78"/>
      <c r="D34" s="78"/>
      <c r="E34" s="5"/>
    </row>
    <row r="35" spans="3:5" x14ac:dyDescent="0.2">
      <c r="C35" s="78"/>
      <c r="D35" s="78"/>
      <c r="E35" s="5"/>
    </row>
    <row r="36" spans="3:5" x14ac:dyDescent="0.2">
      <c r="C36" s="78"/>
      <c r="D36" s="78"/>
      <c r="E36" s="5"/>
    </row>
  </sheetData>
  <phoneticPr fontId="5" type="noConversion"/>
  <pageMargins left="0.19685039370078741" right="0.19685039370078741" top="0.59055118110236227" bottom="0.59055118110236227" header="0.19685039370078741" footer="0.19685039370078741"/>
  <pageSetup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shBilan">
    <tabColor rgb="FF8C8375"/>
    <pageSetUpPr fitToPage="1"/>
  </sheetPr>
  <dimension ref="B1:F41"/>
  <sheetViews>
    <sheetView showFormulas="1" zoomScaleNormal="100" zoomScaleSheetLayoutView="100" workbookViewId="0">
      <selection activeCell="B7" sqref="B7:B8"/>
    </sheetView>
  </sheetViews>
  <sheetFormatPr baseColWidth="10" defaultColWidth="10.7109375" defaultRowHeight="12.75" x14ac:dyDescent="0.2"/>
  <cols>
    <col min="1" max="1" width="5.7109375" style="44" customWidth="1"/>
    <col min="2" max="2" width="25.42578125" style="44" bestFit="1" customWidth="1"/>
    <col min="3" max="3" width="20.7109375" style="44" customWidth="1"/>
    <col min="4" max="4" width="0.5703125" style="44" customWidth="1"/>
    <col min="5" max="5" width="26.85546875" style="44" customWidth="1"/>
    <col min="6" max="6" width="4.42578125" style="44" bestFit="1" customWidth="1"/>
    <col min="7" max="16384" width="10.7109375" style="44"/>
  </cols>
  <sheetData>
    <row r="1" spans="2:6" s="1" customFormat="1" ht="9.9499999999999993" customHeight="1" x14ac:dyDescent="0.2"/>
    <row r="2" spans="2:6" s="1" customFormat="1" ht="14.25" x14ac:dyDescent="0.2"/>
    <row r="3" spans="2:6" s="54" customFormat="1" ht="15" x14ac:dyDescent="0.2">
      <c r="B3" s="53"/>
      <c r="F3" s="13"/>
    </row>
    <row r="4" spans="2:6" s="54" customFormat="1" ht="15" x14ac:dyDescent="0.2">
      <c r="B4" s="53"/>
    </row>
    <row r="5" spans="2:6" s="54" customFormat="1" ht="15" x14ac:dyDescent="0.2">
      <c r="B5" s="53"/>
    </row>
    <row r="6" spans="2:6" s="54" customFormat="1" ht="15" x14ac:dyDescent="0.2">
      <c r="B6" s="92" t="str">
        <f>'Couv.'!B8</f>
        <v>GC FISCALITÉ PLUS INC.</v>
      </c>
    </row>
    <row r="7" spans="2:6" s="54" customFormat="1" ht="15" x14ac:dyDescent="0.2">
      <c r="B7" s="159" t="s">
        <v>48</v>
      </c>
    </row>
    <row r="8" spans="2:6" ht="15" x14ac:dyDescent="0.2">
      <c r="B8" s="159" t="s">
        <v>76</v>
      </c>
      <c r="C8" s="55"/>
      <c r="D8" s="55"/>
      <c r="E8" s="55"/>
      <c r="F8" s="55"/>
    </row>
    <row r="9" spans="2:6" s="1" customFormat="1" ht="13.5" customHeight="1" thickBot="1" x14ac:dyDescent="0.25">
      <c r="B9" s="100"/>
      <c r="C9" s="7"/>
      <c r="D9" s="7"/>
      <c r="E9" s="7"/>
      <c r="F9" s="9">
        <v>4</v>
      </c>
    </row>
    <row r="10" spans="2:6" s="1" customFormat="1" ht="9.9499999999999993" customHeight="1" x14ac:dyDescent="0.2">
      <c r="B10" s="88"/>
      <c r="C10" s="3"/>
      <c r="D10" s="3"/>
      <c r="E10" s="3"/>
      <c r="F10" s="3"/>
    </row>
    <row r="11" spans="2:6" ht="18" customHeight="1" thickBot="1" x14ac:dyDescent="0.25">
      <c r="B11" s="96"/>
      <c r="C11" s="156">
        <f>ER!B12</f>
        <v>2024</v>
      </c>
      <c r="D11" s="115"/>
      <c r="E11" s="116">
        <v>2022</v>
      </c>
      <c r="F11" s="117"/>
    </row>
    <row r="12" spans="2:6" ht="18" customHeight="1" x14ac:dyDescent="0.2">
      <c r="B12" s="95" t="s">
        <v>102</v>
      </c>
      <c r="C12" s="59"/>
      <c r="D12" s="59"/>
      <c r="E12" s="60"/>
    </row>
    <row r="13" spans="2:6" ht="18" customHeight="1" x14ac:dyDescent="0.2">
      <c r="B13" s="96" t="s">
        <v>103</v>
      </c>
      <c r="C13" s="152" t="e">
        <f>ROUND(BV!C34+BV!C57,0)</f>
        <v>#REF!</v>
      </c>
      <c r="D13" s="59"/>
      <c r="E13" s="60">
        <v>0</v>
      </c>
    </row>
    <row r="14" spans="2:6" ht="18" customHeight="1" x14ac:dyDescent="0.2">
      <c r="B14" s="96" t="s">
        <v>61</v>
      </c>
      <c r="C14" s="152" t="e">
        <f>ROUND(BV!C35+BV!C36,0)</f>
        <v>#REF!</v>
      </c>
      <c r="D14" s="59"/>
      <c r="E14" s="60">
        <v>0</v>
      </c>
    </row>
    <row r="15" spans="2:6" ht="18" customHeight="1" x14ac:dyDescent="0.2">
      <c r="B15" s="96" t="s">
        <v>0</v>
      </c>
      <c r="C15" s="152" t="e">
        <f>ROUND(BV!C43,0)</f>
        <v>#REF!</v>
      </c>
      <c r="D15" s="59"/>
      <c r="E15" s="60">
        <v>0</v>
      </c>
    </row>
    <row r="16" spans="2:6" ht="18" customHeight="1" x14ac:dyDescent="0.2">
      <c r="B16" s="96" t="s">
        <v>104</v>
      </c>
      <c r="C16" s="152" t="e">
        <f>ROUND(BV!C44,0)</f>
        <v>#REF!</v>
      </c>
      <c r="D16" s="59"/>
      <c r="E16" s="60">
        <v>0</v>
      </c>
    </row>
    <row r="17" spans="2:5" ht="18" customHeight="1" x14ac:dyDescent="0.2">
      <c r="B17" s="96" t="s">
        <v>122</v>
      </c>
      <c r="C17" s="152" t="e">
        <f>ROUND((SUM(BV!C37:C42)),0)</f>
        <v>#REF!</v>
      </c>
      <c r="D17" s="59"/>
      <c r="E17" s="60">
        <v>0</v>
      </c>
    </row>
    <row r="18" spans="2:5" ht="18" customHeight="1" x14ac:dyDescent="0.2">
      <c r="B18" s="96" t="s">
        <v>123</v>
      </c>
      <c r="C18" s="152" t="e">
        <f>ROUND(SUM(BV!C64:C67),0)</f>
        <v>#REF!</v>
      </c>
      <c r="D18" s="59"/>
      <c r="E18" s="60">
        <v>0</v>
      </c>
    </row>
    <row r="19" spans="2:5" ht="18" hidden="1" customHeight="1" x14ac:dyDescent="0.2">
      <c r="B19" s="96" t="s">
        <v>134</v>
      </c>
      <c r="C19" s="152" t="e">
        <f>ROUND(BV!C62,0)</f>
        <v>#REF!</v>
      </c>
      <c r="D19" s="59"/>
      <c r="E19" s="60">
        <v>0</v>
      </c>
    </row>
    <row r="20" spans="2:5" ht="18" customHeight="1" x14ac:dyDescent="0.2">
      <c r="B20" s="96" t="s">
        <v>124</v>
      </c>
      <c r="C20" s="152" t="e">
        <f>ROUND(BV!C45+BV!C46+BV!C47+BV!C48+BV!C49+BV!C50+BV!C51+BV!C52,0)</f>
        <v>#REF!</v>
      </c>
      <c r="D20" s="59"/>
      <c r="E20" s="60">
        <v>0</v>
      </c>
    </row>
    <row r="21" spans="2:5" ht="18" hidden="1" customHeight="1" x14ac:dyDescent="0.2">
      <c r="B21" s="96" t="s">
        <v>147</v>
      </c>
      <c r="C21" s="59" t="e">
        <f>BV!C53</f>
        <v>#REF!</v>
      </c>
      <c r="D21" s="59"/>
      <c r="E21" s="60">
        <v>0</v>
      </c>
    </row>
    <row r="22" spans="2:5" ht="18" customHeight="1" x14ac:dyDescent="0.2">
      <c r="B22" s="96"/>
      <c r="C22" s="61"/>
      <c r="D22" s="61"/>
      <c r="E22" s="62"/>
    </row>
    <row r="23" spans="2:5" s="64" customFormat="1" ht="18" customHeight="1" x14ac:dyDescent="0.2">
      <c r="B23" s="95" t="s">
        <v>106</v>
      </c>
      <c r="C23" s="63" t="e">
        <f>SUM(C13:C22)</f>
        <v>#REF!</v>
      </c>
      <c r="D23" s="63"/>
      <c r="E23" s="65">
        <v>0</v>
      </c>
    </row>
    <row r="24" spans="2:5" ht="18" customHeight="1" x14ac:dyDescent="0.2">
      <c r="B24" s="96"/>
      <c r="C24" s="59"/>
      <c r="D24" s="59"/>
      <c r="E24" s="60"/>
    </row>
    <row r="25" spans="2:5" ht="18" customHeight="1" x14ac:dyDescent="0.2">
      <c r="B25" s="96"/>
      <c r="C25" s="59"/>
      <c r="D25" s="59"/>
      <c r="E25" s="60"/>
    </row>
    <row r="26" spans="2:5" ht="18" customHeight="1" x14ac:dyDescent="0.2">
      <c r="B26" s="95" t="s">
        <v>105</v>
      </c>
      <c r="C26" s="59"/>
      <c r="D26" s="59"/>
      <c r="E26" s="60"/>
    </row>
    <row r="27" spans="2:5" ht="18" customHeight="1" x14ac:dyDescent="0.2">
      <c r="B27" s="96" t="s">
        <v>118</v>
      </c>
      <c r="C27" s="157" t="e">
        <f>-BV!C60</f>
        <v>#REF!</v>
      </c>
      <c r="D27" s="66"/>
      <c r="E27" s="60">
        <v>0</v>
      </c>
    </row>
    <row r="28" spans="2:5" ht="18" customHeight="1" x14ac:dyDescent="0.2">
      <c r="B28" s="96" t="s">
        <v>101</v>
      </c>
      <c r="C28" s="152" t="e">
        <f>-BV!C68</f>
        <v>#REF!</v>
      </c>
      <c r="D28" s="59"/>
      <c r="E28" s="60">
        <v>0</v>
      </c>
    </row>
    <row r="29" spans="2:5" ht="18" hidden="1" customHeight="1" x14ac:dyDescent="0.2">
      <c r="B29" s="96" t="s">
        <v>138</v>
      </c>
      <c r="C29" s="152" t="e">
        <f>-BV!C59</f>
        <v>#REF!</v>
      </c>
      <c r="D29" s="59"/>
      <c r="E29" s="60">
        <v>0</v>
      </c>
    </row>
    <row r="30" spans="2:5" ht="18" customHeight="1" x14ac:dyDescent="0.2">
      <c r="B30" s="96" t="s">
        <v>129</v>
      </c>
      <c r="C30" s="152" t="e">
        <f>-ROUND(BV!C61,0)</f>
        <v>#REF!</v>
      </c>
      <c r="D30" s="59"/>
      <c r="E30" s="60">
        <v>0</v>
      </c>
    </row>
    <row r="31" spans="2:5" ht="18" customHeight="1" x14ac:dyDescent="0.2">
      <c r="B31" s="96" t="s">
        <v>162</v>
      </c>
      <c r="C31" s="152" t="e">
        <f>-BV!C63</f>
        <v>#REF!</v>
      </c>
      <c r="D31" s="59"/>
      <c r="E31" s="60">
        <v>0</v>
      </c>
    </row>
    <row r="32" spans="2:5" ht="18" customHeight="1" x14ac:dyDescent="0.2">
      <c r="B32" s="96" t="s">
        <v>130</v>
      </c>
      <c r="C32" s="152" t="e">
        <f>-BV!C58</f>
        <v>#REF!</v>
      </c>
      <c r="D32" s="59"/>
      <c r="E32" s="60">
        <v>0</v>
      </c>
    </row>
    <row r="33" spans="2:5" ht="18" customHeight="1" x14ac:dyDescent="0.2">
      <c r="B33" s="96"/>
      <c r="C33" s="61"/>
      <c r="D33" s="61"/>
      <c r="E33" s="62"/>
    </row>
    <row r="34" spans="2:5" s="64" customFormat="1" ht="18" customHeight="1" x14ac:dyDescent="0.2">
      <c r="B34" s="95" t="s">
        <v>107</v>
      </c>
      <c r="C34" s="63" t="e">
        <f>SUM(C27:C33)</f>
        <v>#REF!</v>
      </c>
      <c r="D34" s="63"/>
      <c r="E34" s="65">
        <v>0</v>
      </c>
    </row>
    <row r="35" spans="2:5" ht="18" customHeight="1" x14ac:dyDescent="0.2">
      <c r="B35" s="96"/>
      <c r="C35" s="59"/>
      <c r="D35" s="59"/>
      <c r="E35" s="60"/>
    </row>
    <row r="36" spans="2:5" ht="18" customHeight="1" x14ac:dyDescent="0.2">
      <c r="B36" s="95" t="s">
        <v>108</v>
      </c>
      <c r="C36" s="59"/>
      <c r="D36" s="59"/>
      <c r="E36" s="60"/>
    </row>
    <row r="37" spans="2:5" ht="18" customHeight="1" x14ac:dyDescent="0.2">
      <c r="B37" s="96" t="s">
        <v>33</v>
      </c>
      <c r="C37" s="152" t="e">
        <f>ROUND(-(BV!C72+BV!C73),0)</f>
        <v>#REF!</v>
      </c>
      <c r="D37" s="59"/>
      <c r="E37" s="60">
        <v>0</v>
      </c>
    </row>
    <row r="38" spans="2:5" ht="18" customHeight="1" x14ac:dyDescent="0.2">
      <c r="B38" s="96" t="s">
        <v>34</v>
      </c>
      <c r="C38" s="158" t="e">
        <f>BNR!C26</f>
        <v>#REF!</v>
      </c>
      <c r="D38" s="61"/>
      <c r="E38" s="62">
        <v>0</v>
      </c>
    </row>
    <row r="39" spans="2:5" ht="18" customHeight="1" x14ac:dyDescent="0.2">
      <c r="B39" s="56"/>
      <c r="C39" s="63" t="e">
        <f>SUM(C37:C38)</f>
        <v>#REF!</v>
      </c>
      <c r="D39" s="63"/>
      <c r="E39" s="65">
        <v>0</v>
      </c>
    </row>
    <row r="40" spans="2:5" ht="18" customHeight="1" x14ac:dyDescent="0.2">
      <c r="C40" s="59"/>
      <c r="D40" s="59"/>
      <c r="E40" s="60"/>
    </row>
    <row r="41" spans="2:5" s="64" customFormat="1" ht="18" customHeight="1" x14ac:dyDescent="0.2">
      <c r="C41" s="63" t="e">
        <f>C39+C34</f>
        <v>#REF!</v>
      </c>
      <c r="D41" s="63"/>
      <c r="E41" s="65">
        <v>0</v>
      </c>
    </row>
  </sheetData>
  <phoneticPr fontId="3" type="noConversion"/>
  <pageMargins left="0" right="0" top="0" bottom="0" header="0" footer="0"/>
  <pageSetup scale="83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wshA1">
    <tabColor rgb="FF8C8375"/>
    <pageSetUpPr fitToPage="1"/>
  </sheetPr>
  <dimension ref="B1:G41"/>
  <sheetViews>
    <sheetView zoomScaleNormal="100" zoomScaleSheetLayoutView="100" workbookViewId="0">
      <selection activeCell="H36" sqref="A1:H36"/>
    </sheetView>
  </sheetViews>
  <sheetFormatPr baseColWidth="10" defaultColWidth="10.7109375" defaultRowHeight="14.25" x14ac:dyDescent="0.2"/>
  <cols>
    <col min="1" max="1" width="5.7109375" style="13" customWidth="1"/>
    <col min="2" max="2" width="9.28515625" style="13" customWidth="1"/>
    <col min="3" max="3" width="39.42578125" style="13" bestFit="1" customWidth="1"/>
    <col min="4" max="4" width="14.85546875" style="13" bestFit="1" customWidth="1"/>
    <col min="5" max="5" width="16" style="13" bestFit="1" customWidth="1"/>
    <col min="6" max="6" width="13.28515625" style="21" bestFit="1" customWidth="1"/>
    <col min="7" max="7" width="4.42578125" style="13" bestFit="1" customWidth="1"/>
    <col min="8" max="8" width="5.7109375" style="13" customWidth="1"/>
    <col min="9" max="16384" width="10.7109375" style="13"/>
  </cols>
  <sheetData>
    <row r="1" spans="2:7" ht="9.9499999999999993" customHeight="1" x14ac:dyDescent="0.2">
      <c r="B1" s="1"/>
      <c r="C1" s="1"/>
      <c r="D1" s="1"/>
      <c r="E1" s="1"/>
      <c r="F1" s="10"/>
      <c r="G1" s="2"/>
    </row>
    <row r="2" spans="2:7" x14ac:dyDescent="0.2">
      <c r="B2" s="1"/>
      <c r="C2" s="1"/>
      <c r="D2" s="1"/>
      <c r="E2" s="1"/>
      <c r="F2" s="10"/>
      <c r="G2" s="2"/>
    </row>
    <row r="3" spans="2:7" x14ac:dyDescent="0.2">
      <c r="B3" s="1"/>
      <c r="C3" s="1"/>
      <c r="D3" s="1"/>
      <c r="E3" s="1"/>
      <c r="F3" s="10"/>
    </row>
    <row r="6" spans="2:7" ht="18" x14ac:dyDescent="0.25">
      <c r="B6" s="14"/>
    </row>
    <row r="7" spans="2:7" ht="18" x14ac:dyDescent="0.25">
      <c r="B7" s="14"/>
    </row>
    <row r="8" spans="2:7" ht="15" x14ac:dyDescent="0.2">
      <c r="B8" s="91" t="str">
        <f>'Couv.'!B8</f>
        <v>GC FISCALITÉ PLUS INC.</v>
      </c>
    </row>
    <row r="9" spans="2:7" ht="15" x14ac:dyDescent="0.2">
      <c r="B9" s="91" t="s">
        <v>79</v>
      </c>
    </row>
    <row r="10" spans="2:7" ht="15" x14ac:dyDescent="0.2">
      <c r="B10" s="91" t="s">
        <v>77</v>
      </c>
    </row>
    <row r="11" spans="2:7" ht="16.5" customHeight="1" thickBot="1" x14ac:dyDescent="0.25">
      <c r="B11" s="99"/>
      <c r="C11" s="46"/>
      <c r="D11" s="8"/>
      <c r="E11" s="8"/>
      <c r="F11" s="47"/>
      <c r="G11" s="9">
        <v>5</v>
      </c>
    </row>
    <row r="12" spans="2:7" s="1" customFormat="1" x14ac:dyDescent="0.2">
      <c r="B12" s="84"/>
      <c r="C12" s="5"/>
      <c r="D12" s="3"/>
      <c r="E12" s="3"/>
      <c r="F12" s="10"/>
      <c r="G12" s="16"/>
    </row>
    <row r="13" spans="2:7" x14ac:dyDescent="0.2">
      <c r="B13" s="48"/>
    </row>
    <row r="14" spans="2:7" x14ac:dyDescent="0.2">
      <c r="B14" s="84">
        <v>1</v>
      </c>
      <c r="C14" s="17" t="s">
        <v>58</v>
      </c>
    </row>
    <row r="15" spans="2:7" ht="39.75" customHeight="1" x14ac:dyDescent="0.2">
      <c r="B15" s="48"/>
      <c r="C15" s="148" t="s">
        <v>78</v>
      </c>
      <c r="D15" s="148"/>
      <c r="E15" s="148"/>
      <c r="F15" s="148"/>
    </row>
    <row r="16" spans="2:7" x14ac:dyDescent="0.2">
      <c r="B16" s="48"/>
      <c r="C16" s="27"/>
      <c r="E16" s="21"/>
    </row>
    <row r="17" spans="2:6" x14ac:dyDescent="0.2">
      <c r="B17" s="48"/>
      <c r="C17" s="27"/>
      <c r="E17" s="21"/>
    </row>
    <row r="18" spans="2:6" x14ac:dyDescent="0.2">
      <c r="B18" s="84">
        <v>2</v>
      </c>
      <c r="C18" s="17" t="s">
        <v>66</v>
      </c>
    </row>
    <row r="19" spans="2:6" x14ac:dyDescent="0.2">
      <c r="B19" s="48"/>
      <c r="C19" s="148" t="s">
        <v>62</v>
      </c>
      <c r="D19" s="148"/>
      <c r="E19" s="149"/>
      <c r="F19" s="149"/>
    </row>
    <row r="20" spans="2:6" x14ac:dyDescent="0.2">
      <c r="B20" s="48"/>
      <c r="C20" s="48" t="s">
        <v>64</v>
      </c>
      <c r="E20" s="49">
        <v>0</v>
      </c>
    </row>
    <row r="21" spans="2:6" x14ac:dyDescent="0.2">
      <c r="B21" s="48"/>
      <c r="C21" s="48" t="s">
        <v>63</v>
      </c>
      <c r="E21" s="49">
        <v>0</v>
      </c>
    </row>
    <row r="22" spans="2:6" x14ac:dyDescent="0.2">
      <c r="B22" s="48"/>
      <c r="C22" s="48" t="s">
        <v>133</v>
      </c>
      <c r="E22" s="49">
        <v>0</v>
      </c>
    </row>
    <row r="23" spans="2:6" ht="15" thickBot="1" x14ac:dyDescent="0.25">
      <c r="B23" s="48"/>
      <c r="C23" s="29" t="s">
        <v>65</v>
      </c>
      <c r="D23" s="17"/>
      <c r="E23" s="128">
        <f>SUM(E20:E22)</f>
        <v>0</v>
      </c>
    </row>
    <row r="24" spans="2:6" ht="15" thickTop="1" x14ac:dyDescent="0.2">
      <c r="B24" s="48"/>
      <c r="C24" s="29"/>
      <c r="D24" s="17"/>
      <c r="E24" s="30"/>
    </row>
    <row r="25" spans="2:6" x14ac:dyDescent="0.2">
      <c r="B25" s="48"/>
    </row>
    <row r="26" spans="2:6" x14ac:dyDescent="0.2">
      <c r="B26" s="84">
        <v>3</v>
      </c>
      <c r="C26" s="17" t="s">
        <v>41</v>
      </c>
    </row>
    <row r="27" spans="2:6" x14ac:dyDescent="0.2">
      <c r="B27" s="48"/>
      <c r="C27" s="148" t="s">
        <v>67</v>
      </c>
      <c r="D27" s="148"/>
      <c r="E27" s="149"/>
      <c r="F27" s="149"/>
    </row>
    <row r="28" spans="2:6" ht="28.5" x14ac:dyDescent="0.2">
      <c r="B28" s="48"/>
      <c r="C28" s="26"/>
      <c r="D28" s="50" t="s">
        <v>68</v>
      </c>
      <c r="E28" s="50" t="s">
        <v>69</v>
      </c>
      <c r="F28" s="50" t="s">
        <v>70</v>
      </c>
    </row>
    <row r="29" spans="2:6" x14ac:dyDescent="0.2">
      <c r="B29" s="48"/>
      <c r="C29" s="27" t="s">
        <v>87</v>
      </c>
      <c r="D29" s="42" t="e">
        <f>ROUND(BV!C45,0)</f>
        <v>#REF!</v>
      </c>
      <c r="E29" s="19" t="e">
        <f>ROUND(BV!C46,0)</f>
        <v>#REF!</v>
      </c>
      <c r="F29" s="42" t="e">
        <f>D29+E29</f>
        <v>#REF!</v>
      </c>
    </row>
    <row r="30" spans="2:6" x14ac:dyDescent="0.2">
      <c r="B30" s="48"/>
      <c r="C30" s="27" t="s">
        <v>88</v>
      </c>
      <c r="D30" s="42" t="e">
        <f>ROUND(BV!C47,0)</f>
        <v>#REF!</v>
      </c>
      <c r="E30" s="19" t="e">
        <f>ROUND(BV!C48,0)</f>
        <v>#REF!</v>
      </c>
      <c r="F30" s="42" t="e">
        <f>D30+E30</f>
        <v>#REF!</v>
      </c>
    </row>
    <row r="31" spans="2:6" x14ac:dyDescent="0.2">
      <c r="B31" s="48"/>
      <c r="C31" s="27" t="s">
        <v>45</v>
      </c>
      <c r="D31" s="42" t="e">
        <f>ROUND(BV!C49,0)</f>
        <v>#REF!</v>
      </c>
      <c r="E31" s="19" t="e">
        <f>ROUND(BV!C50,0)</f>
        <v>#REF!</v>
      </c>
      <c r="F31" s="42" t="e">
        <f>D31+E31</f>
        <v>#REF!</v>
      </c>
    </row>
    <row r="32" spans="2:6" x14ac:dyDescent="0.2">
      <c r="B32" s="48"/>
      <c r="C32" s="27" t="s">
        <v>52</v>
      </c>
      <c r="D32" s="51" t="e">
        <f>ROUND(BV!C51,0)</f>
        <v>#REF!</v>
      </c>
      <c r="E32" s="28" t="e">
        <f>ROUND(BV!C52,0)</f>
        <v>#REF!</v>
      </c>
      <c r="F32" s="51" t="e">
        <f>D32+E32</f>
        <v>#REF!</v>
      </c>
    </row>
    <row r="33" spans="2:7" x14ac:dyDescent="0.2">
      <c r="B33" s="48"/>
      <c r="C33" s="27"/>
      <c r="E33" s="19"/>
      <c r="F33" s="13"/>
    </row>
    <row r="34" spans="2:7" x14ac:dyDescent="0.2">
      <c r="B34" s="48"/>
      <c r="C34" s="29" t="s">
        <v>65</v>
      </c>
      <c r="D34" s="52" t="e">
        <f>SUM(D29:D33)</f>
        <v>#REF!</v>
      </c>
      <c r="E34" s="25" t="e">
        <f>SUM(E29:E33)</f>
        <v>#REF!</v>
      </c>
      <c r="F34" s="52" t="e">
        <f>SUM(F29:F33)</f>
        <v>#REF!</v>
      </c>
    </row>
    <row r="35" spans="2:7" x14ac:dyDescent="0.2">
      <c r="C35" s="32"/>
      <c r="E35" s="23"/>
      <c r="F35" s="23"/>
    </row>
    <row r="36" spans="2:7" x14ac:dyDescent="0.2">
      <c r="C36" s="31"/>
      <c r="F36" s="19"/>
    </row>
    <row r="37" spans="2:7" x14ac:dyDescent="0.2">
      <c r="C37" s="31"/>
      <c r="F37" s="19"/>
    </row>
    <row r="38" spans="2:7" x14ac:dyDescent="0.2">
      <c r="C38" s="31"/>
      <c r="F38" s="19"/>
    </row>
    <row r="39" spans="2:7" x14ac:dyDescent="0.2">
      <c r="C39" s="33"/>
      <c r="F39" s="19"/>
    </row>
    <row r="40" spans="2:7" x14ac:dyDescent="0.2">
      <c r="C40" s="31"/>
      <c r="F40" s="19"/>
      <c r="G40" s="34"/>
    </row>
    <row r="41" spans="2:7" x14ac:dyDescent="0.2">
      <c r="C41" s="35"/>
    </row>
  </sheetData>
  <mergeCells count="3">
    <mergeCell ref="C15:F15"/>
    <mergeCell ref="C19:F19"/>
    <mergeCell ref="C27:F27"/>
  </mergeCells>
  <phoneticPr fontId="3" type="noConversion"/>
  <pageMargins left="0" right="0" top="0" bottom="0" header="0" footer="0"/>
  <pageSetup paperSize="119" scale="32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wshA2">
    <tabColor rgb="FF8C8375"/>
    <pageSetUpPr fitToPage="1"/>
  </sheetPr>
  <dimension ref="B1:L38"/>
  <sheetViews>
    <sheetView showFormulas="1" zoomScaleNormal="100" zoomScaleSheetLayoutView="100" workbookViewId="0">
      <selection activeCell="G32" sqref="G32"/>
    </sheetView>
  </sheetViews>
  <sheetFormatPr baseColWidth="10" defaultColWidth="10.7109375" defaultRowHeight="12.75" x14ac:dyDescent="0.2"/>
  <cols>
    <col min="1" max="1" width="5.7109375" style="45" customWidth="1"/>
    <col min="2" max="2" width="12.5703125" style="45" customWidth="1"/>
    <col min="3" max="3" width="37" style="45" bestFit="1" customWidth="1"/>
    <col min="4" max="4" width="1.5703125" style="45" customWidth="1"/>
    <col min="5" max="5" width="1.28515625" style="45"/>
    <col min="6" max="6" width="11" style="45" bestFit="1" customWidth="1"/>
    <col min="7" max="7" width="11.42578125" style="45" bestFit="1" customWidth="1"/>
    <col min="8" max="8" width="11.85546875" style="45" bestFit="1" customWidth="1"/>
    <col min="9" max="9" width="13.28515625" style="45" bestFit="1" customWidth="1"/>
    <col min="10" max="10" width="15.7109375" style="45" bestFit="1" customWidth="1"/>
    <col min="11" max="11" width="12.42578125" style="45" bestFit="1" customWidth="1"/>
    <col min="12" max="12" width="5.7109375" style="45" customWidth="1"/>
    <col min="13" max="16384" width="10.7109375" style="45"/>
  </cols>
  <sheetData>
    <row r="1" spans="2:11" s="13" customFormat="1" ht="9.9499999999999993" customHeight="1" x14ac:dyDescent="0.2">
      <c r="B1" s="1"/>
      <c r="C1" s="1"/>
      <c r="D1" s="1"/>
      <c r="E1" s="1"/>
      <c r="F1" s="1"/>
      <c r="G1" s="1"/>
      <c r="H1" s="1"/>
      <c r="I1" s="1"/>
      <c r="J1" s="2"/>
      <c r="K1" s="1"/>
    </row>
    <row r="2" spans="2:11" s="13" customFormat="1" ht="14.25" x14ac:dyDescent="0.2">
      <c r="B2" s="1"/>
      <c r="C2" s="1"/>
      <c r="D2" s="1"/>
      <c r="E2" s="1"/>
      <c r="F2" s="1"/>
      <c r="G2" s="1"/>
      <c r="H2" s="1"/>
      <c r="I2" s="1"/>
      <c r="J2" s="2"/>
      <c r="K2" s="1"/>
    </row>
    <row r="3" spans="2:11" s="13" customFormat="1" ht="14.25" x14ac:dyDescent="0.2"/>
    <row r="4" spans="2:11" x14ac:dyDescent="0.2">
      <c r="B4" s="44"/>
      <c r="C4" s="44"/>
      <c r="D4" s="44"/>
      <c r="E4" s="44"/>
      <c r="F4" s="44"/>
      <c r="G4" s="44"/>
      <c r="H4" s="44"/>
      <c r="I4" s="44"/>
    </row>
    <row r="5" spans="2:11" s="13" customFormat="1" ht="14.25" x14ac:dyDescent="0.2">
      <c r="B5" s="18"/>
    </row>
    <row r="6" spans="2:11" s="13" customFormat="1" ht="18" x14ac:dyDescent="0.25">
      <c r="B6" s="14"/>
    </row>
    <row r="7" spans="2:11" s="13" customFormat="1" ht="18" x14ac:dyDescent="0.25">
      <c r="B7" s="14"/>
    </row>
    <row r="8" spans="2:11" s="13" customFormat="1" ht="15" x14ac:dyDescent="0.2">
      <c r="B8" s="92" t="str">
        <f>A!B8</f>
        <v>GC FISCALITÉ PLUS INC.</v>
      </c>
    </row>
    <row r="9" spans="2:11" s="13" customFormat="1" ht="15" x14ac:dyDescent="0.2">
      <c r="B9" s="92" t="str">
        <f>A!B9</f>
        <v>NOTES AUX ÉTATS FINANCIERS</v>
      </c>
    </row>
    <row r="10" spans="2:11" s="13" customFormat="1" ht="15" x14ac:dyDescent="0.2">
      <c r="B10" s="92" t="str">
        <f>A!B10</f>
        <v>POUR L'EXERCICE FINANCIER SE TERMINANT LE 31 JUILLET</v>
      </c>
    </row>
    <row r="11" spans="2:11" s="1" customFormat="1" ht="14.25" customHeight="1" thickBot="1" x14ac:dyDescent="0.25">
      <c r="B11" s="100"/>
      <c r="C11" s="8"/>
      <c r="D11" s="7"/>
      <c r="E11" s="7"/>
      <c r="F11" s="7"/>
      <c r="G11" s="7"/>
      <c r="H11" s="7"/>
      <c r="I11" s="36">
        <v>6</v>
      </c>
    </row>
    <row r="12" spans="2:11" s="1" customFormat="1" ht="9.9499999999999993" customHeight="1" x14ac:dyDescent="0.2">
      <c r="B12" s="88"/>
      <c r="C12" s="5"/>
      <c r="D12" s="3"/>
      <c r="E12" s="3"/>
      <c r="F12" s="3"/>
      <c r="G12" s="3"/>
      <c r="H12" s="3"/>
      <c r="I12" s="16"/>
    </row>
    <row r="13" spans="2:11" s="1" customFormat="1" ht="9.9499999999999993" customHeight="1" x14ac:dyDescent="0.2">
      <c r="B13" s="88"/>
      <c r="C13" s="5"/>
      <c r="D13" s="3"/>
      <c r="E13" s="3"/>
      <c r="F13" s="3"/>
      <c r="G13" s="3"/>
      <c r="H13" s="3"/>
      <c r="I13" s="16"/>
    </row>
    <row r="14" spans="2:11" s="13" customFormat="1" ht="14.25" x14ac:dyDescent="0.2">
      <c r="B14" s="38"/>
      <c r="C14" s="37"/>
      <c r="E14" s="21"/>
      <c r="G14" s="21"/>
      <c r="H14" s="21"/>
    </row>
    <row r="15" spans="2:11" s="13" customFormat="1" ht="14.25" x14ac:dyDescent="0.2">
      <c r="B15" s="102" t="s">
        <v>39</v>
      </c>
      <c r="C15" s="17" t="s">
        <v>40</v>
      </c>
    </row>
    <row r="16" spans="2:11" s="13" customFormat="1" ht="32.25" customHeight="1" x14ac:dyDescent="0.2">
      <c r="B16" s="102"/>
      <c r="C16" s="151" t="s">
        <v>74</v>
      </c>
      <c r="D16" s="151"/>
      <c r="E16" s="151"/>
      <c r="F16" s="151"/>
      <c r="G16" s="151"/>
      <c r="H16" s="151"/>
    </row>
    <row r="17" spans="2:12" s="13" customFormat="1" ht="14.25" x14ac:dyDescent="0.2">
      <c r="B17" s="102"/>
    </row>
    <row r="18" spans="2:12" s="13" customFormat="1" ht="14.25" x14ac:dyDescent="0.2">
      <c r="B18" s="38"/>
      <c r="C18" s="27"/>
      <c r="D18" s="38"/>
      <c r="E18" s="38"/>
      <c r="F18" s="38"/>
      <c r="G18" s="39"/>
      <c r="J18" s="13" t="s">
        <v>37</v>
      </c>
      <c r="K18" s="13" t="s">
        <v>38</v>
      </c>
    </row>
    <row r="19" spans="2:12" s="13" customFormat="1" ht="14.25" x14ac:dyDescent="0.2">
      <c r="B19" s="38"/>
      <c r="C19" s="27"/>
      <c r="D19" s="38"/>
      <c r="E19" s="38"/>
      <c r="F19" s="38"/>
      <c r="G19" s="39"/>
      <c r="K19" s="42"/>
    </row>
    <row r="20" spans="2:12" s="13" customFormat="1" ht="14.25" x14ac:dyDescent="0.2">
      <c r="B20" s="38"/>
      <c r="C20" s="150" t="s">
        <v>44</v>
      </c>
      <c r="D20" s="150"/>
      <c r="E20" s="150"/>
      <c r="F20" s="40" t="s">
        <v>46</v>
      </c>
      <c r="G20" s="41">
        <v>0.55000000000000004</v>
      </c>
      <c r="H20" s="32" t="s">
        <v>73</v>
      </c>
      <c r="I20" s="160" t="e">
        <f>ROUND((G20*J20)+K20,0)</f>
        <v>#REF!</v>
      </c>
      <c r="J20" s="114">
        <v>0</v>
      </c>
      <c r="K20" s="161" t="e">
        <f>A!D30-#REF!</f>
        <v>#REF!</v>
      </c>
      <c r="L20" s="21"/>
    </row>
    <row r="21" spans="2:12" s="13" customFormat="1" ht="57" x14ac:dyDescent="0.2">
      <c r="B21" s="38"/>
      <c r="C21" s="150" t="s">
        <v>43</v>
      </c>
      <c r="D21" s="150"/>
      <c r="E21" s="150"/>
      <c r="F21" s="40" t="s">
        <v>46</v>
      </c>
      <c r="G21" s="41">
        <v>0.2</v>
      </c>
      <c r="H21" s="32" t="s">
        <v>98</v>
      </c>
      <c r="I21" s="160" t="e">
        <f>ROUND((G21*J21)+K21,0)</f>
        <v>#REF!</v>
      </c>
      <c r="J21" s="114">
        <v>0</v>
      </c>
      <c r="K21" s="161" t="e">
        <f>A!D29-ROUND(#REF!,0)</f>
        <v>#REF!</v>
      </c>
      <c r="L21" s="21"/>
    </row>
    <row r="22" spans="2:12" s="13" customFormat="1" ht="14.25" x14ac:dyDescent="0.2">
      <c r="B22" s="38"/>
      <c r="C22" s="150" t="s">
        <v>45</v>
      </c>
      <c r="D22" s="150"/>
      <c r="E22" s="150"/>
      <c r="F22" s="40" t="s">
        <v>46</v>
      </c>
      <c r="G22" s="41">
        <v>1</v>
      </c>
      <c r="H22" s="32" t="s">
        <v>73</v>
      </c>
      <c r="I22" s="160" t="e">
        <f>J22*G22+(K22*0.5)*G22*2</f>
        <v>#REF!</v>
      </c>
      <c r="J22" s="114">
        <v>0</v>
      </c>
      <c r="K22" s="161" t="e">
        <f>A!D31-#REF!</f>
        <v>#REF!</v>
      </c>
      <c r="L22" s="21"/>
    </row>
    <row r="23" spans="2:12" s="13" customFormat="1" ht="14.25" x14ac:dyDescent="0.2">
      <c r="B23" s="38"/>
      <c r="F23" s="21"/>
      <c r="G23" s="23"/>
      <c r="H23" s="21"/>
      <c r="I23" s="19"/>
    </row>
    <row r="24" spans="2:12" s="13" customFormat="1" ht="15" thickBot="1" x14ac:dyDescent="0.25">
      <c r="B24" s="38"/>
      <c r="C24" s="17" t="s">
        <v>42</v>
      </c>
      <c r="I24" s="24" t="e">
        <f>SUM(I20:I23)</f>
        <v>#REF!</v>
      </c>
    </row>
    <row r="25" spans="2:12" s="13" customFormat="1" ht="15" thickTop="1" x14ac:dyDescent="0.2">
      <c r="B25" s="18"/>
      <c r="E25" s="43"/>
    </row>
    <row r="26" spans="2:12" x14ac:dyDescent="0.2">
      <c r="B26" s="44"/>
      <c r="C26" s="44"/>
      <c r="D26" s="44"/>
      <c r="E26" s="44"/>
      <c r="F26" s="44"/>
      <c r="G26" s="44"/>
      <c r="H26" s="44"/>
      <c r="I26" s="44"/>
    </row>
    <row r="27" spans="2:12" x14ac:dyDescent="0.2">
      <c r="B27" s="44"/>
      <c r="C27" s="44"/>
      <c r="D27" s="44"/>
      <c r="E27" s="44"/>
      <c r="F27" s="44"/>
      <c r="G27" s="44"/>
      <c r="H27" s="44"/>
      <c r="I27" s="44"/>
    </row>
    <row r="28" spans="2:12" x14ac:dyDescent="0.2">
      <c r="B28" s="44"/>
      <c r="C28" s="44"/>
      <c r="D28" s="44"/>
      <c r="E28" s="44"/>
      <c r="F28" s="44"/>
      <c r="G28" s="44"/>
      <c r="H28" s="44"/>
      <c r="I28" s="44"/>
    </row>
    <row r="29" spans="2:12" x14ac:dyDescent="0.2">
      <c r="B29" s="44"/>
      <c r="C29" s="44"/>
      <c r="D29" s="44"/>
      <c r="E29" s="44"/>
      <c r="F29" s="44"/>
      <c r="G29" s="44"/>
      <c r="H29" s="44"/>
      <c r="I29" s="44"/>
    </row>
    <row r="30" spans="2:12" x14ac:dyDescent="0.2">
      <c r="B30" s="44"/>
      <c r="C30" s="44"/>
      <c r="D30" s="44"/>
      <c r="E30" s="44"/>
      <c r="F30" s="44"/>
      <c r="G30" s="44"/>
      <c r="H30" s="44"/>
      <c r="I30" s="44"/>
    </row>
    <row r="31" spans="2:12" s="126" customFormat="1" x14ac:dyDescent="0.2"/>
    <row r="32" spans="2:12" s="126" customFormat="1" x14ac:dyDescent="0.2"/>
    <row r="33" s="126" customFormat="1" x14ac:dyDescent="0.2"/>
    <row r="34" s="127" customFormat="1" ht="14.25" x14ac:dyDescent="0.2"/>
    <row r="35" s="127" customFormat="1" ht="14.25" x14ac:dyDescent="0.2"/>
    <row r="36" s="127" customFormat="1" ht="14.25" x14ac:dyDescent="0.2"/>
    <row r="37" s="127" customFormat="1" ht="14.25" x14ac:dyDescent="0.2"/>
    <row r="38" s="126" customFormat="1" x14ac:dyDescent="0.2"/>
  </sheetData>
  <mergeCells count="4">
    <mergeCell ref="C22:E22"/>
    <mergeCell ref="C16:H16"/>
    <mergeCell ref="C21:E21"/>
    <mergeCell ref="C20:E20"/>
  </mergeCells>
  <phoneticPr fontId="3" type="noConversion"/>
  <pageMargins left="0" right="0" top="0" bottom="0" header="0" footer="0"/>
  <pageSetup paperSize="119" scale="17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wshA3">
    <tabColor rgb="FF8C8375"/>
    <pageSetUpPr fitToPage="1"/>
  </sheetPr>
  <dimension ref="A1:O54"/>
  <sheetViews>
    <sheetView showFormulas="1" topLeftCell="A20" zoomScaleNormal="100" zoomScaleSheetLayoutView="100" workbookViewId="0">
      <selection activeCell="F46" sqref="F46"/>
    </sheetView>
  </sheetViews>
  <sheetFormatPr baseColWidth="10" defaultColWidth="10.7109375" defaultRowHeight="14.25" x14ac:dyDescent="0.2"/>
  <cols>
    <col min="1" max="1" width="8" style="13" customWidth="1"/>
    <col min="2" max="2" width="51.7109375" style="13" bestFit="1" customWidth="1"/>
    <col min="3" max="3" width="2.42578125" style="13" customWidth="1"/>
    <col min="4" max="4" width="15.85546875" style="13" bestFit="1" customWidth="1"/>
    <col min="5" max="5" width="17.5703125" style="13" bestFit="1" customWidth="1"/>
    <col min="6" max="6" width="18.140625" style="13" bestFit="1" customWidth="1"/>
    <col min="7" max="7" width="2.7109375" style="13" bestFit="1" customWidth="1"/>
    <col min="8" max="9" width="1.7109375" style="13" bestFit="1" customWidth="1"/>
    <col min="10" max="10" width="1.28515625" style="13"/>
    <col min="11" max="11" width="1.85546875" style="13" bestFit="1" customWidth="1"/>
    <col min="12" max="12" width="16.140625" style="13" bestFit="1" customWidth="1"/>
    <col min="13" max="13" width="16.85546875" style="13" bestFit="1" customWidth="1"/>
    <col min="14" max="14" width="14.85546875" style="13" bestFit="1" customWidth="1"/>
    <col min="15" max="15" width="13.7109375" style="13" bestFit="1" customWidth="1"/>
    <col min="16" max="16384" width="10.7109375" style="13"/>
  </cols>
  <sheetData>
    <row r="1" spans="1:10" x14ac:dyDescent="0.2">
      <c r="A1" s="1"/>
      <c r="B1" s="1"/>
      <c r="C1" s="1"/>
      <c r="D1" s="1"/>
      <c r="E1" s="1"/>
      <c r="F1" s="1"/>
      <c r="G1" s="2"/>
      <c r="H1" s="1"/>
      <c r="I1" s="2"/>
      <c r="J1" s="1"/>
    </row>
    <row r="2" spans="1:10" x14ac:dyDescent="0.2">
      <c r="A2" s="1"/>
      <c r="B2" s="1"/>
      <c r="C2" s="1"/>
      <c r="D2" s="1"/>
      <c r="E2" s="1"/>
      <c r="F2" s="1"/>
      <c r="G2" s="2"/>
      <c r="H2" s="1"/>
      <c r="I2" s="2"/>
      <c r="J2" s="1"/>
    </row>
    <row r="3" spans="1:10" x14ac:dyDescent="0.2">
      <c r="A3" s="1"/>
      <c r="B3" s="1"/>
      <c r="C3" s="1"/>
      <c r="D3" s="1"/>
      <c r="E3" s="1"/>
      <c r="F3" s="1"/>
      <c r="H3" s="1"/>
      <c r="I3" s="2"/>
      <c r="J3" s="1"/>
    </row>
    <row r="4" spans="1:10" ht="18" x14ac:dyDescent="0.25">
      <c r="A4" s="14"/>
    </row>
    <row r="5" spans="1:10" ht="18" x14ac:dyDescent="0.25">
      <c r="A5" s="14"/>
    </row>
    <row r="6" spans="1:10" ht="15" x14ac:dyDescent="0.2">
      <c r="A6" s="91" t="str">
        <f>A!B8</f>
        <v>GC FISCALITÉ PLUS INC.</v>
      </c>
    </row>
    <row r="7" spans="1:10" ht="15" x14ac:dyDescent="0.2">
      <c r="A7" s="91" t="s">
        <v>79</v>
      </c>
    </row>
    <row r="8" spans="1:10" ht="15" x14ac:dyDescent="0.2">
      <c r="A8" s="91" t="str">
        <f>A!B10</f>
        <v>POUR L'EXERCICE FINANCIER SE TERMINANT LE 31 JUILLET</v>
      </c>
    </row>
    <row r="9" spans="1:10" s="1" customFormat="1" ht="15" thickBot="1" x14ac:dyDescent="0.25">
      <c r="A9" s="99"/>
      <c r="B9" s="8"/>
      <c r="C9" s="7"/>
      <c r="D9" s="7"/>
      <c r="E9" s="7"/>
      <c r="F9" s="7"/>
      <c r="G9" s="15">
        <v>7</v>
      </c>
      <c r="H9" s="3"/>
    </row>
    <row r="10" spans="1:10" s="1" customFormat="1" x14ac:dyDescent="0.2">
      <c r="A10" s="84"/>
      <c r="B10" s="5"/>
      <c r="C10" s="3"/>
      <c r="D10" s="3"/>
      <c r="E10" s="3"/>
      <c r="F10" s="3"/>
      <c r="G10" s="16"/>
      <c r="H10" s="3"/>
    </row>
    <row r="11" spans="1:10" s="1" customFormat="1" x14ac:dyDescent="0.2">
      <c r="A11" s="84"/>
      <c r="B11" s="5"/>
      <c r="C11" s="3"/>
      <c r="D11" s="3"/>
      <c r="E11" s="3"/>
      <c r="F11" s="3"/>
      <c r="G11" s="16"/>
      <c r="H11" s="3"/>
    </row>
    <row r="12" spans="1:10" x14ac:dyDescent="0.2">
      <c r="A12" s="101" t="s">
        <v>161</v>
      </c>
      <c r="B12" s="17" t="s">
        <v>71</v>
      </c>
    </row>
    <row r="13" spans="1:10" x14ac:dyDescent="0.2">
      <c r="A13" s="101"/>
      <c r="B13" s="151" t="s">
        <v>75</v>
      </c>
      <c r="C13" s="151"/>
      <c r="D13" s="151"/>
      <c r="E13" s="151"/>
      <c r="F13" s="151"/>
      <c r="G13" s="151"/>
    </row>
    <row r="14" spans="1:10" x14ac:dyDescent="0.2">
      <c r="A14" s="48"/>
      <c r="D14" s="135" t="s">
        <v>155</v>
      </c>
      <c r="E14" s="135" t="s">
        <v>154</v>
      </c>
    </row>
    <row r="15" spans="1:10" x14ac:dyDescent="0.2">
      <c r="A15" s="48"/>
      <c r="B15" s="13" t="s">
        <v>95</v>
      </c>
      <c r="D15" s="19" t="e">
        <f>ROUND(ER!B43,0)</f>
        <v>#REF!</v>
      </c>
      <c r="E15" s="19"/>
      <c r="F15" s="19"/>
    </row>
    <row r="16" spans="1:10" x14ac:dyDescent="0.2">
      <c r="A16" s="48"/>
      <c r="D16" s="19"/>
      <c r="E16" s="19"/>
      <c r="F16" s="19"/>
    </row>
    <row r="17" spans="1:6" x14ac:dyDescent="0.2">
      <c r="A17" s="48"/>
      <c r="B17" s="20" t="s">
        <v>96</v>
      </c>
      <c r="D17" s="19"/>
      <c r="E17" s="19"/>
      <c r="F17" s="19"/>
    </row>
    <row r="18" spans="1:6" x14ac:dyDescent="0.2">
      <c r="A18" s="48"/>
      <c r="B18" s="13" t="s">
        <v>97</v>
      </c>
      <c r="D18" s="118" t="e">
        <f>ROUND(0.5*(ER!B29-D20),0)</f>
        <v>#REF!</v>
      </c>
      <c r="E18" s="118"/>
      <c r="F18" s="118"/>
    </row>
    <row r="19" spans="1:6" x14ac:dyDescent="0.2">
      <c r="A19" s="48"/>
      <c r="B19" s="13" t="s">
        <v>148</v>
      </c>
      <c r="D19" s="133">
        <v>0</v>
      </c>
      <c r="E19" s="118"/>
      <c r="F19" s="118"/>
    </row>
    <row r="20" spans="1:6" x14ac:dyDescent="0.2">
      <c r="A20" s="48"/>
      <c r="B20" s="13" t="s">
        <v>149</v>
      </c>
      <c r="D20" s="118" t="e">
        <f>ROUND(BV!C17,0)</f>
        <v>#REF!</v>
      </c>
      <c r="E20" s="118"/>
      <c r="F20" s="118"/>
    </row>
    <row r="21" spans="1:6" x14ac:dyDescent="0.2">
      <c r="A21" s="48"/>
      <c r="B21" s="13" t="s">
        <v>60</v>
      </c>
      <c r="D21" s="118" t="e">
        <f>ROUND(ER!B37,0)</f>
        <v>#REF!</v>
      </c>
      <c r="E21" s="118"/>
      <c r="F21" s="118"/>
    </row>
    <row r="22" spans="1:6" x14ac:dyDescent="0.2">
      <c r="A22" s="48"/>
      <c r="B22" s="13" t="s">
        <v>126</v>
      </c>
      <c r="D22" s="19" t="e">
        <f>ROUND(#REF!,0)</f>
        <v>#REF!</v>
      </c>
      <c r="E22" s="19"/>
      <c r="F22" s="19"/>
    </row>
    <row r="23" spans="1:6" x14ac:dyDescent="0.2">
      <c r="A23" s="48"/>
      <c r="B23" s="13" t="s">
        <v>152</v>
      </c>
      <c r="D23" s="133"/>
      <c r="E23" s="19"/>
      <c r="F23" s="19"/>
    </row>
    <row r="24" spans="1:6" x14ac:dyDescent="0.2">
      <c r="A24" s="48"/>
      <c r="B24" s="17" t="s">
        <v>165</v>
      </c>
      <c r="D24" s="133"/>
      <c r="E24" s="19"/>
      <c r="F24" s="19"/>
    </row>
    <row r="25" spans="1:6" x14ac:dyDescent="0.2">
      <c r="A25" s="48"/>
      <c r="B25" s="13" t="s">
        <v>153</v>
      </c>
      <c r="D25" s="133"/>
      <c r="E25" s="19"/>
      <c r="F25" s="19"/>
    </row>
    <row r="26" spans="1:6" x14ac:dyDescent="0.2">
      <c r="A26" s="48"/>
      <c r="D26" s="19"/>
      <c r="E26" s="19"/>
      <c r="F26" s="19"/>
    </row>
    <row r="27" spans="1:6" x14ac:dyDescent="0.2">
      <c r="A27" s="48"/>
      <c r="B27" s="20" t="s">
        <v>56</v>
      </c>
      <c r="D27" s="19"/>
      <c r="E27" s="19"/>
      <c r="F27" s="19"/>
    </row>
    <row r="28" spans="1:6" x14ac:dyDescent="0.2">
      <c r="A28" s="48"/>
      <c r="B28" s="13" t="s">
        <v>59</v>
      </c>
      <c r="D28" s="133" t="e">
        <f>-D21</f>
        <v>#REF!</v>
      </c>
      <c r="E28" s="133"/>
      <c r="F28" s="19"/>
    </row>
    <row r="29" spans="1:6" x14ac:dyDescent="0.2">
      <c r="A29" s="48"/>
      <c r="B29" s="13" t="s">
        <v>151</v>
      </c>
      <c r="D29" s="133">
        <v>0</v>
      </c>
      <c r="E29" s="118"/>
      <c r="F29" s="19"/>
    </row>
    <row r="30" spans="1:6" x14ac:dyDescent="0.2">
      <c r="A30" s="48"/>
      <c r="B30" s="13" t="s">
        <v>148</v>
      </c>
      <c r="D30" s="133">
        <f>-D19</f>
        <v>0</v>
      </c>
      <c r="E30" s="19"/>
      <c r="F30" s="19"/>
    </row>
    <row r="31" spans="1:6" x14ac:dyDescent="0.2">
      <c r="A31" s="48"/>
      <c r="B31" s="13" t="s">
        <v>127</v>
      </c>
      <c r="D31" s="19" t="e">
        <f>ROUND(-BV!C43,0)</f>
        <v>#REF!</v>
      </c>
      <c r="E31" s="19"/>
      <c r="F31" s="19"/>
    </row>
    <row r="32" spans="1:6" x14ac:dyDescent="0.2">
      <c r="A32" s="48"/>
      <c r="D32" s="21"/>
      <c r="E32" s="21"/>
      <c r="F32" s="21"/>
    </row>
    <row r="33" spans="1:15" ht="15" thickBot="1" x14ac:dyDescent="0.25">
      <c r="A33" s="48"/>
      <c r="B33" s="13" t="s">
        <v>57</v>
      </c>
      <c r="D33" s="22" t="e">
        <f>SUM(D15:D32)</f>
        <v>#REF!</v>
      </c>
      <c r="E33" s="22" t="e">
        <f>D33+E28</f>
        <v>#REF!</v>
      </c>
      <c r="F33" s="19"/>
      <c r="I33" s="130"/>
    </row>
    <row r="34" spans="1:15" ht="15" thickTop="1" x14ac:dyDescent="0.2">
      <c r="A34" s="48"/>
      <c r="D34" s="19"/>
      <c r="E34" s="19"/>
      <c r="F34" s="19"/>
    </row>
    <row r="35" spans="1:15" x14ac:dyDescent="0.2">
      <c r="A35" s="48"/>
      <c r="D35" s="25" t="s">
        <v>140</v>
      </c>
      <c r="E35" s="25" t="s">
        <v>139</v>
      </c>
      <c r="F35" s="25" t="s">
        <v>141</v>
      </c>
    </row>
    <row r="36" spans="1:15" x14ac:dyDescent="0.2">
      <c r="A36" s="48"/>
      <c r="B36" s="13" t="s">
        <v>142</v>
      </c>
      <c r="D36" s="19"/>
      <c r="E36" s="19"/>
      <c r="F36" s="19"/>
    </row>
    <row r="37" spans="1:15" x14ac:dyDescent="0.2">
      <c r="A37" s="48"/>
      <c r="B37" s="13" t="s">
        <v>47</v>
      </c>
      <c r="D37" s="23"/>
      <c r="E37" s="23">
        <v>0.09</v>
      </c>
      <c r="F37" s="23">
        <v>3.2000000000000001E-2</v>
      </c>
    </row>
    <row r="38" spans="1:15" x14ac:dyDescent="0.2">
      <c r="A38" s="48"/>
      <c r="D38" s="23"/>
      <c r="E38" s="114" t="e">
        <f>MIN(500000,D33)</f>
        <v>#REF!</v>
      </c>
      <c r="F38" s="114" t="e">
        <f>E38</f>
        <v>#REF!</v>
      </c>
    </row>
    <row r="39" spans="1:15" ht="15" thickBot="1" x14ac:dyDescent="0.25">
      <c r="A39" s="48"/>
      <c r="D39" s="23"/>
      <c r="E39" s="22" t="e">
        <f>ROUNDUP(E38*E37,0)</f>
        <v>#REF!</v>
      </c>
      <c r="F39" s="22" t="e">
        <f>ROUNDUP(F38*F37,0)</f>
        <v>#REF!</v>
      </c>
    </row>
    <row r="40" spans="1:15" ht="15" thickTop="1" x14ac:dyDescent="0.2">
      <c r="A40" s="48"/>
      <c r="D40" s="23"/>
      <c r="E40" s="19"/>
      <c r="F40" s="19"/>
    </row>
    <row r="41" spans="1:15" x14ac:dyDescent="0.2">
      <c r="A41" s="48"/>
      <c r="B41" s="13" t="s">
        <v>143</v>
      </c>
      <c r="D41" s="23"/>
      <c r="E41" s="19" t="e">
        <f>MAX(0,$D$33-E38)</f>
        <v>#REF!</v>
      </c>
      <c r="F41" s="19" t="e">
        <f>MAX(0,$E$33-F38)</f>
        <v>#REF!</v>
      </c>
    </row>
    <row r="42" spans="1:15" x14ac:dyDescent="0.2">
      <c r="A42" s="48"/>
      <c r="D42" s="23"/>
      <c r="E42" s="23">
        <v>0.15</v>
      </c>
      <c r="F42" s="23">
        <f>(11.5%*212/365)+(11.5%*153/365)</f>
        <v>0.11500000000000002</v>
      </c>
    </row>
    <row r="43" spans="1:15" ht="15" thickBot="1" x14ac:dyDescent="0.25">
      <c r="A43" s="48"/>
      <c r="D43" s="23"/>
      <c r="E43" s="22" t="e">
        <f>ROUND(E41*E42,0)</f>
        <v>#REF!</v>
      </c>
      <c r="F43" s="22" t="e">
        <f>ROUND(F41*F42,0)</f>
        <v>#REF!</v>
      </c>
    </row>
    <row r="44" spans="1:15" ht="15" thickTop="1" x14ac:dyDescent="0.2">
      <c r="A44" s="48"/>
      <c r="D44" s="23"/>
      <c r="E44" s="19"/>
      <c r="F44" s="19"/>
    </row>
    <row r="45" spans="1:15" ht="15" thickBot="1" x14ac:dyDescent="0.25">
      <c r="A45" s="48"/>
      <c r="B45" s="131" t="s">
        <v>144</v>
      </c>
      <c r="C45" s="131"/>
      <c r="D45" s="132"/>
      <c r="E45" s="24" t="e">
        <f>E39+E43</f>
        <v>#REF!</v>
      </c>
      <c r="F45" s="24" t="e">
        <f>F39+F43</f>
        <v>#REF!</v>
      </c>
    </row>
    <row r="46" spans="1:15" ht="15" thickTop="1" x14ac:dyDescent="0.2">
      <c r="A46" s="48"/>
      <c r="G46" s="21"/>
      <c r="K46" s="130"/>
    </row>
    <row r="47" spans="1:15" ht="15" thickBot="1" x14ac:dyDescent="0.25">
      <c r="A47" s="48"/>
      <c r="B47" s="17" t="s">
        <v>71</v>
      </c>
      <c r="C47" s="17"/>
      <c r="D47" s="24" t="e">
        <f>+E45+F45</f>
        <v>#REF!</v>
      </c>
      <c r="E47" s="25"/>
      <c r="F47" s="25"/>
      <c r="K47" s="130"/>
      <c r="O47" s="146"/>
    </row>
    <row r="48" spans="1:15" ht="15" thickTop="1" x14ac:dyDescent="0.2">
      <c r="A48" s="48"/>
      <c r="B48" s="17"/>
      <c r="C48" s="17"/>
      <c r="D48" s="25"/>
      <c r="E48" s="25"/>
      <c r="F48" s="25"/>
      <c r="K48" s="130"/>
    </row>
    <row r="49" spans="1:9" ht="15" thickBot="1" x14ac:dyDescent="0.25">
      <c r="A49" s="48"/>
      <c r="B49" s="17" t="s">
        <v>135</v>
      </c>
      <c r="C49" s="17"/>
      <c r="D49" s="24"/>
      <c r="E49" s="25"/>
      <c r="F49" s="25"/>
      <c r="H49" s="25"/>
      <c r="I49" s="25"/>
    </row>
    <row r="50" spans="1:9" ht="15" thickTop="1" x14ac:dyDescent="0.2">
      <c r="A50" s="48"/>
      <c r="B50" s="17"/>
      <c r="C50" s="17"/>
      <c r="H50" s="25"/>
      <c r="I50" s="25"/>
    </row>
    <row r="51" spans="1:9" ht="15" thickBot="1" x14ac:dyDescent="0.25">
      <c r="A51" s="84"/>
      <c r="B51" s="17" t="s">
        <v>136</v>
      </c>
      <c r="D51" s="24"/>
      <c r="E51" s="25"/>
      <c r="F51" s="25"/>
    </row>
    <row r="52" spans="1:9" ht="15" thickTop="1" x14ac:dyDescent="0.2">
      <c r="A52" s="48"/>
      <c r="B52" s="148"/>
      <c r="C52" s="148"/>
      <c r="D52" s="149"/>
      <c r="E52" s="129"/>
      <c r="F52" s="129"/>
    </row>
    <row r="53" spans="1:9" ht="15" thickBot="1" x14ac:dyDescent="0.25">
      <c r="A53" s="48"/>
      <c r="B53" s="17" t="s">
        <v>137</v>
      </c>
      <c r="D53" s="24" t="e">
        <f>D47+D49+D51</f>
        <v>#REF!</v>
      </c>
      <c r="E53" s="25"/>
      <c r="F53" s="25"/>
      <c r="G53" s="26"/>
    </row>
    <row r="54" spans="1:9" ht="15" thickTop="1" x14ac:dyDescent="0.2"/>
  </sheetData>
  <mergeCells count="2">
    <mergeCell ref="B13:G13"/>
    <mergeCell ref="B52:D52"/>
  </mergeCells>
  <phoneticPr fontId="3" type="noConversion"/>
  <pageMargins left="0" right="0" top="0" bottom="0" header="0" footer="0"/>
  <pageSetup paperSize="119" scale="8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9</vt:i4>
      </vt:variant>
    </vt:vector>
  </HeadingPairs>
  <TitlesOfParts>
    <vt:vector size="18" baseType="lpstr">
      <vt:lpstr>BV</vt:lpstr>
      <vt:lpstr>Couv.</vt:lpstr>
      <vt:lpstr>TM</vt:lpstr>
      <vt:lpstr>ER</vt:lpstr>
      <vt:lpstr>BNR</vt:lpstr>
      <vt:lpstr>Bilan</vt:lpstr>
      <vt:lpstr>A</vt:lpstr>
      <vt:lpstr>A2</vt:lpstr>
      <vt:lpstr>A3</vt:lpstr>
      <vt:lpstr>BV!Liste_de_comptes_de_GL</vt:lpstr>
      <vt:lpstr>A!Zone_d_impression</vt:lpstr>
      <vt:lpstr>'A2'!Zone_d_impression</vt:lpstr>
      <vt:lpstr>'A3'!Zone_d_impression</vt:lpstr>
      <vt:lpstr>Bilan!Zone_d_impression</vt:lpstr>
      <vt:lpstr>BNR!Zone_d_impression</vt:lpstr>
      <vt:lpstr>Couv.!Zone_d_impression</vt:lpstr>
      <vt:lpstr>ER!Zone_d_impression</vt:lpstr>
      <vt:lpstr>TM!Zone_d_impression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GC Fiscalité</dc:creator>
  <cp:lastModifiedBy>Robert M. Vigneault</cp:lastModifiedBy>
  <cp:lastPrinted>2025-01-04T23:03:38Z</cp:lastPrinted>
  <dcterms:created xsi:type="dcterms:W3CDTF">2013-11-01T05:11:12Z</dcterms:created>
  <dcterms:modified xsi:type="dcterms:W3CDTF">2025-01-05T14:57:47Z</dcterms:modified>
</cp:coreProperties>
</file>