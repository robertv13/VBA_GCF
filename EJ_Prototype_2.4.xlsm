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26E90FA-EBCF-441F-9DE0-9BBA3E83018C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  <definedName name="_xlnm.Print_Titles" localSheetId="1">Transactions!$1:$1</definedName>
    <definedName name="_xlnm.Print_Area" localSheetId="1">Transactions!$D$2:$J$117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9" i="3" l="1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 l="1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6" i="3"/>
  <c r="K65" i="3"/>
  <c r="K64" i="3"/>
  <c r="K63" i="3"/>
  <c r="K59" i="3"/>
  <c r="K62" i="3"/>
  <c r="K61" i="3"/>
  <c r="K60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39" i="3"/>
  <c r="K38" i="3"/>
  <c r="K37" i="3"/>
  <c r="K36" i="3"/>
  <c r="K35" i="3"/>
  <c r="K34" i="3"/>
  <c r="K33" i="3"/>
  <c r="K32" i="3"/>
  <c r="K31" i="3"/>
  <c r="K21" i="3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<sst xmlns="http://schemas.openxmlformats.org/spreadsheetml/2006/main" count="445" uniqueCount="174">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</sst>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0" fillId="0" borderId="26" xfId="0" applyBorder="1" applyAlignment="1" applyProtection="1">
      <alignment horizontal="left"/>
      <protection locked="0"/>
    </xf>
    <xf numFmtId="49" fontId="0" fillId="0" borderId="27" xfId="0" applyNumberFormat="1" applyBorder="1" applyAlignment="1" applyProtection="1">
      <alignment horizontal="center"/>
      <protection locked="0"/>
    </xf>
    <xf numFmtId="49" fontId="0" fillId="0" borderId="27" xfId="0" applyNumberFormat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49" fontId="0" fillId="0" borderId="29" xfId="0" applyNumberFormat="1" applyBorder="1" applyAlignment="1" applyProtection="1">
      <alignment horizontal="center"/>
      <protection locked="0"/>
    </xf>
    <xf numFmtId="49" fontId="0" fillId="0" borderId="29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30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30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32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0" fontId="0" fillId="0" borderId="9" xfId="0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0" fontId="8" fillId="9" borderId="19" xfId="0" applyFont="1" applyFill="1" applyBorder="1"/>
    <xf numFmtId="0" fontId="1" fillId="9" borderId="19" xfId="0" applyFont="1" applyFill="1" applyBorder="1"/>
    <xf numFmtId="0" fontId="1" fillId="9" borderId="20" xfId="0" applyFont="1" applyFill="1" applyBorder="1"/>
    <xf numFmtId="0" fontId="2" fillId="0" borderId="0" xfId="0" applyFont="1" applyAlignment="1">
      <alignment horizontal="center"/>
    </xf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8" fillId="9" borderId="18" xfId="0" applyFont="1" applyFill="1" applyBorder="1"/>
    <xf numFmtId="0" fontId="0" fillId="0" borderId="30" xfId="0" applyBorder="1"/>
    <xf numFmtId="164" fontId="0" fillId="0" borderId="30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164" fontId="0" fillId="9" borderId="19" xfId="0" applyNumberFormat="1" applyFill="1" applyBorder="1"/>
    <xf numFmtId="0" fontId="0" fillId="9" borderId="20" xfId="0" applyFill="1" applyBorder="1"/>
    <xf numFmtId="0" fontId="2" fillId="0" borderId="0" xfId="0" applyFont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31" xfId="0" applyFill="1" applyBorder="1"/>
    <xf numFmtId="0" fontId="2" fillId="0" borderId="32" xfId="0" applyFont="1" applyBorder="1" applyAlignment="1">
      <alignment horizontal="center"/>
    </xf>
    <xf numFmtId="0" fontId="2" fillId="0" borderId="32" xfId="0" applyFont="1" applyBorder="1"/>
    <xf numFmtId="0" fontId="0" fillId="0" borderId="32" xfId="0" applyBorder="1"/>
    <xf numFmtId="164" fontId="0" fillId="0" borderId="32" xfId="0" applyNumberFormat="1" applyBorder="1"/>
    <xf numFmtId="0" fontId="0" fillId="3" borderId="2" xfId="0" applyFill="1" applyBorder="1" applyProtection="1">
      <protection locked="0"/>
    </xf>
    <xf numFmtId="0" fontId="0" fillId="3" borderId="33" xfId="0" applyFill="1" applyBorder="1" applyProtection="1">
      <protection locked="0"/>
    </xf>
    <xf numFmtId="0" fontId="0" fillId="3" borderId="35" xfId="0" applyFill="1" applyBorder="1" applyProtection="1">
      <protection locked="0"/>
    </xf>
    <xf numFmtId="0" fontId="0" fillId="3" borderId="16" xfId="0" applyFill="1" applyBorder="1"/>
    <xf numFmtId="0" fontId="0" fillId="3" borderId="34" xfId="0" applyFill="1" applyBorder="1"/>
    <xf numFmtId="0" fontId="0" fillId="3" borderId="19" xfId="0" applyFill="1" applyBorder="1"/>
    <xf numFmtId="0" fontId="0" fillId="3" borderId="36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 wrapText="1"/>
    </xf>
    <xf numFmtId="164" fontId="9" fillId="7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6" xfId="0" applyBorder="1" applyAlignment="1">
      <alignment horizontal="left"/>
    </xf>
    <xf numFmtId="14" fontId="0" fillId="0" borderId="3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8" xfId="0" applyBorder="1"/>
    <xf numFmtId="164" fontId="0" fillId="0" borderId="38" xfId="0" applyNumberFormat="1" applyBorder="1"/>
    <xf numFmtId="0" fontId="0" fillId="0" borderId="39" xfId="0" applyBorder="1"/>
    <xf numFmtId="14" fontId="2" fillId="0" borderId="40" xfId="0" applyNumberFormat="1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1" xfId="0" applyFont="1" applyBorder="1" applyAlignment="1">
      <alignment horizontal="left"/>
    </xf>
    <xf numFmtId="0" fontId="0" fillId="0" borderId="41" xfId="0" applyBorder="1"/>
    <xf numFmtId="164" fontId="0" fillId="0" borderId="41" xfId="0" applyNumberFormat="1" applyBorder="1"/>
    <xf numFmtId="0" fontId="0" fillId="0" borderId="42" xfId="0" applyBorder="1"/>
    <xf numFmtId="14" fontId="2" fillId="0" borderId="43" xfId="0" applyNumberFormat="1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44" xfId="0" applyFont="1" applyBorder="1" applyAlignment="1">
      <alignment horizontal="left"/>
    </xf>
    <xf numFmtId="0" fontId="0" fillId="2" borderId="45" xfId="0" applyFill="1" applyBorder="1" applyAlignment="1">
      <alignment horizontal="right"/>
    </xf>
    <xf numFmtId="0" fontId="0" fillId="2" borderId="46" xfId="0" applyFill="1" applyBorder="1"/>
    <xf numFmtId="0" fontId="0" fillId="2" borderId="47" xfId="0" applyFill="1" applyBorder="1"/>
    <xf numFmtId="0" fontId="0" fillId="2" borderId="48" xfId="0" applyFill="1" applyBorder="1" applyAlignment="1">
      <alignment horizontal="right"/>
    </xf>
    <xf numFmtId="0" fontId="0" fillId="2" borderId="49" xfId="0" applyFill="1" applyBorder="1"/>
    <xf numFmtId="0" fontId="0" fillId="2" borderId="50" xfId="0" applyFill="1" applyBorder="1"/>
    <xf numFmtId="0" fontId="11" fillId="2" borderId="0" xfId="0" applyFont="1" applyFill="1" applyAlignment="1">
      <alignment horizontal="right"/>
    </xf>
    <xf numFmtId="164" fontId="1" fillId="2" borderId="0" xfId="0" applyNumberFormat="1" applyFont="1" applyFill="1"/>
    <xf numFmtId="0" fontId="4" fillId="10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0" fillId="2" borderId="51" xfId="0" applyFill="1" applyBorder="1" applyAlignment="1">
      <alignment horizontal="right"/>
    </xf>
    <xf numFmtId="0" fontId="0" fillId="2" borderId="52" xfId="0" applyFill="1" applyBorder="1"/>
    <xf numFmtId="0" fontId="0" fillId="2" borderId="53" xfId="0" applyFill="1" applyBorder="1"/>
    <xf numFmtId="14" fontId="12" fillId="0" borderId="40" xfId="0" applyNumberFormat="1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12" fillId="0" borderId="41" xfId="0" applyFont="1" applyBorder="1" applyAlignment="1">
      <alignment horizontal="left"/>
    </xf>
    <xf numFmtId="14" fontId="12" fillId="0" borderId="43" xfId="0" applyNumberFormat="1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4" xfId="0" applyFont="1" applyBorder="1" applyAlignment="1">
      <alignment horizontal="left"/>
    </xf>
    <xf numFmtId="14" fontId="0" fillId="0" borderId="37" xfId="0" applyNumberFormat="1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0" fillId="0" borderId="38" xfId="0" applyFont="1" applyBorder="1" applyAlignment="1">
      <alignment horizontal="left"/>
    </xf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22"/>
  <sheetViews>
    <sheetView showGridLines="0" topLeftCell="B1" workbookViewId="0">
      <selection activeCell="E4" sqref="E4"/>
    </sheetView>
  </sheetViews>
  <sheetFormatPr baseColWidth="10" defaultRowHeight="15" x14ac:dyDescent="0.25"/>
  <cols>
    <col min="1" max="1" width="15.7109375" style="79" customWidth="1"/>
    <col min="2" max="2" width="11.42578125" style="17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79" t="s">
        <v>144</v>
      </c>
      <c r="B1" s="32">
        <v>24</v>
      </c>
      <c r="D1" s="117" t="s">
        <v>8</v>
      </c>
      <c r="E1" s="117"/>
      <c r="F1" s="117"/>
      <c r="G1" s="117"/>
      <c r="H1" s="117"/>
      <c r="I1" s="117"/>
      <c r="J1" s="117"/>
    </row>
    <row r="2" spans="1:10" x14ac:dyDescent="0.25">
      <c r="D2" s="117"/>
      <c r="E2" s="117"/>
      <c r="F2" s="117"/>
      <c r="G2" s="117"/>
      <c r="H2" s="117"/>
      <c r="I2" s="117"/>
      <c r="J2" s="117"/>
    </row>
    <row r="4" spans="1:10" x14ac:dyDescent="0.25">
      <c r="D4" s="115" t="s">
        <v>4</v>
      </c>
      <c r="E4" s="28"/>
      <c r="I4" s="115" t="s">
        <v>7</v>
      </c>
      <c r="J4" s="29"/>
    </row>
    <row r="6" spans="1:10" x14ac:dyDescent="0.25">
      <c r="D6" s="115" t="s">
        <v>5</v>
      </c>
      <c r="E6" s="68"/>
      <c r="F6" s="80"/>
      <c r="G6" s="80"/>
      <c r="H6" s="80"/>
      <c r="I6" s="80"/>
      <c r="J6" s="81"/>
    </row>
    <row r="7" spans="1:10" ht="15.75" thickBot="1" x14ac:dyDescent="0.3"/>
    <row r="8" spans="1:10" x14ac:dyDescent="0.25">
      <c r="D8" s="118" t="s">
        <v>1</v>
      </c>
      <c r="E8" s="119"/>
      <c r="F8" s="119"/>
      <c r="G8" s="4" t="s">
        <v>2</v>
      </c>
      <c r="H8" s="4" t="s">
        <v>3</v>
      </c>
      <c r="I8" s="120" t="s">
        <v>6</v>
      </c>
      <c r="J8" s="121"/>
    </row>
    <row r="9" spans="1:10" x14ac:dyDescent="0.25">
      <c r="D9" s="69"/>
      <c r="E9" s="71"/>
      <c r="F9" s="72"/>
      <c r="G9" s="30"/>
      <c r="H9" s="30"/>
      <c r="I9" s="75"/>
      <c r="J9" s="77"/>
    </row>
    <row r="10" spans="1:10" x14ac:dyDescent="0.25">
      <c r="D10" s="69"/>
      <c r="E10" s="71"/>
      <c r="F10" s="72"/>
      <c r="G10" s="30"/>
      <c r="H10" s="30"/>
      <c r="I10" s="75"/>
      <c r="J10" s="77"/>
    </row>
    <row r="11" spans="1:10" x14ac:dyDescent="0.25">
      <c r="D11" s="69"/>
      <c r="E11" s="71"/>
      <c r="F11" s="72"/>
      <c r="G11" s="30"/>
      <c r="H11" s="30"/>
      <c r="I11" s="75"/>
      <c r="J11" s="77"/>
    </row>
    <row r="12" spans="1:10" x14ac:dyDescent="0.25">
      <c r="D12" s="69"/>
      <c r="E12" s="71"/>
      <c r="F12" s="72"/>
      <c r="G12" s="30"/>
      <c r="H12" s="30"/>
      <c r="I12" s="75"/>
      <c r="J12" s="77"/>
    </row>
    <row r="13" spans="1:10" x14ac:dyDescent="0.25">
      <c r="D13" s="69"/>
      <c r="E13" s="71"/>
      <c r="F13" s="72"/>
      <c r="G13" s="30"/>
      <c r="H13" s="30"/>
      <c r="I13" s="75"/>
      <c r="J13" s="77"/>
    </row>
    <row r="14" spans="1:10" x14ac:dyDescent="0.25">
      <c r="D14" s="69"/>
      <c r="E14" s="71"/>
      <c r="F14" s="72"/>
      <c r="G14" s="30"/>
      <c r="H14" s="30"/>
      <c r="I14" s="75"/>
      <c r="J14" s="77"/>
    </row>
    <row r="15" spans="1:10" x14ac:dyDescent="0.25">
      <c r="D15" s="69"/>
      <c r="E15" s="71"/>
      <c r="F15" s="72"/>
      <c r="G15" s="30"/>
      <c r="H15" s="30"/>
      <c r="I15" s="75"/>
      <c r="J15" s="77"/>
    </row>
    <row r="16" spans="1:10" x14ac:dyDescent="0.25">
      <c r="D16" s="69"/>
      <c r="E16" s="71"/>
      <c r="F16" s="72"/>
      <c r="G16" s="30"/>
      <c r="H16" s="30"/>
      <c r="I16" s="75"/>
      <c r="J16" s="77"/>
    </row>
    <row r="17" spans="4:10" x14ac:dyDescent="0.25">
      <c r="D17" s="69"/>
      <c r="E17" s="71"/>
      <c r="F17" s="72"/>
      <c r="G17" s="30"/>
      <c r="H17" s="30"/>
      <c r="I17" s="75"/>
      <c r="J17" s="77"/>
    </row>
    <row r="18" spans="4:10" x14ac:dyDescent="0.25">
      <c r="D18" s="69"/>
      <c r="E18" s="71"/>
      <c r="F18" s="72"/>
      <c r="G18" s="30"/>
      <c r="H18" s="30"/>
      <c r="I18" s="75"/>
      <c r="J18" s="77"/>
    </row>
    <row r="19" spans="4:10" x14ac:dyDescent="0.25">
      <c r="D19" s="69"/>
      <c r="E19" s="71"/>
      <c r="F19" s="72"/>
      <c r="G19" s="30"/>
      <c r="H19" s="30"/>
      <c r="I19" s="75"/>
      <c r="J19" s="77"/>
    </row>
    <row r="20" spans="4:10" x14ac:dyDescent="0.25">
      <c r="D20" s="69"/>
      <c r="E20" s="71"/>
      <c r="F20" s="72"/>
      <c r="G20" s="30"/>
      <c r="H20" s="30"/>
      <c r="I20" s="75"/>
      <c r="J20" s="77"/>
    </row>
    <row r="21" spans="4:10" x14ac:dyDescent="0.25">
      <c r="D21" s="69"/>
      <c r="E21" s="71"/>
      <c r="F21" s="72"/>
      <c r="G21" s="30"/>
      <c r="H21" s="30"/>
      <c r="I21" s="75"/>
      <c r="J21" s="77"/>
    </row>
    <row r="22" spans="4:10" x14ac:dyDescent="0.25">
      <c r="D22" s="69"/>
      <c r="E22" s="71"/>
      <c r="F22" s="72"/>
      <c r="G22" s="30"/>
      <c r="H22" s="30"/>
      <c r="I22" s="75"/>
      <c r="J22" s="77"/>
    </row>
    <row r="23" spans="4:10" ht="15.75" thickBot="1" x14ac:dyDescent="0.3">
      <c r="D23" s="70"/>
      <c r="E23" s="73"/>
      <c r="F23" s="74"/>
      <c r="G23" s="31"/>
      <c r="H23" s="31"/>
      <c r="I23" s="76"/>
      <c r="J23" s="78"/>
    </row>
    <row r="25" spans="4:10" x14ac:dyDescent="0.25">
      <c r="G25" s="116">
        <f>SUM(G9:G23)</f>
        <v>0</v>
      </c>
      <c r="H25" s="116">
        <f>SUM(H9:H23)</f>
        <v>0</v>
      </c>
    </row>
    <row r="117" spans="4:10" ht="15.75" thickBot="1" x14ac:dyDescent="0.3"/>
    <row r="118" spans="4:10" ht="16.5" thickTop="1" thickBot="1" x14ac:dyDescent="0.3">
      <c r="D118" s="127"/>
      <c r="E118" s="128"/>
      <c r="F118" s="128"/>
      <c r="G118" s="128"/>
      <c r="H118" s="128"/>
      <c r="I118" s="128"/>
      <c r="J118" s="129"/>
    </row>
    <row r="119" spans="4:10" ht="15.75" thickTop="1" x14ac:dyDescent="0.25">
      <c r="D119" s="109"/>
      <c r="E119" s="110"/>
      <c r="F119" s="110"/>
      <c r="G119" s="110"/>
      <c r="H119" s="110"/>
      <c r="I119" s="110"/>
      <c r="J119" s="111"/>
    </row>
    <row r="120" spans="4:10" ht="15.75" thickBot="1" x14ac:dyDescent="0.3">
      <c r="D120" s="112"/>
      <c r="E120" s="113"/>
      <c r="F120" s="113"/>
      <c r="G120" s="113"/>
      <c r="H120" s="113"/>
      <c r="I120" s="113"/>
      <c r="J120" s="114"/>
    </row>
    <row r="121" spans="4:10" ht="16.5" thickTop="1" thickBot="1" x14ac:dyDescent="0.3">
      <c r="D121" s="112"/>
      <c r="E121" s="113"/>
      <c r="F121" s="113"/>
      <c r="G121" s="113"/>
      <c r="H121" s="113"/>
      <c r="I121" s="113"/>
      <c r="J121" s="114"/>
    </row>
    <row r="122" spans="4:10" ht="15.75" thickTop="1" x14ac:dyDescent="0.25"/>
  </sheetData>
  <sheetProtection algorithmName="SHA-512" hashValue="x64KswV1F4xyjDByubY3XOnz+8jwjPOF2rAMJgaITvddHl8cs77yme2FDc79oBbNPCFn2R0qAcxhdU8gh+sYlA==" saltValue="mz3j1w09rqUtnnIAjWYRGw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K140"/>
  <sheetViews>
    <sheetView tabSelected="1" workbookViewId="0">
      <pane ySplit="1" topLeftCell="A115" activePane="bottomLeft" state="frozen"/>
      <selection pane="bottomLeft" activeCell="D140" sqref="D140"/>
    </sheetView>
  </sheetViews>
  <sheetFormatPr baseColWidth="10" defaultRowHeight="15" x14ac:dyDescent="0.25"/>
  <cols>
    <col min="3" max="3" width="5.7109375" style="16" customWidth="1"/>
    <col min="4" max="4" width="12.7109375" style="17" customWidth="1"/>
    <col min="5" max="5" width="8.7109375" style="17" customWidth="1"/>
    <col min="6" max="6" width="15.5703125" style="86" customWidth="1"/>
    <col min="7" max="7" width="37.5703125" customWidth="1"/>
    <col min="8" max="9" width="13.7109375" style="47" customWidth="1"/>
    <col min="10" max="10" width="30.28515625" customWidth="1"/>
    <col min="11" max="11" width="5.7109375" style="16" customWidth="1"/>
  </cols>
  <sheetData>
    <row r="1" spans="3:11" s="92" customFormat="1" ht="30.75" thickBot="1" x14ac:dyDescent="0.3">
      <c r="C1" s="87" t="s">
        <v>143</v>
      </c>
      <c r="D1" s="88" t="s">
        <v>141</v>
      </c>
      <c r="E1" s="89" t="s">
        <v>140</v>
      </c>
      <c r="F1" s="88" t="s">
        <v>0</v>
      </c>
      <c r="G1" s="88" t="s">
        <v>1</v>
      </c>
      <c r="H1" s="90" t="s">
        <v>2</v>
      </c>
      <c r="I1" s="90" t="s">
        <v>3</v>
      </c>
      <c r="J1" s="88" t="s">
        <v>142</v>
      </c>
      <c r="K1" s="91"/>
    </row>
    <row r="2" spans="3:11" x14ac:dyDescent="0.25">
      <c r="C2" s="16">
        <v>1</v>
      </c>
      <c r="D2" s="25">
        <v>45204</v>
      </c>
      <c r="E2" s="34">
        <v>1</v>
      </c>
      <c r="F2" s="35" t="s">
        <v>139</v>
      </c>
      <c r="G2" s="35">
        <f>EJ!D9</f>
        <v>0</v>
      </c>
      <c r="H2" s="36">
        <f>EJ!G9</f>
        <v>0</v>
      </c>
      <c r="I2" s="36"/>
      <c r="J2" s="15"/>
      <c r="K2" s="16">
        <f>ROW()</f>
        <v>2</v>
      </c>
    </row>
    <row r="3" spans="3:11" ht="15.75" x14ac:dyDescent="0.25">
      <c r="C3" s="16">
        <v>1</v>
      </c>
      <c r="D3" s="26">
        <v>45204</v>
      </c>
      <c r="E3" s="37">
        <v>1</v>
      </c>
      <c r="F3" s="38" t="s">
        <v>139</v>
      </c>
      <c r="G3" s="39">
        <f>EJ!D10</f>
        <v>0</v>
      </c>
      <c r="H3" s="40"/>
      <c r="I3" s="40">
        <f>EJ!H10</f>
        <v>0</v>
      </c>
      <c r="J3" s="1"/>
      <c r="K3" s="16">
        <f>ROW()</f>
        <v>3</v>
      </c>
    </row>
    <row r="4" spans="3:11" ht="16.5" thickBot="1" x14ac:dyDescent="0.3">
      <c r="C4" s="16">
        <v>1</v>
      </c>
      <c r="D4" s="27">
        <v>45204</v>
      </c>
      <c r="E4" s="41">
        <v>1</v>
      </c>
      <c r="F4" s="42"/>
      <c r="G4" s="43" t="s">
        <v>145</v>
      </c>
      <c r="H4" s="44"/>
      <c r="I4" s="44"/>
      <c r="J4" s="45"/>
      <c r="K4" s="16">
        <f>ROW()</f>
        <v>4</v>
      </c>
    </row>
    <row r="5" spans="3:11" ht="15.75" thickBot="1" x14ac:dyDescent="0.3">
      <c r="C5" s="16">
        <v>1</v>
      </c>
      <c r="D5" s="18">
        <v>45204</v>
      </c>
      <c r="E5" s="46">
        <v>1</v>
      </c>
      <c r="F5"/>
      <c r="K5" s="16">
        <f>ROW()</f>
        <v>5</v>
      </c>
    </row>
    <row r="6" spans="3:11" x14ac:dyDescent="0.25">
      <c r="C6" s="16">
        <v>2</v>
      </c>
      <c r="D6" s="19">
        <v>45204</v>
      </c>
      <c r="E6" s="34">
        <v>2</v>
      </c>
      <c r="F6" s="35" t="s">
        <v>139</v>
      </c>
      <c r="G6" s="35" t="s">
        <v>107</v>
      </c>
      <c r="H6" s="36">
        <v>250</v>
      </c>
      <c r="I6" s="36"/>
      <c r="J6" s="48"/>
      <c r="K6" s="16">
        <f>ROW()</f>
        <v>6</v>
      </c>
    </row>
    <row r="7" spans="3:11" x14ac:dyDescent="0.25">
      <c r="C7" s="16">
        <v>2</v>
      </c>
      <c r="D7" s="21">
        <v>45204</v>
      </c>
      <c r="E7" s="49">
        <v>2</v>
      </c>
      <c r="F7" s="38" t="s">
        <v>139</v>
      </c>
      <c r="G7" s="39" t="s">
        <v>13</v>
      </c>
      <c r="H7" s="40"/>
      <c r="I7" s="40">
        <v>250</v>
      </c>
      <c r="J7" s="50"/>
      <c r="K7" s="16">
        <f>ROW()</f>
        <v>7</v>
      </c>
    </row>
    <row r="8" spans="3:11" ht="15.75" thickBot="1" x14ac:dyDescent="0.3">
      <c r="C8" s="16">
        <v>2</v>
      </c>
      <c r="D8" s="20"/>
      <c r="E8" s="51"/>
      <c r="F8" s="52"/>
      <c r="G8" s="53" t="s">
        <v>145</v>
      </c>
      <c r="H8" s="44"/>
      <c r="I8" s="44"/>
      <c r="J8" s="45"/>
      <c r="K8" s="16">
        <f>ROW()</f>
        <v>8</v>
      </c>
    </row>
    <row r="9" spans="3:11" ht="15.75" thickBot="1" x14ac:dyDescent="0.3">
      <c r="C9" s="16">
        <v>2</v>
      </c>
      <c r="D9" s="23"/>
      <c r="E9" s="23"/>
      <c r="F9" s="54"/>
      <c r="G9" s="54"/>
      <c r="H9" s="55"/>
      <c r="I9" s="55"/>
      <c r="J9" s="54"/>
      <c r="K9" s="16">
        <f>ROW()</f>
        <v>9</v>
      </c>
    </row>
    <row r="10" spans="3:11" x14ac:dyDescent="0.25">
      <c r="C10" s="16">
        <v>3</v>
      </c>
      <c r="D10" s="19">
        <v>45204</v>
      </c>
      <c r="E10" s="34">
        <v>3</v>
      </c>
      <c r="F10" s="35" t="s">
        <v>139</v>
      </c>
      <c r="G10" s="35" t="s">
        <v>107</v>
      </c>
      <c r="H10" s="36">
        <v>49.95</v>
      </c>
      <c r="I10" s="36"/>
      <c r="J10" s="48"/>
      <c r="K10" s="16">
        <f>ROW()</f>
        <v>10</v>
      </c>
    </row>
    <row r="11" spans="3:11" x14ac:dyDescent="0.25">
      <c r="C11" s="16">
        <v>3</v>
      </c>
      <c r="D11" s="21">
        <v>45204</v>
      </c>
      <c r="E11" s="49">
        <v>2</v>
      </c>
      <c r="F11" s="38" t="s">
        <v>139</v>
      </c>
      <c r="G11" s="39" t="s">
        <v>13</v>
      </c>
      <c r="H11" s="40"/>
      <c r="I11" s="40">
        <v>49.95</v>
      </c>
      <c r="J11" s="50"/>
      <c r="K11" s="16">
        <f>ROW()</f>
        <v>11</v>
      </c>
    </row>
    <row r="12" spans="3:11" ht="15.75" thickBot="1" x14ac:dyDescent="0.3">
      <c r="C12" s="16">
        <v>3</v>
      </c>
      <c r="D12" s="24">
        <v>45204</v>
      </c>
      <c r="E12" s="56">
        <v>2</v>
      </c>
      <c r="F12" s="57" t="s">
        <v>139</v>
      </c>
      <c r="G12" s="53" t="s">
        <v>145</v>
      </c>
      <c r="H12" s="58"/>
      <c r="I12" s="58"/>
      <c r="J12" s="59"/>
      <c r="K12" s="16">
        <f>ROW()</f>
        <v>12</v>
      </c>
    </row>
    <row r="13" spans="3:11" ht="15.75" thickBot="1" x14ac:dyDescent="0.3">
      <c r="C13" s="16">
        <v>3</v>
      </c>
      <c r="D13" s="22"/>
      <c r="E13" s="46"/>
      <c r="F13" s="60"/>
      <c r="K13" s="16">
        <f>ROW()</f>
        <v>13</v>
      </c>
    </row>
    <row r="14" spans="3:11" x14ac:dyDescent="0.25">
      <c r="C14" s="16">
        <v>4</v>
      </c>
      <c r="D14" s="19">
        <v>45203</v>
      </c>
      <c r="E14" s="34">
        <v>4</v>
      </c>
      <c r="F14" s="35" t="s">
        <v>146</v>
      </c>
      <c r="G14" s="35" t="s">
        <v>23</v>
      </c>
      <c r="H14" s="36">
        <v>2300</v>
      </c>
      <c r="I14" s="36"/>
      <c r="J14" s="48"/>
      <c r="K14" s="16">
        <f>ROW()</f>
        <v>14</v>
      </c>
    </row>
    <row r="15" spans="3:11" x14ac:dyDescent="0.25">
      <c r="C15" s="16">
        <v>4</v>
      </c>
      <c r="D15" s="21">
        <v>45203</v>
      </c>
      <c r="E15" s="49">
        <v>4</v>
      </c>
      <c r="F15" s="38" t="s">
        <v>146</v>
      </c>
      <c r="G15" s="39" t="s">
        <v>19</v>
      </c>
      <c r="H15" s="40"/>
      <c r="I15" s="40">
        <v>985.45</v>
      </c>
      <c r="J15" s="50"/>
      <c r="K15" s="16">
        <f>ROW()</f>
        <v>15</v>
      </c>
    </row>
    <row r="16" spans="3:11" x14ac:dyDescent="0.25">
      <c r="C16" s="16">
        <v>4</v>
      </c>
      <c r="D16" s="21">
        <v>45203</v>
      </c>
      <c r="E16" s="49">
        <v>4</v>
      </c>
      <c r="F16" s="38" t="s">
        <v>146</v>
      </c>
      <c r="G16" s="39" t="s">
        <v>25</v>
      </c>
      <c r="H16" s="40">
        <v>4589</v>
      </c>
      <c r="I16" s="40"/>
      <c r="J16" s="50"/>
      <c r="K16" s="16">
        <f>ROW()</f>
        <v>16</v>
      </c>
    </row>
    <row r="17" spans="3:11" x14ac:dyDescent="0.25">
      <c r="C17" s="16">
        <v>4</v>
      </c>
      <c r="D17" s="21">
        <v>45203</v>
      </c>
      <c r="E17" s="49">
        <v>4</v>
      </c>
      <c r="F17" s="38" t="s">
        <v>146</v>
      </c>
      <c r="G17" s="39" t="s">
        <v>21</v>
      </c>
      <c r="H17" s="40"/>
      <c r="I17" s="40">
        <v>1750</v>
      </c>
      <c r="J17" s="50"/>
      <c r="K17" s="16">
        <f>ROW()</f>
        <v>17</v>
      </c>
    </row>
    <row r="18" spans="3:11" x14ac:dyDescent="0.25">
      <c r="C18" s="16">
        <v>4</v>
      </c>
      <c r="D18" s="21">
        <v>45203</v>
      </c>
      <c r="E18" s="49">
        <v>4</v>
      </c>
      <c r="F18" s="38" t="s">
        <v>146</v>
      </c>
      <c r="G18" s="39" t="s">
        <v>13</v>
      </c>
      <c r="H18" s="40"/>
      <c r="I18" s="40">
        <v>4153.55</v>
      </c>
      <c r="J18" s="50"/>
      <c r="K18" s="16">
        <f>ROW()</f>
        <v>18</v>
      </c>
    </row>
    <row r="19" spans="3:11" ht="15.75" thickBot="1" x14ac:dyDescent="0.3">
      <c r="C19" s="16">
        <v>4</v>
      </c>
      <c r="D19" s="24">
        <v>45203</v>
      </c>
      <c r="E19" s="56">
        <v>4</v>
      </c>
      <c r="F19" s="57" t="s">
        <v>146</v>
      </c>
      <c r="G19" s="53" t="s">
        <v>147</v>
      </c>
      <c r="H19" s="58"/>
      <c r="I19" s="58"/>
      <c r="J19" s="59"/>
      <c r="K19" s="16">
        <f>ROW()</f>
        <v>19</v>
      </c>
    </row>
    <row r="20" spans="3:11" ht="15.75" thickBot="1" x14ac:dyDescent="0.3">
      <c r="C20" s="16">
        <v>4</v>
      </c>
      <c r="D20" s="22">
        <v>45203</v>
      </c>
      <c r="E20" s="46">
        <v>4</v>
      </c>
      <c r="F20" s="60" t="s">
        <v>146</v>
      </c>
      <c r="K20" s="16">
        <f>ROW()</f>
        <v>20</v>
      </c>
    </row>
    <row r="21" spans="3:11" x14ac:dyDescent="0.25">
      <c r="C21" s="16">
        <v>5</v>
      </c>
      <c r="D21" s="19">
        <v>45204</v>
      </c>
      <c r="E21" s="34">
        <v>5</v>
      </c>
      <c r="F21" s="35" t="s">
        <v>148</v>
      </c>
      <c r="G21" s="35" t="s">
        <v>15</v>
      </c>
      <c r="H21" s="36">
        <v>1228.72</v>
      </c>
      <c r="I21" s="36"/>
      <c r="J21" s="48"/>
      <c r="K21" s="16">
        <f>ROW()</f>
        <v>21</v>
      </c>
    </row>
    <row r="22" spans="3:11" x14ac:dyDescent="0.25">
      <c r="C22" s="16">
        <v>5</v>
      </c>
      <c r="D22" s="21">
        <v>45204</v>
      </c>
      <c r="E22" s="49">
        <v>5</v>
      </c>
      <c r="F22" s="38" t="s">
        <v>148</v>
      </c>
      <c r="G22" s="39" t="s">
        <v>88</v>
      </c>
      <c r="H22" s="40"/>
      <c r="I22" s="40">
        <v>1625</v>
      </c>
      <c r="J22" s="50"/>
      <c r="K22" s="16">
        <f>ROW()</f>
        <v>22</v>
      </c>
    </row>
    <row r="23" spans="3:11" x14ac:dyDescent="0.25">
      <c r="C23" s="16">
        <v>5</v>
      </c>
      <c r="D23" s="21">
        <v>45204</v>
      </c>
      <c r="E23" s="49">
        <v>5</v>
      </c>
      <c r="F23" s="38" t="s">
        <v>148</v>
      </c>
      <c r="G23" s="39" t="s">
        <v>121</v>
      </c>
      <c r="H23" s="40"/>
      <c r="I23" s="40">
        <v>31</v>
      </c>
      <c r="J23" s="50"/>
      <c r="K23" s="16">
        <f>ROW()</f>
        <v>23</v>
      </c>
    </row>
    <row r="24" spans="3:11" x14ac:dyDescent="0.25">
      <c r="C24" s="16">
        <v>5</v>
      </c>
      <c r="D24" s="21">
        <v>45204</v>
      </c>
      <c r="E24" s="49">
        <v>5</v>
      </c>
      <c r="F24" s="38" t="s">
        <v>148</v>
      </c>
      <c r="G24" s="39" t="s">
        <v>119</v>
      </c>
      <c r="H24" s="40"/>
      <c r="I24" s="40">
        <v>32</v>
      </c>
      <c r="J24" s="50"/>
      <c r="K24" s="16">
        <f>ROW()</f>
        <v>24</v>
      </c>
    </row>
    <row r="25" spans="3:11" x14ac:dyDescent="0.25">
      <c r="C25" s="16">
        <v>5</v>
      </c>
      <c r="D25" s="21">
        <v>45204</v>
      </c>
      <c r="E25" s="49">
        <v>5</v>
      </c>
      <c r="F25" s="38" t="s">
        <v>148</v>
      </c>
      <c r="G25" s="39" t="s">
        <v>123</v>
      </c>
      <c r="H25" s="40"/>
      <c r="I25" s="40">
        <v>33</v>
      </c>
      <c r="J25" s="50"/>
      <c r="K25" s="16">
        <f>ROW()</f>
        <v>25</v>
      </c>
    </row>
    <row r="26" spans="3:11" x14ac:dyDescent="0.25">
      <c r="C26" s="16">
        <v>5</v>
      </c>
      <c r="D26" s="21">
        <v>45204</v>
      </c>
      <c r="E26" s="49">
        <v>5</v>
      </c>
      <c r="F26" s="38" t="s">
        <v>148</v>
      </c>
      <c r="G26" s="39" t="s">
        <v>23</v>
      </c>
      <c r="H26" s="40"/>
      <c r="I26" s="40">
        <v>86.05</v>
      </c>
      <c r="J26" s="50"/>
      <c r="K26" s="16">
        <f>ROW()</f>
        <v>26</v>
      </c>
    </row>
    <row r="27" spans="3:11" x14ac:dyDescent="0.25">
      <c r="C27" s="16">
        <v>5</v>
      </c>
      <c r="D27" s="21">
        <v>45204</v>
      </c>
      <c r="E27" s="49">
        <v>5</v>
      </c>
      <c r="F27" s="38" t="s">
        <v>148</v>
      </c>
      <c r="G27" s="39" t="s">
        <v>25</v>
      </c>
      <c r="H27" s="40"/>
      <c r="I27" s="40">
        <v>171.67</v>
      </c>
      <c r="J27" s="50"/>
      <c r="K27" s="16">
        <f>ROW()</f>
        <v>27</v>
      </c>
    </row>
    <row r="28" spans="3:11" x14ac:dyDescent="0.25">
      <c r="C28" s="16">
        <v>5</v>
      </c>
      <c r="D28" s="21">
        <v>45204</v>
      </c>
      <c r="E28" s="49">
        <v>5</v>
      </c>
      <c r="F28" s="38" t="s">
        <v>148</v>
      </c>
      <c r="G28" s="39" t="s">
        <v>33</v>
      </c>
      <c r="H28" s="40">
        <v>750</v>
      </c>
      <c r="I28" s="40"/>
      <c r="J28" s="50"/>
      <c r="K28" s="16">
        <f>ROW()</f>
        <v>28</v>
      </c>
    </row>
    <row r="29" spans="3:11" ht="15.75" thickBot="1" x14ac:dyDescent="0.3">
      <c r="C29" s="16">
        <v>5</v>
      </c>
      <c r="D29" s="24">
        <v>45204</v>
      </c>
      <c r="E29" s="56">
        <v>5</v>
      </c>
      <c r="F29" s="57" t="s">
        <v>148</v>
      </c>
      <c r="G29" s="61" t="s">
        <v>149</v>
      </c>
      <c r="H29" s="62"/>
      <c r="I29" s="62"/>
      <c r="J29" s="63"/>
      <c r="K29" s="16">
        <f>ROW()</f>
        <v>29</v>
      </c>
    </row>
    <row r="30" spans="3:11" ht="15.75" thickBot="1" x14ac:dyDescent="0.3">
      <c r="C30" s="16">
        <v>5</v>
      </c>
      <c r="D30" s="33">
        <v>45204</v>
      </c>
      <c r="E30" s="64">
        <v>5</v>
      </c>
      <c r="F30" s="65" t="s">
        <v>148</v>
      </c>
      <c r="G30" s="66"/>
      <c r="H30" s="67"/>
      <c r="I30" s="67"/>
      <c r="J30" s="66"/>
      <c r="K30" s="16">
        <f>ROW()</f>
        <v>30</v>
      </c>
    </row>
    <row r="31" spans="3:11" x14ac:dyDescent="0.25">
      <c r="C31" s="16">
        <v>6</v>
      </c>
      <c r="D31" s="19">
        <v>45204</v>
      </c>
      <c r="E31" s="34">
        <v>6</v>
      </c>
      <c r="F31" s="35" t="s">
        <v>148</v>
      </c>
      <c r="G31" s="35" t="s">
        <v>15</v>
      </c>
      <c r="H31" s="36">
        <v>1228.72</v>
      </c>
      <c r="I31" s="36"/>
      <c r="J31" s="48"/>
      <c r="K31" s="16">
        <f>ROW()</f>
        <v>31</v>
      </c>
    </row>
    <row r="32" spans="3:11" x14ac:dyDescent="0.25">
      <c r="C32" s="16">
        <v>6</v>
      </c>
      <c r="D32" s="21">
        <v>45204</v>
      </c>
      <c r="E32" s="49">
        <v>6</v>
      </c>
      <c r="F32" s="38" t="s">
        <v>148</v>
      </c>
      <c r="G32" s="39" t="s">
        <v>88</v>
      </c>
      <c r="H32" s="40"/>
      <c r="I32" s="40">
        <v>1625</v>
      </c>
      <c r="J32" s="50"/>
      <c r="K32" s="16">
        <f>ROW()</f>
        <v>32</v>
      </c>
    </row>
    <row r="33" spans="3:11" x14ac:dyDescent="0.25">
      <c r="C33" s="16">
        <v>6</v>
      </c>
      <c r="D33" s="21">
        <v>45204</v>
      </c>
      <c r="E33" s="49">
        <v>6</v>
      </c>
      <c r="F33" s="38" t="s">
        <v>148</v>
      </c>
      <c r="G33" s="39" t="s">
        <v>121</v>
      </c>
      <c r="H33" s="40"/>
      <c r="I33" s="40">
        <v>31</v>
      </c>
      <c r="J33" s="50"/>
      <c r="K33" s="16">
        <f>ROW()</f>
        <v>33</v>
      </c>
    </row>
    <row r="34" spans="3:11" x14ac:dyDescent="0.25">
      <c r="C34" s="16">
        <v>6</v>
      </c>
      <c r="D34" s="21">
        <v>45204</v>
      </c>
      <c r="E34" s="49">
        <v>6</v>
      </c>
      <c r="F34" s="38" t="s">
        <v>148</v>
      </c>
      <c r="G34" s="39" t="s">
        <v>119</v>
      </c>
      <c r="H34" s="40"/>
      <c r="I34" s="40">
        <v>32</v>
      </c>
      <c r="J34" s="50"/>
      <c r="K34" s="16">
        <f>ROW()</f>
        <v>34</v>
      </c>
    </row>
    <row r="35" spans="3:11" x14ac:dyDescent="0.25">
      <c r="C35" s="16">
        <v>6</v>
      </c>
      <c r="D35" s="21">
        <v>45204</v>
      </c>
      <c r="E35" s="49">
        <v>6</v>
      </c>
      <c r="F35" s="38" t="s">
        <v>148</v>
      </c>
      <c r="G35" s="39" t="s">
        <v>123</v>
      </c>
      <c r="H35" s="40"/>
      <c r="I35" s="40">
        <v>33</v>
      </c>
      <c r="J35" s="50"/>
      <c r="K35" s="16">
        <f>ROW()</f>
        <v>35</v>
      </c>
    </row>
    <row r="36" spans="3:11" x14ac:dyDescent="0.25">
      <c r="C36" s="16">
        <v>6</v>
      </c>
      <c r="D36" s="21">
        <v>45204</v>
      </c>
      <c r="E36" s="49">
        <v>6</v>
      </c>
      <c r="F36" s="38" t="s">
        <v>148</v>
      </c>
      <c r="G36" s="39" t="s">
        <v>23</v>
      </c>
      <c r="H36" s="40"/>
      <c r="I36" s="40">
        <v>86.05</v>
      </c>
      <c r="J36" s="50"/>
      <c r="K36" s="16">
        <f>ROW()</f>
        <v>36</v>
      </c>
    </row>
    <row r="37" spans="3:11" x14ac:dyDescent="0.25">
      <c r="C37" s="16">
        <v>6</v>
      </c>
      <c r="D37" s="21">
        <v>45204</v>
      </c>
      <c r="E37" s="49">
        <v>6</v>
      </c>
      <c r="F37" s="38" t="s">
        <v>148</v>
      </c>
      <c r="G37" s="39" t="s">
        <v>25</v>
      </c>
      <c r="H37" s="40"/>
      <c r="I37" s="40">
        <v>171.67</v>
      </c>
      <c r="J37" s="50"/>
      <c r="K37" s="16">
        <f>ROW()</f>
        <v>37</v>
      </c>
    </row>
    <row r="38" spans="3:11" x14ac:dyDescent="0.25">
      <c r="C38" s="16">
        <v>6</v>
      </c>
      <c r="D38" s="21">
        <v>45204</v>
      </c>
      <c r="E38" s="49">
        <v>6</v>
      </c>
      <c r="F38" s="38" t="s">
        <v>148</v>
      </c>
      <c r="G38" s="39" t="s">
        <v>33</v>
      </c>
      <c r="H38" s="40">
        <v>750</v>
      </c>
      <c r="I38" s="40"/>
      <c r="J38" s="50"/>
      <c r="K38" s="16">
        <f>ROW()</f>
        <v>38</v>
      </c>
    </row>
    <row r="39" spans="3:11" ht="15.75" thickBot="1" x14ac:dyDescent="0.3">
      <c r="C39" s="16">
        <v>6</v>
      </c>
      <c r="D39" s="24">
        <v>45204</v>
      </c>
      <c r="E39" s="56">
        <v>6</v>
      </c>
      <c r="F39" s="57" t="s">
        <v>148</v>
      </c>
      <c r="G39" s="53" t="s">
        <v>149</v>
      </c>
      <c r="H39" s="58"/>
      <c r="I39" s="58"/>
      <c r="J39" s="59"/>
      <c r="K39" s="16">
        <f>ROW()</f>
        <v>39</v>
      </c>
    </row>
    <row r="40" spans="3:11" ht="15.75" thickBot="1" x14ac:dyDescent="0.3">
      <c r="C40" s="16">
        <v>6</v>
      </c>
      <c r="D40" s="22">
        <v>45204</v>
      </c>
      <c r="E40" s="46">
        <v>6</v>
      </c>
      <c r="F40" s="60" t="s">
        <v>148</v>
      </c>
    </row>
    <row r="41" spans="3:11" x14ac:dyDescent="0.25">
      <c r="C41" s="16">
        <v>7</v>
      </c>
      <c r="D41" s="19">
        <v>45203</v>
      </c>
      <c r="E41" s="34">
        <v>7</v>
      </c>
      <c r="F41" s="35" t="s">
        <v>150</v>
      </c>
      <c r="G41" s="35" t="s">
        <v>15</v>
      </c>
      <c r="H41" s="36">
        <v>430.11</v>
      </c>
      <c r="I41" s="36"/>
      <c r="J41" s="48"/>
      <c r="K41" s="16">
        <f>ROW()</f>
        <v>41</v>
      </c>
    </row>
    <row r="42" spans="3:11" x14ac:dyDescent="0.25">
      <c r="C42" s="16">
        <v>7</v>
      </c>
      <c r="D42" s="21">
        <v>45203</v>
      </c>
      <c r="E42" s="49">
        <v>7</v>
      </c>
      <c r="F42" s="38" t="s">
        <v>150</v>
      </c>
      <c r="G42" s="39" t="s">
        <v>88</v>
      </c>
      <c r="H42" s="40"/>
      <c r="I42" s="40">
        <v>612.5</v>
      </c>
      <c r="J42" s="50"/>
      <c r="K42" s="16">
        <f>ROW()</f>
        <v>42</v>
      </c>
    </row>
    <row r="43" spans="3:11" x14ac:dyDescent="0.25">
      <c r="C43" s="16">
        <v>7</v>
      </c>
      <c r="D43" s="21">
        <v>45203</v>
      </c>
      <c r="E43" s="49">
        <v>7</v>
      </c>
      <c r="F43" s="38" t="s">
        <v>150</v>
      </c>
      <c r="G43" s="39" t="s">
        <v>121</v>
      </c>
      <c r="H43" s="40"/>
      <c r="I43" s="40">
        <v>21</v>
      </c>
      <c r="J43" s="50"/>
      <c r="K43" s="16">
        <f>ROW()</f>
        <v>43</v>
      </c>
    </row>
    <row r="44" spans="3:11" x14ac:dyDescent="0.25">
      <c r="C44" s="16">
        <v>7</v>
      </c>
      <c r="D44" s="21">
        <v>45203</v>
      </c>
      <c r="E44" s="49">
        <v>7</v>
      </c>
      <c r="F44" s="38" t="s">
        <v>150</v>
      </c>
      <c r="G44" s="39" t="s">
        <v>119</v>
      </c>
      <c r="H44" s="40"/>
      <c r="I44" s="40">
        <v>22</v>
      </c>
      <c r="J44" s="50"/>
      <c r="K44" s="16">
        <f>ROW()</f>
        <v>44</v>
      </c>
    </row>
    <row r="45" spans="3:11" x14ac:dyDescent="0.25">
      <c r="C45" s="16">
        <v>7</v>
      </c>
      <c r="D45" s="21">
        <v>45203</v>
      </c>
      <c r="E45" s="49">
        <v>7</v>
      </c>
      <c r="F45" s="38" t="s">
        <v>150</v>
      </c>
      <c r="G45" s="39" t="s">
        <v>123</v>
      </c>
      <c r="H45" s="40"/>
      <c r="I45" s="40">
        <v>23</v>
      </c>
      <c r="J45" s="50"/>
      <c r="K45" s="16">
        <f>ROW()</f>
        <v>45</v>
      </c>
    </row>
    <row r="46" spans="3:11" x14ac:dyDescent="0.25">
      <c r="C46" s="16">
        <v>7</v>
      </c>
      <c r="D46" s="21">
        <v>45203</v>
      </c>
      <c r="E46" s="49">
        <v>7</v>
      </c>
      <c r="F46" s="38" t="s">
        <v>150</v>
      </c>
      <c r="G46" s="39" t="s">
        <v>23</v>
      </c>
      <c r="H46" s="40"/>
      <c r="I46" s="40">
        <v>33.93</v>
      </c>
      <c r="J46" s="50"/>
      <c r="K46" s="16">
        <f>ROW()</f>
        <v>46</v>
      </c>
    </row>
    <row r="47" spans="3:11" x14ac:dyDescent="0.25">
      <c r="C47" s="16">
        <v>7</v>
      </c>
      <c r="D47" s="21">
        <v>45203</v>
      </c>
      <c r="E47" s="49">
        <v>7</v>
      </c>
      <c r="F47" s="38" t="s">
        <v>150</v>
      </c>
      <c r="G47" s="39" t="s">
        <v>25</v>
      </c>
      <c r="H47" s="40"/>
      <c r="I47" s="40">
        <v>67.680000000000007</v>
      </c>
      <c r="J47" s="50"/>
      <c r="K47" s="16">
        <f>ROW()</f>
        <v>47</v>
      </c>
    </row>
    <row r="48" spans="3:11" x14ac:dyDescent="0.25">
      <c r="C48" s="16">
        <v>7</v>
      </c>
      <c r="D48" s="21">
        <v>45203</v>
      </c>
      <c r="E48" s="49">
        <v>7</v>
      </c>
      <c r="F48" s="38" t="s">
        <v>150</v>
      </c>
      <c r="G48" s="39" t="s">
        <v>33</v>
      </c>
      <c r="H48" s="40">
        <v>350</v>
      </c>
      <c r="I48" s="40"/>
      <c r="J48" s="50"/>
      <c r="K48" s="16">
        <f>ROW()</f>
        <v>48</v>
      </c>
    </row>
    <row r="49" spans="3:11" ht="15.75" thickBot="1" x14ac:dyDescent="0.3">
      <c r="C49" s="16">
        <v>7</v>
      </c>
      <c r="D49" s="24">
        <v>45203</v>
      </c>
      <c r="E49" s="56">
        <v>7</v>
      </c>
      <c r="F49" s="57" t="s">
        <v>150</v>
      </c>
      <c r="G49" s="53" t="s">
        <v>151</v>
      </c>
      <c r="H49" s="58"/>
      <c r="I49" s="58"/>
      <c r="J49" s="59"/>
      <c r="K49" s="16">
        <f>ROW()</f>
        <v>49</v>
      </c>
    </row>
    <row r="50" spans="3:11" ht="15.75" thickBot="1" x14ac:dyDescent="0.3">
      <c r="C50" s="16">
        <v>7</v>
      </c>
      <c r="D50" s="22">
        <v>45203</v>
      </c>
      <c r="E50" s="46">
        <v>7</v>
      </c>
      <c r="F50" s="60" t="s">
        <v>150</v>
      </c>
      <c r="K50" s="16">
        <f>ROW()</f>
        <v>50</v>
      </c>
    </row>
    <row r="51" spans="3:11" x14ac:dyDescent="0.25">
      <c r="C51" s="16">
        <v>8</v>
      </c>
      <c r="D51" s="19">
        <v>45204</v>
      </c>
      <c r="E51" s="34">
        <v>8</v>
      </c>
      <c r="F51" s="35" t="s">
        <v>152</v>
      </c>
      <c r="G51" s="35" t="s">
        <v>15</v>
      </c>
      <c r="H51" s="36">
        <v>1248.6300000000001</v>
      </c>
      <c r="I51" s="36"/>
      <c r="J51" s="48"/>
      <c r="K51" s="16">
        <f>ROW()</f>
        <v>51</v>
      </c>
    </row>
    <row r="52" spans="3:11" x14ac:dyDescent="0.25">
      <c r="C52" s="16">
        <v>8</v>
      </c>
      <c r="D52" s="21">
        <v>45204</v>
      </c>
      <c r="E52" s="49">
        <v>8</v>
      </c>
      <c r="F52" s="38" t="s">
        <v>152</v>
      </c>
      <c r="G52" s="39" t="s">
        <v>88</v>
      </c>
      <c r="H52" s="40"/>
      <c r="I52" s="40">
        <v>1050</v>
      </c>
      <c r="J52" s="50"/>
      <c r="K52" s="16">
        <f>ROW()</f>
        <v>52</v>
      </c>
    </row>
    <row r="53" spans="3:11" x14ac:dyDescent="0.25">
      <c r="C53" s="16">
        <v>8</v>
      </c>
      <c r="D53" s="21">
        <v>45204</v>
      </c>
      <c r="E53" s="49">
        <v>8</v>
      </c>
      <c r="F53" s="38" t="s">
        <v>152</v>
      </c>
      <c r="G53" s="39" t="s">
        <v>121</v>
      </c>
      <c r="H53" s="40"/>
      <c r="I53" s="40">
        <v>11</v>
      </c>
      <c r="J53" s="50"/>
      <c r="K53" s="16">
        <f>ROW()</f>
        <v>53</v>
      </c>
    </row>
    <row r="54" spans="3:11" x14ac:dyDescent="0.25">
      <c r="C54" s="16">
        <v>8</v>
      </c>
      <c r="D54" s="21">
        <v>45204</v>
      </c>
      <c r="E54" s="49">
        <v>8</v>
      </c>
      <c r="F54" s="38" t="s">
        <v>152</v>
      </c>
      <c r="G54" s="39" t="s">
        <v>119</v>
      </c>
      <c r="H54" s="40"/>
      <c r="I54" s="40">
        <v>12</v>
      </c>
      <c r="J54" s="50"/>
      <c r="K54" s="16">
        <f>ROW()</f>
        <v>54</v>
      </c>
    </row>
    <row r="55" spans="3:11" x14ac:dyDescent="0.25">
      <c r="C55" s="16">
        <v>8</v>
      </c>
      <c r="D55" s="21">
        <v>45204</v>
      </c>
      <c r="E55" s="49">
        <v>8</v>
      </c>
      <c r="F55" s="38" t="s">
        <v>152</v>
      </c>
      <c r="G55" s="39" t="s">
        <v>123</v>
      </c>
      <c r="H55" s="40"/>
      <c r="I55" s="40">
        <v>13</v>
      </c>
      <c r="J55" s="50"/>
      <c r="K55" s="16">
        <f>ROW()</f>
        <v>55</v>
      </c>
    </row>
    <row r="56" spans="3:11" x14ac:dyDescent="0.25">
      <c r="C56" s="16">
        <v>8</v>
      </c>
      <c r="D56" s="21">
        <v>45204</v>
      </c>
      <c r="E56" s="49">
        <v>8</v>
      </c>
      <c r="F56" s="38" t="s">
        <v>152</v>
      </c>
      <c r="G56" s="39" t="s">
        <v>23</v>
      </c>
      <c r="H56" s="40"/>
      <c r="I56" s="40">
        <v>54.3</v>
      </c>
      <c r="J56" s="50"/>
      <c r="K56" s="16">
        <f>ROW()</f>
        <v>56</v>
      </c>
    </row>
    <row r="57" spans="3:11" x14ac:dyDescent="0.25">
      <c r="C57" s="16">
        <v>8</v>
      </c>
      <c r="D57" s="21">
        <v>45204</v>
      </c>
      <c r="E57" s="49">
        <v>8</v>
      </c>
      <c r="F57" s="38" t="s">
        <v>152</v>
      </c>
      <c r="G57" s="39" t="s">
        <v>25</v>
      </c>
      <c r="H57" s="40"/>
      <c r="I57" s="40">
        <v>108.33</v>
      </c>
      <c r="J57" s="50"/>
      <c r="K57" s="16">
        <f>ROW()</f>
        <v>57</v>
      </c>
    </row>
    <row r="58" spans="3:11" ht="15.75" thickBot="1" x14ac:dyDescent="0.3">
      <c r="C58" s="16">
        <v>8</v>
      </c>
      <c r="D58" s="24">
        <v>45204</v>
      </c>
      <c r="E58" s="56">
        <v>8</v>
      </c>
      <c r="F58" s="57" t="s">
        <v>152</v>
      </c>
      <c r="G58" s="53" t="s">
        <v>153</v>
      </c>
      <c r="H58" s="58"/>
      <c r="I58" s="58"/>
      <c r="J58" s="59"/>
      <c r="K58" s="16">
        <f>ROW()</f>
        <v>58</v>
      </c>
    </row>
    <row r="59" spans="3:11" ht="15.75" thickBot="1" x14ac:dyDescent="0.3">
      <c r="C59" s="16">
        <v>8</v>
      </c>
      <c r="D59" s="22">
        <v>45204</v>
      </c>
      <c r="E59" s="46">
        <v>8</v>
      </c>
      <c r="F59" s="60" t="s">
        <v>152</v>
      </c>
      <c r="K59" s="16">
        <f>ROW()</f>
        <v>59</v>
      </c>
    </row>
    <row r="60" spans="3:11" x14ac:dyDescent="0.25">
      <c r="C60" s="16">
        <v>9</v>
      </c>
      <c r="D60" s="19">
        <v>45205</v>
      </c>
      <c r="E60" s="34">
        <v>9</v>
      </c>
      <c r="F60" s="35" t="s">
        <v>154</v>
      </c>
      <c r="G60" s="35" t="s">
        <v>13</v>
      </c>
      <c r="H60" s="36">
        <v>1248.6300000000001</v>
      </c>
      <c r="I60" s="36"/>
      <c r="J60" s="48"/>
      <c r="K60" s="16">
        <f>ROW()</f>
        <v>60</v>
      </c>
    </row>
    <row r="61" spans="3:11" x14ac:dyDescent="0.25">
      <c r="C61" s="16">
        <v>9</v>
      </c>
      <c r="D61" s="21">
        <v>45205</v>
      </c>
      <c r="E61" s="49">
        <v>9</v>
      </c>
      <c r="F61" s="38" t="s">
        <v>154</v>
      </c>
      <c r="G61" s="39" t="s">
        <v>15</v>
      </c>
      <c r="H61" s="40"/>
      <c r="I61" s="40">
        <v>1248.6300000000001</v>
      </c>
      <c r="J61" s="50"/>
      <c r="K61" s="16">
        <f>ROW()</f>
        <v>61</v>
      </c>
    </row>
    <row r="62" spans="3:11" ht="15.75" thickBot="1" x14ac:dyDescent="0.3">
      <c r="C62" s="16">
        <v>9</v>
      </c>
      <c r="D62" s="24">
        <v>45205</v>
      </c>
      <c r="E62" s="56">
        <v>9</v>
      </c>
      <c r="F62" s="57" t="s">
        <v>154</v>
      </c>
      <c r="G62" s="53" t="s">
        <v>155</v>
      </c>
      <c r="H62" s="58"/>
      <c r="I62" s="58"/>
      <c r="J62" s="59"/>
      <c r="K62" s="16">
        <f>ROW()</f>
        <v>62</v>
      </c>
    </row>
    <row r="63" spans="3:11" ht="15.75" thickBot="1" x14ac:dyDescent="0.3">
      <c r="C63" s="16">
        <v>9</v>
      </c>
      <c r="D63" s="22">
        <v>45205</v>
      </c>
      <c r="E63" s="46">
        <v>9</v>
      </c>
      <c r="F63" s="60" t="s">
        <v>154</v>
      </c>
      <c r="K63" s="16">
        <f>ROW()</f>
        <v>63</v>
      </c>
    </row>
    <row r="64" spans="3:11" x14ac:dyDescent="0.25">
      <c r="C64" s="16">
        <v>10</v>
      </c>
      <c r="D64" s="19">
        <v>45205</v>
      </c>
      <c r="E64" s="34">
        <v>10</v>
      </c>
      <c r="F64" s="35" t="s">
        <v>154</v>
      </c>
      <c r="G64" s="35" t="s">
        <v>13</v>
      </c>
      <c r="H64" s="36">
        <v>1228.72</v>
      </c>
      <c r="I64" s="36"/>
      <c r="J64" s="48"/>
      <c r="K64" s="16">
        <f>ROW()</f>
        <v>64</v>
      </c>
    </row>
    <row r="65" spans="3:11" x14ac:dyDescent="0.25">
      <c r="C65" s="16">
        <v>10</v>
      </c>
      <c r="D65" s="21">
        <v>45205</v>
      </c>
      <c r="E65" s="49">
        <v>10</v>
      </c>
      <c r="F65" s="38" t="s">
        <v>154</v>
      </c>
      <c r="G65" s="39" t="s">
        <v>15</v>
      </c>
      <c r="H65" s="40"/>
      <c r="I65" s="40">
        <v>1228.72</v>
      </c>
      <c r="J65" s="50"/>
      <c r="K65" s="16">
        <f>ROW()</f>
        <v>65</v>
      </c>
    </row>
    <row r="66" spans="3:11" ht="15.75" thickBot="1" x14ac:dyDescent="0.3">
      <c r="C66" s="16">
        <v>10</v>
      </c>
      <c r="D66" s="24">
        <v>45205</v>
      </c>
      <c r="E66" s="56">
        <v>10</v>
      </c>
      <c r="F66" s="57" t="s">
        <v>154</v>
      </c>
      <c r="G66" s="53" t="s">
        <v>149</v>
      </c>
      <c r="H66" s="58"/>
      <c r="I66" s="58"/>
      <c r="J66" s="59"/>
      <c r="K66" s="16">
        <f>ROW()</f>
        <v>66</v>
      </c>
    </row>
    <row r="67" spans="3:11" ht="15.75" thickBot="1" x14ac:dyDescent="0.3">
      <c r="C67" s="16">
        <v>10</v>
      </c>
      <c r="F67"/>
      <c r="K67" s="16">
        <v>67</v>
      </c>
    </row>
    <row r="68" spans="3:11" x14ac:dyDescent="0.25">
      <c r="C68" s="16">
        <v>11</v>
      </c>
      <c r="D68" s="19">
        <v>45205</v>
      </c>
      <c r="E68" s="34">
        <v>11</v>
      </c>
      <c r="F68" s="35" t="s">
        <v>156</v>
      </c>
      <c r="G68" s="35" t="s">
        <v>85</v>
      </c>
      <c r="H68" s="36">
        <v>5000</v>
      </c>
      <c r="I68" s="36"/>
      <c r="J68" s="48"/>
      <c r="K68" s="16">
        <f>ROW()</f>
        <v>68</v>
      </c>
    </row>
    <row r="69" spans="3:11" x14ac:dyDescent="0.25">
      <c r="C69" s="16">
        <v>11</v>
      </c>
      <c r="D69" s="21">
        <v>45205</v>
      </c>
      <c r="E69" s="49">
        <v>11</v>
      </c>
      <c r="F69" s="38" t="s">
        <v>156</v>
      </c>
      <c r="G69" s="39" t="s">
        <v>13</v>
      </c>
      <c r="H69" s="40"/>
      <c r="I69" s="40">
        <v>5000</v>
      </c>
      <c r="J69" s="50"/>
      <c r="K69" s="16">
        <f>ROW()</f>
        <v>69</v>
      </c>
    </row>
    <row r="70" spans="3:11" ht="15.75" thickBot="1" x14ac:dyDescent="0.3">
      <c r="C70" s="16">
        <v>11</v>
      </c>
      <c r="D70" s="24">
        <v>45205</v>
      </c>
      <c r="E70" s="56">
        <v>11</v>
      </c>
      <c r="F70" s="57" t="s">
        <v>156</v>
      </c>
      <c r="G70" s="53" t="s">
        <v>157</v>
      </c>
      <c r="H70" s="58"/>
      <c r="I70" s="58"/>
      <c r="J70" s="59"/>
      <c r="K70" s="16">
        <f>ROW()</f>
        <v>70</v>
      </c>
    </row>
    <row r="71" spans="3:11" ht="15.75" thickBot="1" x14ac:dyDescent="0.3">
      <c r="C71" s="16">
        <v>11</v>
      </c>
      <c r="D71" s="22">
        <v>45205</v>
      </c>
      <c r="E71" s="46">
        <v>11</v>
      </c>
      <c r="F71" s="60" t="s">
        <v>156</v>
      </c>
      <c r="K71" s="16">
        <f>ROW()</f>
        <v>71</v>
      </c>
    </row>
    <row r="72" spans="3:11" x14ac:dyDescent="0.25">
      <c r="C72" s="16">
        <v>12</v>
      </c>
      <c r="D72" s="19">
        <v>45205</v>
      </c>
      <c r="E72" s="34">
        <v>12</v>
      </c>
      <c r="F72" s="35"/>
      <c r="G72" s="35" t="s">
        <v>35</v>
      </c>
      <c r="H72" s="36">
        <v>3995.99</v>
      </c>
      <c r="I72" s="36"/>
      <c r="J72" s="48"/>
      <c r="K72" s="16">
        <f>ROW()</f>
        <v>72</v>
      </c>
    </row>
    <row r="73" spans="3:11" x14ac:dyDescent="0.25">
      <c r="C73" s="16">
        <v>12</v>
      </c>
      <c r="D73" s="21">
        <v>45205</v>
      </c>
      <c r="E73" s="49">
        <v>12</v>
      </c>
      <c r="F73" s="38"/>
      <c r="G73" s="39" t="s">
        <v>19</v>
      </c>
      <c r="H73" s="40">
        <v>199.8</v>
      </c>
      <c r="I73" s="40"/>
      <c r="J73" s="50"/>
      <c r="K73" s="16">
        <f>ROW()</f>
        <v>73</v>
      </c>
    </row>
    <row r="74" spans="3:11" x14ac:dyDescent="0.25">
      <c r="C74" s="16">
        <v>12</v>
      </c>
      <c r="D74" s="21">
        <v>45205</v>
      </c>
      <c r="E74" s="49">
        <v>12</v>
      </c>
      <c r="F74" s="38"/>
      <c r="G74" s="39" t="s">
        <v>21</v>
      </c>
      <c r="H74" s="40">
        <v>389.61</v>
      </c>
      <c r="I74" s="40"/>
      <c r="J74" s="50"/>
      <c r="K74" s="16">
        <f>ROW()</f>
        <v>74</v>
      </c>
    </row>
    <row r="75" spans="3:11" x14ac:dyDescent="0.25">
      <c r="C75" s="16">
        <v>12</v>
      </c>
      <c r="D75" s="21">
        <v>45205</v>
      </c>
      <c r="E75" s="49">
        <v>12</v>
      </c>
      <c r="F75" s="38"/>
      <c r="G75" s="39" t="s">
        <v>54</v>
      </c>
      <c r="H75" s="40"/>
      <c r="I75" s="40">
        <v>4585.3999999999996</v>
      </c>
      <c r="J75" s="50"/>
      <c r="K75" s="16">
        <f>ROW()</f>
        <v>75</v>
      </c>
    </row>
    <row r="76" spans="3:11" ht="15.75" thickBot="1" x14ac:dyDescent="0.3">
      <c r="C76" s="16">
        <v>12</v>
      </c>
      <c r="D76" s="24">
        <v>45205</v>
      </c>
      <c r="E76" s="56">
        <v>12</v>
      </c>
      <c r="F76" s="57"/>
      <c r="G76" s="53" t="s">
        <v>159</v>
      </c>
      <c r="H76" s="58"/>
      <c r="I76" s="58"/>
      <c r="J76" s="59"/>
      <c r="K76" s="16">
        <f>ROW()</f>
        <v>76</v>
      </c>
    </row>
    <row r="77" spans="3:11" ht="15.75" thickBot="1" x14ac:dyDescent="0.3">
      <c r="C77" s="16">
        <v>12</v>
      </c>
      <c r="D77" s="22">
        <v>45205</v>
      </c>
      <c r="E77" s="46">
        <v>12</v>
      </c>
      <c r="F77" s="60"/>
      <c r="K77" s="16">
        <f>ROW()</f>
        <v>77</v>
      </c>
    </row>
    <row r="78" spans="3:11" x14ac:dyDescent="0.25">
      <c r="C78" s="16">
        <v>13</v>
      </c>
      <c r="D78" s="19">
        <v>45205</v>
      </c>
      <c r="E78" s="34">
        <v>13</v>
      </c>
      <c r="F78" s="35" t="s">
        <v>158</v>
      </c>
      <c r="G78" s="35" t="s">
        <v>107</v>
      </c>
      <c r="H78" s="36">
        <v>120</v>
      </c>
      <c r="I78" s="36"/>
      <c r="J78" s="48"/>
      <c r="K78" s="16">
        <f>ROW()</f>
        <v>78</v>
      </c>
    </row>
    <row r="79" spans="3:11" x14ac:dyDescent="0.25">
      <c r="C79" s="16">
        <v>13</v>
      </c>
      <c r="D79" s="21">
        <v>45205</v>
      </c>
      <c r="E79" s="49">
        <v>13</v>
      </c>
      <c r="F79" s="38" t="s">
        <v>158</v>
      </c>
      <c r="G79" s="39" t="s">
        <v>19</v>
      </c>
      <c r="H79" s="40">
        <v>5</v>
      </c>
      <c r="I79" s="40"/>
      <c r="J79" s="50"/>
      <c r="K79" s="16">
        <f>ROW()</f>
        <v>79</v>
      </c>
    </row>
    <row r="80" spans="3:11" x14ac:dyDescent="0.25">
      <c r="C80" s="16">
        <v>13</v>
      </c>
      <c r="D80" s="21">
        <v>45205</v>
      </c>
      <c r="E80" s="49">
        <v>13</v>
      </c>
      <c r="F80" s="38" t="s">
        <v>158</v>
      </c>
      <c r="G80" s="39" t="s">
        <v>21</v>
      </c>
      <c r="H80" s="40">
        <v>9.75</v>
      </c>
      <c r="I80" s="40"/>
      <c r="J80" s="50"/>
      <c r="K80" s="16">
        <f>ROW()</f>
        <v>80</v>
      </c>
    </row>
    <row r="81" spans="3:11" x14ac:dyDescent="0.25">
      <c r="C81" s="16">
        <v>13</v>
      </c>
      <c r="D81" s="21">
        <v>45205</v>
      </c>
      <c r="E81" s="49">
        <v>13</v>
      </c>
      <c r="F81" s="38" t="s">
        <v>158</v>
      </c>
      <c r="G81" s="39" t="s">
        <v>54</v>
      </c>
      <c r="H81" s="40"/>
      <c r="I81" s="40">
        <v>134.75</v>
      </c>
      <c r="J81" s="50"/>
      <c r="K81" s="16">
        <f>ROW()</f>
        <v>81</v>
      </c>
    </row>
    <row r="82" spans="3:11" ht="15.75" thickBot="1" x14ac:dyDescent="0.3">
      <c r="C82" s="16">
        <v>13</v>
      </c>
      <c r="D82" s="24">
        <v>45205</v>
      </c>
      <c r="E82" s="56">
        <v>13</v>
      </c>
      <c r="F82" s="57" t="s">
        <v>158</v>
      </c>
      <c r="G82" s="53" t="s">
        <v>160</v>
      </c>
      <c r="H82" s="58"/>
      <c r="I82" s="58"/>
      <c r="J82" s="59"/>
      <c r="K82" s="16">
        <f>ROW()</f>
        <v>82</v>
      </c>
    </row>
    <row r="83" spans="3:11" ht="15.75" thickBot="1" x14ac:dyDescent="0.3">
      <c r="C83" s="16">
        <v>13</v>
      </c>
      <c r="D83" s="22">
        <v>45205</v>
      </c>
      <c r="E83" s="46">
        <v>13</v>
      </c>
      <c r="F83" s="60" t="s">
        <v>158</v>
      </c>
      <c r="K83" s="16">
        <f>ROW()</f>
        <v>83</v>
      </c>
    </row>
    <row r="84" spans="3:11" x14ac:dyDescent="0.25">
      <c r="C84" s="16">
        <v>14</v>
      </c>
      <c r="D84" s="19">
        <v>45204</v>
      </c>
      <c r="E84" s="34">
        <v>14</v>
      </c>
      <c r="F84" s="35" t="s">
        <v>161</v>
      </c>
      <c r="G84" s="35" t="s">
        <v>15</v>
      </c>
      <c r="H84" s="36">
        <v>1034.9100000000001</v>
      </c>
      <c r="I84" s="36"/>
      <c r="J84" s="48"/>
      <c r="K84" s="16">
        <f>ROW()</f>
        <v>84</v>
      </c>
    </row>
    <row r="85" spans="3:11" x14ac:dyDescent="0.25">
      <c r="C85" s="16">
        <v>14</v>
      </c>
      <c r="D85" s="21">
        <v>45204</v>
      </c>
      <c r="E85" s="49">
        <v>14</v>
      </c>
      <c r="F85" s="38" t="s">
        <v>161</v>
      </c>
      <c r="G85" s="39" t="s">
        <v>88</v>
      </c>
      <c r="H85" s="40"/>
      <c r="I85" s="40">
        <v>3062.5</v>
      </c>
      <c r="J85" s="50"/>
      <c r="K85" s="16">
        <f>ROW()</f>
        <v>85</v>
      </c>
    </row>
    <row r="86" spans="3:11" x14ac:dyDescent="0.25">
      <c r="C86" s="16">
        <v>14</v>
      </c>
      <c r="D86" s="21">
        <v>45204</v>
      </c>
      <c r="E86" s="49">
        <v>14</v>
      </c>
      <c r="F86" s="38" t="s">
        <v>161</v>
      </c>
      <c r="G86" s="39" t="s">
        <v>23</v>
      </c>
      <c r="H86" s="40"/>
      <c r="I86" s="40">
        <v>153.72999999999999</v>
      </c>
      <c r="J86" s="50"/>
      <c r="K86" s="16">
        <f>ROW()</f>
        <v>86</v>
      </c>
    </row>
    <row r="87" spans="3:11" x14ac:dyDescent="0.25">
      <c r="C87" s="16">
        <v>14</v>
      </c>
      <c r="D87" s="21">
        <v>45204</v>
      </c>
      <c r="E87" s="49">
        <v>14</v>
      </c>
      <c r="F87" s="38" t="s">
        <v>161</v>
      </c>
      <c r="G87" s="39" t="s">
        <v>25</v>
      </c>
      <c r="H87" s="40"/>
      <c r="I87" s="40">
        <v>306.68</v>
      </c>
      <c r="J87" s="50"/>
      <c r="K87" s="16">
        <f>ROW()</f>
        <v>87</v>
      </c>
    </row>
    <row r="88" spans="3:11" x14ac:dyDescent="0.25">
      <c r="C88" s="16">
        <v>14</v>
      </c>
      <c r="D88" s="21">
        <v>45204</v>
      </c>
      <c r="E88" s="49">
        <v>14</v>
      </c>
      <c r="F88" s="38" t="s">
        <v>161</v>
      </c>
      <c r="G88" s="39" t="s">
        <v>121</v>
      </c>
      <c r="H88" s="40"/>
      <c r="I88" s="40">
        <v>3</v>
      </c>
      <c r="J88" s="50"/>
      <c r="K88" s="16">
        <f>ROW()</f>
        <v>88</v>
      </c>
    </row>
    <row r="89" spans="3:11" x14ac:dyDescent="0.25">
      <c r="C89" s="16">
        <v>14</v>
      </c>
      <c r="D89" s="21">
        <v>45204</v>
      </c>
      <c r="E89" s="49">
        <v>14</v>
      </c>
      <c r="F89" s="38" t="s">
        <v>161</v>
      </c>
      <c r="G89" s="39" t="s">
        <v>119</v>
      </c>
      <c r="H89" s="40"/>
      <c r="I89" s="40">
        <v>4</v>
      </c>
      <c r="J89" s="50"/>
      <c r="K89" s="16">
        <f>ROW()</f>
        <v>89</v>
      </c>
    </row>
    <row r="90" spans="3:11" x14ac:dyDescent="0.25">
      <c r="C90" s="16">
        <v>14</v>
      </c>
      <c r="D90" s="21">
        <v>45204</v>
      </c>
      <c r="E90" s="49">
        <v>14</v>
      </c>
      <c r="F90" s="38" t="s">
        <v>161</v>
      </c>
      <c r="G90" s="39" t="s">
        <v>127</v>
      </c>
      <c r="H90" s="40"/>
      <c r="I90" s="40">
        <v>5</v>
      </c>
      <c r="J90" s="50"/>
      <c r="K90" s="16">
        <f>ROW()</f>
        <v>90</v>
      </c>
    </row>
    <row r="91" spans="3:11" x14ac:dyDescent="0.25">
      <c r="C91" s="16">
        <v>14</v>
      </c>
      <c r="D91" s="21">
        <v>45204</v>
      </c>
      <c r="E91" s="49">
        <v>14</v>
      </c>
      <c r="F91" s="38" t="s">
        <v>161</v>
      </c>
      <c r="G91" s="39" t="s">
        <v>33</v>
      </c>
      <c r="H91" s="40">
        <v>2500</v>
      </c>
      <c r="I91" s="40"/>
      <c r="J91" s="50"/>
      <c r="K91" s="16">
        <f>ROW()</f>
        <v>91</v>
      </c>
    </row>
    <row r="92" spans="3:11" ht="15.75" thickBot="1" x14ac:dyDescent="0.3">
      <c r="C92" s="16">
        <v>14</v>
      </c>
      <c r="D92" s="24">
        <v>45204</v>
      </c>
      <c r="E92" s="56">
        <v>14</v>
      </c>
      <c r="F92" s="57" t="s">
        <v>161</v>
      </c>
      <c r="G92" s="53" t="s">
        <v>149</v>
      </c>
      <c r="H92" s="58"/>
      <c r="I92" s="58"/>
      <c r="J92" s="59"/>
      <c r="K92" s="16">
        <f>ROW()</f>
        <v>92</v>
      </c>
    </row>
    <row r="93" spans="3:11" ht="15.75" thickBot="1" x14ac:dyDescent="0.3">
      <c r="C93" s="16">
        <v>14</v>
      </c>
      <c r="D93" s="22">
        <v>45204</v>
      </c>
      <c r="E93" s="46">
        <v>14</v>
      </c>
      <c r="F93" s="60" t="s">
        <v>161</v>
      </c>
      <c r="K93" s="16">
        <f>ROW()</f>
        <v>93</v>
      </c>
    </row>
    <row r="94" spans="3:11" x14ac:dyDescent="0.25">
      <c r="C94" s="16">
        <v>15</v>
      </c>
      <c r="D94" s="19">
        <v>45203</v>
      </c>
      <c r="E94" s="34">
        <v>15</v>
      </c>
      <c r="F94" s="35" t="s">
        <v>162</v>
      </c>
      <c r="G94" s="35" t="s">
        <v>15</v>
      </c>
      <c r="H94" s="36">
        <v>980.31</v>
      </c>
      <c r="I94" s="36"/>
      <c r="J94" s="48"/>
      <c r="K94" s="16">
        <f>ROW()</f>
        <v>94</v>
      </c>
    </row>
    <row r="95" spans="3:11" x14ac:dyDescent="0.25">
      <c r="C95" s="16">
        <v>15</v>
      </c>
      <c r="D95" s="21">
        <v>45203</v>
      </c>
      <c r="E95" s="49">
        <v>15</v>
      </c>
      <c r="F95" s="38" t="s">
        <v>162</v>
      </c>
      <c r="G95" s="39" t="s">
        <v>88</v>
      </c>
      <c r="H95" s="40"/>
      <c r="I95" s="40">
        <v>1137.5</v>
      </c>
      <c r="J95" s="50"/>
      <c r="K95" s="16">
        <f>ROW()</f>
        <v>95</v>
      </c>
    </row>
    <row r="96" spans="3:11" x14ac:dyDescent="0.25">
      <c r="C96" s="16">
        <v>15</v>
      </c>
      <c r="D96" s="21">
        <v>45203</v>
      </c>
      <c r="E96" s="49">
        <v>15</v>
      </c>
      <c r="F96" s="38" t="s">
        <v>162</v>
      </c>
      <c r="G96" s="39" t="s">
        <v>23</v>
      </c>
      <c r="H96" s="40"/>
      <c r="I96" s="40">
        <v>64.38</v>
      </c>
      <c r="J96" s="50"/>
      <c r="K96" s="16">
        <f>ROW()</f>
        <v>96</v>
      </c>
    </row>
    <row r="97" spans="3:11" x14ac:dyDescent="0.25">
      <c r="C97" s="16">
        <v>15</v>
      </c>
      <c r="D97" s="21">
        <v>45203</v>
      </c>
      <c r="E97" s="49">
        <v>15</v>
      </c>
      <c r="F97" s="38" t="s">
        <v>162</v>
      </c>
      <c r="G97" s="39" t="s">
        <v>25</v>
      </c>
      <c r="H97" s="40"/>
      <c r="I97" s="40">
        <v>128.43</v>
      </c>
      <c r="J97" s="50"/>
      <c r="K97" s="16">
        <f>ROW()</f>
        <v>97</v>
      </c>
    </row>
    <row r="98" spans="3:11" x14ac:dyDescent="0.25">
      <c r="C98" s="16">
        <v>15</v>
      </c>
      <c r="D98" s="21">
        <v>45203</v>
      </c>
      <c r="E98" s="49">
        <v>15</v>
      </c>
      <c r="F98" s="38" t="s">
        <v>162</v>
      </c>
      <c r="G98" s="39" t="s">
        <v>121</v>
      </c>
      <c r="H98" s="40"/>
      <c r="I98" s="40">
        <v>25</v>
      </c>
      <c r="J98" s="50"/>
      <c r="K98" s="16">
        <f>ROW()</f>
        <v>98</v>
      </c>
    </row>
    <row r="99" spans="3:11" x14ac:dyDescent="0.25">
      <c r="C99" s="16">
        <v>15</v>
      </c>
      <c r="D99" s="21">
        <v>45203</v>
      </c>
      <c r="E99" s="49">
        <v>15</v>
      </c>
      <c r="F99" s="38" t="s">
        <v>162</v>
      </c>
      <c r="G99" s="39" t="s">
        <v>119</v>
      </c>
      <c r="H99" s="40"/>
      <c r="I99" s="40">
        <v>50</v>
      </c>
      <c r="J99" s="50"/>
      <c r="K99" s="16">
        <f>ROW()</f>
        <v>99</v>
      </c>
    </row>
    <row r="100" spans="3:11" x14ac:dyDescent="0.25">
      <c r="C100" s="16">
        <v>15</v>
      </c>
      <c r="D100" s="21">
        <v>45203</v>
      </c>
      <c r="E100" s="49">
        <v>15</v>
      </c>
      <c r="F100" s="38" t="s">
        <v>162</v>
      </c>
      <c r="G100" s="39" t="s">
        <v>127</v>
      </c>
      <c r="H100" s="40"/>
      <c r="I100" s="40">
        <v>75</v>
      </c>
      <c r="J100" s="50"/>
      <c r="K100" s="16">
        <f>ROW()</f>
        <v>100</v>
      </c>
    </row>
    <row r="101" spans="3:11" x14ac:dyDescent="0.25">
      <c r="C101" s="16">
        <v>15</v>
      </c>
      <c r="D101" s="21">
        <v>45203</v>
      </c>
      <c r="E101" s="49">
        <v>15</v>
      </c>
      <c r="F101" s="38" t="s">
        <v>162</v>
      </c>
      <c r="G101" s="39" t="s">
        <v>33</v>
      </c>
      <c r="H101" s="40">
        <v>500</v>
      </c>
      <c r="I101" s="40"/>
      <c r="J101" s="50" t="s">
        <v>163</v>
      </c>
      <c r="K101" s="16">
        <f>ROW()</f>
        <v>101</v>
      </c>
    </row>
    <row r="102" spans="3:11" ht="15.75" thickBot="1" x14ac:dyDescent="0.3">
      <c r="C102" s="16">
        <v>15</v>
      </c>
      <c r="D102" s="24">
        <v>45203</v>
      </c>
      <c r="E102" s="56">
        <v>15</v>
      </c>
      <c r="F102" s="57" t="s">
        <v>162</v>
      </c>
      <c r="G102" s="53" t="s">
        <v>149</v>
      </c>
      <c r="H102" s="58"/>
      <c r="I102" s="58"/>
      <c r="J102" s="59"/>
      <c r="K102" s="16">
        <f>ROW()</f>
        <v>102</v>
      </c>
    </row>
    <row r="103" spans="3:11" ht="15.75" thickBot="1" x14ac:dyDescent="0.3">
      <c r="C103" s="16">
        <v>15</v>
      </c>
      <c r="D103" s="22">
        <v>45203</v>
      </c>
      <c r="E103" s="46">
        <v>15</v>
      </c>
      <c r="F103" s="60" t="s">
        <v>162</v>
      </c>
      <c r="K103" s="16">
        <f>ROW()</f>
        <v>103</v>
      </c>
    </row>
    <row r="104" spans="3:11" x14ac:dyDescent="0.25">
      <c r="C104" s="16">
        <v>16</v>
      </c>
      <c r="D104" s="19">
        <v>45205</v>
      </c>
      <c r="E104" s="34">
        <v>16</v>
      </c>
      <c r="F104" s="35" t="s">
        <v>154</v>
      </c>
      <c r="G104" s="35" t="s">
        <v>13</v>
      </c>
      <c r="H104" s="36">
        <v>1034.9100000000001</v>
      </c>
      <c r="I104" s="36"/>
      <c r="J104" s="48"/>
      <c r="K104" s="16">
        <f>ROW()</f>
        <v>104</v>
      </c>
    </row>
    <row r="105" spans="3:11" x14ac:dyDescent="0.25">
      <c r="C105" s="16">
        <v>16</v>
      </c>
      <c r="D105" s="21">
        <v>45205</v>
      </c>
      <c r="E105" s="49">
        <v>16</v>
      </c>
      <c r="F105" s="38" t="s">
        <v>154</v>
      </c>
      <c r="G105" s="39" t="s">
        <v>15</v>
      </c>
      <c r="H105" s="40"/>
      <c r="I105" s="40">
        <v>1034.9100000000001</v>
      </c>
      <c r="J105" s="50"/>
      <c r="K105" s="16">
        <f>ROW()</f>
        <v>105</v>
      </c>
    </row>
    <row r="106" spans="3:11" ht="15.75" thickBot="1" x14ac:dyDescent="0.3">
      <c r="C106" s="16">
        <v>16</v>
      </c>
      <c r="D106" s="24">
        <v>45205</v>
      </c>
      <c r="E106" s="56">
        <v>16</v>
      </c>
      <c r="F106" s="57" t="s">
        <v>154</v>
      </c>
      <c r="G106" s="53" t="s">
        <v>149</v>
      </c>
      <c r="H106" s="58"/>
      <c r="I106" s="58"/>
      <c r="J106" s="59"/>
      <c r="K106" s="16">
        <f>ROW()</f>
        <v>106</v>
      </c>
    </row>
    <row r="107" spans="3:11" ht="15.75" thickBot="1" x14ac:dyDescent="0.3">
      <c r="C107" s="16">
        <v>16</v>
      </c>
      <c r="D107" s="22">
        <v>45205</v>
      </c>
      <c r="E107" s="46">
        <v>16</v>
      </c>
      <c r="F107" s="60" t="s">
        <v>154</v>
      </c>
      <c r="K107" s="16">
        <f>ROW()</f>
        <v>107</v>
      </c>
    </row>
    <row r="108" spans="3:11" x14ac:dyDescent="0.25">
      <c r="C108" s="16">
        <v>17</v>
      </c>
      <c r="D108" s="19">
        <v>45205</v>
      </c>
      <c r="E108" s="34">
        <v>17</v>
      </c>
      <c r="F108" s="35" t="s">
        <v>154</v>
      </c>
      <c r="G108" s="35" t="s">
        <v>13</v>
      </c>
      <c r="H108" s="36">
        <v>980.31</v>
      </c>
      <c r="I108" s="36"/>
      <c r="J108" s="48" t="s">
        <v>164</v>
      </c>
      <c r="K108" s="16">
        <f>ROW()</f>
        <v>108</v>
      </c>
    </row>
    <row r="109" spans="3:11" x14ac:dyDescent="0.25">
      <c r="C109" s="16">
        <v>17</v>
      </c>
      <c r="D109" s="21">
        <v>45205</v>
      </c>
      <c r="E109" s="49">
        <v>17</v>
      </c>
      <c r="F109" s="38" t="s">
        <v>154</v>
      </c>
      <c r="G109" s="39" t="s">
        <v>15</v>
      </c>
      <c r="H109" s="40"/>
      <c r="I109" s="40">
        <v>980.31</v>
      </c>
      <c r="J109" s="50" t="s">
        <v>165</v>
      </c>
      <c r="K109" s="16">
        <f>ROW()</f>
        <v>109</v>
      </c>
    </row>
    <row r="110" spans="3:11" ht="15.75" thickBot="1" x14ac:dyDescent="0.3">
      <c r="C110" s="16">
        <v>17</v>
      </c>
      <c r="D110" s="24">
        <v>45205</v>
      </c>
      <c r="E110" s="56">
        <v>17</v>
      </c>
      <c r="F110" s="57" t="s">
        <v>154</v>
      </c>
      <c r="G110" s="53" t="s">
        <v>149</v>
      </c>
      <c r="H110" s="58"/>
      <c r="I110" s="58"/>
      <c r="J110" s="59"/>
      <c r="K110" s="16">
        <f>ROW()</f>
        <v>110</v>
      </c>
    </row>
    <row r="111" spans="3:11" ht="15.75" thickBot="1" x14ac:dyDescent="0.3">
      <c r="C111" s="16">
        <v>17</v>
      </c>
      <c r="D111" s="22">
        <v>45205</v>
      </c>
      <c r="E111" s="46">
        <v>17</v>
      </c>
      <c r="F111" s="60" t="s">
        <v>154</v>
      </c>
      <c r="K111" s="16">
        <f>ROW()</f>
        <v>111</v>
      </c>
    </row>
    <row r="112" spans="3:11" x14ac:dyDescent="0.25">
      <c r="C112" s="16">
        <v>18</v>
      </c>
      <c r="D112" s="19">
        <v>44927</v>
      </c>
      <c r="E112" s="34">
        <v>18</v>
      </c>
      <c r="F112" s="82" t="s">
        <v>166</v>
      </c>
      <c r="G112" s="35" t="s">
        <v>15</v>
      </c>
      <c r="H112" s="36">
        <v>3923.53</v>
      </c>
      <c r="I112" s="36"/>
      <c r="J112" s="48"/>
      <c r="K112" s="16">
        <f>ROW()</f>
        <v>112</v>
      </c>
    </row>
    <row r="113" spans="3:11" x14ac:dyDescent="0.25">
      <c r="C113" s="16">
        <v>18</v>
      </c>
      <c r="D113" s="21">
        <v>44927</v>
      </c>
      <c r="E113" s="49">
        <v>18</v>
      </c>
      <c r="F113" s="83" t="s">
        <v>166</v>
      </c>
      <c r="G113" s="39" t="s">
        <v>88</v>
      </c>
      <c r="H113" s="40"/>
      <c r="I113" s="40">
        <v>3412.5</v>
      </c>
      <c r="J113" s="50"/>
      <c r="K113" s="16">
        <f>ROW()</f>
        <v>113</v>
      </c>
    </row>
    <row r="114" spans="3:11" x14ac:dyDescent="0.25">
      <c r="C114" s="16">
        <v>18</v>
      </c>
      <c r="D114" s="21">
        <v>44927</v>
      </c>
      <c r="E114" s="49">
        <v>18</v>
      </c>
      <c r="F114" s="83" t="s">
        <v>166</v>
      </c>
      <c r="G114" s="39" t="s">
        <v>19</v>
      </c>
      <c r="H114" s="40"/>
      <c r="I114" s="40">
        <v>170.63</v>
      </c>
      <c r="J114" s="50"/>
      <c r="K114" s="16">
        <f>ROW()</f>
        <v>114</v>
      </c>
    </row>
    <row r="115" spans="3:11" x14ac:dyDescent="0.25">
      <c r="C115" s="16">
        <v>18</v>
      </c>
      <c r="D115" s="21">
        <v>44927</v>
      </c>
      <c r="E115" s="49">
        <v>18</v>
      </c>
      <c r="F115" s="83" t="s">
        <v>166</v>
      </c>
      <c r="G115" s="39" t="s">
        <v>21</v>
      </c>
      <c r="H115" s="40"/>
      <c r="I115" s="40">
        <v>340.4</v>
      </c>
      <c r="J115" s="50"/>
      <c r="K115" s="16">
        <f>ROW()</f>
        <v>115</v>
      </c>
    </row>
    <row r="116" spans="3:11" ht="15.75" thickBot="1" x14ac:dyDescent="0.3">
      <c r="C116" s="16">
        <v>18</v>
      </c>
      <c r="D116" s="24">
        <v>44927</v>
      </c>
      <c r="E116" s="56">
        <v>18</v>
      </c>
      <c r="F116" s="84" t="s">
        <v>166</v>
      </c>
      <c r="G116" s="53" t="s">
        <v>167</v>
      </c>
      <c r="H116" s="58"/>
      <c r="I116" s="58"/>
      <c r="J116" s="59"/>
      <c r="K116" s="16">
        <f>ROW()</f>
        <v>116</v>
      </c>
    </row>
    <row r="117" spans="3:11" ht="15.75" thickBot="1" x14ac:dyDescent="0.3">
      <c r="C117" s="16">
        <v>18</v>
      </c>
      <c r="D117" s="22">
        <v>44927</v>
      </c>
      <c r="E117" s="46">
        <v>18</v>
      </c>
      <c r="F117" s="85" t="s">
        <v>166</v>
      </c>
      <c r="K117" s="16">
        <f>ROW()</f>
        <v>117</v>
      </c>
    </row>
    <row r="118" spans="3:11" x14ac:dyDescent="0.25">
      <c r="C118" s="16">
        <v>19</v>
      </c>
      <c r="D118" s="19">
        <v>45205</v>
      </c>
      <c r="E118" s="34">
        <v>19</v>
      </c>
      <c r="F118" s="93" t="s">
        <v>154</v>
      </c>
      <c r="G118" s="35" t="s">
        <v>13</v>
      </c>
      <c r="H118" s="36">
        <v>3923.53</v>
      </c>
      <c r="I118" s="36"/>
      <c r="J118" s="48"/>
      <c r="K118" s="16">
        <f>ROW()</f>
        <v>118</v>
      </c>
    </row>
    <row r="119" spans="3:11" x14ac:dyDescent="0.25">
      <c r="C119" s="16">
        <v>19</v>
      </c>
      <c r="D119" s="21">
        <v>45205</v>
      </c>
      <c r="E119" s="49">
        <v>19</v>
      </c>
      <c r="F119" s="83" t="s">
        <v>154</v>
      </c>
      <c r="G119" s="39" t="s">
        <v>15</v>
      </c>
      <c r="H119" s="40"/>
      <c r="I119" s="40">
        <v>3923.53</v>
      </c>
      <c r="J119" s="50"/>
      <c r="K119" s="16">
        <f>ROW()</f>
        <v>119</v>
      </c>
    </row>
    <row r="120" spans="3:11" ht="15.75" thickBot="1" x14ac:dyDescent="0.3">
      <c r="C120" s="16">
        <v>19</v>
      </c>
      <c r="D120" s="24">
        <v>45205</v>
      </c>
      <c r="E120" s="56">
        <v>19</v>
      </c>
      <c r="F120" s="84" t="s">
        <v>154</v>
      </c>
      <c r="G120" s="53" t="s">
        <v>167</v>
      </c>
      <c r="H120" s="58"/>
      <c r="I120" s="58"/>
      <c r="J120" s="59"/>
      <c r="K120" s="16">
        <f>ROW()</f>
        <v>120</v>
      </c>
    </row>
    <row r="121" spans="3:11" ht="15.75" thickBot="1" x14ac:dyDescent="0.3">
      <c r="C121" s="16">
        <v>19</v>
      </c>
      <c r="D121" s="22">
        <v>45205</v>
      </c>
      <c r="E121" s="46">
        <v>19</v>
      </c>
      <c r="F121" s="85" t="s">
        <v>154</v>
      </c>
      <c r="K121" s="16">
        <f>ROW()</f>
        <v>121</v>
      </c>
    </row>
    <row r="122" spans="3:11" x14ac:dyDescent="0.25">
      <c r="C122" s="16">
        <v>20</v>
      </c>
      <c r="D122" s="94">
        <v>45212</v>
      </c>
      <c r="E122" s="95">
        <v>20</v>
      </c>
      <c r="F122" s="96" t="s">
        <v>156</v>
      </c>
      <c r="G122" s="97" t="s">
        <v>85</v>
      </c>
      <c r="H122" s="98">
        <v>5000</v>
      </c>
      <c r="I122" s="98"/>
      <c r="J122" s="99"/>
      <c r="K122" s="16">
        <f>ROW()</f>
        <v>122</v>
      </c>
    </row>
    <row r="123" spans="3:11" x14ac:dyDescent="0.25">
      <c r="C123" s="16">
        <v>20</v>
      </c>
      <c r="D123" s="100">
        <v>45212</v>
      </c>
      <c r="E123" s="101">
        <v>20</v>
      </c>
      <c r="F123" s="102" t="s">
        <v>156</v>
      </c>
      <c r="G123" s="103" t="s">
        <v>13</v>
      </c>
      <c r="H123" s="104"/>
      <c r="I123" s="104">
        <v>5000</v>
      </c>
      <c r="J123" s="105"/>
      <c r="K123" s="16">
        <f>ROW()</f>
        <v>123</v>
      </c>
    </row>
    <row r="124" spans="3:11" ht="15.75" thickBot="1" x14ac:dyDescent="0.3">
      <c r="C124" s="16">
        <v>20</v>
      </c>
      <c r="D124" s="106">
        <v>45212</v>
      </c>
      <c r="E124" s="107">
        <v>20</v>
      </c>
      <c r="F124" s="108" t="s">
        <v>156</v>
      </c>
      <c r="G124" s="53" t="s">
        <v>157</v>
      </c>
      <c r="H124" s="58"/>
      <c r="I124" s="58"/>
      <c r="J124" s="59"/>
      <c r="K124" s="16">
        <f>ROW()</f>
        <v>124</v>
      </c>
    </row>
    <row r="125" spans="3:11" ht="15.75" thickBot="1" x14ac:dyDescent="0.3">
      <c r="C125" s="16">
        <v>20</v>
      </c>
      <c r="D125" s="22">
        <v>45212</v>
      </c>
      <c r="E125" s="46">
        <v>20</v>
      </c>
      <c r="F125" s="85" t="s">
        <v>156</v>
      </c>
      <c r="K125" s="16">
        <f>ROW()</f>
        <v>125</v>
      </c>
    </row>
    <row r="126" spans="3:11" x14ac:dyDescent="0.25">
      <c r="C126" s="16">
        <v>21</v>
      </c>
      <c r="D126" s="94">
        <v>45219</v>
      </c>
      <c r="E126" s="95">
        <v>21</v>
      </c>
      <c r="F126" s="96" t="s">
        <v>156</v>
      </c>
      <c r="G126" s="97" t="s">
        <v>85</v>
      </c>
      <c r="H126" s="98">
        <v>5000</v>
      </c>
      <c r="I126" s="98"/>
      <c r="J126" s="99"/>
      <c r="K126" s="16">
        <f>ROW()</f>
        <v>126</v>
      </c>
    </row>
    <row r="127" spans="3:11" x14ac:dyDescent="0.25">
      <c r="C127" s="16">
        <v>21</v>
      </c>
      <c r="D127" s="100">
        <v>45219</v>
      </c>
      <c r="E127" s="101">
        <v>21</v>
      </c>
      <c r="F127" s="102" t="s">
        <v>156</v>
      </c>
      <c r="G127" s="103" t="s">
        <v>13</v>
      </c>
      <c r="H127" s="104"/>
      <c r="I127" s="104">
        <v>5000</v>
      </c>
      <c r="J127" s="105"/>
      <c r="K127" s="16">
        <f>ROW()</f>
        <v>127</v>
      </c>
    </row>
    <row r="128" spans="3:11" ht="15.75" thickBot="1" x14ac:dyDescent="0.3">
      <c r="C128" s="16">
        <v>21</v>
      </c>
      <c r="D128" s="106">
        <v>45219</v>
      </c>
      <c r="E128" s="107">
        <v>21</v>
      </c>
      <c r="F128" s="108" t="s">
        <v>156</v>
      </c>
      <c r="G128" s="53" t="s">
        <v>168</v>
      </c>
      <c r="H128" s="58"/>
      <c r="I128" s="58"/>
      <c r="J128" s="59"/>
      <c r="K128" s="16">
        <f>ROW()</f>
        <v>128</v>
      </c>
    </row>
    <row r="129" spans="3:11" ht="15.75" thickBot="1" x14ac:dyDescent="0.3">
      <c r="C129" s="16">
        <v>21</v>
      </c>
      <c r="D129" s="22">
        <v>45219</v>
      </c>
      <c r="E129" s="46">
        <v>21</v>
      </c>
      <c r="F129" s="85" t="s">
        <v>156</v>
      </c>
      <c r="K129" s="16">
        <f>ROW()</f>
        <v>129</v>
      </c>
    </row>
    <row r="130" spans="3:11" x14ac:dyDescent="0.25">
      <c r="C130" s="16">
        <v>22</v>
      </c>
      <c r="D130" s="19">
        <v>45230</v>
      </c>
      <c r="E130" s="34">
        <v>22</v>
      </c>
      <c r="F130" s="93" t="s">
        <v>169</v>
      </c>
      <c r="G130" s="35" t="s">
        <v>127</v>
      </c>
      <c r="H130" s="36">
        <v>25.99</v>
      </c>
      <c r="I130" s="36"/>
      <c r="J130" s="48" t="s">
        <v>171</v>
      </c>
      <c r="K130" s="16">
        <f>ROW()</f>
        <v>130</v>
      </c>
    </row>
    <row r="131" spans="3:11" x14ac:dyDescent="0.25">
      <c r="C131" s="16">
        <v>22</v>
      </c>
      <c r="D131" s="21">
        <v>45230</v>
      </c>
      <c r="E131" s="49">
        <v>22</v>
      </c>
      <c r="F131" s="83" t="s">
        <v>169</v>
      </c>
      <c r="G131" s="39" t="s">
        <v>13</v>
      </c>
      <c r="H131" s="40"/>
      <c r="I131" s="40">
        <v>25.99</v>
      </c>
      <c r="J131" s="50"/>
      <c r="K131" s="16">
        <f>ROW()</f>
        <v>131</v>
      </c>
    </row>
    <row r="132" spans="3:11" ht="15.75" thickBot="1" x14ac:dyDescent="0.3">
      <c r="C132" s="16">
        <v>22</v>
      </c>
      <c r="D132" s="24">
        <v>45230</v>
      </c>
      <c r="E132" s="56">
        <v>22</v>
      </c>
      <c r="F132" s="84" t="s">
        <v>169</v>
      </c>
      <c r="G132" s="53" t="s">
        <v>170</v>
      </c>
      <c r="H132" s="58"/>
      <c r="I132" s="58"/>
      <c r="J132" s="59"/>
      <c r="K132" s="16">
        <f>ROW()</f>
        <v>132</v>
      </c>
    </row>
    <row r="133" spans="3:11" ht="15.75" thickBot="1" x14ac:dyDescent="0.3">
      <c r="C133" s="16">
        <v>22</v>
      </c>
      <c r="D133" s="22">
        <v>45230</v>
      </c>
      <c r="E133" s="46">
        <v>22</v>
      </c>
      <c r="F133" s="85" t="s">
        <v>169</v>
      </c>
      <c r="K133" s="16">
        <f>ROW()</f>
        <v>133</v>
      </c>
    </row>
    <row r="134" spans="3:11" x14ac:dyDescent="0.25">
      <c r="C134" s="16">
        <v>23</v>
      </c>
      <c r="D134" s="136">
        <v>45206</v>
      </c>
      <c r="E134" s="137">
        <v>23</v>
      </c>
      <c r="F134" s="138" t="s">
        <v>172</v>
      </c>
      <c r="G134" s="97" t="s">
        <v>13</v>
      </c>
      <c r="H134" s="98">
        <v>159.94999999999999</v>
      </c>
      <c r="I134" s="98"/>
      <c r="J134" s="99"/>
      <c r="K134" s="16">
        <f>ROW()</f>
        <v>134</v>
      </c>
    </row>
    <row r="135" spans="3:11" x14ac:dyDescent="0.25">
      <c r="C135" s="16">
        <v>23</v>
      </c>
      <c r="D135" s="130">
        <v>45206</v>
      </c>
      <c r="E135" s="131">
        <v>23</v>
      </c>
      <c r="F135" s="132" t="s">
        <v>172</v>
      </c>
      <c r="G135" s="103" t="s">
        <v>15</v>
      </c>
      <c r="H135" s="104"/>
      <c r="I135" s="104">
        <v>149.94999999999999</v>
      </c>
      <c r="J135" s="105"/>
      <c r="K135" s="16">
        <f>ROW()</f>
        <v>135</v>
      </c>
    </row>
    <row r="136" spans="3:11" x14ac:dyDescent="0.25">
      <c r="C136" s="16">
        <v>23</v>
      </c>
      <c r="D136" s="130">
        <v>45206</v>
      </c>
      <c r="E136" s="131">
        <v>23</v>
      </c>
      <c r="F136" s="132" t="s">
        <v>172</v>
      </c>
      <c r="G136" s="103" t="s">
        <v>19</v>
      </c>
      <c r="H136" s="104">
        <v>10</v>
      </c>
      <c r="I136" s="104"/>
      <c r="J136" s="105"/>
      <c r="K136" s="16">
        <f>ROW()</f>
        <v>136</v>
      </c>
    </row>
    <row r="137" spans="3:11" x14ac:dyDescent="0.25">
      <c r="C137" s="16">
        <v>23</v>
      </c>
      <c r="D137" s="130">
        <v>45206</v>
      </c>
      <c r="E137" s="131">
        <v>23</v>
      </c>
      <c r="F137" s="132" t="s">
        <v>172</v>
      </c>
      <c r="G137" s="103" t="s">
        <v>21</v>
      </c>
      <c r="H137" s="104"/>
      <c r="I137" s="104">
        <v>20</v>
      </c>
      <c r="J137" s="105"/>
      <c r="K137" s="16">
        <f>ROW()</f>
        <v>137</v>
      </c>
    </row>
    <row r="138" spans="3:11" ht="15.75" thickBot="1" x14ac:dyDescent="0.3">
      <c r="C138" s="16">
        <v>23</v>
      </c>
      <c r="D138" s="133">
        <v>45206</v>
      </c>
      <c r="E138" s="134">
        <v>23</v>
      </c>
      <c r="F138" s="135" t="s">
        <v>172</v>
      </c>
      <c r="G138" s="53" t="s">
        <v>173</v>
      </c>
      <c r="H138" s="53"/>
      <c r="I138" s="53"/>
      <c r="J138" s="59"/>
      <c r="K138" s="16">
        <f>ROW()</f>
        <v>138</v>
      </c>
    </row>
    <row r="139" spans="3:11" x14ac:dyDescent="0.25">
      <c r="C139" s="16">
        <v>23</v>
      </c>
      <c r="D139" s="124">
        <v>45206</v>
      </c>
      <c r="E139" s="125">
        <v>23</v>
      </c>
      <c r="F139" s="126" t="s">
        <v>172</v>
      </c>
      <c r="K139" s="16">
        <f>ROW()</f>
        <v>139</v>
      </c>
    </row>
    <row r="140" spans="3:11" x14ac:dyDescent="0.25">
      <c r="D140" s="125"/>
      <c r="E140" s="125"/>
      <c r="F140" s="126"/>
    </row>
  </sheetData>
  <pageMargins left="0.19685039370078741" right="0.19685039370078741" top="0.19685039370078741" bottom="0.19685039370078741" header="0.19685039370078741" footer="0.19685039370078741"/>
  <pageSetup scale="7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0"/>
      <c r="D1" s="122" t="s">
        <v>136</v>
      </c>
      <c r="E1" s="123"/>
      <c r="F1" s="123"/>
    </row>
    <row r="2" spans="1:6" ht="15.75" thickBot="1" x14ac:dyDescent="0.3">
      <c r="A2" t="s">
        <v>138</v>
      </c>
      <c r="C2" s="10"/>
      <c r="D2" s="5" t="s">
        <v>9</v>
      </c>
      <c r="E2" s="6" t="s">
        <v>137</v>
      </c>
      <c r="F2" s="7" t="s">
        <v>10</v>
      </c>
    </row>
    <row r="3" spans="1:6" x14ac:dyDescent="0.25">
      <c r="A3" s="14" t="str">
        <f>F3</f>
        <v>Encaisse</v>
      </c>
      <c r="C3" s="10"/>
      <c r="D3" s="8" t="s">
        <v>11</v>
      </c>
      <c r="E3" s="9" t="s">
        <v>12</v>
      </c>
      <c r="F3" s="10" t="s">
        <v>13</v>
      </c>
    </row>
    <row r="4" spans="1:6" x14ac:dyDescent="0.25">
      <c r="A4" s="14" t="str">
        <f t="shared" ref="A4:A62" si="0">F4</f>
        <v>Comptes Clients</v>
      </c>
      <c r="C4" s="10"/>
      <c r="D4" s="8" t="s">
        <v>11</v>
      </c>
      <c r="E4" s="9" t="s">
        <v>14</v>
      </c>
      <c r="F4" s="10" t="s">
        <v>15</v>
      </c>
    </row>
    <row r="5" spans="1:6" x14ac:dyDescent="0.25">
      <c r="A5" s="14" t="str">
        <f t="shared" si="0"/>
        <v>Provision pour mauvaises créances</v>
      </c>
      <c r="C5" s="10"/>
      <c r="D5" s="8" t="s">
        <v>11</v>
      </c>
      <c r="E5" s="9" t="s">
        <v>16</v>
      </c>
      <c r="F5" s="10" t="s">
        <v>17</v>
      </c>
    </row>
    <row r="6" spans="1:6" x14ac:dyDescent="0.25">
      <c r="A6" s="14" t="str">
        <f t="shared" si="0"/>
        <v>TPS payée</v>
      </c>
      <c r="C6" s="10"/>
      <c r="D6" s="8" t="s">
        <v>11</v>
      </c>
      <c r="E6" s="9" t="s">
        <v>18</v>
      </c>
      <c r="F6" s="10" t="s">
        <v>19</v>
      </c>
    </row>
    <row r="7" spans="1:6" x14ac:dyDescent="0.25">
      <c r="A7" s="14" t="str">
        <f t="shared" si="0"/>
        <v>TVQ payée</v>
      </c>
      <c r="C7" s="10"/>
      <c r="D7" s="8" t="s">
        <v>11</v>
      </c>
      <c r="E7" s="9" t="s">
        <v>20</v>
      </c>
      <c r="F7" s="10" t="s">
        <v>21</v>
      </c>
    </row>
    <row r="8" spans="1:6" x14ac:dyDescent="0.25">
      <c r="A8" s="14" t="str">
        <f t="shared" si="0"/>
        <v>TPS facturée</v>
      </c>
      <c r="C8" s="10"/>
      <c r="D8" s="8" t="s">
        <v>11</v>
      </c>
      <c r="E8" s="9" t="s">
        <v>22</v>
      </c>
      <c r="F8" s="10" t="s">
        <v>23</v>
      </c>
    </row>
    <row r="9" spans="1:6" x14ac:dyDescent="0.25">
      <c r="A9" s="14" t="str">
        <f t="shared" si="0"/>
        <v>TVQ facturée</v>
      </c>
      <c r="C9" s="10"/>
      <c r="D9" s="8" t="s">
        <v>11</v>
      </c>
      <c r="E9" s="9" t="s">
        <v>24</v>
      </c>
      <c r="F9" s="10" t="s">
        <v>25</v>
      </c>
    </row>
    <row r="10" spans="1:6" x14ac:dyDescent="0.25">
      <c r="A10" s="14" t="str">
        <f t="shared" si="0"/>
        <v>Acomptes provisionnels - TPS</v>
      </c>
      <c r="C10" s="10"/>
      <c r="D10" s="8" t="s">
        <v>11</v>
      </c>
      <c r="E10" s="9" t="s">
        <v>26</v>
      </c>
      <c r="F10" s="10" t="s">
        <v>27</v>
      </c>
    </row>
    <row r="11" spans="1:6" x14ac:dyDescent="0.25">
      <c r="A11" s="14" t="str">
        <f t="shared" si="0"/>
        <v>Acomptes provisionnels - TVQ</v>
      </c>
      <c r="D11" s="8" t="s">
        <v>11</v>
      </c>
      <c r="E11" s="9" t="s">
        <v>28</v>
      </c>
      <c r="F11" s="10" t="s">
        <v>29</v>
      </c>
    </row>
    <row r="12" spans="1:6" x14ac:dyDescent="0.25">
      <c r="A12" s="14" t="str">
        <f t="shared" si="0"/>
        <v>Travaux en cours</v>
      </c>
      <c r="D12" s="8" t="s">
        <v>11</v>
      </c>
      <c r="E12" s="9" t="s">
        <v>30</v>
      </c>
      <c r="F12" s="10" t="s">
        <v>31</v>
      </c>
    </row>
    <row r="13" spans="1:6" x14ac:dyDescent="0.25">
      <c r="A13" s="14" t="str">
        <f t="shared" si="0"/>
        <v>Frais payés d'avance</v>
      </c>
      <c r="D13" s="8" t="s">
        <v>11</v>
      </c>
      <c r="E13" s="9" t="s">
        <v>32</v>
      </c>
      <c r="F13" s="10" t="s">
        <v>33</v>
      </c>
    </row>
    <row r="14" spans="1:6" x14ac:dyDescent="0.25">
      <c r="A14" s="14" t="str">
        <f t="shared" si="0"/>
        <v>Mobilier de bureau</v>
      </c>
      <c r="D14" s="8" t="s">
        <v>11</v>
      </c>
      <c r="E14" s="9" t="s">
        <v>34</v>
      </c>
      <c r="F14" s="10" t="s">
        <v>35</v>
      </c>
    </row>
    <row r="15" spans="1:6" x14ac:dyDescent="0.25">
      <c r="A15" s="14" t="str">
        <f t="shared" si="0"/>
        <v>Amort. Cum - mobil. de bureau</v>
      </c>
      <c r="D15" s="8" t="s">
        <v>11</v>
      </c>
      <c r="E15" s="9" t="s">
        <v>36</v>
      </c>
      <c r="F15" s="10" t="s">
        <v>37</v>
      </c>
    </row>
    <row r="16" spans="1:6" x14ac:dyDescent="0.25">
      <c r="A16" s="14" t="str">
        <f t="shared" si="0"/>
        <v>Matériel informatique</v>
      </c>
      <c r="D16" s="8" t="s">
        <v>11</v>
      </c>
      <c r="E16" s="9" t="s">
        <v>38</v>
      </c>
      <c r="F16" s="10" t="s">
        <v>39</v>
      </c>
    </row>
    <row r="17" spans="1:6" x14ac:dyDescent="0.25">
      <c r="A17" s="14" t="str">
        <f t="shared" si="0"/>
        <v>Amort. Cum - mat. Inform.</v>
      </c>
      <c r="D17" s="8" t="s">
        <v>11</v>
      </c>
      <c r="E17" s="9" t="s">
        <v>40</v>
      </c>
      <c r="F17" s="10" t="s">
        <v>41</v>
      </c>
    </row>
    <row r="18" spans="1:6" x14ac:dyDescent="0.25">
      <c r="A18" s="14" t="str">
        <f t="shared" si="0"/>
        <v>Logiciel informatique</v>
      </c>
      <c r="D18" s="8" t="s">
        <v>11</v>
      </c>
      <c r="E18" s="9" t="s">
        <v>42</v>
      </c>
      <c r="F18" s="10" t="s">
        <v>43</v>
      </c>
    </row>
    <row r="19" spans="1:6" x14ac:dyDescent="0.25">
      <c r="A19" s="14" t="str">
        <f t="shared" si="0"/>
        <v>Amort. Cum - logiciels</v>
      </c>
      <c r="D19" s="8" t="s">
        <v>11</v>
      </c>
      <c r="E19" s="9" t="s">
        <v>44</v>
      </c>
      <c r="F19" s="10" t="s">
        <v>45</v>
      </c>
    </row>
    <row r="20" spans="1:6" x14ac:dyDescent="0.25">
      <c r="A20" s="14" t="str">
        <f t="shared" si="0"/>
        <v>Achalandage</v>
      </c>
      <c r="D20" s="8" t="s">
        <v>11</v>
      </c>
      <c r="E20" s="9" t="s">
        <v>46</v>
      </c>
      <c r="F20" s="10" t="s">
        <v>47</v>
      </c>
    </row>
    <row r="21" spans="1:6" x14ac:dyDescent="0.25">
      <c r="A21" s="14" t="str">
        <f t="shared" si="0"/>
        <v>Amort. Cum - Achalandage</v>
      </c>
      <c r="D21" s="8" t="s">
        <v>11</v>
      </c>
      <c r="E21" s="9" t="s">
        <v>48</v>
      </c>
      <c r="F21" s="10" t="s">
        <v>49</v>
      </c>
    </row>
    <row r="22" spans="1:6" x14ac:dyDescent="0.25">
      <c r="A22" s="14" t="str">
        <f t="shared" si="0"/>
        <v>Avance - Prêt GCP</v>
      </c>
      <c r="D22" s="8" t="s">
        <v>11</v>
      </c>
      <c r="E22" s="9" t="s">
        <v>50</v>
      </c>
      <c r="F22" s="10" t="s">
        <v>51</v>
      </c>
    </row>
    <row r="23" spans="1:6" x14ac:dyDescent="0.25">
      <c r="A23" s="14" t="str">
        <f t="shared" si="0"/>
        <v>VISA Odyssey Desjardins</v>
      </c>
      <c r="D23" s="8" t="s">
        <v>52</v>
      </c>
      <c r="E23" s="9" t="s">
        <v>53</v>
      </c>
      <c r="F23" s="10" t="s">
        <v>54</v>
      </c>
    </row>
    <row r="24" spans="1:6" x14ac:dyDescent="0.25">
      <c r="A24" s="14" t="str">
        <f t="shared" si="0"/>
        <v>Avances de Guillaume Charron</v>
      </c>
      <c r="D24" s="8" t="s">
        <v>52</v>
      </c>
      <c r="E24" s="9" t="s">
        <v>55</v>
      </c>
      <c r="F24" s="10" t="s">
        <v>56</v>
      </c>
    </row>
    <row r="25" spans="1:6" x14ac:dyDescent="0.25">
      <c r="A25" s="14" t="str">
        <f t="shared" si="0"/>
        <v>Avances à Fiducie Famille Charron</v>
      </c>
      <c r="D25" s="8" t="s">
        <v>52</v>
      </c>
      <c r="E25" s="9" t="s">
        <v>57</v>
      </c>
      <c r="F25" s="10" t="s">
        <v>58</v>
      </c>
    </row>
    <row r="26" spans="1:6" x14ac:dyDescent="0.25">
      <c r="A26" s="14" t="str">
        <f t="shared" si="0"/>
        <v>Compte fournisseur</v>
      </c>
      <c r="D26" s="8" t="s">
        <v>52</v>
      </c>
      <c r="E26" s="9" t="s">
        <v>59</v>
      </c>
      <c r="F26" s="10" t="s">
        <v>60</v>
      </c>
    </row>
    <row r="27" spans="1:6" x14ac:dyDescent="0.25">
      <c r="A27" s="14" t="str">
        <f t="shared" si="0"/>
        <v>Avances avec 9249-3626 Québec inc.</v>
      </c>
      <c r="D27" s="8" t="s">
        <v>52</v>
      </c>
      <c r="E27" s="9" t="s">
        <v>61</v>
      </c>
      <c r="F27" s="10" t="s">
        <v>62</v>
      </c>
    </row>
    <row r="28" spans="1:6" x14ac:dyDescent="0.25">
      <c r="A28" s="14" t="str">
        <f t="shared" si="0"/>
        <v>Avances avec 9333-4829 Québec inc</v>
      </c>
      <c r="D28" s="8" t="s">
        <v>52</v>
      </c>
      <c r="E28" s="9" t="s">
        <v>63</v>
      </c>
      <c r="F28" s="10" t="s">
        <v>64</v>
      </c>
    </row>
    <row r="29" spans="1:6" x14ac:dyDescent="0.25">
      <c r="A29" s="14" t="str">
        <f t="shared" si="0"/>
        <v>Prêt - Compte d'urgence</v>
      </c>
      <c r="D29" s="8" t="s">
        <v>52</v>
      </c>
      <c r="E29" s="9" t="s">
        <v>65</v>
      </c>
      <c r="F29" s="10" t="s">
        <v>66</v>
      </c>
    </row>
    <row r="30" spans="1:6" x14ac:dyDescent="0.25">
      <c r="A30" s="14" t="str">
        <f t="shared" si="0"/>
        <v>Impôt Fédéral à payer</v>
      </c>
      <c r="D30" s="8" t="s">
        <v>52</v>
      </c>
      <c r="E30" s="9" t="s">
        <v>67</v>
      </c>
      <c r="F30" s="10" t="s">
        <v>68</v>
      </c>
    </row>
    <row r="31" spans="1:6" x14ac:dyDescent="0.25">
      <c r="A31" s="14" t="str">
        <f t="shared" si="0"/>
        <v>Impôt Québec à payer</v>
      </c>
      <c r="D31" s="8" t="s">
        <v>52</v>
      </c>
      <c r="E31" s="9" t="s">
        <v>69</v>
      </c>
      <c r="F31" s="10" t="s">
        <v>70</v>
      </c>
    </row>
    <row r="32" spans="1:6" x14ac:dyDescent="0.25">
      <c r="A32" s="14" t="str">
        <f t="shared" si="0"/>
        <v>Acomptes - Impôt Fédéral</v>
      </c>
      <c r="D32" s="8" t="s">
        <v>52</v>
      </c>
      <c r="E32" s="9" t="s">
        <v>71</v>
      </c>
      <c r="F32" s="10" t="s">
        <v>72</v>
      </c>
    </row>
    <row r="33" spans="1:6" x14ac:dyDescent="0.25">
      <c r="A33" s="14" t="str">
        <f t="shared" si="0"/>
        <v>Acomptes - Impôt Québec</v>
      </c>
      <c r="D33" s="8" t="s">
        <v>52</v>
      </c>
      <c r="E33" s="9" t="s">
        <v>73</v>
      </c>
      <c r="F33" s="10" t="s">
        <v>74</v>
      </c>
    </row>
    <row r="34" spans="1:6" x14ac:dyDescent="0.25">
      <c r="A34" s="14" t="str">
        <f t="shared" si="0"/>
        <v>Produit perçu d'avance</v>
      </c>
      <c r="D34" s="8" t="s">
        <v>52</v>
      </c>
      <c r="E34" s="9" t="s">
        <v>75</v>
      </c>
      <c r="F34" s="10" t="s">
        <v>76</v>
      </c>
    </row>
    <row r="35" spans="1:6" x14ac:dyDescent="0.25">
      <c r="A35" s="14" t="str">
        <f t="shared" si="0"/>
        <v>Actions ordinaires</v>
      </c>
      <c r="D35" s="8" t="s">
        <v>77</v>
      </c>
      <c r="E35" s="9" t="s">
        <v>78</v>
      </c>
      <c r="F35" s="10" t="s">
        <v>79</v>
      </c>
    </row>
    <row r="36" spans="1:6" x14ac:dyDescent="0.25">
      <c r="A36" s="14" t="str">
        <f t="shared" si="0"/>
        <v>Actions privilégiées</v>
      </c>
      <c r="D36" s="8" t="s">
        <v>77</v>
      </c>
      <c r="E36" s="9" t="s">
        <v>80</v>
      </c>
      <c r="F36" s="10" t="s">
        <v>81</v>
      </c>
    </row>
    <row r="37" spans="1:6" x14ac:dyDescent="0.25">
      <c r="A37" s="14" t="str">
        <f t="shared" si="0"/>
        <v>BNR</v>
      </c>
      <c r="D37" s="8" t="s">
        <v>77</v>
      </c>
      <c r="E37" s="9" t="s">
        <v>82</v>
      </c>
      <c r="F37" s="10" t="s">
        <v>83</v>
      </c>
    </row>
    <row r="38" spans="1:6" x14ac:dyDescent="0.25">
      <c r="A38" s="14" t="str">
        <f t="shared" si="0"/>
        <v>Dividendes</v>
      </c>
      <c r="D38" s="8" t="s">
        <v>77</v>
      </c>
      <c r="E38" s="9" t="s">
        <v>84</v>
      </c>
      <c r="F38" s="10" t="s">
        <v>85</v>
      </c>
    </row>
    <row r="39" spans="1:6" x14ac:dyDescent="0.25">
      <c r="A39" s="14" t="str">
        <f t="shared" si="0"/>
        <v>Revenus de consultation</v>
      </c>
      <c r="D39" s="8" t="s">
        <v>86</v>
      </c>
      <c r="E39" s="9" t="s">
        <v>87</v>
      </c>
      <c r="F39" s="10" t="s">
        <v>88</v>
      </c>
    </row>
    <row r="40" spans="1:6" x14ac:dyDescent="0.25">
      <c r="A40" s="14" t="str">
        <f t="shared" si="0"/>
        <v>Revenus - Sociétés apparentées</v>
      </c>
      <c r="D40" s="8" t="s">
        <v>86</v>
      </c>
      <c r="E40" s="9" t="s">
        <v>89</v>
      </c>
      <c r="F40" s="10" t="s">
        <v>90</v>
      </c>
    </row>
    <row r="41" spans="1:6" x14ac:dyDescent="0.25">
      <c r="A41" s="14" t="str">
        <f t="shared" si="0"/>
        <v>Revenus - travaux en cours</v>
      </c>
      <c r="D41" s="8" t="s">
        <v>86</v>
      </c>
      <c r="E41" s="9" t="s">
        <v>91</v>
      </c>
      <c r="F41" s="10" t="s">
        <v>92</v>
      </c>
    </row>
    <row r="42" spans="1:6" x14ac:dyDescent="0.25">
      <c r="A42" s="14" t="str">
        <f t="shared" si="0"/>
        <v>Revenus d'intérêts</v>
      </c>
      <c r="D42" s="8" t="s">
        <v>86</v>
      </c>
      <c r="E42" s="9" t="s">
        <v>93</v>
      </c>
      <c r="F42" s="10" t="s">
        <v>94</v>
      </c>
    </row>
    <row r="43" spans="1:6" x14ac:dyDescent="0.25">
      <c r="A43" s="14" t="str">
        <f t="shared" si="0"/>
        <v>Revenus de dividendes</v>
      </c>
      <c r="D43" s="8" t="s">
        <v>86</v>
      </c>
      <c r="E43" s="9" t="s">
        <v>95</v>
      </c>
      <c r="F43" s="10" t="s">
        <v>96</v>
      </c>
    </row>
    <row r="44" spans="1:6" x14ac:dyDescent="0.25">
      <c r="A44" s="14" t="str">
        <f t="shared" si="0"/>
        <v>Prise de valeur - Valeur de consolidation</v>
      </c>
      <c r="D44" s="8" t="s">
        <v>86</v>
      </c>
      <c r="E44" s="9" t="s">
        <v>97</v>
      </c>
      <c r="F44" s="9" t="s">
        <v>98</v>
      </c>
    </row>
    <row r="45" spans="1:6" x14ac:dyDescent="0.25">
      <c r="A45" s="14" t="str">
        <f t="shared" si="0"/>
        <v>Doc. et outils de recherche</v>
      </c>
      <c r="D45" s="8" t="s">
        <v>99</v>
      </c>
      <c r="E45" s="9" t="s">
        <v>100</v>
      </c>
      <c r="F45" s="10" t="s">
        <v>101</v>
      </c>
    </row>
    <row r="46" spans="1:6" x14ac:dyDescent="0.25">
      <c r="A46" s="14" t="str">
        <f t="shared" si="0"/>
        <v>Formations</v>
      </c>
      <c r="D46" s="8" t="s">
        <v>99</v>
      </c>
      <c r="E46" s="9" t="s">
        <v>102</v>
      </c>
      <c r="F46" s="10" t="s">
        <v>103</v>
      </c>
    </row>
    <row r="47" spans="1:6" x14ac:dyDescent="0.25">
      <c r="A47" s="14" t="str">
        <f t="shared" si="0"/>
        <v>Fournitures de bureau</v>
      </c>
      <c r="D47" s="8" t="s">
        <v>99</v>
      </c>
      <c r="E47" s="9" t="s">
        <v>104</v>
      </c>
      <c r="F47" s="10" t="s">
        <v>105</v>
      </c>
    </row>
    <row r="48" spans="1:6" x14ac:dyDescent="0.25">
      <c r="A48" s="14" t="str">
        <f t="shared" si="0"/>
        <v>Frais de représentation</v>
      </c>
      <c r="D48" s="8" t="s">
        <v>99</v>
      </c>
      <c r="E48" s="9" t="s">
        <v>106</v>
      </c>
      <c r="F48" s="10" t="s">
        <v>107</v>
      </c>
    </row>
    <row r="49" spans="1:6" x14ac:dyDescent="0.25">
      <c r="A49" s="14" t="str">
        <f t="shared" si="0"/>
        <v>Golf / Pourvoirie</v>
      </c>
      <c r="D49" s="8" t="s">
        <v>99</v>
      </c>
      <c r="E49" s="9" t="s">
        <v>108</v>
      </c>
      <c r="F49" s="10" t="s">
        <v>109</v>
      </c>
    </row>
    <row r="50" spans="1:6" x14ac:dyDescent="0.25">
      <c r="A50" s="14" t="str">
        <f t="shared" si="0"/>
        <v>Frais de déplacement</v>
      </c>
      <c r="D50" s="8" t="s">
        <v>99</v>
      </c>
      <c r="E50" s="9" t="s">
        <v>110</v>
      </c>
      <c r="F50" s="10" t="s">
        <v>111</v>
      </c>
    </row>
    <row r="51" spans="1:6" x14ac:dyDescent="0.25">
      <c r="A51" s="14" t="str">
        <f t="shared" si="0"/>
        <v>Frais de publicité</v>
      </c>
      <c r="D51" s="8" t="s">
        <v>99</v>
      </c>
      <c r="E51" s="9" t="s">
        <v>112</v>
      </c>
      <c r="F51" s="10" t="s">
        <v>113</v>
      </c>
    </row>
    <row r="52" spans="1:6" x14ac:dyDescent="0.25">
      <c r="A52" s="14" t="str">
        <f t="shared" si="0"/>
        <v>Fournitures informatiques &amp; Site web</v>
      </c>
      <c r="D52" s="8" t="s">
        <v>99</v>
      </c>
      <c r="E52" s="9" t="s">
        <v>114</v>
      </c>
      <c r="F52" s="10" t="s">
        <v>115</v>
      </c>
    </row>
    <row r="53" spans="1:6" x14ac:dyDescent="0.25">
      <c r="A53" s="14" t="str">
        <f t="shared" si="0"/>
        <v>Loyer</v>
      </c>
      <c r="D53" s="8" t="s">
        <v>99</v>
      </c>
      <c r="E53" s="9" t="s">
        <v>116</v>
      </c>
      <c r="F53" s="10" t="s">
        <v>117</v>
      </c>
    </row>
    <row r="54" spans="1:6" x14ac:dyDescent="0.25">
      <c r="A54" s="14" t="str">
        <f t="shared" si="0"/>
        <v>Frais de communications</v>
      </c>
      <c r="D54" s="8" t="s">
        <v>99</v>
      </c>
      <c r="E54" s="9" t="s">
        <v>118</v>
      </c>
      <c r="F54" s="10" t="s">
        <v>119</v>
      </c>
    </row>
    <row r="55" spans="1:6" x14ac:dyDescent="0.25">
      <c r="A55" s="14" t="str">
        <f t="shared" si="0"/>
        <v>Frais de poste</v>
      </c>
      <c r="D55" s="8" t="s">
        <v>99</v>
      </c>
      <c r="E55" s="9" t="s">
        <v>120</v>
      </c>
      <c r="F55" s="10" t="s">
        <v>121</v>
      </c>
    </row>
    <row r="56" spans="1:6" x14ac:dyDescent="0.25">
      <c r="A56" s="14" t="str">
        <f t="shared" si="0"/>
        <v>Salaires et Sous-traitance</v>
      </c>
      <c r="D56" s="8" t="s">
        <v>99</v>
      </c>
      <c r="E56" s="9" t="s">
        <v>122</v>
      </c>
      <c r="F56" s="10" t="s">
        <v>123</v>
      </c>
    </row>
    <row r="57" spans="1:6" x14ac:dyDescent="0.25">
      <c r="A57" s="14" t="str">
        <f t="shared" si="0"/>
        <v>Assurance &amp; Cotisation professionnelle</v>
      </c>
      <c r="D57" s="8" t="s">
        <v>99</v>
      </c>
      <c r="E57" s="9" t="s">
        <v>124</v>
      </c>
      <c r="F57" s="10" t="s">
        <v>125</v>
      </c>
    </row>
    <row r="58" spans="1:6" x14ac:dyDescent="0.25">
      <c r="A58" s="14" t="str">
        <f t="shared" si="0"/>
        <v>Frais financiers</v>
      </c>
      <c r="D58" s="8" t="s">
        <v>99</v>
      </c>
      <c r="E58" s="9" t="s">
        <v>126</v>
      </c>
      <c r="F58" s="10" t="s">
        <v>127</v>
      </c>
    </row>
    <row r="59" spans="1:6" x14ac:dyDescent="0.25">
      <c r="A59" s="14" t="str">
        <f t="shared" si="0"/>
        <v>Amortissement</v>
      </c>
      <c r="D59" s="8" t="s">
        <v>99</v>
      </c>
      <c r="E59" s="9" t="s">
        <v>128</v>
      </c>
      <c r="F59" s="10" t="s">
        <v>129</v>
      </c>
    </row>
    <row r="60" spans="1:6" x14ac:dyDescent="0.25">
      <c r="A60" s="14" t="str">
        <f t="shared" si="0"/>
        <v>Mauvaises créances</v>
      </c>
      <c r="D60" s="8" t="s">
        <v>99</v>
      </c>
      <c r="E60" s="9" t="s">
        <v>130</v>
      </c>
      <c r="F60" s="10" t="s">
        <v>131</v>
      </c>
    </row>
    <row r="61" spans="1:6" x14ac:dyDescent="0.25">
      <c r="A61" s="14" t="str">
        <f t="shared" si="0"/>
        <v>Assurance - loyer</v>
      </c>
      <c r="D61" s="8" t="s">
        <v>99</v>
      </c>
      <c r="E61" s="9" t="s">
        <v>132</v>
      </c>
      <c r="F61" s="10" t="s">
        <v>133</v>
      </c>
    </row>
    <row r="62" spans="1:6" ht="15.75" thickBot="1" x14ac:dyDescent="0.3">
      <c r="A62" s="14" t="str">
        <f t="shared" si="0"/>
        <v>Impôts exigibles</v>
      </c>
      <c r="D62" s="11" t="s">
        <v>99</v>
      </c>
      <c r="E62" s="12" t="s">
        <v>134</v>
      </c>
      <c r="F62" s="13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EJ</vt:lpstr>
      <vt:lpstr>Transactions</vt:lpstr>
      <vt:lpstr>PlanComptable</vt:lpstr>
      <vt:lpstr>Transactions!Impression_des_titres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2023-10-06T12:57:00Z</cp:lastPrinted>
  <dcterms:created xsi:type="dcterms:W3CDTF">2023-10-05T16:17:00Z</dcterms:created>
  <dcterms:modified xsi:type="dcterms:W3CDTF">2023-10-07T11:50:11Z</dcterms:modified>
</cp:coreProperties>
</file>