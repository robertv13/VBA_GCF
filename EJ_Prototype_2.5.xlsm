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6DD5BE82-3346-4623-BD19-CC19BFDEF7E2}" xr6:coauthVersionLast="47" xr6:coauthVersionMax="47" xr10:uidLastSave="{00000000-0000-0000-0000-000000000000}"/>
  <bookViews>
    <workbookView xWindow="-120" yWindow="-120" windowWidth="29040" windowHeight="15840" activeTab="1" xr2:uid="{8B896088-70BB-4C60-BB21-C1E442DA7D5A}"/>
  </bookViews>
  <sheets>
    <sheet name="EJ" sheetId="1" r:id="rId1"/>
    <sheet name="Transactions" sheetId="3" r:id="rId2"/>
    <sheet name="PlanComptable" sheetId="2" r:id="rId3"/>
  </sheets>
  <definedNames>
    <definedName name="AcctType">#REF!</definedName>
    <definedName name="CalMonths">#REF!</definedName>
    <definedName name="CalYear">#REF!</definedName>
    <definedName name="_xlnm.Print_Titles" localSheetId="1">Transactions!$1:$1</definedName>
    <definedName name="_xlnm.Print_Area" localSheetId="1">Transactions!$D$1:$J$159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69" i="3" l="1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 l="1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6" i="3"/>
  <c r="K65" i="3"/>
  <c r="K64" i="3"/>
  <c r="K63" i="3"/>
  <c r="K59" i="3"/>
  <c r="K62" i="3"/>
  <c r="K61" i="3"/>
  <c r="K60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39" i="3"/>
  <c r="K38" i="3"/>
  <c r="K37" i="3"/>
  <c r="K36" i="3"/>
  <c r="K35" i="3"/>
  <c r="K34" i="3"/>
  <c r="K33" i="3"/>
  <c r="K32" i="3"/>
  <c r="K31" i="3"/>
  <c r="K21" i="3"/>
  <c r="K22" i="3"/>
  <c r="K23" i="3"/>
  <c r="K24" i="3"/>
  <c r="K25" i="3"/>
  <c r="K26" i="3"/>
  <c r="K27" i="3"/>
  <c r="K28" i="3"/>
  <c r="K29" i="3"/>
  <c r="K30" i="3"/>
  <c r="K14" i="3"/>
  <c r="K15" i="3"/>
  <c r="K16" i="3"/>
  <c r="K17" i="3"/>
  <c r="K18" i="3"/>
  <c r="K19" i="3"/>
  <c r="K20" i="3"/>
  <c r="K10" i="3"/>
  <c r="K11" i="3"/>
  <c r="K12" i="3"/>
  <c r="K13" i="3"/>
  <c r="K3" i="3"/>
  <c r="K4" i="3"/>
  <c r="K5" i="3"/>
  <c r="K6" i="3"/>
  <c r="K7" i="3"/>
  <c r="K8" i="3"/>
  <c r="K9" i="3"/>
  <c r="K2" i="3"/>
  <c r="G3" i="3"/>
  <c r="I3" i="3"/>
  <c r="H2" i="3"/>
  <c r="G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3" i="2"/>
  <c r="H25" i="1" l="1"/>
  <c r="G25" i="1"/>
</calcChain>
</file>

<file path=xl/sharedStrings.xml><?xml version="1.0" encoding="utf-8"?>
<sst xmlns="http://schemas.openxmlformats.org/spreadsheetml/2006/main" count="508" uniqueCount="184">
  <si>
    <t>Source</t>
  </si>
  <si>
    <t>Compte</t>
  </si>
  <si>
    <t>Débit</t>
  </si>
  <si>
    <t>Crédit</t>
  </si>
  <si>
    <t>Source:</t>
  </si>
  <si>
    <t>Remarque:</t>
  </si>
  <si>
    <t>Autre remarque</t>
  </si>
  <si>
    <t>Date:</t>
  </si>
  <si>
    <t>Entrée de journal</t>
  </si>
  <si>
    <t>Type</t>
  </si>
  <si>
    <t>Description</t>
  </si>
  <si>
    <t>Actifs</t>
  </si>
  <si>
    <t>1000</t>
  </si>
  <si>
    <t>Encaisse</t>
  </si>
  <si>
    <t>1100</t>
  </si>
  <si>
    <t>Comptes Clients</t>
  </si>
  <si>
    <t>1101</t>
  </si>
  <si>
    <t>Provision pour mauvaises créances</t>
  </si>
  <si>
    <t>1200</t>
  </si>
  <si>
    <t>TPS payée</t>
  </si>
  <si>
    <t>1201</t>
  </si>
  <si>
    <t>TVQ payée</t>
  </si>
  <si>
    <t>1202</t>
  </si>
  <si>
    <t>TPS facturée</t>
  </si>
  <si>
    <t>1203</t>
  </si>
  <si>
    <t>TVQ facturée</t>
  </si>
  <si>
    <t>1204</t>
  </si>
  <si>
    <t>Acomptes provisionnels - TPS</t>
  </si>
  <si>
    <t>1205</t>
  </si>
  <si>
    <t>Acomptes provisionnels - TVQ</t>
  </si>
  <si>
    <t>1210</t>
  </si>
  <si>
    <t>Travaux en cours</t>
  </si>
  <si>
    <t>1230</t>
  </si>
  <si>
    <t>Frais payés d'avance</t>
  </si>
  <si>
    <t>1250</t>
  </si>
  <si>
    <t>Mobilier de bureau</t>
  </si>
  <si>
    <t>1251</t>
  </si>
  <si>
    <t>Amort. Cum - mobil. de bureau</t>
  </si>
  <si>
    <t>1260</t>
  </si>
  <si>
    <t>Matériel informatique</t>
  </si>
  <si>
    <t>1261</t>
  </si>
  <si>
    <t>Amort. Cum - mat. Inform.</t>
  </si>
  <si>
    <t>1270</t>
  </si>
  <si>
    <t>Logiciel informatique</t>
  </si>
  <si>
    <t>1271</t>
  </si>
  <si>
    <t>Amort. Cum - logiciels</t>
  </si>
  <si>
    <t>1300</t>
  </si>
  <si>
    <t>Achalandage</t>
  </si>
  <si>
    <t>1301</t>
  </si>
  <si>
    <t>Amort. Cum - Achalandage</t>
  </si>
  <si>
    <t>1400</t>
  </si>
  <si>
    <t>Avance - Prêt GCP</t>
  </si>
  <si>
    <t>Passifs</t>
  </si>
  <si>
    <t>2000</t>
  </si>
  <si>
    <t>VISA Odyssey Desjardins</t>
  </si>
  <si>
    <t>2010</t>
  </si>
  <si>
    <t>Avances de Guillaume Charron</t>
  </si>
  <si>
    <t>2011</t>
  </si>
  <si>
    <t>Avances à Fiducie Famille Charron</t>
  </si>
  <si>
    <t>2100</t>
  </si>
  <si>
    <t>Compte fournisseur</t>
  </si>
  <si>
    <t>2105</t>
  </si>
  <si>
    <t>Avances avec 9249-3626 Québec inc.</t>
  </si>
  <si>
    <t>2106</t>
  </si>
  <si>
    <t>Avances avec 9333-4829 Québec inc</t>
  </si>
  <si>
    <t>2107</t>
  </si>
  <si>
    <t>Prêt - Compte d'urgence</t>
  </si>
  <si>
    <t>2200</t>
  </si>
  <si>
    <t>Impôt Fédéral à payer</t>
  </si>
  <si>
    <t>2201</t>
  </si>
  <si>
    <t>Impôt Québec à payer</t>
  </si>
  <si>
    <t>2202</t>
  </si>
  <si>
    <t>Acomptes - Impôt Fédéral</t>
  </si>
  <si>
    <t>2203</t>
  </si>
  <si>
    <t>Acomptes - Impôt Québec</t>
  </si>
  <si>
    <t>2300</t>
  </si>
  <si>
    <t>Produit perçu d'avance</t>
  </si>
  <si>
    <t>Équité</t>
  </si>
  <si>
    <t>2500</t>
  </si>
  <si>
    <t>Actions ordinaires</t>
  </si>
  <si>
    <t>2501</t>
  </si>
  <si>
    <t>Actions privilégiées</t>
  </si>
  <si>
    <t>2600</t>
  </si>
  <si>
    <t>BNR</t>
  </si>
  <si>
    <t>2700</t>
  </si>
  <si>
    <t>Dividendes</t>
  </si>
  <si>
    <t>Revenus</t>
  </si>
  <si>
    <t>4000</t>
  </si>
  <si>
    <t>Revenus de consultation</t>
  </si>
  <si>
    <t>4001</t>
  </si>
  <si>
    <t>Revenus - Sociétés apparentées</t>
  </si>
  <si>
    <t>4010</t>
  </si>
  <si>
    <t>Revenus - travaux en cours</t>
  </si>
  <si>
    <t>4015</t>
  </si>
  <si>
    <t>Revenus d'intérêts</t>
  </si>
  <si>
    <t>4016</t>
  </si>
  <si>
    <t>Revenus de dividendes</t>
  </si>
  <si>
    <t>4017</t>
  </si>
  <si>
    <t>Prise de valeur - Valeur de consolidation</t>
  </si>
  <si>
    <t>Dépenses</t>
  </si>
  <si>
    <t>5000</t>
  </si>
  <si>
    <t>Doc. et outils de recherche</t>
  </si>
  <si>
    <t>5001</t>
  </si>
  <si>
    <t>Formations</t>
  </si>
  <si>
    <t>5002</t>
  </si>
  <si>
    <t>Fournitures de bureau</t>
  </si>
  <si>
    <t>5003</t>
  </si>
  <si>
    <t>Frais de représentation</t>
  </si>
  <si>
    <t>5003b</t>
  </si>
  <si>
    <t>Golf / Pourvoirie</t>
  </si>
  <si>
    <t>5004</t>
  </si>
  <si>
    <t>Frais de déplacement</t>
  </si>
  <si>
    <t>5005</t>
  </si>
  <si>
    <t>Frais de publicité</t>
  </si>
  <si>
    <t>5006</t>
  </si>
  <si>
    <t>Fournitures informatiques &amp; Site web</t>
  </si>
  <si>
    <t>5007</t>
  </si>
  <si>
    <t>Loyer</t>
  </si>
  <si>
    <t>5008</t>
  </si>
  <si>
    <t>Frais de communications</t>
  </si>
  <si>
    <t>5009</t>
  </si>
  <si>
    <t>Frais de poste</t>
  </si>
  <si>
    <t>5010</t>
  </si>
  <si>
    <t>Salaires et Sous-traitance</t>
  </si>
  <si>
    <t>5011</t>
  </si>
  <si>
    <t>Assurance &amp; Cotisation professionnelle</t>
  </si>
  <si>
    <t>5013</t>
  </si>
  <si>
    <t>Frais financiers</t>
  </si>
  <si>
    <t>5015</t>
  </si>
  <si>
    <t>Amortissement</t>
  </si>
  <si>
    <t>5016</t>
  </si>
  <si>
    <t>Mauvaises créances</t>
  </si>
  <si>
    <t>5020</t>
  </si>
  <si>
    <t>Assurance - loyer</t>
  </si>
  <si>
    <t>9000</t>
  </si>
  <si>
    <t>Impôts exigibles</t>
  </si>
  <si>
    <t>Plan Comptable</t>
  </si>
  <si>
    <t># compte</t>
  </si>
  <si>
    <t>[Tous les comptes]</t>
  </si>
  <si>
    <t>Repas</t>
  </si>
  <si>
    <t>Numéro Écriture</t>
  </si>
  <si>
    <t>Date</t>
  </si>
  <si>
    <t>AutreRemarque</t>
  </si>
  <si>
    <t>No. EJ</t>
  </si>
  <si>
    <t>Next JE #</t>
  </si>
  <si>
    <t>Discussion sur les propositions du Ministre des Finances, provincial</t>
  </si>
  <si>
    <t>CH 00345</t>
  </si>
  <si>
    <t>Remise TPS/TVQ</t>
  </si>
  <si>
    <t>FACT-00028</t>
  </si>
  <si>
    <t>9299-2585 Québec inc.</t>
  </si>
  <si>
    <t>FACT-00027</t>
  </si>
  <si>
    <t>CANPLEX</t>
  </si>
  <si>
    <t>FACT-00026</t>
  </si>
  <si>
    <t>HUWIZ INC.</t>
  </si>
  <si>
    <t>DÉPÔT</t>
  </si>
  <si>
    <t>HUWIZ INC. - Paiement</t>
  </si>
  <si>
    <t>DIVIDENDES</t>
  </si>
  <si>
    <t>Guillaume Charron - Dividendes hebdomadaire</t>
  </si>
  <si>
    <t>VISA</t>
  </si>
  <si>
    <t>BUREAU EN GROS - Table de conférence</t>
  </si>
  <si>
    <t>Lunch avec Michael Da Souza</t>
  </si>
  <si>
    <t>FACT-00024</t>
  </si>
  <si>
    <t>FACT-00025</t>
  </si>
  <si>
    <t>Test de l'autre remarque</t>
  </si>
  <si>
    <t>Autre test avec l'autre remarque</t>
  </si>
  <si>
    <t>Facture 00025</t>
  </si>
  <si>
    <t>FACT-00023</t>
  </si>
  <si>
    <t>NOM DE LA COMPAGNIE</t>
  </si>
  <si>
    <t>GUILLAUME CHARRON - Dividendes hebdomadaire</t>
  </si>
  <si>
    <t>ETAT BANQUE</t>
  </si>
  <si>
    <t>État de compte MENSUEL - Banque Nationale</t>
  </si>
  <si>
    <t>Autre chose</t>
  </si>
  <si>
    <t>TEST</t>
  </si>
  <si>
    <t>Remarque</t>
  </si>
  <si>
    <t>Remboursement du repas de Claude</t>
  </si>
  <si>
    <t>08/10/2023</t>
  </si>
  <si>
    <t>E/BANQUE</t>
  </si>
  <si>
    <t>31/10/2023</t>
  </si>
  <si>
    <t>Frais de non utilisation de la marge</t>
  </si>
  <si>
    <t>Frais pour chèque NSF du client CANPLEX</t>
  </si>
  <si>
    <t>PAYÉS D'AVANCE</t>
  </si>
  <si>
    <t>30/09/2023</t>
  </si>
  <si>
    <t>Assurances Responsabilité (portion mensuelle)</t>
  </si>
  <si>
    <t>FACT-00029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</si>
</sst>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$&quot;_);\(#,##0.00\ &quot;$&quot;\)"/>
    <numFmt numFmtId="164" formatCode="#,##0.00\ &quot;$&quot;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270">
        <stop position="0">
          <color theme="9" tint="0.80001220740379042"/>
        </stop>
        <stop position="1">
          <color theme="9" tint="0.40000610370189521"/>
        </stop>
      </gradientFill>
    </fill>
    <fill>
      <patternFill patternType="mediumGray">
        <fgColor theme="9" tint="0.79998168889431442"/>
        <bgColor theme="9" tint="0.79998168889431442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thin">
        <color theme="6" tint="-0.499984740745262"/>
      </bottom>
      <diagonal/>
    </border>
    <border>
      <left/>
      <right/>
      <top style="medium">
        <color theme="6" tint="-0.499984740745262"/>
      </top>
      <bottom style="thin">
        <color theme="6" tint="-0.499984740745262"/>
      </bottom>
      <diagonal/>
    </border>
    <border>
      <left style="medium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medium">
        <color theme="6" tint="-0.499984740745262"/>
      </left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 style="medium">
        <color theme="6" tint="-0.499984740745262"/>
      </left>
      <right style="hair">
        <color theme="6" tint="-0.499984740745262"/>
      </right>
      <top style="hair">
        <color theme="6" tint="0.39994506668294322"/>
      </top>
      <bottom style="medium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medium">
        <color theme="6" tint="-0.499984740745262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thick">
        <color rgb="FF000000"/>
      </left>
      <right style="hair">
        <color indexed="64"/>
      </right>
      <top style="thick">
        <color rgb="FF000000"/>
      </top>
      <bottom/>
      <diagonal/>
    </border>
    <border>
      <left style="hair">
        <color auto="1"/>
      </left>
      <right style="hair">
        <color auto="1"/>
      </right>
      <top style="thick">
        <color rgb="FF000000"/>
      </top>
      <bottom/>
      <diagonal/>
    </border>
    <border>
      <left style="hair">
        <color indexed="64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medium">
        <color theme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</borders>
  <cellStyleXfs count="1">
    <xf numFmtId="0" fontId="0" fillId="0" borderId="0"/>
  </cellStyleXfs>
  <cellXfs count="208">
    <xf numFmtId="0" fontId="0" fillId="0" borderId="0" xfId="0"/>
    <xf numFmtId="0" fontId="0" fillId="0" borderId="10" xfId="0" applyBorder="1" applyAlignment="1">
      <alignment horizontal="left"/>
    </xf>
    <xf numFmtId="0" fontId="0" fillId="2" borderId="0" xfId="0" applyFill="1"/>
    <xf numFmtId="0" fontId="0" fillId="2" borderId="0" xfId="0" applyFill="1" applyAlignment="1">
      <alignment horizontal="right"/>
    </xf>
    <xf numFmtId="0" fontId="3" fillId="4" borderId="6" xfId="0" applyFont="1" applyFill="1" applyBorder="1" applyAlignment="1">
      <alignment horizontal="center" vertical="center"/>
    </xf>
    <xf numFmtId="0" fontId="5" fillId="6" borderId="23" xfId="0" applyFont="1" applyFill="1" applyBorder="1" applyAlignment="1">
      <alignment horizontal="center"/>
    </xf>
    <xf numFmtId="0" fontId="5" fillId="6" borderId="24" xfId="0" applyFont="1" applyFill="1" applyBorder="1" applyAlignment="1">
      <alignment horizontal="center"/>
    </xf>
    <xf numFmtId="0" fontId="5" fillId="6" borderId="25" xfId="0" applyFont="1" applyFill="1" applyBorder="1" applyAlignment="1">
      <alignment horizontal="center"/>
    </xf>
    <xf numFmtId="0" fontId="0" fillId="0" borderId="26" xfId="0" applyBorder="1" applyAlignment="1" applyProtection="1">
      <alignment horizontal="left"/>
      <protection locked="0"/>
    </xf>
    <xf numFmtId="49" fontId="0" fillId="0" borderId="27" xfId="0" applyNumberFormat="1" applyBorder="1" applyAlignment="1" applyProtection="1">
      <alignment horizontal="center"/>
      <protection locked="0"/>
    </xf>
    <xf numFmtId="49" fontId="0" fillId="0" borderId="27" xfId="0" applyNumberFormat="1" applyBorder="1" applyAlignment="1" applyProtection="1">
      <alignment horizontal="left"/>
      <protection locked="0"/>
    </xf>
    <xf numFmtId="0" fontId="0" fillId="0" borderId="28" xfId="0" applyBorder="1" applyAlignment="1" applyProtection="1">
      <alignment horizontal="left"/>
      <protection locked="0"/>
    </xf>
    <xf numFmtId="49" fontId="0" fillId="0" borderId="29" xfId="0" applyNumberFormat="1" applyBorder="1" applyAlignment="1" applyProtection="1">
      <alignment horizontal="center"/>
      <protection locked="0"/>
    </xf>
    <xf numFmtId="49" fontId="0" fillId="0" borderId="29" xfId="0" applyNumberFormat="1" applyBorder="1" applyAlignment="1" applyProtection="1">
      <alignment horizontal="left"/>
      <protection locked="0"/>
    </xf>
    <xf numFmtId="49" fontId="0" fillId="0" borderId="0" xfId="0" applyNumberFormat="1"/>
    <xf numFmtId="0" fontId="0" fillId="0" borderId="7" xfId="0" applyBorder="1" applyAlignment="1">
      <alignment horizontal="left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14" fontId="2" fillId="3" borderId="30" xfId="0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0" fillId="0" borderId="30" xfId="0" applyBorder="1" applyAlignment="1">
      <alignment horizontal="center"/>
    </xf>
    <xf numFmtId="14" fontId="2" fillId="0" borderId="11" xfId="0" applyNumberFormat="1" applyFont="1" applyBorder="1" applyAlignment="1">
      <alignment horizontal="center"/>
    </xf>
    <xf numFmtId="14" fontId="0" fillId="3" borderId="5" xfId="0" applyNumberForma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/>
    </xf>
    <xf numFmtId="14" fontId="2" fillId="3" borderId="11" xfId="0" applyNumberFormat="1" applyFont="1" applyFill="1" applyBorder="1" applyAlignment="1">
      <alignment horizontal="center"/>
    </xf>
    <xf numFmtId="0" fontId="0" fillId="3" borderId="1" xfId="0" applyFill="1" applyBorder="1" applyProtection="1">
      <protection locked="0"/>
    </xf>
    <xf numFmtId="164" fontId="0" fillId="3" borderId="9" xfId="0" applyNumberFormat="1" applyFill="1" applyBorder="1" applyAlignment="1" applyProtection="1">
      <alignment horizontal="right"/>
      <protection locked="0"/>
    </xf>
    <xf numFmtId="164" fontId="0" fillId="3" borderId="12" xfId="0" applyNumberFormat="1" applyFill="1" applyBorder="1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14" fontId="2" fillId="0" borderId="32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164" fontId="0" fillId="0" borderId="6" xfId="0" applyNumberFormat="1" applyBorder="1"/>
    <xf numFmtId="0" fontId="7" fillId="0" borderId="9" xfId="0" applyFont="1" applyBorder="1" applyAlignment="1">
      <alignment horizontal="center"/>
    </xf>
    <xf numFmtId="0" fontId="2" fillId="0" borderId="9" xfId="0" applyFont="1" applyBorder="1"/>
    <xf numFmtId="0" fontId="0" fillId="0" borderId="9" xfId="0" applyBorder="1"/>
    <xf numFmtId="164" fontId="0" fillId="0" borderId="9" xfId="0" applyNumberFormat="1" applyBorder="1"/>
    <xf numFmtId="0" fontId="7" fillId="0" borderId="12" xfId="0" applyFont="1" applyBorder="1" applyAlignment="1">
      <alignment horizontal="center"/>
    </xf>
    <xf numFmtId="0" fontId="6" fillId="0" borderId="18" xfId="0" applyFont="1" applyBorder="1"/>
    <xf numFmtId="0" fontId="8" fillId="9" borderId="19" xfId="0" applyFont="1" applyFill="1" applyBorder="1"/>
    <xf numFmtId="0" fontId="1" fillId="9" borderId="19" xfId="0" applyFont="1" applyFill="1" applyBorder="1"/>
    <xf numFmtId="0" fontId="1" fillId="9" borderId="20" xfId="0" applyFont="1" applyFill="1" applyBorder="1"/>
    <xf numFmtId="164" fontId="0" fillId="0" borderId="0" xfId="0" applyNumberFormat="1"/>
    <xf numFmtId="0" fontId="0" fillId="0" borderId="7" xfId="0" applyBorder="1"/>
    <xf numFmtId="0" fontId="2" fillId="0" borderId="9" xfId="0" applyFont="1" applyBorder="1" applyAlignment="1">
      <alignment horizontal="center"/>
    </xf>
    <xf numFmtId="0" fontId="0" fillId="0" borderId="10" xfId="0" applyBorder="1"/>
    <xf numFmtId="0" fontId="0" fillId="0" borderId="12" xfId="0" applyBorder="1" applyAlignment="1">
      <alignment horizontal="center"/>
    </xf>
    <xf numFmtId="0" fontId="0" fillId="0" borderId="12" xfId="0" applyBorder="1"/>
    <xf numFmtId="0" fontId="8" fillId="9" borderId="18" xfId="0" applyFont="1" applyFill="1" applyBorder="1"/>
    <xf numFmtId="0" fontId="0" fillId="0" borderId="30" xfId="0" applyBorder="1"/>
    <xf numFmtId="164" fontId="0" fillId="0" borderId="30" xfId="0" applyNumberFormat="1" applyBorder="1"/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164" fontId="0" fillId="9" borderId="19" xfId="0" applyNumberFormat="1" applyFill="1" applyBorder="1"/>
    <xf numFmtId="0" fontId="0" fillId="9" borderId="20" xfId="0" applyFill="1" applyBorder="1"/>
    <xf numFmtId="0" fontId="8" fillId="9" borderId="12" xfId="0" applyFont="1" applyFill="1" applyBorder="1"/>
    <xf numFmtId="164" fontId="0" fillId="9" borderId="12" xfId="0" applyNumberFormat="1" applyFill="1" applyBorder="1"/>
    <xf numFmtId="0" fontId="0" fillId="9" borderId="31" xfId="0" applyFill="1" applyBorder="1"/>
    <xf numFmtId="0" fontId="2" fillId="0" borderId="32" xfId="0" applyFont="1" applyBorder="1" applyAlignment="1">
      <alignment horizontal="center"/>
    </xf>
    <xf numFmtId="0" fontId="2" fillId="0" borderId="32" xfId="0" applyFont="1" applyBorder="1"/>
    <xf numFmtId="0" fontId="0" fillId="0" borderId="32" xfId="0" applyBorder="1"/>
    <xf numFmtId="164" fontId="0" fillId="0" borderId="32" xfId="0" applyNumberFormat="1" applyBorder="1"/>
    <xf numFmtId="0" fontId="0" fillId="3" borderId="2" xfId="0" applyFill="1" applyBorder="1" applyProtection="1">
      <protection locked="0"/>
    </xf>
    <xf numFmtId="0" fontId="0" fillId="3" borderId="33" xfId="0" applyFill="1" applyBorder="1" applyProtection="1">
      <protection locked="0"/>
    </xf>
    <xf numFmtId="0" fontId="0" fillId="3" borderId="35" xfId="0" applyFill="1" applyBorder="1" applyProtection="1">
      <protection locked="0"/>
    </xf>
    <xf numFmtId="0" fontId="0" fillId="3" borderId="16" xfId="0" applyFill="1" applyBorder="1"/>
    <xf numFmtId="0" fontId="0" fillId="3" borderId="34" xfId="0" applyFill="1" applyBorder="1"/>
    <xf numFmtId="0" fontId="0" fillId="3" borderId="19" xfId="0" applyFill="1" applyBorder="1"/>
    <xf numFmtId="0" fontId="0" fillId="3" borderId="36" xfId="0" applyFill="1" applyBorder="1"/>
    <xf numFmtId="49" fontId="0" fillId="3" borderId="15" xfId="0" applyNumberFormat="1" applyFill="1" applyBorder="1" applyProtection="1">
      <protection locked="0"/>
    </xf>
    <xf numFmtId="49" fontId="0" fillId="3" borderId="18" xfId="0" applyNumberFormat="1" applyFill="1" applyBorder="1" applyProtection="1">
      <protection locked="0"/>
    </xf>
    <xf numFmtId="49" fontId="0" fillId="3" borderId="17" xfId="0" applyNumberFormat="1" applyFill="1" applyBorder="1"/>
    <xf numFmtId="49" fontId="0" fillId="3" borderId="20" xfId="0" applyNumberFormat="1" applyFill="1" applyBorder="1"/>
    <xf numFmtId="0" fontId="0" fillId="0" borderId="0" xfId="0" applyAlignment="1">
      <alignment horizontal="right"/>
    </xf>
    <xf numFmtId="0" fontId="0" fillId="3" borderId="3" xfId="0" applyFill="1" applyBorder="1"/>
    <xf numFmtId="0" fontId="0" fillId="3" borderId="4" xfId="0" applyFill="1" applyBorder="1"/>
    <xf numFmtId="14" fontId="0" fillId="0" borderId="6" xfId="0" applyNumberForma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left"/>
    </xf>
    <xf numFmtId="0" fontId="10" fillId="0" borderId="0" xfId="0" applyFont="1" applyAlignment="1">
      <alignment vertical="center"/>
    </xf>
    <xf numFmtId="0" fontId="0" fillId="0" borderId="6" xfId="0" applyBorder="1" applyAlignment="1">
      <alignment horizontal="left"/>
    </xf>
    <xf numFmtId="14" fontId="0" fillId="0" borderId="37" xfId="0" applyNumberForma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8" xfId="0" applyBorder="1" applyAlignment="1">
      <alignment horizontal="left"/>
    </xf>
    <xf numFmtId="0" fontId="0" fillId="0" borderId="38" xfId="0" applyBorder="1"/>
    <xf numFmtId="164" fontId="0" fillId="0" borderId="38" xfId="0" applyNumberFormat="1" applyBorder="1"/>
    <xf numFmtId="0" fontId="0" fillId="0" borderId="39" xfId="0" applyBorder="1"/>
    <xf numFmtId="14" fontId="2" fillId="0" borderId="40" xfId="0" applyNumberFormat="1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1" xfId="0" applyFont="1" applyBorder="1" applyAlignment="1">
      <alignment horizontal="left"/>
    </xf>
    <xf numFmtId="0" fontId="0" fillId="0" borderId="41" xfId="0" applyBorder="1"/>
    <xf numFmtId="164" fontId="0" fillId="0" borderId="41" xfId="0" applyNumberFormat="1" applyBorder="1"/>
    <xf numFmtId="0" fontId="0" fillId="0" borderId="42" xfId="0" applyBorder="1"/>
    <xf numFmtId="14" fontId="2" fillId="0" borderId="43" xfId="0" applyNumberFormat="1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44" xfId="0" applyFont="1" applyBorder="1" applyAlignment="1">
      <alignment horizontal="left"/>
    </xf>
    <xf numFmtId="0" fontId="0" fillId="2" borderId="45" xfId="0" applyFill="1" applyBorder="1" applyAlignment="1">
      <alignment horizontal="right"/>
    </xf>
    <xf numFmtId="0" fontId="0" fillId="2" borderId="46" xfId="0" applyFill="1" applyBorder="1"/>
    <xf numFmtId="0" fontId="0" fillId="2" borderId="47" xfId="0" applyFill="1" applyBorder="1"/>
    <xf numFmtId="0" fontId="0" fillId="2" borderId="48" xfId="0" applyFill="1" applyBorder="1" applyAlignment="1">
      <alignment horizontal="right"/>
    </xf>
    <xf numFmtId="0" fontId="0" fillId="2" borderId="49" xfId="0" applyFill="1" applyBorder="1"/>
    <xf numFmtId="0" fontId="0" fillId="2" borderId="50" xfId="0" applyFill="1" applyBorder="1"/>
    <xf numFmtId="0" fontId="11" fillId="2" borderId="0" xfId="0" applyFont="1" applyFill="1" applyAlignment="1">
      <alignment horizontal="right"/>
    </xf>
    <xf numFmtId="164" fontId="1" fillId="2" borderId="0" xfId="0" applyNumberFormat="1" applyFont="1" applyFill="1"/>
    <xf numFmtId="0" fontId="0" fillId="2" borderId="51" xfId="0" applyFill="1" applyBorder="1" applyAlignment="1">
      <alignment horizontal="right"/>
    </xf>
    <xf numFmtId="0" fontId="0" fillId="2" borderId="52" xfId="0" applyFill="1" applyBorder="1"/>
    <xf numFmtId="0" fontId="0" fillId="2" borderId="53" xfId="0" applyFill="1" applyBorder="1"/>
    <xf numFmtId="14" fontId="12" fillId="0" borderId="40" xfId="0" applyNumberFormat="1" applyFont="1" applyBorder="1" applyAlignment="1">
      <alignment horizontal="center"/>
    </xf>
    <xf numFmtId="0" fontId="12" fillId="0" borderId="41" xfId="0" applyFont="1" applyBorder="1" applyAlignment="1">
      <alignment horizontal="center"/>
    </xf>
    <xf numFmtId="0" fontId="12" fillId="0" borderId="41" xfId="0" applyFont="1" applyBorder="1" applyAlignment="1">
      <alignment horizontal="left"/>
    </xf>
    <xf numFmtId="14" fontId="12" fillId="0" borderId="43" xfId="0" applyNumberFormat="1" applyFont="1" applyBorder="1" applyAlignment="1">
      <alignment horizontal="center"/>
    </xf>
    <xf numFmtId="0" fontId="12" fillId="0" borderId="44" xfId="0" applyFont="1" applyBorder="1" applyAlignment="1">
      <alignment horizontal="center"/>
    </xf>
    <xf numFmtId="0" fontId="12" fillId="0" borderId="44" xfId="0" applyFont="1" applyBorder="1" applyAlignment="1">
      <alignment horizontal="left"/>
    </xf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11" borderId="33" xfId="0" applyFill="1" applyBorder="1" applyProtection="1">
      <protection locked="0"/>
    </xf>
    <xf numFmtId="0" fontId="0" fillId="11" borderId="16" xfId="0" applyFill="1" applyBorder="1"/>
    <xf numFmtId="0" fontId="0" fillId="11" borderId="34" xfId="0" applyFill="1" applyBorder="1"/>
    <xf numFmtId="164" fontId="0" fillId="11" borderId="9" xfId="0" applyNumberFormat="1" applyFill="1" applyBorder="1" applyAlignment="1" applyProtection="1">
      <alignment horizontal="right"/>
      <protection locked="0"/>
    </xf>
    <xf numFmtId="49" fontId="0" fillId="11" borderId="15" xfId="0" applyNumberFormat="1" applyFill="1" applyBorder="1" applyProtection="1">
      <protection locked="0"/>
    </xf>
    <xf numFmtId="49" fontId="0" fillId="11" borderId="17" xfId="0" applyNumberFormat="1" applyFill="1" applyBorder="1"/>
    <xf numFmtId="7" fontId="0" fillId="2" borderId="0" xfId="0" applyNumberFormat="1" applyFill="1"/>
    <xf numFmtId="4" fontId="0" fillId="0" borderId="0" xfId="0" applyNumberFormat="1" applyAlignment="1">
      <alignment horizontal="right"/>
    </xf>
    <xf numFmtId="0" fontId="4" fillId="10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5" fillId="5" borderId="21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12" fillId="0" borderId="54" xfId="0" applyFont="1" applyBorder="1" applyAlignment="1">
      <alignment horizontal="center"/>
    </xf>
    <xf numFmtId="0" fontId="12" fillId="0" borderId="54" xfId="0" applyFont="1" applyBorder="1" applyAlignment="1">
      <alignment horizontal="left"/>
    </xf>
    <xf numFmtId="14" fontId="0" fillId="0" borderId="37" xfId="0" applyNumberFormat="1" applyFont="1" applyBorder="1" applyAlignment="1">
      <alignment horizontal="center"/>
    </xf>
    <xf numFmtId="0" fontId="0" fillId="0" borderId="38" xfId="0" applyFont="1" applyBorder="1" applyAlignment="1">
      <alignment horizontal="center"/>
    </xf>
    <xf numFmtId="0" fontId="0" fillId="0" borderId="38" xfId="0" applyFont="1" applyBorder="1" applyAlignment="1">
      <alignment horizontal="left"/>
    </xf>
    <xf numFmtId="0" fontId="8" fillId="9" borderId="44" xfId="0" applyFont="1" applyFill="1" applyBorder="1"/>
    <xf numFmtId="0" fontId="0" fillId="9" borderId="55" xfId="0" applyFill="1" applyBorder="1"/>
    <xf numFmtId="0" fontId="0" fillId="8" borderId="0" xfId="0" applyFont="1" applyFill="1" applyAlignment="1">
      <alignment horizontal="center"/>
    </xf>
    <xf numFmtId="0" fontId="0" fillId="0" borderId="0" xfId="0" applyFont="1"/>
    <xf numFmtId="164" fontId="0" fillId="0" borderId="0" xfId="0" applyNumberFormat="1" applyFont="1"/>
    <xf numFmtId="0" fontId="0" fillId="2" borderId="56" xfId="0" applyFill="1" applyBorder="1" applyAlignment="1">
      <alignment horizontal="right"/>
    </xf>
    <xf numFmtId="0" fontId="0" fillId="0" borderId="37" xfId="0" applyFont="1" applyBorder="1" applyAlignment="1">
      <alignment horizontal="center"/>
    </xf>
    <xf numFmtId="0" fontId="12" fillId="0" borderId="40" xfId="0" applyFont="1" applyBorder="1" applyAlignment="1">
      <alignment horizontal="center"/>
    </xf>
    <xf numFmtId="0" fontId="12" fillId="0" borderId="43" xfId="0" applyFont="1" applyBorder="1" applyAlignment="1">
      <alignment horizontal="center"/>
    </xf>
    <xf numFmtId="14" fontId="0" fillId="0" borderId="5" xfId="0" applyNumberFormat="1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6" xfId="0" applyFont="1" applyBorder="1" applyAlignment="1">
      <alignment horizontal="left"/>
    </xf>
    <xf numFmtId="0" fontId="0" fillId="0" borderId="6" xfId="0" applyFont="1" applyBorder="1"/>
    <xf numFmtId="164" fontId="0" fillId="0" borderId="6" xfId="0" applyNumberFormat="1" applyFont="1" applyBorder="1"/>
    <xf numFmtId="0" fontId="0" fillId="0" borderId="7" xfId="0" applyFont="1" applyBorder="1"/>
    <xf numFmtId="14" fontId="12" fillId="0" borderId="8" xfId="0" applyNumberFormat="1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9" xfId="0" applyFont="1" applyBorder="1" applyAlignment="1">
      <alignment horizontal="left"/>
    </xf>
    <xf numFmtId="0" fontId="0" fillId="0" borderId="9" xfId="0" applyFont="1" applyBorder="1"/>
    <xf numFmtId="164" fontId="0" fillId="0" borderId="9" xfId="0" applyNumberFormat="1" applyFont="1" applyBorder="1"/>
    <xf numFmtId="0" fontId="0" fillId="0" borderId="10" xfId="0" applyFont="1" applyBorder="1"/>
    <xf numFmtId="14" fontId="12" fillId="0" borderId="11" xfId="0" applyNumberFormat="1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2" xfId="0" applyFont="1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/>
    <xf numFmtId="164" fontId="0" fillId="0" borderId="0" xfId="0" applyNumberFormat="1" applyBorder="1"/>
    <xf numFmtId="14" fontId="2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left"/>
    </xf>
    <xf numFmtId="14" fontId="12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0" fillId="0" borderId="0" xfId="0" applyFont="1" applyBorder="1"/>
    <xf numFmtId="164" fontId="0" fillId="0" borderId="0" xfId="0" applyNumberFormat="1" applyFont="1" applyBorder="1"/>
    <xf numFmtId="0" fontId="0" fillId="0" borderId="5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9" fillId="8" borderId="0" xfId="0" applyFont="1" applyFill="1" applyBorder="1" applyAlignment="1">
      <alignment horizontal="center" vertical="center" wrapText="1"/>
    </xf>
    <xf numFmtId="0" fontId="9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 wrapText="1"/>
    </xf>
    <xf numFmtId="164" fontId="9" fillId="7" borderId="0" xfId="0" applyNumberFormat="1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/>
    </xf>
    <xf numFmtId="0" fontId="0" fillId="8" borderId="0" xfId="0" applyFont="1" applyFill="1" applyBorder="1" applyAlignment="1">
      <alignment horizontal="center"/>
    </xf>
    <xf numFmtId="14" fontId="0" fillId="0" borderId="57" xfId="0" applyNumberFormat="1" applyFont="1" applyBorder="1" applyAlignment="1">
      <alignment horizontal="center"/>
    </xf>
    <xf numFmtId="0" fontId="0" fillId="0" borderId="58" xfId="0" applyFont="1" applyBorder="1" applyAlignment="1">
      <alignment horizontal="center"/>
    </xf>
    <xf numFmtId="0" fontId="0" fillId="0" borderId="58" xfId="0" applyFont="1" applyBorder="1" applyAlignment="1">
      <alignment horizontal="left"/>
    </xf>
    <xf numFmtId="0" fontId="0" fillId="0" borderId="58" xfId="0" applyFont="1" applyBorder="1"/>
    <xf numFmtId="164" fontId="0" fillId="0" borderId="58" xfId="0" applyNumberFormat="1" applyFont="1" applyBorder="1"/>
    <xf numFmtId="0" fontId="0" fillId="0" borderId="59" xfId="0" applyFont="1" applyBorder="1"/>
    <xf numFmtId="14" fontId="12" fillId="0" borderId="60" xfId="0" applyNumberFormat="1" applyFont="1" applyBorder="1" applyAlignment="1">
      <alignment horizontal="center"/>
    </xf>
    <xf numFmtId="0" fontId="0" fillId="0" borderId="54" xfId="0" applyFont="1" applyBorder="1"/>
    <xf numFmtId="164" fontId="0" fillId="0" borderId="54" xfId="0" applyNumberFormat="1" applyFont="1" applyBorder="1"/>
    <xf numFmtId="0" fontId="0" fillId="0" borderId="61" xfId="0" applyFont="1" applyBorder="1"/>
    <xf numFmtId="14" fontId="2" fillId="0" borderId="60" xfId="0" applyNumberFormat="1" applyFont="1" applyBorder="1" applyAlignment="1">
      <alignment horizontal="center"/>
    </xf>
    <xf numFmtId="0" fontId="2" fillId="0" borderId="54" xfId="0" applyFont="1" applyBorder="1" applyAlignment="1">
      <alignment horizontal="center"/>
    </xf>
    <xf numFmtId="0" fontId="2" fillId="0" borderId="54" xfId="0" applyFont="1" applyBorder="1" applyAlignment="1">
      <alignment horizontal="left"/>
    </xf>
    <xf numFmtId="14" fontId="2" fillId="0" borderId="62" xfId="0" applyNumberFormat="1" applyFont="1" applyBorder="1" applyAlignment="1">
      <alignment horizontal="center"/>
    </xf>
    <xf numFmtId="0" fontId="2" fillId="0" borderId="63" xfId="0" applyFont="1" applyBorder="1" applyAlignment="1">
      <alignment horizontal="center"/>
    </xf>
    <xf numFmtId="0" fontId="2" fillId="0" borderId="63" xfId="0" applyFont="1" applyBorder="1" applyAlignment="1">
      <alignment horizontal="left"/>
    </xf>
    <xf numFmtId="0" fontId="8" fillId="9" borderId="63" xfId="0" applyFont="1" applyFill="1" applyBorder="1"/>
    <xf numFmtId="0" fontId="0" fillId="9" borderId="64" xfId="0" applyFill="1" applyBorder="1"/>
    <xf numFmtId="14" fontId="2" fillId="0" borderId="65" xfId="0" applyNumberFormat="1" applyFont="1" applyBorder="1" applyAlignment="1">
      <alignment horizontal="center"/>
    </xf>
    <xf numFmtId="0" fontId="2" fillId="0" borderId="65" xfId="0" applyFont="1" applyBorder="1" applyAlignment="1">
      <alignment horizontal="center"/>
    </xf>
    <xf numFmtId="0" fontId="2" fillId="0" borderId="65" xfId="0" applyFont="1" applyBorder="1" applyAlignment="1">
      <alignment horizontal="left"/>
    </xf>
    <xf numFmtId="0" fontId="0" fillId="0" borderId="65" xfId="0" applyFont="1" applyBorder="1"/>
    <xf numFmtId="164" fontId="0" fillId="0" borderId="65" xfId="0" applyNumberFormat="1" applyFont="1" applyBorder="1"/>
  </cellXfs>
  <cellStyles count="1">
    <cellStyle name="Normal" xfId="0" builtinId="0"/>
  </cellStyles>
  <dxfs count="21"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Post_J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24826" y="43624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972550" y="460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sp macro="" textlink="">
          <xdr:nvSpPr>
            <xdr:cNvPr id="1027" name="ckbRecurren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AFA4-5E99-4987-80D6-41DEF2A58238}">
  <sheetPr codeName="wshJE"/>
  <dimension ref="A1:J145"/>
  <sheetViews>
    <sheetView showGridLines="0" workbookViewId="0">
      <selection activeCell="E4" sqref="E4"/>
    </sheetView>
  </sheetViews>
  <sheetFormatPr baseColWidth="10" defaultRowHeight="15" x14ac:dyDescent="0.25"/>
  <cols>
    <col min="1" max="1" width="17" style="75" bestFit="1" customWidth="1"/>
    <col min="2" max="2" width="11.42578125" style="17"/>
    <col min="3" max="3" width="5.7109375" style="2" customWidth="1"/>
    <col min="4" max="4" width="13" style="3" customWidth="1"/>
    <col min="5" max="5" width="16.7109375" style="2" customWidth="1"/>
    <col min="6" max="6" width="5.7109375" style="2" customWidth="1"/>
    <col min="7" max="8" width="14.7109375" style="2" customWidth="1"/>
    <col min="9" max="9" width="25.7109375" style="2" customWidth="1"/>
    <col min="10" max="10" width="14.140625" style="2" customWidth="1"/>
    <col min="11" max="11" width="5.7109375" style="2" customWidth="1"/>
    <col min="12" max="16384" width="11.42578125" style="2"/>
  </cols>
  <sheetData>
    <row r="1" spans="1:10" x14ac:dyDescent="0.25">
      <c r="A1" s="75" t="s">
        <v>144</v>
      </c>
      <c r="B1" s="30">
        <v>30</v>
      </c>
      <c r="D1" s="125" t="s">
        <v>8</v>
      </c>
      <c r="E1" s="125"/>
      <c r="F1" s="125"/>
      <c r="G1" s="125"/>
      <c r="H1" s="125"/>
      <c r="I1" s="125"/>
      <c r="J1" s="125"/>
    </row>
    <row r="2" spans="1:10" x14ac:dyDescent="0.25">
      <c r="B2" s="124"/>
      <c r="C2" s="123"/>
      <c r="D2" s="125"/>
      <c r="E2" s="125"/>
      <c r="F2" s="125"/>
      <c r="G2" s="125"/>
      <c r="H2" s="125"/>
      <c r="I2" s="125"/>
      <c r="J2" s="125"/>
    </row>
    <row r="3" spans="1:10" x14ac:dyDescent="0.25">
      <c r="B3" s="124"/>
    </row>
    <row r="4" spans="1:10" x14ac:dyDescent="0.25">
      <c r="D4" s="105" t="s">
        <v>4</v>
      </c>
      <c r="E4" s="27"/>
      <c r="I4" s="105" t="s">
        <v>7</v>
      </c>
      <c r="J4" s="116" t="s">
        <v>175</v>
      </c>
    </row>
    <row r="6" spans="1:10" x14ac:dyDescent="0.25">
      <c r="D6" s="105" t="s">
        <v>5</v>
      </c>
      <c r="E6" s="64"/>
      <c r="F6" s="76"/>
      <c r="G6" s="76"/>
      <c r="H6" s="76"/>
      <c r="I6" s="76"/>
      <c r="J6" s="77"/>
    </row>
    <row r="7" spans="1:10" ht="15.75" thickBot="1" x14ac:dyDescent="0.3"/>
    <row r="8" spans="1:10" x14ac:dyDescent="0.25">
      <c r="D8" s="126" t="s">
        <v>1</v>
      </c>
      <c r="E8" s="127"/>
      <c r="F8" s="127"/>
      <c r="G8" s="4" t="s">
        <v>2</v>
      </c>
      <c r="H8" s="4" t="s">
        <v>3</v>
      </c>
      <c r="I8" s="128" t="s">
        <v>6</v>
      </c>
      <c r="J8" s="129"/>
    </row>
    <row r="9" spans="1:10" x14ac:dyDescent="0.25">
      <c r="D9" s="65"/>
      <c r="E9" s="67"/>
      <c r="F9" s="68"/>
      <c r="G9" s="28"/>
      <c r="H9" s="28"/>
      <c r="I9" s="71"/>
      <c r="J9" s="73"/>
    </row>
    <row r="10" spans="1:10" x14ac:dyDescent="0.25">
      <c r="D10" s="117"/>
      <c r="E10" s="118"/>
      <c r="F10" s="119"/>
      <c r="G10" s="120"/>
      <c r="H10" s="120"/>
      <c r="I10" s="121"/>
      <c r="J10" s="122"/>
    </row>
    <row r="11" spans="1:10" x14ac:dyDescent="0.25">
      <c r="D11" s="65"/>
      <c r="E11" s="67"/>
      <c r="F11" s="68"/>
      <c r="G11" s="28"/>
      <c r="H11" s="28"/>
      <c r="I11" s="71"/>
      <c r="J11" s="73"/>
    </row>
    <row r="12" spans="1:10" x14ac:dyDescent="0.25">
      <c r="D12" s="117"/>
      <c r="E12" s="118"/>
      <c r="F12" s="119"/>
      <c r="G12" s="120"/>
      <c r="H12" s="120"/>
      <c r="I12" s="121"/>
      <c r="J12" s="122"/>
    </row>
    <row r="13" spans="1:10" x14ac:dyDescent="0.25">
      <c r="D13" s="65"/>
      <c r="E13" s="67"/>
      <c r="F13" s="68"/>
      <c r="G13" s="28"/>
      <c r="H13" s="28"/>
      <c r="I13" s="71"/>
      <c r="J13" s="73"/>
    </row>
    <row r="14" spans="1:10" x14ac:dyDescent="0.25">
      <c r="D14" s="117"/>
      <c r="E14" s="118"/>
      <c r="F14" s="119"/>
      <c r="G14" s="120"/>
      <c r="H14" s="120"/>
      <c r="I14" s="121"/>
      <c r="J14" s="122"/>
    </row>
    <row r="15" spans="1:10" x14ac:dyDescent="0.25">
      <c r="D15" s="65"/>
      <c r="E15" s="67"/>
      <c r="F15" s="68"/>
      <c r="G15" s="28"/>
      <c r="H15" s="28"/>
      <c r="I15" s="71"/>
      <c r="J15" s="73"/>
    </row>
    <row r="16" spans="1:10" x14ac:dyDescent="0.25">
      <c r="D16" s="117"/>
      <c r="E16" s="118"/>
      <c r="F16" s="119"/>
      <c r="G16" s="120"/>
      <c r="H16" s="120"/>
      <c r="I16" s="121"/>
      <c r="J16" s="122"/>
    </row>
    <row r="17" spans="4:10" x14ac:dyDescent="0.25">
      <c r="D17" s="65"/>
      <c r="E17" s="67"/>
      <c r="F17" s="68"/>
      <c r="G17" s="28"/>
      <c r="H17" s="28"/>
      <c r="I17" s="71"/>
      <c r="J17" s="73"/>
    </row>
    <row r="18" spans="4:10" x14ac:dyDescent="0.25">
      <c r="D18" s="117"/>
      <c r="E18" s="118"/>
      <c r="F18" s="119"/>
      <c r="G18" s="120"/>
      <c r="H18" s="120"/>
      <c r="I18" s="121"/>
      <c r="J18" s="122"/>
    </row>
    <row r="19" spans="4:10" x14ac:dyDescent="0.25">
      <c r="D19" s="65"/>
      <c r="E19" s="67"/>
      <c r="F19" s="68"/>
      <c r="G19" s="28"/>
      <c r="H19" s="28"/>
      <c r="I19" s="71"/>
      <c r="J19" s="73"/>
    </row>
    <row r="20" spans="4:10" x14ac:dyDescent="0.25">
      <c r="D20" s="117"/>
      <c r="E20" s="118"/>
      <c r="F20" s="119"/>
      <c r="G20" s="120"/>
      <c r="H20" s="120"/>
      <c r="I20" s="121"/>
      <c r="J20" s="122"/>
    </row>
    <row r="21" spans="4:10" x14ac:dyDescent="0.25">
      <c r="D21" s="65"/>
      <c r="E21" s="67"/>
      <c r="F21" s="68"/>
      <c r="G21" s="28"/>
      <c r="H21" s="28"/>
      <c r="I21" s="71"/>
      <c r="J21" s="73"/>
    </row>
    <row r="22" spans="4:10" x14ac:dyDescent="0.25">
      <c r="D22" s="117"/>
      <c r="E22" s="118"/>
      <c r="F22" s="119"/>
      <c r="G22" s="120"/>
      <c r="H22" s="120"/>
      <c r="I22" s="121"/>
      <c r="J22" s="122"/>
    </row>
    <row r="23" spans="4:10" ht="15.75" thickBot="1" x14ac:dyDescent="0.3">
      <c r="D23" s="66"/>
      <c r="E23" s="69"/>
      <c r="F23" s="70"/>
      <c r="G23" s="29"/>
      <c r="H23" s="29"/>
      <c r="I23" s="72"/>
      <c r="J23" s="74"/>
    </row>
    <row r="25" spans="4:10" x14ac:dyDescent="0.25">
      <c r="G25" s="106">
        <f>SUM(G9:G23)</f>
        <v>0</v>
      </c>
      <c r="H25" s="106">
        <f>SUM(H9:H23)</f>
        <v>0</v>
      </c>
    </row>
    <row r="117" spans="4:10" ht="15.75" thickBot="1" x14ac:dyDescent="0.3"/>
    <row r="118" spans="4:10" ht="16.5" thickTop="1" thickBot="1" x14ac:dyDescent="0.3">
      <c r="D118" s="107"/>
      <c r="E118" s="108"/>
      <c r="F118" s="108"/>
      <c r="G118" s="108"/>
      <c r="H118" s="108"/>
      <c r="I118" s="108"/>
      <c r="J118" s="109"/>
    </row>
    <row r="119" spans="4:10" ht="15.75" thickTop="1" x14ac:dyDescent="0.25">
      <c r="D119" s="99"/>
      <c r="E119" s="100"/>
      <c r="F119" s="100"/>
      <c r="G119" s="100"/>
      <c r="H119" s="100"/>
      <c r="I119" s="100"/>
      <c r="J119" s="101"/>
    </row>
    <row r="120" spans="4:10" ht="15.75" thickBot="1" x14ac:dyDescent="0.3">
      <c r="D120" s="102"/>
      <c r="E120" s="103"/>
      <c r="F120" s="103"/>
      <c r="G120" s="103"/>
      <c r="H120" s="103"/>
      <c r="I120" s="103"/>
      <c r="J120" s="104"/>
    </row>
    <row r="121" spans="4:10" ht="16.5" thickTop="1" thickBot="1" x14ac:dyDescent="0.3">
      <c r="D121" s="102"/>
      <c r="E121" s="103"/>
      <c r="F121" s="103"/>
      <c r="G121" s="103"/>
      <c r="H121" s="103"/>
      <c r="I121" s="103"/>
      <c r="J121" s="104"/>
    </row>
    <row r="122" spans="4:10" ht="15.75" thickTop="1" x14ac:dyDescent="0.25"/>
    <row r="143" spans="4:4" ht="15.75" thickBot="1" x14ac:dyDescent="0.3"/>
    <row r="144" spans="4:4" ht="16.5" thickTop="1" thickBot="1" x14ac:dyDescent="0.3">
      <c r="D144" s="144"/>
    </row>
    <row r="145" ht="15.75" thickTop="1" x14ac:dyDescent="0.25"/>
  </sheetData>
  <sheetProtection algorithmName="SHA-512" hashValue="me77fmhv0Gnmvmy/JTutplil+iU4AB7bYZj4kdp9hmmbwJOTa0K2A7axIFfIpCBDLr/OscqBKUYQtGbvc2L0Yw==" saltValue="PZSfWceaDLZ5LRGaa1gSmA==" spinCount="100000" sheet="1" formatCells="0" selectLockedCells="1" sort="0" autoFilter="0" pivotTables="0"/>
  <mergeCells count="3">
    <mergeCell ref="D1:J2"/>
    <mergeCell ref="D8:F8"/>
    <mergeCell ref="I8:J8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kbRecurrente">
          <controlPr defaultSize="0" autoLine="0" r:id="rId5">
            <anchor moveWithCells="1">
              <from>
                <xdr:col>3</xdr:col>
                <xdr:colOff>0</xdr:colOff>
                <xdr:row>23</xdr:row>
                <xdr:rowOff>142875</xdr:rowOff>
              </from>
              <to>
                <xdr:col>4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027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44579B-7F34-4E85-9596-0314C26FCE54}">
          <x14:formula1>
            <xm:f>PlanComptable!$A$3:$A$62</xm:f>
          </x14:formula1>
          <xm:sqref>D9:D23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0BA5-8169-47C8-81D7-14B9EE8F6463}">
  <sheetPr codeName="wshGL">
    <pageSetUpPr fitToPage="1"/>
  </sheetPr>
  <dimension ref="C1:K444"/>
  <sheetViews>
    <sheetView tabSelected="1" workbookViewId="0">
      <pane ySplit="1" topLeftCell="A144" activePane="bottomLeft" state="frozen"/>
      <selection pane="bottomLeft" activeCell="K168" sqref="K168:K169"/>
    </sheetView>
  </sheetViews>
  <sheetFormatPr baseColWidth="10" defaultRowHeight="15" x14ac:dyDescent="0.25"/>
  <cols>
    <col min="3" max="3" width="5.7109375" style="16" customWidth="1"/>
    <col min="4" max="4" width="12.7109375" style="17" customWidth="1"/>
    <col min="5" max="5" width="8.7109375" style="17" customWidth="1"/>
    <col min="6" max="6" width="16.140625" style="81" bestFit="1" customWidth="1"/>
    <col min="7" max="7" width="37.5703125" customWidth="1"/>
    <col min="8" max="9" width="13.7109375" style="44" customWidth="1"/>
    <col min="10" max="10" width="30.28515625" customWidth="1"/>
    <col min="11" max="11" width="5.7109375" style="16" customWidth="1"/>
  </cols>
  <sheetData>
    <row r="1" spans="3:11" s="82" customFormat="1" ht="30.75" thickBot="1" x14ac:dyDescent="0.3">
      <c r="C1" s="178" t="s">
        <v>143</v>
      </c>
      <c r="D1" s="179" t="s">
        <v>141</v>
      </c>
      <c r="E1" s="180" t="s">
        <v>140</v>
      </c>
      <c r="F1" s="179" t="s">
        <v>0</v>
      </c>
      <c r="G1" s="179" t="s">
        <v>1</v>
      </c>
      <c r="H1" s="181" t="s">
        <v>2</v>
      </c>
      <c r="I1" s="181" t="s">
        <v>3</v>
      </c>
      <c r="J1" s="179" t="s">
        <v>142</v>
      </c>
      <c r="K1" s="182"/>
    </row>
    <row r="2" spans="3:11" x14ac:dyDescent="0.25">
      <c r="C2" s="183">
        <v>1</v>
      </c>
      <c r="D2" s="24">
        <v>45204</v>
      </c>
      <c r="E2" s="32">
        <v>1</v>
      </c>
      <c r="F2" s="33" t="s">
        <v>139</v>
      </c>
      <c r="G2" s="33">
        <f>EJ!D9</f>
        <v>0</v>
      </c>
      <c r="H2" s="34">
        <f>EJ!G9</f>
        <v>0</v>
      </c>
      <c r="I2" s="34"/>
      <c r="J2" s="15"/>
      <c r="K2" s="183">
        <f>ROW()</f>
        <v>2</v>
      </c>
    </row>
    <row r="3" spans="3:11" ht="15.75" x14ac:dyDescent="0.25">
      <c r="C3" s="183">
        <v>1</v>
      </c>
      <c r="D3" s="25">
        <v>45204</v>
      </c>
      <c r="E3" s="35">
        <v>1</v>
      </c>
      <c r="F3" s="36" t="s">
        <v>139</v>
      </c>
      <c r="G3" s="37">
        <f>EJ!D10</f>
        <v>0</v>
      </c>
      <c r="H3" s="38"/>
      <c r="I3" s="38">
        <f>EJ!H10</f>
        <v>0</v>
      </c>
      <c r="J3" s="1"/>
      <c r="K3" s="183">
        <f>ROW()</f>
        <v>3</v>
      </c>
    </row>
    <row r="4" spans="3:11" ht="16.5" thickBot="1" x14ac:dyDescent="0.3">
      <c r="C4" s="183">
        <v>1</v>
      </c>
      <c r="D4" s="26">
        <v>45204</v>
      </c>
      <c r="E4" s="39">
        <v>1</v>
      </c>
      <c r="F4" s="40"/>
      <c r="G4" s="41" t="s">
        <v>145</v>
      </c>
      <c r="H4" s="42"/>
      <c r="I4" s="42"/>
      <c r="J4" s="43"/>
      <c r="K4" s="183">
        <f>ROW()</f>
        <v>4</v>
      </c>
    </row>
    <row r="5" spans="3:11" ht="15.75" thickBot="1" x14ac:dyDescent="0.3">
      <c r="C5" s="183">
        <v>1</v>
      </c>
      <c r="D5" s="18">
        <v>45204</v>
      </c>
      <c r="E5" s="163">
        <v>1</v>
      </c>
      <c r="F5" s="164"/>
      <c r="G5" s="164"/>
      <c r="H5" s="165"/>
      <c r="I5" s="165"/>
      <c r="J5" s="164"/>
      <c r="K5" s="183">
        <f>ROW()</f>
        <v>5</v>
      </c>
    </row>
    <row r="6" spans="3:11" x14ac:dyDescent="0.25">
      <c r="C6" s="183">
        <v>2</v>
      </c>
      <c r="D6" s="19">
        <v>45204</v>
      </c>
      <c r="E6" s="32">
        <v>2</v>
      </c>
      <c r="F6" s="33" t="s">
        <v>139</v>
      </c>
      <c r="G6" s="33" t="s">
        <v>107</v>
      </c>
      <c r="H6" s="34">
        <v>250</v>
      </c>
      <c r="I6" s="34"/>
      <c r="J6" s="45"/>
      <c r="K6" s="183">
        <f>ROW()</f>
        <v>6</v>
      </c>
    </row>
    <row r="7" spans="3:11" x14ac:dyDescent="0.25">
      <c r="C7" s="183">
        <v>2</v>
      </c>
      <c r="D7" s="21">
        <v>45204</v>
      </c>
      <c r="E7" s="46">
        <v>2</v>
      </c>
      <c r="F7" s="36" t="s">
        <v>139</v>
      </c>
      <c r="G7" s="37" t="s">
        <v>13</v>
      </c>
      <c r="H7" s="38"/>
      <c r="I7" s="38">
        <v>250</v>
      </c>
      <c r="J7" s="47"/>
      <c r="K7" s="183">
        <f>ROW()</f>
        <v>7</v>
      </c>
    </row>
    <row r="8" spans="3:11" ht="15.75" thickBot="1" x14ac:dyDescent="0.3">
      <c r="C8" s="183">
        <v>2</v>
      </c>
      <c r="D8" s="20"/>
      <c r="E8" s="48"/>
      <c r="F8" s="49"/>
      <c r="G8" s="50" t="s">
        <v>145</v>
      </c>
      <c r="H8" s="42"/>
      <c r="I8" s="42"/>
      <c r="J8" s="43"/>
      <c r="K8" s="183">
        <f>ROW()</f>
        <v>8</v>
      </c>
    </row>
    <row r="9" spans="3:11" ht="15.75" thickBot="1" x14ac:dyDescent="0.3">
      <c r="C9" s="183">
        <v>2</v>
      </c>
      <c r="D9" s="22"/>
      <c r="E9" s="22"/>
      <c r="F9" s="51"/>
      <c r="G9" s="51"/>
      <c r="H9" s="52"/>
      <c r="I9" s="52"/>
      <c r="J9" s="51"/>
      <c r="K9" s="183">
        <f>ROW()</f>
        <v>9</v>
      </c>
    </row>
    <row r="10" spans="3:11" x14ac:dyDescent="0.25">
      <c r="C10" s="183">
        <v>3</v>
      </c>
      <c r="D10" s="19">
        <v>45204</v>
      </c>
      <c r="E10" s="32">
        <v>3</v>
      </c>
      <c r="F10" s="33" t="s">
        <v>139</v>
      </c>
      <c r="G10" s="33" t="s">
        <v>107</v>
      </c>
      <c r="H10" s="34">
        <v>49.95</v>
      </c>
      <c r="I10" s="34"/>
      <c r="J10" s="45"/>
      <c r="K10" s="183">
        <f>ROW()</f>
        <v>10</v>
      </c>
    </row>
    <row r="11" spans="3:11" x14ac:dyDescent="0.25">
      <c r="C11" s="183">
        <v>3</v>
      </c>
      <c r="D11" s="21">
        <v>45204</v>
      </c>
      <c r="E11" s="46">
        <v>2</v>
      </c>
      <c r="F11" s="36" t="s">
        <v>139</v>
      </c>
      <c r="G11" s="37" t="s">
        <v>13</v>
      </c>
      <c r="H11" s="38"/>
      <c r="I11" s="38">
        <v>49.95</v>
      </c>
      <c r="J11" s="47"/>
      <c r="K11" s="183">
        <f>ROW()</f>
        <v>11</v>
      </c>
    </row>
    <row r="12" spans="3:11" ht="15.75" thickBot="1" x14ac:dyDescent="0.3">
      <c r="C12" s="183">
        <v>3</v>
      </c>
      <c r="D12" s="23">
        <v>45204</v>
      </c>
      <c r="E12" s="53">
        <v>2</v>
      </c>
      <c r="F12" s="54" t="s">
        <v>139</v>
      </c>
      <c r="G12" s="50" t="s">
        <v>145</v>
      </c>
      <c r="H12" s="55"/>
      <c r="I12" s="55"/>
      <c r="J12" s="56"/>
      <c r="K12" s="183">
        <f>ROW()</f>
        <v>12</v>
      </c>
    </row>
    <row r="13" spans="3:11" ht="15.75" thickBot="1" x14ac:dyDescent="0.3">
      <c r="C13" s="183">
        <v>3</v>
      </c>
      <c r="D13" s="166"/>
      <c r="E13" s="163"/>
      <c r="F13" s="167"/>
      <c r="G13" s="164"/>
      <c r="H13" s="165"/>
      <c r="I13" s="165"/>
      <c r="J13" s="164"/>
      <c r="K13" s="183">
        <f>ROW()</f>
        <v>13</v>
      </c>
    </row>
    <row r="14" spans="3:11" x14ac:dyDescent="0.25">
      <c r="C14" s="183">
        <v>4</v>
      </c>
      <c r="D14" s="19">
        <v>45203</v>
      </c>
      <c r="E14" s="32">
        <v>4</v>
      </c>
      <c r="F14" s="33" t="s">
        <v>146</v>
      </c>
      <c r="G14" s="33" t="s">
        <v>23</v>
      </c>
      <c r="H14" s="34">
        <v>2300</v>
      </c>
      <c r="I14" s="34"/>
      <c r="J14" s="45"/>
      <c r="K14" s="183">
        <f>ROW()</f>
        <v>14</v>
      </c>
    </row>
    <row r="15" spans="3:11" x14ac:dyDescent="0.25">
      <c r="C15" s="183">
        <v>4</v>
      </c>
      <c r="D15" s="21">
        <v>45203</v>
      </c>
      <c r="E15" s="46">
        <v>4</v>
      </c>
      <c r="F15" s="36" t="s">
        <v>146</v>
      </c>
      <c r="G15" s="37" t="s">
        <v>19</v>
      </c>
      <c r="H15" s="38"/>
      <c r="I15" s="38">
        <v>985.45</v>
      </c>
      <c r="J15" s="47"/>
      <c r="K15" s="183">
        <f>ROW()</f>
        <v>15</v>
      </c>
    </row>
    <row r="16" spans="3:11" x14ac:dyDescent="0.25">
      <c r="C16" s="183">
        <v>4</v>
      </c>
      <c r="D16" s="21">
        <v>45203</v>
      </c>
      <c r="E16" s="46">
        <v>4</v>
      </c>
      <c r="F16" s="36" t="s">
        <v>146</v>
      </c>
      <c r="G16" s="37" t="s">
        <v>25</v>
      </c>
      <c r="H16" s="38">
        <v>4589</v>
      </c>
      <c r="I16" s="38"/>
      <c r="J16" s="47"/>
      <c r="K16" s="183">
        <f>ROW()</f>
        <v>16</v>
      </c>
    </row>
    <row r="17" spans="3:11" x14ac:dyDescent="0.25">
      <c r="C17" s="183">
        <v>4</v>
      </c>
      <c r="D17" s="21">
        <v>45203</v>
      </c>
      <c r="E17" s="46">
        <v>4</v>
      </c>
      <c r="F17" s="36" t="s">
        <v>146</v>
      </c>
      <c r="G17" s="37" t="s">
        <v>21</v>
      </c>
      <c r="H17" s="38"/>
      <c r="I17" s="38">
        <v>1750</v>
      </c>
      <c r="J17" s="47"/>
      <c r="K17" s="183">
        <f>ROW()</f>
        <v>17</v>
      </c>
    </row>
    <row r="18" spans="3:11" x14ac:dyDescent="0.25">
      <c r="C18" s="183">
        <v>4</v>
      </c>
      <c r="D18" s="21">
        <v>45203</v>
      </c>
      <c r="E18" s="46">
        <v>4</v>
      </c>
      <c r="F18" s="36" t="s">
        <v>146</v>
      </c>
      <c r="G18" s="37" t="s">
        <v>13</v>
      </c>
      <c r="H18" s="38"/>
      <c r="I18" s="38">
        <v>4153.55</v>
      </c>
      <c r="J18" s="47"/>
      <c r="K18" s="183">
        <f>ROW()</f>
        <v>18</v>
      </c>
    </row>
    <row r="19" spans="3:11" ht="15.75" thickBot="1" x14ac:dyDescent="0.3">
      <c r="C19" s="183">
        <v>4</v>
      </c>
      <c r="D19" s="23">
        <v>45203</v>
      </c>
      <c r="E19" s="53">
        <v>4</v>
      </c>
      <c r="F19" s="54" t="s">
        <v>146</v>
      </c>
      <c r="G19" s="50" t="s">
        <v>147</v>
      </c>
      <c r="H19" s="55"/>
      <c r="I19" s="55"/>
      <c r="J19" s="56"/>
      <c r="K19" s="183">
        <f>ROW()</f>
        <v>19</v>
      </c>
    </row>
    <row r="20" spans="3:11" ht="15.75" thickBot="1" x14ac:dyDescent="0.3">
      <c r="C20" s="183">
        <v>4</v>
      </c>
      <c r="D20" s="166">
        <v>45203</v>
      </c>
      <c r="E20" s="163">
        <v>4</v>
      </c>
      <c r="F20" s="167" t="s">
        <v>146</v>
      </c>
      <c r="G20" s="164"/>
      <c r="H20" s="165"/>
      <c r="I20" s="165"/>
      <c r="J20" s="164"/>
      <c r="K20" s="183">
        <f>ROW()</f>
        <v>20</v>
      </c>
    </row>
    <row r="21" spans="3:11" x14ac:dyDescent="0.25">
      <c r="C21" s="183">
        <v>5</v>
      </c>
      <c r="D21" s="19">
        <v>45204</v>
      </c>
      <c r="E21" s="32">
        <v>5</v>
      </c>
      <c r="F21" s="33" t="s">
        <v>148</v>
      </c>
      <c r="G21" s="33" t="s">
        <v>15</v>
      </c>
      <c r="H21" s="34">
        <v>1228.72</v>
      </c>
      <c r="I21" s="34"/>
      <c r="J21" s="45"/>
      <c r="K21" s="183">
        <f>ROW()</f>
        <v>21</v>
      </c>
    </row>
    <row r="22" spans="3:11" x14ac:dyDescent="0.25">
      <c r="C22" s="183">
        <v>5</v>
      </c>
      <c r="D22" s="21">
        <v>45204</v>
      </c>
      <c r="E22" s="46">
        <v>5</v>
      </c>
      <c r="F22" s="36" t="s">
        <v>148</v>
      </c>
      <c r="G22" s="37" t="s">
        <v>88</v>
      </c>
      <c r="H22" s="38"/>
      <c r="I22" s="38">
        <v>1625</v>
      </c>
      <c r="J22" s="47"/>
      <c r="K22" s="183">
        <f>ROW()</f>
        <v>22</v>
      </c>
    </row>
    <row r="23" spans="3:11" x14ac:dyDescent="0.25">
      <c r="C23" s="183">
        <v>5</v>
      </c>
      <c r="D23" s="21">
        <v>45204</v>
      </c>
      <c r="E23" s="46">
        <v>5</v>
      </c>
      <c r="F23" s="36" t="s">
        <v>148</v>
      </c>
      <c r="G23" s="37" t="s">
        <v>121</v>
      </c>
      <c r="H23" s="38"/>
      <c r="I23" s="38">
        <v>31</v>
      </c>
      <c r="J23" s="47"/>
      <c r="K23" s="183">
        <f>ROW()</f>
        <v>23</v>
      </c>
    </row>
    <row r="24" spans="3:11" x14ac:dyDescent="0.25">
      <c r="C24" s="183">
        <v>5</v>
      </c>
      <c r="D24" s="21">
        <v>45204</v>
      </c>
      <c r="E24" s="46">
        <v>5</v>
      </c>
      <c r="F24" s="36" t="s">
        <v>148</v>
      </c>
      <c r="G24" s="37" t="s">
        <v>119</v>
      </c>
      <c r="H24" s="38"/>
      <c r="I24" s="38">
        <v>32</v>
      </c>
      <c r="J24" s="47"/>
      <c r="K24" s="183">
        <f>ROW()</f>
        <v>24</v>
      </c>
    </row>
    <row r="25" spans="3:11" x14ac:dyDescent="0.25">
      <c r="C25" s="183">
        <v>5</v>
      </c>
      <c r="D25" s="21">
        <v>45204</v>
      </c>
      <c r="E25" s="46">
        <v>5</v>
      </c>
      <c r="F25" s="36" t="s">
        <v>148</v>
      </c>
      <c r="G25" s="37" t="s">
        <v>123</v>
      </c>
      <c r="H25" s="38"/>
      <c r="I25" s="38">
        <v>33</v>
      </c>
      <c r="J25" s="47"/>
      <c r="K25" s="183">
        <f>ROW()</f>
        <v>25</v>
      </c>
    </row>
    <row r="26" spans="3:11" x14ac:dyDescent="0.25">
      <c r="C26" s="183">
        <v>5</v>
      </c>
      <c r="D26" s="21">
        <v>45204</v>
      </c>
      <c r="E26" s="46">
        <v>5</v>
      </c>
      <c r="F26" s="36" t="s">
        <v>148</v>
      </c>
      <c r="G26" s="37" t="s">
        <v>23</v>
      </c>
      <c r="H26" s="38"/>
      <c r="I26" s="38">
        <v>86.05</v>
      </c>
      <c r="J26" s="47"/>
      <c r="K26" s="183">
        <f>ROW()</f>
        <v>26</v>
      </c>
    </row>
    <row r="27" spans="3:11" x14ac:dyDescent="0.25">
      <c r="C27" s="183">
        <v>5</v>
      </c>
      <c r="D27" s="21">
        <v>45204</v>
      </c>
      <c r="E27" s="46">
        <v>5</v>
      </c>
      <c r="F27" s="36" t="s">
        <v>148</v>
      </c>
      <c r="G27" s="37" t="s">
        <v>25</v>
      </c>
      <c r="H27" s="38"/>
      <c r="I27" s="38">
        <v>171.67</v>
      </c>
      <c r="J27" s="47"/>
      <c r="K27" s="183">
        <f>ROW()</f>
        <v>27</v>
      </c>
    </row>
    <row r="28" spans="3:11" x14ac:dyDescent="0.25">
      <c r="C28" s="183">
        <v>5</v>
      </c>
      <c r="D28" s="21">
        <v>45204</v>
      </c>
      <c r="E28" s="46">
        <v>5</v>
      </c>
      <c r="F28" s="36" t="s">
        <v>148</v>
      </c>
      <c r="G28" s="37" t="s">
        <v>33</v>
      </c>
      <c r="H28" s="38">
        <v>750</v>
      </c>
      <c r="I28" s="38"/>
      <c r="J28" s="47"/>
      <c r="K28" s="183">
        <f>ROW()</f>
        <v>28</v>
      </c>
    </row>
    <row r="29" spans="3:11" ht="15.75" thickBot="1" x14ac:dyDescent="0.3">
      <c r="C29" s="183">
        <v>5</v>
      </c>
      <c r="D29" s="23">
        <v>45204</v>
      </c>
      <c r="E29" s="53">
        <v>5</v>
      </c>
      <c r="F29" s="54" t="s">
        <v>148</v>
      </c>
      <c r="G29" s="57" t="s">
        <v>149</v>
      </c>
      <c r="H29" s="58"/>
      <c r="I29" s="58"/>
      <c r="J29" s="59"/>
      <c r="K29" s="183">
        <f>ROW()</f>
        <v>29</v>
      </c>
    </row>
    <row r="30" spans="3:11" ht="15.75" thickBot="1" x14ac:dyDescent="0.3">
      <c r="C30" s="183">
        <v>5</v>
      </c>
      <c r="D30" s="31">
        <v>45204</v>
      </c>
      <c r="E30" s="60">
        <v>5</v>
      </c>
      <c r="F30" s="61" t="s">
        <v>148</v>
      </c>
      <c r="G30" s="62"/>
      <c r="H30" s="63"/>
      <c r="I30" s="63"/>
      <c r="J30" s="62"/>
      <c r="K30" s="183">
        <f>ROW()</f>
        <v>30</v>
      </c>
    </row>
    <row r="31" spans="3:11" x14ac:dyDescent="0.25">
      <c r="C31" s="183">
        <v>6</v>
      </c>
      <c r="D31" s="19">
        <v>45204</v>
      </c>
      <c r="E31" s="32">
        <v>6</v>
      </c>
      <c r="F31" s="33" t="s">
        <v>148</v>
      </c>
      <c r="G31" s="33" t="s">
        <v>15</v>
      </c>
      <c r="H31" s="34">
        <v>1228.72</v>
      </c>
      <c r="I31" s="34"/>
      <c r="J31" s="45"/>
      <c r="K31" s="183">
        <f>ROW()</f>
        <v>31</v>
      </c>
    </row>
    <row r="32" spans="3:11" x14ac:dyDescent="0.25">
      <c r="C32" s="183">
        <v>6</v>
      </c>
      <c r="D32" s="21">
        <v>45204</v>
      </c>
      <c r="E32" s="46">
        <v>6</v>
      </c>
      <c r="F32" s="36" t="s">
        <v>148</v>
      </c>
      <c r="G32" s="37" t="s">
        <v>88</v>
      </c>
      <c r="H32" s="38"/>
      <c r="I32" s="38">
        <v>1625</v>
      </c>
      <c r="J32" s="47"/>
      <c r="K32" s="183">
        <f>ROW()</f>
        <v>32</v>
      </c>
    </row>
    <row r="33" spans="3:11" x14ac:dyDescent="0.25">
      <c r="C33" s="183">
        <v>6</v>
      </c>
      <c r="D33" s="21">
        <v>45204</v>
      </c>
      <c r="E33" s="46">
        <v>6</v>
      </c>
      <c r="F33" s="36" t="s">
        <v>148</v>
      </c>
      <c r="G33" s="37" t="s">
        <v>121</v>
      </c>
      <c r="H33" s="38"/>
      <c r="I33" s="38">
        <v>31</v>
      </c>
      <c r="J33" s="47"/>
      <c r="K33" s="183">
        <f>ROW()</f>
        <v>33</v>
      </c>
    </row>
    <row r="34" spans="3:11" x14ac:dyDescent="0.25">
      <c r="C34" s="183">
        <v>6</v>
      </c>
      <c r="D34" s="21">
        <v>45204</v>
      </c>
      <c r="E34" s="46">
        <v>6</v>
      </c>
      <c r="F34" s="36" t="s">
        <v>148</v>
      </c>
      <c r="G34" s="37" t="s">
        <v>119</v>
      </c>
      <c r="H34" s="38"/>
      <c r="I34" s="38">
        <v>32</v>
      </c>
      <c r="J34" s="47"/>
      <c r="K34" s="183">
        <f>ROW()</f>
        <v>34</v>
      </c>
    </row>
    <row r="35" spans="3:11" x14ac:dyDescent="0.25">
      <c r="C35" s="183">
        <v>6</v>
      </c>
      <c r="D35" s="21">
        <v>45204</v>
      </c>
      <c r="E35" s="46">
        <v>6</v>
      </c>
      <c r="F35" s="36" t="s">
        <v>148</v>
      </c>
      <c r="G35" s="37" t="s">
        <v>123</v>
      </c>
      <c r="H35" s="38"/>
      <c r="I35" s="38">
        <v>33</v>
      </c>
      <c r="J35" s="47"/>
      <c r="K35" s="183">
        <f>ROW()</f>
        <v>35</v>
      </c>
    </row>
    <row r="36" spans="3:11" x14ac:dyDescent="0.25">
      <c r="C36" s="183">
        <v>6</v>
      </c>
      <c r="D36" s="21">
        <v>45204</v>
      </c>
      <c r="E36" s="46">
        <v>6</v>
      </c>
      <c r="F36" s="36" t="s">
        <v>148</v>
      </c>
      <c r="G36" s="37" t="s">
        <v>23</v>
      </c>
      <c r="H36" s="38"/>
      <c r="I36" s="38">
        <v>86.05</v>
      </c>
      <c r="J36" s="47"/>
      <c r="K36" s="183">
        <f>ROW()</f>
        <v>36</v>
      </c>
    </row>
    <row r="37" spans="3:11" x14ac:dyDescent="0.25">
      <c r="C37" s="183">
        <v>6</v>
      </c>
      <c r="D37" s="21">
        <v>45204</v>
      </c>
      <c r="E37" s="46">
        <v>6</v>
      </c>
      <c r="F37" s="36" t="s">
        <v>148</v>
      </c>
      <c r="G37" s="37" t="s">
        <v>25</v>
      </c>
      <c r="H37" s="38"/>
      <c r="I37" s="38">
        <v>171.67</v>
      </c>
      <c r="J37" s="47"/>
      <c r="K37" s="183">
        <f>ROW()</f>
        <v>37</v>
      </c>
    </row>
    <row r="38" spans="3:11" x14ac:dyDescent="0.25">
      <c r="C38" s="183">
        <v>6</v>
      </c>
      <c r="D38" s="21">
        <v>45204</v>
      </c>
      <c r="E38" s="46">
        <v>6</v>
      </c>
      <c r="F38" s="36" t="s">
        <v>148</v>
      </c>
      <c r="G38" s="37" t="s">
        <v>33</v>
      </c>
      <c r="H38" s="38">
        <v>750</v>
      </c>
      <c r="I38" s="38"/>
      <c r="J38" s="47"/>
      <c r="K38" s="183">
        <f>ROW()</f>
        <v>38</v>
      </c>
    </row>
    <row r="39" spans="3:11" ht="15.75" thickBot="1" x14ac:dyDescent="0.3">
      <c r="C39" s="183">
        <v>6</v>
      </c>
      <c r="D39" s="23">
        <v>45204</v>
      </c>
      <c r="E39" s="53">
        <v>6</v>
      </c>
      <c r="F39" s="54" t="s">
        <v>148</v>
      </c>
      <c r="G39" s="50" t="s">
        <v>149</v>
      </c>
      <c r="H39" s="55"/>
      <c r="I39" s="55"/>
      <c r="J39" s="56"/>
      <c r="K39" s="183">
        <f>ROW()</f>
        <v>39</v>
      </c>
    </row>
    <row r="40" spans="3:11" ht="15.75" thickBot="1" x14ac:dyDescent="0.3">
      <c r="C40" s="183">
        <v>6</v>
      </c>
      <c r="D40" s="166">
        <v>45204</v>
      </c>
      <c r="E40" s="163">
        <v>6</v>
      </c>
      <c r="F40" s="167" t="s">
        <v>148</v>
      </c>
      <c r="G40" s="164"/>
      <c r="H40" s="165"/>
      <c r="I40" s="165"/>
      <c r="J40" s="164"/>
      <c r="K40" s="183"/>
    </row>
    <row r="41" spans="3:11" x14ac:dyDescent="0.25">
      <c r="C41" s="183">
        <v>7</v>
      </c>
      <c r="D41" s="19">
        <v>45203</v>
      </c>
      <c r="E41" s="32">
        <v>7</v>
      </c>
      <c r="F41" s="33" t="s">
        <v>150</v>
      </c>
      <c r="G41" s="33" t="s">
        <v>15</v>
      </c>
      <c r="H41" s="34">
        <v>430.11</v>
      </c>
      <c r="I41" s="34"/>
      <c r="J41" s="45"/>
      <c r="K41" s="183">
        <f>ROW()</f>
        <v>41</v>
      </c>
    </row>
    <row r="42" spans="3:11" x14ac:dyDescent="0.25">
      <c r="C42" s="183">
        <v>7</v>
      </c>
      <c r="D42" s="21">
        <v>45203</v>
      </c>
      <c r="E42" s="46">
        <v>7</v>
      </c>
      <c r="F42" s="36" t="s">
        <v>150</v>
      </c>
      <c r="G42" s="37" t="s">
        <v>88</v>
      </c>
      <c r="H42" s="38"/>
      <c r="I42" s="38">
        <v>612.5</v>
      </c>
      <c r="J42" s="47"/>
      <c r="K42" s="183">
        <f>ROW()</f>
        <v>42</v>
      </c>
    </row>
    <row r="43" spans="3:11" x14ac:dyDescent="0.25">
      <c r="C43" s="183">
        <v>7</v>
      </c>
      <c r="D43" s="21">
        <v>45203</v>
      </c>
      <c r="E43" s="46">
        <v>7</v>
      </c>
      <c r="F43" s="36" t="s">
        <v>150</v>
      </c>
      <c r="G43" s="37" t="s">
        <v>121</v>
      </c>
      <c r="H43" s="38"/>
      <c r="I43" s="38">
        <v>21</v>
      </c>
      <c r="J43" s="47"/>
      <c r="K43" s="183">
        <f>ROW()</f>
        <v>43</v>
      </c>
    </row>
    <row r="44" spans="3:11" x14ac:dyDescent="0.25">
      <c r="C44" s="183">
        <v>7</v>
      </c>
      <c r="D44" s="21">
        <v>45203</v>
      </c>
      <c r="E44" s="46">
        <v>7</v>
      </c>
      <c r="F44" s="36" t="s">
        <v>150</v>
      </c>
      <c r="G44" s="37" t="s">
        <v>119</v>
      </c>
      <c r="H44" s="38"/>
      <c r="I44" s="38">
        <v>22</v>
      </c>
      <c r="J44" s="47"/>
      <c r="K44" s="183">
        <f>ROW()</f>
        <v>44</v>
      </c>
    </row>
    <row r="45" spans="3:11" x14ac:dyDescent="0.25">
      <c r="C45" s="183">
        <v>7</v>
      </c>
      <c r="D45" s="21">
        <v>45203</v>
      </c>
      <c r="E45" s="46">
        <v>7</v>
      </c>
      <c r="F45" s="36" t="s">
        <v>150</v>
      </c>
      <c r="G45" s="37" t="s">
        <v>123</v>
      </c>
      <c r="H45" s="38"/>
      <c r="I45" s="38">
        <v>23</v>
      </c>
      <c r="J45" s="47"/>
      <c r="K45" s="183">
        <f>ROW()</f>
        <v>45</v>
      </c>
    </row>
    <row r="46" spans="3:11" x14ac:dyDescent="0.25">
      <c r="C46" s="183">
        <v>7</v>
      </c>
      <c r="D46" s="21">
        <v>45203</v>
      </c>
      <c r="E46" s="46">
        <v>7</v>
      </c>
      <c r="F46" s="36" t="s">
        <v>150</v>
      </c>
      <c r="G46" s="37" t="s">
        <v>23</v>
      </c>
      <c r="H46" s="38"/>
      <c r="I46" s="38">
        <v>33.93</v>
      </c>
      <c r="J46" s="47"/>
      <c r="K46" s="183">
        <f>ROW()</f>
        <v>46</v>
      </c>
    </row>
    <row r="47" spans="3:11" x14ac:dyDescent="0.25">
      <c r="C47" s="183">
        <v>7</v>
      </c>
      <c r="D47" s="21">
        <v>45203</v>
      </c>
      <c r="E47" s="46">
        <v>7</v>
      </c>
      <c r="F47" s="36" t="s">
        <v>150</v>
      </c>
      <c r="G47" s="37" t="s">
        <v>25</v>
      </c>
      <c r="H47" s="38"/>
      <c r="I47" s="38">
        <v>67.680000000000007</v>
      </c>
      <c r="J47" s="47"/>
      <c r="K47" s="183">
        <f>ROW()</f>
        <v>47</v>
      </c>
    </row>
    <row r="48" spans="3:11" x14ac:dyDescent="0.25">
      <c r="C48" s="183">
        <v>7</v>
      </c>
      <c r="D48" s="21">
        <v>45203</v>
      </c>
      <c r="E48" s="46">
        <v>7</v>
      </c>
      <c r="F48" s="36" t="s">
        <v>150</v>
      </c>
      <c r="G48" s="37" t="s">
        <v>33</v>
      </c>
      <c r="H48" s="38">
        <v>350</v>
      </c>
      <c r="I48" s="38"/>
      <c r="J48" s="47"/>
      <c r="K48" s="183">
        <f>ROW()</f>
        <v>48</v>
      </c>
    </row>
    <row r="49" spans="3:11" ht="15.75" thickBot="1" x14ac:dyDescent="0.3">
      <c r="C49" s="183">
        <v>7</v>
      </c>
      <c r="D49" s="23">
        <v>45203</v>
      </c>
      <c r="E49" s="53">
        <v>7</v>
      </c>
      <c r="F49" s="54" t="s">
        <v>150</v>
      </c>
      <c r="G49" s="50" t="s">
        <v>151</v>
      </c>
      <c r="H49" s="55"/>
      <c r="I49" s="55"/>
      <c r="J49" s="56"/>
      <c r="K49" s="183">
        <f>ROW()</f>
        <v>49</v>
      </c>
    </row>
    <row r="50" spans="3:11" ht="15.75" thickBot="1" x14ac:dyDescent="0.3">
      <c r="C50" s="183">
        <v>7</v>
      </c>
      <c r="D50" s="166">
        <v>45203</v>
      </c>
      <c r="E50" s="163">
        <v>7</v>
      </c>
      <c r="F50" s="167" t="s">
        <v>150</v>
      </c>
      <c r="G50" s="164"/>
      <c r="H50" s="165"/>
      <c r="I50" s="165"/>
      <c r="J50" s="164"/>
      <c r="K50" s="183">
        <f>ROW()</f>
        <v>50</v>
      </c>
    </row>
    <row r="51" spans="3:11" x14ac:dyDescent="0.25">
      <c r="C51" s="183">
        <v>8</v>
      </c>
      <c r="D51" s="19">
        <v>45204</v>
      </c>
      <c r="E51" s="32">
        <v>8</v>
      </c>
      <c r="F51" s="33" t="s">
        <v>152</v>
      </c>
      <c r="G51" s="33" t="s">
        <v>15</v>
      </c>
      <c r="H51" s="34">
        <v>1248.6300000000001</v>
      </c>
      <c r="I51" s="34"/>
      <c r="J51" s="45"/>
      <c r="K51" s="183">
        <f>ROW()</f>
        <v>51</v>
      </c>
    </row>
    <row r="52" spans="3:11" x14ac:dyDescent="0.25">
      <c r="C52" s="183">
        <v>8</v>
      </c>
      <c r="D52" s="21">
        <v>45204</v>
      </c>
      <c r="E52" s="46">
        <v>8</v>
      </c>
      <c r="F52" s="36" t="s">
        <v>152</v>
      </c>
      <c r="G52" s="37" t="s">
        <v>88</v>
      </c>
      <c r="H52" s="38"/>
      <c r="I52" s="38">
        <v>1050</v>
      </c>
      <c r="J52" s="47"/>
      <c r="K52" s="183">
        <f>ROW()</f>
        <v>52</v>
      </c>
    </row>
    <row r="53" spans="3:11" x14ac:dyDescent="0.25">
      <c r="C53" s="183">
        <v>8</v>
      </c>
      <c r="D53" s="21">
        <v>45204</v>
      </c>
      <c r="E53" s="46">
        <v>8</v>
      </c>
      <c r="F53" s="36" t="s">
        <v>152</v>
      </c>
      <c r="G53" s="37" t="s">
        <v>121</v>
      </c>
      <c r="H53" s="38"/>
      <c r="I53" s="38">
        <v>11</v>
      </c>
      <c r="J53" s="47"/>
      <c r="K53" s="183">
        <f>ROW()</f>
        <v>53</v>
      </c>
    </row>
    <row r="54" spans="3:11" x14ac:dyDescent="0.25">
      <c r="C54" s="183">
        <v>8</v>
      </c>
      <c r="D54" s="21">
        <v>45204</v>
      </c>
      <c r="E54" s="46">
        <v>8</v>
      </c>
      <c r="F54" s="36" t="s">
        <v>152</v>
      </c>
      <c r="G54" s="37" t="s">
        <v>119</v>
      </c>
      <c r="H54" s="38"/>
      <c r="I54" s="38">
        <v>12</v>
      </c>
      <c r="J54" s="47"/>
      <c r="K54" s="183">
        <f>ROW()</f>
        <v>54</v>
      </c>
    </row>
    <row r="55" spans="3:11" x14ac:dyDescent="0.25">
      <c r="C55" s="183">
        <v>8</v>
      </c>
      <c r="D55" s="21">
        <v>45204</v>
      </c>
      <c r="E55" s="46">
        <v>8</v>
      </c>
      <c r="F55" s="36" t="s">
        <v>152</v>
      </c>
      <c r="G55" s="37" t="s">
        <v>123</v>
      </c>
      <c r="H55" s="38"/>
      <c r="I55" s="38">
        <v>13</v>
      </c>
      <c r="J55" s="47"/>
      <c r="K55" s="183">
        <f>ROW()</f>
        <v>55</v>
      </c>
    </row>
    <row r="56" spans="3:11" x14ac:dyDescent="0.25">
      <c r="C56" s="183">
        <v>8</v>
      </c>
      <c r="D56" s="21">
        <v>45204</v>
      </c>
      <c r="E56" s="46">
        <v>8</v>
      </c>
      <c r="F56" s="36" t="s">
        <v>152</v>
      </c>
      <c r="G56" s="37" t="s">
        <v>23</v>
      </c>
      <c r="H56" s="38"/>
      <c r="I56" s="38">
        <v>54.3</v>
      </c>
      <c r="J56" s="47"/>
      <c r="K56" s="183">
        <f>ROW()</f>
        <v>56</v>
      </c>
    </row>
    <row r="57" spans="3:11" x14ac:dyDescent="0.25">
      <c r="C57" s="183">
        <v>8</v>
      </c>
      <c r="D57" s="21">
        <v>45204</v>
      </c>
      <c r="E57" s="46">
        <v>8</v>
      </c>
      <c r="F57" s="36" t="s">
        <v>152</v>
      </c>
      <c r="G57" s="37" t="s">
        <v>25</v>
      </c>
      <c r="H57" s="38"/>
      <c r="I57" s="38">
        <v>108.33</v>
      </c>
      <c r="J57" s="47"/>
      <c r="K57" s="183">
        <f>ROW()</f>
        <v>57</v>
      </c>
    </row>
    <row r="58" spans="3:11" ht="15.75" thickBot="1" x14ac:dyDescent="0.3">
      <c r="C58" s="183">
        <v>8</v>
      </c>
      <c r="D58" s="23">
        <v>45204</v>
      </c>
      <c r="E58" s="53">
        <v>8</v>
      </c>
      <c r="F58" s="54" t="s">
        <v>152</v>
      </c>
      <c r="G58" s="50" t="s">
        <v>153</v>
      </c>
      <c r="H58" s="55"/>
      <c r="I58" s="55"/>
      <c r="J58" s="56"/>
      <c r="K58" s="183">
        <f>ROW()</f>
        <v>58</v>
      </c>
    </row>
    <row r="59" spans="3:11" ht="15.75" thickBot="1" x14ac:dyDescent="0.3">
      <c r="C59" s="183">
        <v>8</v>
      </c>
      <c r="D59" s="166">
        <v>45204</v>
      </c>
      <c r="E59" s="163">
        <v>8</v>
      </c>
      <c r="F59" s="167" t="s">
        <v>152</v>
      </c>
      <c r="G59" s="164"/>
      <c r="H59" s="165"/>
      <c r="I59" s="165"/>
      <c r="J59" s="164"/>
      <c r="K59" s="183">
        <f>ROW()</f>
        <v>59</v>
      </c>
    </row>
    <row r="60" spans="3:11" x14ac:dyDescent="0.25">
      <c r="C60" s="183">
        <v>9</v>
      </c>
      <c r="D60" s="19">
        <v>45205</v>
      </c>
      <c r="E60" s="32">
        <v>9</v>
      </c>
      <c r="F60" s="33" t="s">
        <v>154</v>
      </c>
      <c r="G60" s="33" t="s">
        <v>13</v>
      </c>
      <c r="H60" s="34">
        <v>1248.6300000000001</v>
      </c>
      <c r="I60" s="34"/>
      <c r="J60" s="45"/>
      <c r="K60" s="183">
        <f>ROW()</f>
        <v>60</v>
      </c>
    </row>
    <row r="61" spans="3:11" x14ac:dyDescent="0.25">
      <c r="C61" s="183">
        <v>9</v>
      </c>
      <c r="D61" s="21">
        <v>45205</v>
      </c>
      <c r="E61" s="46">
        <v>9</v>
      </c>
      <c r="F61" s="36" t="s">
        <v>154</v>
      </c>
      <c r="G61" s="37" t="s">
        <v>15</v>
      </c>
      <c r="H61" s="38"/>
      <c r="I61" s="38">
        <v>1248.6300000000001</v>
      </c>
      <c r="J61" s="47"/>
      <c r="K61" s="183">
        <f>ROW()</f>
        <v>61</v>
      </c>
    </row>
    <row r="62" spans="3:11" ht="15.75" thickBot="1" x14ac:dyDescent="0.3">
      <c r="C62" s="183">
        <v>9</v>
      </c>
      <c r="D62" s="23">
        <v>45205</v>
      </c>
      <c r="E62" s="53">
        <v>9</v>
      </c>
      <c r="F62" s="54" t="s">
        <v>154</v>
      </c>
      <c r="G62" s="50" t="s">
        <v>155</v>
      </c>
      <c r="H62" s="55"/>
      <c r="I62" s="55"/>
      <c r="J62" s="56"/>
      <c r="K62" s="183">
        <f>ROW()</f>
        <v>62</v>
      </c>
    </row>
    <row r="63" spans="3:11" ht="15.75" thickBot="1" x14ac:dyDescent="0.3">
      <c r="C63" s="183">
        <v>9</v>
      </c>
      <c r="D63" s="166">
        <v>45205</v>
      </c>
      <c r="E63" s="163">
        <v>9</v>
      </c>
      <c r="F63" s="167" t="s">
        <v>154</v>
      </c>
      <c r="G63" s="164"/>
      <c r="H63" s="165"/>
      <c r="I63" s="165"/>
      <c r="J63" s="164"/>
      <c r="K63" s="183">
        <f>ROW()</f>
        <v>63</v>
      </c>
    </row>
    <row r="64" spans="3:11" x14ac:dyDescent="0.25">
      <c r="C64" s="183">
        <v>10</v>
      </c>
      <c r="D64" s="19">
        <v>45205</v>
      </c>
      <c r="E64" s="32">
        <v>10</v>
      </c>
      <c r="F64" s="33" t="s">
        <v>154</v>
      </c>
      <c r="G64" s="33" t="s">
        <v>13</v>
      </c>
      <c r="H64" s="34">
        <v>1228.72</v>
      </c>
      <c r="I64" s="34"/>
      <c r="J64" s="45"/>
      <c r="K64" s="183">
        <f>ROW()</f>
        <v>64</v>
      </c>
    </row>
    <row r="65" spans="3:11" x14ac:dyDescent="0.25">
      <c r="C65" s="183">
        <v>10</v>
      </c>
      <c r="D65" s="21">
        <v>45205</v>
      </c>
      <c r="E65" s="46">
        <v>10</v>
      </c>
      <c r="F65" s="36" t="s">
        <v>154</v>
      </c>
      <c r="G65" s="37" t="s">
        <v>15</v>
      </c>
      <c r="H65" s="38"/>
      <c r="I65" s="38">
        <v>1228.72</v>
      </c>
      <c r="J65" s="47"/>
      <c r="K65" s="183">
        <f>ROW()</f>
        <v>65</v>
      </c>
    </row>
    <row r="66" spans="3:11" ht="15.75" thickBot="1" x14ac:dyDescent="0.3">
      <c r="C66" s="183">
        <v>10</v>
      </c>
      <c r="D66" s="23">
        <v>45205</v>
      </c>
      <c r="E66" s="53">
        <v>10</v>
      </c>
      <c r="F66" s="54" t="s">
        <v>154</v>
      </c>
      <c r="G66" s="50" t="s">
        <v>149</v>
      </c>
      <c r="H66" s="55"/>
      <c r="I66" s="55"/>
      <c r="J66" s="56"/>
      <c r="K66" s="183">
        <f>ROW()</f>
        <v>66</v>
      </c>
    </row>
    <row r="67" spans="3:11" ht="15.75" thickBot="1" x14ac:dyDescent="0.3">
      <c r="C67" s="183">
        <v>10</v>
      </c>
      <c r="D67" s="168"/>
      <c r="E67" s="168"/>
      <c r="F67" s="164"/>
      <c r="G67" s="164"/>
      <c r="H67" s="165"/>
      <c r="I67" s="165"/>
      <c r="J67" s="164"/>
      <c r="K67" s="183">
        <v>67</v>
      </c>
    </row>
    <row r="68" spans="3:11" x14ac:dyDescent="0.25">
      <c r="C68" s="183">
        <v>11</v>
      </c>
      <c r="D68" s="19">
        <v>45205</v>
      </c>
      <c r="E68" s="32">
        <v>11</v>
      </c>
      <c r="F68" s="33" t="s">
        <v>156</v>
      </c>
      <c r="G68" s="33" t="s">
        <v>85</v>
      </c>
      <c r="H68" s="34">
        <v>5000</v>
      </c>
      <c r="I68" s="34"/>
      <c r="J68" s="45"/>
      <c r="K68" s="183">
        <f>ROW()</f>
        <v>68</v>
      </c>
    </row>
    <row r="69" spans="3:11" x14ac:dyDescent="0.25">
      <c r="C69" s="183">
        <v>11</v>
      </c>
      <c r="D69" s="21">
        <v>45205</v>
      </c>
      <c r="E69" s="46">
        <v>11</v>
      </c>
      <c r="F69" s="36" t="s">
        <v>156</v>
      </c>
      <c r="G69" s="37" t="s">
        <v>13</v>
      </c>
      <c r="H69" s="38"/>
      <c r="I69" s="38">
        <v>5000</v>
      </c>
      <c r="J69" s="47"/>
      <c r="K69" s="183">
        <f>ROW()</f>
        <v>69</v>
      </c>
    </row>
    <row r="70" spans="3:11" ht="15.75" thickBot="1" x14ac:dyDescent="0.3">
      <c r="C70" s="183">
        <v>11</v>
      </c>
      <c r="D70" s="23">
        <v>45205</v>
      </c>
      <c r="E70" s="53">
        <v>11</v>
      </c>
      <c r="F70" s="54" t="s">
        <v>156</v>
      </c>
      <c r="G70" s="50" t="s">
        <v>157</v>
      </c>
      <c r="H70" s="55"/>
      <c r="I70" s="55"/>
      <c r="J70" s="56"/>
      <c r="K70" s="183">
        <f>ROW()</f>
        <v>70</v>
      </c>
    </row>
    <row r="71" spans="3:11" ht="15.75" thickBot="1" x14ac:dyDescent="0.3">
      <c r="C71" s="183">
        <v>11</v>
      </c>
      <c r="D71" s="166">
        <v>45205</v>
      </c>
      <c r="E71" s="163">
        <v>11</v>
      </c>
      <c r="F71" s="167" t="s">
        <v>156</v>
      </c>
      <c r="G71" s="164"/>
      <c r="H71" s="165"/>
      <c r="I71" s="165"/>
      <c r="J71" s="164"/>
      <c r="K71" s="183">
        <f>ROW()</f>
        <v>71</v>
      </c>
    </row>
    <row r="72" spans="3:11" x14ac:dyDescent="0.25">
      <c r="C72" s="183">
        <v>12</v>
      </c>
      <c r="D72" s="19">
        <v>45205</v>
      </c>
      <c r="E72" s="32">
        <v>12</v>
      </c>
      <c r="F72" s="33"/>
      <c r="G72" s="33" t="s">
        <v>35</v>
      </c>
      <c r="H72" s="34">
        <v>3995.99</v>
      </c>
      <c r="I72" s="34"/>
      <c r="J72" s="45"/>
      <c r="K72" s="183">
        <f>ROW()</f>
        <v>72</v>
      </c>
    </row>
    <row r="73" spans="3:11" x14ac:dyDescent="0.25">
      <c r="C73" s="183">
        <v>12</v>
      </c>
      <c r="D73" s="21">
        <v>45205</v>
      </c>
      <c r="E73" s="46">
        <v>12</v>
      </c>
      <c r="F73" s="36"/>
      <c r="G73" s="37" t="s">
        <v>19</v>
      </c>
      <c r="H73" s="38">
        <v>199.8</v>
      </c>
      <c r="I73" s="38"/>
      <c r="J73" s="47"/>
      <c r="K73" s="183">
        <f>ROW()</f>
        <v>73</v>
      </c>
    </row>
    <row r="74" spans="3:11" x14ac:dyDescent="0.25">
      <c r="C74" s="183">
        <v>12</v>
      </c>
      <c r="D74" s="21">
        <v>45205</v>
      </c>
      <c r="E74" s="46">
        <v>12</v>
      </c>
      <c r="F74" s="36"/>
      <c r="G74" s="37" t="s">
        <v>21</v>
      </c>
      <c r="H74" s="38">
        <v>389.61</v>
      </c>
      <c r="I74" s="38"/>
      <c r="J74" s="47"/>
      <c r="K74" s="183">
        <f>ROW()</f>
        <v>74</v>
      </c>
    </row>
    <row r="75" spans="3:11" x14ac:dyDescent="0.25">
      <c r="C75" s="183">
        <v>12</v>
      </c>
      <c r="D75" s="21">
        <v>45205</v>
      </c>
      <c r="E75" s="46">
        <v>12</v>
      </c>
      <c r="F75" s="36"/>
      <c r="G75" s="37" t="s">
        <v>54</v>
      </c>
      <c r="H75" s="38"/>
      <c r="I75" s="38">
        <v>4585.3999999999996</v>
      </c>
      <c r="J75" s="47"/>
      <c r="K75" s="183">
        <f>ROW()</f>
        <v>75</v>
      </c>
    </row>
    <row r="76" spans="3:11" ht="15.75" thickBot="1" x14ac:dyDescent="0.3">
      <c r="C76" s="183">
        <v>12</v>
      </c>
      <c r="D76" s="23">
        <v>45205</v>
      </c>
      <c r="E76" s="53">
        <v>12</v>
      </c>
      <c r="F76" s="54"/>
      <c r="G76" s="50" t="s">
        <v>159</v>
      </c>
      <c r="H76" s="55"/>
      <c r="I76" s="55"/>
      <c r="J76" s="56"/>
      <c r="K76" s="183">
        <f>ROW()</f>
        <v>76</v>
      </c>
    </row>
    <row r="77" spans="3:11" ht="15.75" thickBot="1" x14ac:dyDescent="0.3">
      <c r="C77" s="183">
        <v>12</v>
      </c>
      <c r="D77" s="166">
        <v>45205</v>
      </c>
      <c r="E77" s="163">
        <v>12</v>
      </c>
      <c r="F77" s="167"/>
      <c r="G77" s="164"/>
      <c r="H77" s="165"/>
      <c r="I77" s="165"/>
      <c r="J77" s="164"/>
      <c r="K77" s="183">
        <f>ROW()</f>
        <v>77</v>
      </c>
    </row>
    <row r="78" spans="3:11" x14ac:dyDescent="0.25">
      <c r="C78" s="183">
        <v>13</v>
      </c>
      <c r="D78" s="19">
        <v>45205</v>
      </c>
      <c r="E78" s="32">
        <v>13</v>
      </c>
      <c r="F78" s="33" t="s">
        <v>158</v>
      </c>
      <c r="G78" s="33" t="s">
        <v>107</v>
      </c>
      <c r="H78" s="34">
        <v>120</v>
      </c>
      <c r="I78" s="34"/>
      <c r="J78" s="45"/>
      <c r="K78" s="183">
        <f>ROW()</f>
        <v>78</v>
      </c>
    </row>
    <row r="79" spans="3:11" x14ac:dyDescent="0.25">
      <c r="C79" s="183">
        <v>13</v>
      </c>
      <c r="D79" s="21">
        <v>45205</v>
      </c>
      <c r="E79" s="46">
        <v>13</v>
      </c>
      <c r="F79" s="36" t="s">
        <v>158</v>
      </c>
      <c r="G79" s="37" t="s">
        <v>19</v>
      </c>
      <c r="H79" s="38">
        <v>5</v>
      </c>
      <c r="I79" s="38"/>
      <c r="J79" s="47"/>
      <c r="K79" s="183">
        <f>ROW()</f>
        <v>79</v>
      </c>
    </row>
    <row r="80" spans="3:11" x14ac:dyDescent="0.25">
      <c r="C80" s="183">
        <v>13</v>
      </c>
      <c r="D80" s="21">
        <v>45205</v>
      </c>
      <c r="E80" s="46">
        <v>13</v>
      </c>
      <c r="F80" s="36" t="s">
        <v>158</v>
      </c>
      <c r="G80" s="37" t="s">
        <v>21</v>
      </c>
      <c r="H80" s="38">
        <v>9.75</v>
      </c>
      <c r="I80" s="38"/>
      <c r="J80" s="47"/>
      <c r="K80" s="183">
        <f>ROW()</f>
        <v>80</v>
      </c>
    </row>
    <row r="81" spans="3:11" x14ac:dyDescent="0.25">
      <c r="C81" s="183">
        <v>13</v>
      </c>
      <c r="D81" s="21">
        <v>45205</v>
      </c>
      <c r="E81" s="46">
        <v>13</v>
      </c>
      <c r="F81" s="36" t="s">
        <v>158</v>
      </c>
      <c r="G81" s="37" t="s">
        <v>54</v>
      </c>
      <c r="H81" s="38"/>
      <c r="I81" s="38">
        <v>134.75</v>
      </c>
      <c r="J81" s="47"/>
      <c r="K81" s="183">
        <f>ROW()</f>
        <v>81</v>
      </c>
    </row>
    <row r="82" spans="3:11" ht="15.75" thickBot="1" x14ac:dyDescent="0.3">
      <c r="C82" s="183">
        <v>13</v>
      </c>
      <c r="D82" s="23">
        <v>45205</v>
      </c>
      <c r="E82" s="53">
        <v>13</v>
      </c>
      <c r="F82" s="54" t="s">
        <v>158</v>
      </c>
      <c r="G82" s="50" t="s">
        <v>160</v>
      </c>
      <c r="H82" s="55"/>
      <c r="I82" s="55"/>
      <c r="J82" s="56"/>
      <c r="K82" s="183">
        <f>ROW()</f>
        <v>82</v>
      </c>
    </row>
    <row r="83" spans="3:11" ht="15.75" thickBot="1" x14ac:dyDescent="0.3">
      <c r="C83" s="183">
        <v>13</v>
      </c>
      <c r="D83" s="166">
        <v>45205</v>
      </c>
      <c r="E83" s="163">
        <v>13</v>
      </c>
      <c r="F83" s="167" t="s">
        <v>158</v>
      </c>
      <c r="G83" s="164"/>
      <c r="H83" s="165"/>
      <c r="I83" s="165"/>
      <c r="J83" s="164"/>
      <c r="K83" s="183">
        <f>ROW()</f>
        <v>83</v>
      </c>
    </row>
    <row r="84" spans="3:11" x14ac:dyDescent="0.25">
      <c r="C84" s="183">
        <v>14</v>
      </c>
      <c r="D84" s="19">
        <v>45204</v>
      </c>
      <c r="E84" s="32">
        <v>14</v>
      </c>
      <c r="F84" s="33" t="s">
        <v>161</v>
      </c>
      <c r="G84" s="33" t="s">
        <v>15</v>
      </c>
      <c r="H84" s="34">
        <v>1034.9100000000001</v>
      </c>
      <c r="I84" s="34"/>
      <c r="J84" s="45"/>
      <c r="K84" s="183">
        <f>ROW()</f>
        <v>84</v>
      </c>
    </row>
    <row r="85" spans="3:11" x14ac:dyDescent="0.25">
      <c r="C85" s="183">
        <v>14</v>
      </c>
      <c r="D85" s="21">
        <v>45204</v>
      </c>
      <c r="E85" s="46">
        <v>14</v>
      </c>
      <c r="F85" s="36" t="s">
        <v>161</v>
      </c>
      <c r="G85" s="37" t="s">
        <v>88</v>
      </c>
      <c r="H85" s="38"/>
      <c r="I85" s="38">
        <v>3062.5</v>
      </c>
      <c r="J85" s="47"/>
      <c r="K85" s="183">
        <f>ROW()</f>
        <v>85</v>
      </c>
    </row>
    <row r="86" spans="3:11" x14ac:dyDescent="0.25">
      <c r="C86" s="183">
        <v>14</v>
      </c>
      <c r="D86" s="21">
        <v>45204</v>
      </c>
      <c r="E86" s="46">
        <v>14</v>
      </c>
      <c r="F86" s="36" t="s">
        <v>161</v>
      </c>
      <c r="G86" s="37" t="s">
        <v>23</v>
      </c>
      <c r="H86" s="38"/>
      <c r="I86" s="38">
        <v>153.72999999999999</v>
      </c>
      <c r="J86" s="47"/>
      <c r="K86" s="183">
        <f>ROW()</f>
        <v>86</v>
      </c>
    </row>
    <row r="87" spans="3:11" x14ac:dyDescent="0.25">
      <c r="C87" s="183">
        <v>14</v>
      </c>
      <c r="D87" s="21">
        <v>45204</v>
      </c>
      <c r="E87" s="46">
        <v>14</v>
      </c>
      <c r="F87" s="36" t="s">
        <v>161</v>
      </c>
      <c r="G87" s="37" t="s">
        <v>25</v>
      </c>
      <c r="H87" s="38"/>
      <c r="I87" s="38">
        <v>306.68</v>
      </c>
      <c r="J87" s="47"/>
      <c r="K87" s="183">
        <f>ROW()</f>
        <v>87</v>
      </c>
    </row>
    <row r="88" spans="3:11" x14ac:dyDescent="0.25">
      <c r="C88" s="183">
        <v>14</v>
      </c>
      <c r="D88" s="21">
        <v>45204</v>
      </c>
      <c r="E88" s="46">
        <v>14</v>
      </c>
      <c r="F88" s="36" t="s">
        <v>161</v>
      </c>
      <c r="G88" s="37" t="s">
        <v>121</v>
      </c>
      <c r="H88" s="38"/>
      <c r="I88" s="38">
        <v>3</v>
      </c>
      <c r="J88" s="47"/>
      <c r="K88" s="183">
        <f>ROW()</f>
        <v>88</v>
      </c>
    </row>
    <row r="89" spans="3:11" x14ac:dyDescent="0.25">
      <c r="C89" s="183">
        <v>14</v>
      </c>
      <c r="D89" s="21">
        <v>45204</v>
      </c>
      <c r="E89" s="46">
        <v>14</v>
      </c>
      <c r="F89" s="36" t="s">
        <v>161</v>
      </c>
      <c r="G89" s="37" t="s">
        <v>119</v>
      </c>
      <c r="H89" s="38"/>
      <c r="I89" s="38">
        <v>4</v>
      </c>
      <c r="J89" s="47"/>
      <c r="K89" s="183">
        <f>ROW()</f>
        <v>89</v>
      </c>
    </row>
    <row r="90" spans="3:11" x14ac:dyDescent="0.25">
      <c r="C90" s="183">
        <v>14</v>
      </c>
      <c r="D90" s="21">
        <v>45204</v>
      </c>
      <c r="E90" s="46">
        <v>14</v>
      </c>
      <c r="F90" s="36" t="s">
        <v>161</v>
      </c>
      <c r="G90" s="37" t="s">
        <v>127</v>
      </c>
      <c r="H90" s="38"/>
      <c r="I90" s="38">
        <v>5</v>
      </c>
      <c r="J90" s="47"/>
      <c r="K90" s="183">
        <f>ROW()</f>
        <v>90</v>
      </c>
    </row>
    <row r="91" spans="3:11" x14ac:dyDescent="0.25">
      <c r="C91" s="183">
        <v>14</v>
      </c>
      <c r="D91" s="21">
        <v>45204</v>
      </c>
      <c r="E91" s="46">
        <v>14</v>
      </c>
      <c r="F91" s="36" t="s">
        <v>161</v>
      </c>
      <c r="G91" s="37" t="s">
        <v>33</v>
      </c>
      <c r="H91" s="38">
        <v>2500</v>
      </c>
      <c r="I91" s="38"/>
      <c r="J91" s="47"/>
      <c r="K91" s="183">
        <f>ROW()</f>
        <v>91</v>
      </c>
    </row>
    <row r="92" spans="3:11" ht="15.75" thickBot="1" x14ac:dyDescent="0.3">
      <c r="C92" s="183">
        <v>14</v>
      </c>
      <c r="D92" s="23">
        <v>45204</v>
      </c>
      <c r="E92" s="53">
        <v>14</v>
      </c>
      <c r="F92" s="54" t="s">
        <v>161</v>
      </c>
      <c r="G92" s="50" t="s">
        <v>149</v>
      </c>
      <c r="H92" s="55"/>
      <c r="I92" s="55"/>
      <c r="J92" s="56"/>
      <c r="K92" s="183">
        <f>ROW()</f>
        <v>92</v>
      </c>
    </row>
    <row r="93" spans="3:11" ht="15.75" thickBot="1" x14ac:dyDescent="0.3">
      <c r="C93" s="183">
        <v>14</v>
      </c>
      <c r="D93" s="166">
        <v>45204</v>
      </c>
      <c r="E93" s="163">
        <v>14</v>
      </c>
      <c r="F93" s="167" t="s">
        <v>161</v>
      </c>
      <c r="G93" s="164"/>
      <c r="H93" s="165"/>
      <c r="I93" s="165"/>
      <c r="J93" s="164"/>
      <c r="K93" s="183">
        <f>ROW()</f>
        <v>93</v>
      </c>
    </row>
    <row r="94" spans="3:11" x14ac:dyDescent="0.25">
      <c r="C94" s="183">
        <v>15</v>
      </c>
      <c r="D94" s="19">
        <v>45203</v>
      </c>
      <c r="E94" s="32">
        <v>15</v>
      </c>
      <c r="F94" s="33" t="s">
        <v>162</v>
      </c>
      <c r="G94" s="33" t="s">
        <v>15</v>
      </c>
      <c r="H94" s="34">
        <v>980.31</v>
      </c>
      <c r="I94" s="34"/>
      <c r="J94" s="45"/>
      <c r="K94" s="183">
        <f>ROW()</f>
        <v>94</v>
      </c>
    </row>
    <row r="95" spans="3:11" x14ac:dyDescent="0.25">
      <c r="C95" s="183">
        <v>15</v>
      </c>
      <c r="D95" s="21">
        <v>45203</v>
      </c>
      <c r="E95" s="46">
        <v>15</v>
      </c>
      <c r="F95" s="36" t="s">
        <v>162</v>
      </c>
      <c r="G95" s="37" t="s">
        <v>88</v>
      </c>
      <c r="H95" s="38"/>
      <c r="I95" s="38">
        <v>1137.5</v>
      </c>
      <c r="J95" s="47"/>
      <c r="K95" s="183">
        <f>ROW()</f>
        <v>95</v>
      </c>
    </row>
    <row r="96" spans="3:11" x14ac:dyDescent="0.25">
      <c r="C96" s="183">
        <v>15</v>
      </c>
      <c r="D96" s="21">
        <v>45203</v>
      </c>
      <c r="E96" s="46">
        <v>15</v>
      </c>
      <c r="F96" s="36" t="s">
        <v>162</v>
      </c>
      <c r="G96" s="37" t="s">
        <v>23</v>
      </c>
      <c r="H96" s="38"/>
      <c r="I96" s="38">
        <v>64.38</v>
      </c>
      <c r="J96" s="47"/>
      <c r="K96" s="183">
        <f>ROW()</f>
        <v>96</v>
      </c>
    </row>
    <row r="97" spans="3:11" x14ac:dyDescent="0.25">
      <c r="C97" s="183">
        <v>15</v>
      </c>
      <c r="D97" s="21">
        <v>45203</v>
      </c>
      <c r="E97" s="46">
        <v>15</v>
      </c>
      <c r="F97" s="36" t="s">
        <v>162</v>
      </c>
      <c r="G97" s="37" t="s">
        <v>25</v>
      </c>
      <c r="H97" s="38"/>
      <c r="I97" s="38">
        <v>128.43</v>
      </c>
      <c r="J97" s="47"/>
      <c r="K97" s="183">
        <f>ROW()</f>
        <v>97</v>
      </c>
    </row>
    <row r="98" spans="3:11" x14ac:dyDescent="0.25">
      <c r="C98" s="183">
        <v>15</v>
      </c>
      <c r="D98" s="21">
        <v>45203</v>
      </c>
      <c r="E98" s="46">
        <v>15</v>
      </c>
      <c r="F98" s="36" t="s">
        <v>162</v>
      </c>
      <c r="G98" s="37" t="s">
        <v>121</v>
      </c>
      <c r="H98" s="38"/>
      <c r="I98" s="38">
        <v>25</v>
      </c>
      <c r="J98" s="47"/>
      <c r="K98" s="183">
        <f>ROW()</f>
        <v>98</v>
      </c>
    </row>
    <row r="99" spans="3:11" x14ac:dyDescent="0.25">
      <c r="C99" s="183">
        <v>15</v>
      </c>
      <c r="D99" s="21">
        <v>45203</v>
      </c>
      <c r="E99" s="46">
        <v>15</v>
      </c>
      <c r="F99" s="36" t="s">
        <v>162</v>
      </c>
      <c r="G99" s="37" t="s">
        <v>119</v>
      </c>
      <c r="H99" s="38"/>
      <c r="I99" s="38">
        <v>50</v>
      </c>
      <c r="J99" s="47"/>
      <c r="K99" s="183">
        <f>ROW()</f>
        <v>99</v>
      </c>
    </row>
    <row r="100" spans="3:11" x14ac:dyDescent="0.25">
      <c r="C100" s="183">
        <v>15</v>
      </c>
      <c r="D100" s="21">
        <v>45203</v>
      </c>
      <c r="E100" s="46">
        <v>15</v>
      </c>
      <c r="F100" s="36" t="s">
        <v>162</v>
      </c>
      <c r="G100" s="37" t="s">
        <v>127</v>
      </c>
      <c r="H100" s="38"/>
      <c r="I100" s="38">
        <v>75</v>
      </c>
      <c r="J100" s="47"/>
      <c r="K100" s="183">
        <f>ROW()</f>
        <v>100</v>
      </c>
    </row>
    <row r="101" spans="3:11" x14ac:dyDescent="0.25">
      <c r="C101" s="183">
        <v>15</v>
      </c>
      <c r="D101" s="21">
        <v>45203</v>
      </c>
      <c r="E101" s="46">
        <v>15</v>
      </c>
      <c r="F101" s="36" t="s">
        <v>162</v>
      </c>
      <c r="G101" s="37" t="s">
        <v>33</v>
      </c>
      <c r="H101" s="38">
        <v>500</v>
      </c>
      <c r="I101" s="38"/>
      <c r="J101" s="47" t="s">
        <v>163</v>
      </c>
      <c r="K101" s="183">
        <f>ROW()</f>
        <v>101</v>
      </c>
    </row>
    <row r="102" spans="3:11" ht="15.75" thickBot="1" x14ac:dyDescent="0.3">
      <c r="C102" s="183">
        <v>15</v>
      </c>
      <c r="D102" s="23">
        <v>45203</v>
      </c>
      <c r="E102" s="53">
        <v>15</v>
      </c>
      <c r="F102" s="54" t="s">
        <v>162</v>
      </c>
      <c r="G102" s="50" t="s">
        <v>149</v>
      </c>
      <c r="H102" s="55"/>
      <c r="I102" s="55"/>
      <c r="J102" s="56"/>
      <c r="K102" s="183">
        <f>ROW()</f>
        <v>102</v>
      </c>
    </row>
    <row r="103" spans="3:11" ht="15.75" thickBot="1" x14ac:dyDescent="0.3">
      <c r="C103" s="183">
        <v>15</v>
      </c>
      <c r="D103" s="166">
        <v>45203</v>
      </c>
      <c r="E103" s="163">
        <v>15</v>
      </c>
      <c r="F103" s="167" t="s">
        <v>162</v>
      </c>
      <c r="G103" s="164"/>
      <c r="H103" s="165"/>
      <c r="I103" s="165"/>
      <c r="J103" s="164"/>
      <c r="K103" s="183">
        <f>ROW()</f>
        <v>103</v>
      </c>
    </row>
    <row r="104" spans="3:11" x14ac:dyDescent="0.25">
      <c r="C104" s="183">
        <v>16</v>
      </c>
      <c r="D104" s="19">
        <v>45205</v>
      </c>
      <c r="E104" s="32">
        <v>16</v>
      </c>
      <c r="F104" s="33" t="s">
        <v>154</v>
      </c>
      <c r="G104" s="33" t="s">
        <v>13</v>
      </c>
      <c r="H104" s="34">
        <v>1034.9100000000001</v>
      </c>
      <c r="I104" s="34"/>
      <c r="J104" s="45"/>
      <c r="K104" s="183">
        <f>ROW()</f>
        <v>104</v>
      </c>
    </row>
    <row r="105" spans="3:11" x14ac:dyDescent="0.25">
      <c r="C105" s="183">
        <v>16</v>
      </c>
      <c r="D105" s="21">
        <v>45205</v>
      </c>
      <c r="E105" s="46">
        <v>16</v>
      </c>
      <c r="F105" s="36" t="s">
        <v>154</v>
      </c>
      <c r="G105" s="37" t="s">
        <v>15</v>
      </c>
      <c r="H105" s="38"/>
      <c r="I105" s="38">
        <v>1034.9100000000001</v>
      </c>
      <c r="J105" s="47"/>
      <c r="K105" s="183">
        <f>ROW()</f>
        <v>105</v>
      </c>
    </row>
    <row r="106" spans="3:11" ht="15.75" thickBot="1" x14ac:dyDescent="0.3">
      <c r="C106" s="183">
        <v>16</v>
      </c>
      <c r="D106" s="23">
        <v>45205</v>
      </c>
      <c r="E106" s="53">
        <v>16</v>
      </c>
      <c r="F106" s="54" t="s">
        <v>154</v>
      </c>
      <c r="G106" s="50" t="s">
        <v>149</v>
      </c>
      <c r="H106" s="55"/>
      <c r="I106" s="55"/>
      <c r="J106" s="56"/>
      <c r="K106" s="183">
        <f>ROW()</f>
        <v>106</v>
      </c>
    </row>
    <row r="107" spans="3:11" ht="15.75" thickBot="1" x14ac:dyDescent="0.3">
      <c r="C107" s="183">
        <v>16</v>
      </c>
      <c r="D107" s="166">
        <v>45205</v>
      </c>
      <c r="E107" s="163">
        <v>16</v>
      </c>
      <c r="F107" s="167" t="s">
        <v>154</v>
      </c>
      <c r="G107" s="164"/>
      <c r="H107" s="165"/>
      <c r="I107" s="165"/>
      <c r="J107" s="164"/>
      <c r="K107" s="183">
        <f>ROW()</f>
        <v>107</v>
      </c>
    </row>
    <row r="108" spans="3:11" x14ac:dyDescent="0.25">
      <c r="C108" s="183">
        <v>17</v>
      </c>
      <c r="D108" s="19">
        <v>45205</v>
      </c>
      <c r="E108" s="32">
        <v>17</v>
      </c>
      <c r="F108" s="33" t="s">
        <v>154</v>
      </c>
      <c r="G108" s="33" t="s">
        <v>13</v>
      </c>
      <c r="H108" s="34">
        <v>980.31</v>
      </c>
      <c r="I108" s="34"/>
      <c r="J108" s="45" t="s">
        <v>164</v>
      </c>
      <c r="K108" s="183">
        <f>ROW()</f>
        <v>108</v>
      </c>
    </row>
    <row r="109" spans="3:11" x14ac:dyDescent="0.25">
      <c r="C109" s="183">
        <v>17</v>
      </c>
      <c r="D109" s="21">
        <v>45205</v>
      </c>
      <c r="E109" s="46">
        <v>17</v>
      </c>
      <c r="F109" s="36" t="s">
        <v>154</v>
      </c>
      <c r="G109" s="37" t="s">
        <v>15</v>
      </c>
      <c r="H109" s="38"/>
      <c r="I109" s="38">
        <v>980.31</v>
      </c>
      <c r="J109" s="47" t="s">
        <v>165</v>
      </c>
      <c r="K109" s="183">
        <f>ROW()</f>
        <v>109</v>
      </c>
    </row>
    <row r="110" spans="3:11" ht="15.75" thickBot="1" x14ac:dyDescent="0.3">
      <c r="C110" s="183">
        <v>17</v>
      </c>
      <c r="D110" s="23">
        <v>45205</v>
      </c>
      <c r="E110" s="53">
        <v>17</v>
      </c>
      <c r="F110" s="54" t="s">
        <v>154</v>
      </c>
      <c r="G110" s="50" t="s">
        <v>149</v>
      </c>
      <c r="H110" s="55"/>
      <c r="I110" s="55"/>
      <c r="J110" s="56"/>
      <c r="K110" s="183">
        <f>ROW()</f>
        <v>110</v>
      </c>
    </row>
    <row r="111" spans="3:11" ht="15.75" thickBot="1" x14ac:dyDescent="0.3">
      <c r="C111" s="183">
        <v>17</v>
      </c>
      <c r="D111" s="166">
        <v>45205</v>
      </c>
      <c r="E111" s="163">
        <v>17</v>
      </c>
      <c r="F111" s="167" t="s">
        <v>154</v>
      </c>
      <c r="G111" s="164"/>
      <c r="H111" s="165"/>
      <c r="I111" s="165"/>
      <c r="J111" s="164"/>
      <c r="K111" s="183">
        <f>ROW()</f>
        <v>111</v>
      </c>
    </row>
    <row r="112" spans="3:11" x14ac:dyDescent="0.25">
      <c r="C112" s="183">
        <v>18</v>
      </c>
      <c r="D112" s="19">
        <v>44927</v>
      </c>
      <c r="E112" s="32">
        <v>18</v>
      </c>
      <c r="F112" s="78" t="s">
        <v>166</v>
      </c>
      <c r="G112" s="33" t="s">
        <v>15</v>
      </c>
      <c r="H112" s="34">
        <v>3923.53</v>
      </c>
      <c r="I112" s="34"/>
      <c r="J112" s="45"/>
      <c r="K112" s="183">
        <f>ROW()</f>
        <v>112</v>
      </c>
    </row>
    <row r="113" spans="3:11" x14ac:dyDescent="0.25">
      <c r="C113" s="183">
        <v>18</v>
      </c>
      <c r="D113" s="21">
        <v>44927</v>
      </c>
      <c r="E113" s="46">
        <v>18</v>
      </c>
      <c r="F113" s="79" t="s">
        <v>166</v>
      </c>
      <c r="G113" s="37" t="s">
        <v>88</v>
      </c>
      <c r="H113" s="38"/>
      <c r="I113" s="38">
        <v>3412.5</v>
      </c>
      <c r="J113" s="47"/>
      <c r="K113" s="183">
        <f>ROW()</f>
        <v>113</v>
      </c>
    </row>
    <row r="114" spans="3:11" x14ac:dyDescent="0.25">
      <c r="C114" s="183">
        <v>18</v>
      </c>
      <c r="D114" s="21">
        <v>44927</v>
      </c>
      <c r="E114" s="46">
        <v>18</v>
      </c>
      <c r="F114" s="79" t="s">
        <v>166</v>
      </c>
      <c r="G114" s="37" t="s">
        <v>19</v>
      </c>
      <c r="H114" s="38"/>
      <c r="I114" s="38">
        <v>170.63</v>
      </c>
      <c r="J114" s="47"/>
      <c r="K114" s="183">
        <f>ROW()</f>
        <v>114</v>
      </c>
    </row>
    <row r="115" spans="3:11" x14ac:dyDescent="0.25">
      <c r="C115" s="183">
        <v>18</v>
      </c>
      <c r="D115" s="21">
        <v>44927</v>
      </c>
      <c r="E115" s="46">
        <v>18</v>
      </c>
      <c r="F115" s="79" t="s">
        <v>166</v>
      </c>
      <c r="G115" s="37" t="s">
        <v>21</v>
      </c>
      <c r="H115" s="38"/>
      <c r="I115" s="38">
        <v>340.4</v>
      </c>
      <c r="J115" s="47"/>
      <c r="K115" s="183">
        <f>ROW()</f>
        <v>115</v>
      </c>
    </row>
    <row r="116" spans="3:11" ht="15.75" thickBot="1" x14ac:dyDescent="0.3">
      <c r="C116" s="183">
        <v>18</v>
      </c>
      <c r="D116" s="23">
        <v>44927</v>
      </c>
      <c r="E116" s="53">
        <v>18</v>
      </c>
      <c r="F116" s="80" t="s">
        <v>166</v>
      </c>
      <c r="G116" s="50" t="s">
        <v>167</v>
      </c>
      <c r="H116" s="55"/>
      <c r="I116" s="55"/>
      <c r="J116" s="56"/>
      <c r="K116" s="183">
        <f>ROW()</f>
        <v>116</v>
      </c>
    </row>
    <row r="117" spans="3:11" ht="15.75" thickBot="1" x14ac:dyDescent="0.3">
      <c r="C117" s="183">
        <v>18</v>
      </c>
      <c r="D117" s="166">
        <v>44927</v>
      </c>
      <c r="E117" s="163">
        <v>18</v>
      </c>
      <c r="F117" s="169" t="s">
        <v>166</v>
      </c>
      <c r="G117" s="164"/>
      <c r="H117" s="165"/>
      <c r="I117" s="165"/>
      <c r="J117" s="164"/>
      <c r="K117" s="183">
        <f>ROW()</f>
        <v>117</v>
      </c>
    </row>
    <row r="118" spans="3:11" x14ac:dyDescent="0.25">
      <c r="C118" s="183">
        <v>19</v>
      </c>
      <c r="D118" s="19">
        <v>45205</v>
      </c>
      <c r="E118" s="32">
        <v>19</v>
      </c>
      <c r="F118" s="83" t="s">
        <v>154</v>
      </c>
      <c r="G118" s="33" t="s">
        <v>13</v>
      </c>
      <c r="H118" s="34">
        <v>3923.53</v>
      </c>
      <c r="I118" s="34"/>
      <c r="J118" s="45"/>
      <c r="K118" s="183">
        <f>ROW()</f>
        <v>118</v>
      </c>
    </row>
    <row r="119" spans="3:11" x14ac:dyDescent="0.25">
      <c r="C119" s="183">
        <v>19</v>
      </c>
      <c r="D119" s="21">
        <v>45205</v>
      </c>
      <c r="E119" s="46">
        <v>19</v>
      </c>
      <c r="F119" s="79" t="s">
        <v>154</v>
      </c>
      <c r="G119" s="37" t="s">
        <v>15</v>
      </c>
      <c r="H119" s="38"/>
      <c r="I119" s="38">
        <v>3923.53</v>
      </c>
      <c r="J119" s="47"/>
      <c r="K119" s="183">
        <f>ROW()</f>
        <v>119</v>
      </c>
    </row>
    <row r="120" spans="3:11" ht="15.75" thickBot="1" x14ac:dyDescent="0.3">
      <c r="C120" s="183">
        <v>19</v>
      </c>
      <c r="D120" s="23">
        <v>45205</v>
      </c>
      <c r="E120" s="53">
        <v>19</v>
      </c>
      <c r="F120" s="80" t="s">
        <v>154</v>
      </c>
      <c r="G120" s="50" t="s">
        <v>167</v>
      </c>
      <c r="H120" s="55"/>
      <c r="I120" s="55"/>
      <c r="J120" s="56"/>
      <c r="K120" s="183">
        <f>ROW()</f>
        <v>120</v>
      </c>
    </row>
    <row r="121" spans="3:11" ht="15.75" thickBot="1" x14ac:dyDescent="0.3">
      <c r="C121" s="183">
        <v>19</v>
      </c>
      <c r="D121" s="166">
        <v>45205</v>
      </c>
      <c r="E121" s="163">
        <v>19</v>
      </c>
      <c r="F121" s="169" t="s">
        <v>154</v>
      </c>
      <c r="G121" s="164"/>
      <c r="H121" s="165"/>
      <c r="I121" s="165"/>
      <c r="J121" s="164"/>
      <c r="K121" s="183">
        <f>ROW()</f>
        <v>121</v>
      </c>
    </row>
    <row r="122" spans="3:11" x14ac:dyDescent="0.25">
      <c r="C122" s="183">
        <v>20</v>
      </c>
      <c r="D122" s="84">
        <v>45212</v>
      </c>
      <c r="E122" s="85">
        <v>20</v>
      </c>
      <c r="F122" s="86" t="s">
        <v>156</v>
      </c>
      <c r="G122" s="87" t="s">
        <v>85</v>
      </c>
      <c r="H122" s="88">
        <v>5000</v>
      </c>
      <c r="I122" s="88"/>
      <c r="J122" s="89"/>
      <c r="K122" s="183">
        <f>ROW()</f>
        <v>122</v>
      </c>
    </row>
    <row r="123" spans="3:11" x14ac:dyDescent="0.25">
      <c r="C123" s="183">
        <v>20</v>
      </c>
      <c r="D123" s="90">
        <v>45212</v>
      </c>
      <c r="E123" s="91">
        <v>20</v>
      </c>
      <c r="F123" s="92" t="s">
        <v>156</v>
      </c>
      <c r="G123" s="93" t="s">
        <v>13</v>
      </c>
      <c r="H123" s="94"/>
      <c r="I123" s="94">
        <v>5000</v>
      </c>
      <c r="J123" s="95"/>
      <c r="K123" s="183">
        <f>ROW()</f>
        <v>123</v>
      </c>
    </row>
    <row r="124" spans="3:11" ht="15.75" thickBot="1" x14ac:dyDescent="0.3">
      <c r="C124" s="183">
        <v>20</v>
      </c>
      <c r="D124" s="96">
        <v>45212</v>
      </c>
      <c r="E124" s="97">
        <v>20</v>
      </c>
      <c r="F124" s="98" t="s">
        <v>156</v>
      </c>
      <c r="G124" s="50" t="s">
        <v>157</v>
      </c>
      <c r="H124" s="55"/>
      <c r="I124" s="55"/>
      <c r="J124" s="56"/>
      <c r="K124" s="183">
        <f>ROW()</f>
        <v>124</v>
      </c>
    </row>
    <row r="125" spans="3:11" ht="15.75" thickBot="1" x14ac:dyDescent="0.3">
      <c r="C125" s="183">
        <v>20</v>
      </c>
      <c r="D125" s="166">
        <v>45212</v>
      </c>
      <c r="E125" s="163">
        <v>20</v>
      </c>
      <c r="F125" s="169" t="s">
        <v>156</v>
      </c>
      <c r="G125" s="164"/>
      <c r="H125" s="165"/>
      <c r="I125" s="165"/>
      <c r="J125" s="164"/>
      <c r="K125" s="183">
        <f>ROW()</f>
        <v>125</v>
      </c>
    </row>
    <row r="126" spans="3:11" x14ac:dyDescent="0.25">
      <c r="C126" s="183">
        <v>21</v>
      </c>
      <c r="D126" s="84">
        <v>45219</v>
      </c>
      <c r="E126" s="85">
        <v>21</v>
      </c>
      <c r="F126" s="86" t="s">
        <v>156</v>
      </c>
      <c r="G126" s="87" t="s">
        <v>85</v>
      </c>
      <c r="H126" s="88">
        <v>5000</v>
      </c>
      <c r="I126" s="88"/>
      <c r="J126" s="89"/>
      <c r="K126" s="183">
        <f>ROW()</f>
        <v>126</v>
      </c>
    </row>
    <row r="127" spans="3:11" x14ac:dyDescent="0.25">
      <c r="C127" s="183">
        <v>21</v>
      </c>
      <c r="D127" s="90">
        <v>45219</v>
      </c>
      <c r="E127" s="91">
        <v>21</v>
      </c>
      <c r="F127" s="92" t="s">
        <v>156</v>
      </c>
      <c r="G127" s="93" t="s">
        <v>13</v>
      </c>
      <c r="H127" s="94"/>
      <c r="I127" s="94">
        <v>5000</v>
      </c>
      <c r="J127" s="95"/>
      <c r="K127" s="183">
        <f>ROW()</f>
        <v>127</v>
      </c>
    </row>
    <row r="128" spans="3:11" ht="15.75" thickBot="1" x14ac:dyDescent="0.3">
      <c r="C128" s="183">
        <v>21</v>
      </c>
      <c r="D128" s="96">
        <v>45219</v>
      </c>
      <c r="E128" s="97">
        <v>21</v>
      </c>
      <c r="F128" s="98" t="s">
        <v>156</v>
      </c>
      <c r="G128" s="50" t="s">
        <v>168</v>
      </c>
      <c r="H128" s="55"/>
      <c r="I128" s="55"/>
      <c r="J128" s="56"/>
      <c r="K128" s="183">
        <f>ROW()</f>
        <v>128</v>
      </c>
    </row>
    <row r="129" spans="3:11" ht="15.75" thickBot="1" x14ac:dyDescent="0.3">
      <c r="C129" s="183">
        <v>21</v>
      </c>
      <c r="D129" s="166">
        <v>45219</v>
      </c>
      <c r="E129" s="163">
        <v>21</v>
      </c>
      <c r="F129" s="169" t="s">
        <v>156</v>
      </c>
      <c r="G129" s="164"/>
      <c r="H129" s="165"/>
      <c r="I129" s="165"/>
      <c r="J129" s="164"/>
      <c r="K129" s="183">
        <f>ROW()</f>
        <v>129</v>
      </c>
    </row>
    <row r="130" spans="3:11" x14ac:dyDescent="0.25">
      <c r="C130" s="183">
        <v>22</v>
      </c>
      <c r="D130" s="19">
        <v>45230</v>
      </c>
      <c r="E130" s="32">
        <v>22</v>
      </c>
      <c r="F130" s="83" t="s">
        <v>169</v>
      </c>
      <c r="G130" s="33" t="s">
        <v>127</v>
      </c>
      <c r="H130" s="34">
        <v>25.99</v>
      </c>
      <c r="I130" s="34"/>
      <c r="J130" s="45" t="s">
        <v>171</v>
      </c>
      <c r="K130" s="183">
        <f>ROW()</f>
        <v>130</v>
      </c>
    </row>
    <row r="131" spans="3:11" x14ac:dyDescent="0.25">
      <c r="C131" s="183">
        <v>22</v>
      </c>
      <c r="D131" s="21">
        <v>45230</v>
      </c>
      <c r="E131" s="46">
        <v>22</v>
      </c>
      <c r="F131" s="79" t="s">
        <v>169</v>
      </c>
      <c r="G131" s="37" t="s">
        <v>13</v>
      </c>
      <c r="H131" s="38"/>
      <c r="I131" s="38">
        <v>25.99</v>
      </c>
      <c r="J131" s="47"/>
      <c r="K131" s="183">
        <f>ROW()</f>
        <v>131</v>
      </c>
    </row>
    <row r="132" spans="3:11" ht="15.75" thickBot="1" x14ac:dyDescent="0.3">
      <c r="C132" s="183">
        <v>22</v>
      </c>
      <c r="D132" s="23">
        <v>45230</v>
      </c>
      <c r="E132" s="53">
        <v>22</v>
      </c>
      <c r="F132" s="80" t="s">
        <v>169</v>
      </c>
      <c r="G132" s="50" t="s">
        <v>170</v>
      </c>
      <c r="H132" s="55"/>
      <c r="I132" s="55"/>
      <c r="J132" s="56"/>
      <c r="K132" s="183">
        <f>ROW()</f>
        <v>132</v>
      </c>
    </row>
    <row r="133" spans="3:11" ht="15.75" thickBot="1" x14ac:dyDescent="0.3">
      <c r="C133" s="183">
        <v>22</v>
      </c>
      <c r="D133" s="166">
        <v>45230</v>
      </c>
      <c r="E133" s="163">
        <v>22</v>
      </c>
      <c r="F133" s="169" t="s">
        <v>169</v>
      </c>
      <c r="G133" s="164"/>
      <c r="H133" s="165"/>
      <c r="I133" s="165"/>
      <c r="J133" s="164"/>
      <c r="K133" s="183">
        <f>ROW()</f>
        <v>133</v>
      </c>
    </row>
    <row r="134" spans="3:11" x14ac:dyDescent="0.25">
      <c r="C134" s="183">
        <v>23</v>
      </c>
      <c r="D134" s="84">
        <v>45206</v>
      </c>
      <c r="E134" s="85">
        <v>23</v>
      </c>
      <c r="F134" s="86" t="s">
        <v>172</v>
      </c>
      <c r="G134" s="87" t="s">
        <v>13</v>
      </c>
      <c r="H134" s="88">
        <v>159.94999999999999</v>
      </c>
      <c r="I134" s="88"/>
      <c r="J134" s="89"/>
      <c r="K134" s="183">
        <f>ROW()</f>
        <v>134</v>
      </c>
    </row>
    <row r="135" spans="3:11" x14ac:dyDescent="0.25">
      <c r="C135" s="183">
        <v>23</v>
      </c>
      <c r="D135" s="110">
        <v>45206</v>
      </c>
      <c r="E135" s="111">
        <v>23</v>
      </c>
      <c r="F135" s="112" t="s">
        <v>172</v>
      </c>
      <c r="G135" s="93" t="s">
        <v>15</v>
      </c>
      <c r="H135" s="94"/>
      <c r="I135" s="94">
        <v>149.94999999999999</v>
      </c>
      <c r="J135" s="95"/>
      <c r="K135" s="183">
        <f>ROW()</f>
        <v>135</v>
      </c>
    </row>
    <row r="136" spans="3:11" x14ac:dyDescent="0.25">
      <c r="C136" s="183">
        <v>23</v>
      </c>
      <c r="D136" s="110">
        <v>45206</v>
      </c>
      <c r="E136" s="111">
        <v>23</v>
      </c>
      <c r="F136" s="112" t="s">
        <v>172</v>
      </c>
      <c r="G136" s="93" t="s">
        <v>19</v>
      </c>
      <c r="H136" s="94">
        <v>10</v>
      </c>
      <c r="I136" s="94"/>
      <c r="J136" s="95"/>
      <c r="K136" s="183">
        <f>ROW()</f>
        <v>136</v>
      </c>
    </row>
    <row r="137" spans="3:11" x14ac:dyDescent="0.25">
      <c r="C137" s="183">
        <v>23</v>
      </c>
      <c r="D137" s="110">
        <v>45206</v>
      </c>
      <c r="E137" s="111">
        <v>23</v>
      </c>
      <c r="F137" s="112" t="s">
        <v>172</v>
      </c>
      <c r="G137" s="93" t="s">
        <v>21</v>
      </c>
      <c r="H137" s="94"/>
      <c r="I137" s="94">
        <v>20</v>
      </c>
      <c r="J137" s="95"/>
      <c r="K137" s="183">
        <f>ROW()</f>
        <v>137</v>
      </c>
    </row>
    <row r="138" spans="3:11" ht="15.75" thickBot="1" x14ac:dyDescent="0.3">
      <c r="C138" s="183">
        <v>23</v>
      </c>
      <c r="D138" s="113">
        <v>45206</v>
      </c>
      <c r="E138" s="114">
        <v>23</v>
      </c>
      <c r="F138" s="115" t="s">
        <v>172</v>
      </c>
      <c r="G138" s="50" t="s">
        <v>173</v>
      </c>
      <c r="H138" s="50"/>
      <c r="I138" s="50"/>
      <c r="J138" s="56"/>
      <c r="K138" s="183">
        <f>ROW()</f>
        <v>138</v>
      </c>
    </row>
    <row r="139" spans="3:11" ht="15.75" thickBot="1" x14ac:dyDescent="0.3">
      <c r="C139" s="183">
        <v>23</v>
      </c>
      <c r="D139" s="170">
        <v>45206</v>
      </c>
      <c r="E139" s="171">
        <v>23</v>
      </c>
      <c r="F139" s="172" t="s">
        <v>172</v>
      </c>
      <c r="G139" s="164"/>
      <c r="H139" s="165"/>
      <c r="I139" s="165"/>
      <c r="J139" s="164"/>
      <c r="K139" s="183">
        <f>ROW()</f>
        <v>139</v>
      </c>
    </row>
    <row r="140" spans="3:11" x14ac:dyDescent="0.25">
      <c r="C140" s="183">
        <v>24</v>
      </c>
      <c r="D140" s="136">
        <v>45179</v>
      </c>
      <c r="E140" s="137">
        <v>24</v>
      </c>
      <c r="F140" s="138" t="s">
        <v>172</v>
      </c>
      <c r="G140" s="87" t="s">
        <v>13</v>
      </c>
      <c r="H140" s="88">
        <v>15</v>
      </c>
      <c r="I140" s="88"/>
      <c r="J140" s="89"/>
      <c r="K140" s="183">
        <f>ROW()</f>
        <v>140</v>
      </c>
    </row>
    <row r="141" spans="3:11" x14ac:dyDescent="0.25">
      <c r="C141" s="183">
        <v>24</v>
      </c>
      <c r="D141" s="110">
        <v>45179</v>
      </c>
      <c r="E141" s="111">
        <v>24</v>
      </c>
      <c r="F141" s="112" t="s">
        <v>172</v>
      </c>
      <c r="G141" s="93" t="s">
        <v>107</v>
      </c>
      <c r="H141" s="94"/>
      <c r="I141" s="94">
        <v>15</v>
      </c>
      <c r="J141" s="95"/>
      <c r="K141" s="183">
        <f>ROW()</f>
        <v>141</v>
      </c>
    </row>
    <row r="142" spans="3:11" ht="15.75" thickBot="1" x14ac:dyDescent="0.3">
      <c r="C142" s="183">
        <v>24</v>
      </c>
      <c r="D142" s="113">
        <v>45179</v>
      </c>
      <c r="E142" s="114">
        <v>24</v>
      </c>
      <c r="F142" s="115" t="s">
        <v>172</v>
      </c>
      <c r="G142" s="139" t="s">
        <v>174</v>
      </c>
      <c r="H142" s="139"/>
      <c r="I142" s="139"/>
      <c r="J142" s="140"/>
      <c r="K142" s="183">
        <f>ROW()</f>
        <v>142</v>
      </c>
    </row>
    <row r="143" spans="3:11" ht="15.75" thickBot="1" x14ac:dyDescent="0.3">
      <c r="C143" s="183">
        <v>24</v>
      </c>
      <c r="D143" s="170">
        <v>45179</v>
      </c>
      <c r="E143" s="171">
        <v>24</v>
      </c>
      <c r="F143" s="172" t="s">
        <v>172</v>
      </c>
      <c r="G143" s="164"/>
      <c r="H143" s="165"/>
      <c r="I143" s="165"/>
      <c r="J143" s="164"/>
      <c r="K143" s="183">
        <f>ROW()</f>
        <v>143</v>
      </c>
    </row>
    <row r="144" spans="3:11" x14ac:dyDescent="0.25">
      <c r="C144" s="183">
        <v>25</v>
      </c>
      <c r="D144" s="145" t="s">
        <v>177</v>
      </c>
      <c r="E144" s="137">
        <v>25</v>
      </c>
      <c r="F144" s="138" t="s">
        <v>176</v>
      </c>
      <c r="G144" s="87" t="s">
        <v>127</v>
      </c>
      <c r="H144" s="88">
        <v>19.95</v>
      </c>
      <c r="I144" s="88"/>
      <c r="J144" s="89"/>
      <c r="K144" s="183">
        <f>ROW()</f>
        <v>144</v>
      </c>
    </row>
    <row r="145" spans="3:11" x14ac:dyDescent="0.25">
      <c r="C145" s="183">
        <v>25</v>
      </c>
      <c r="D145" s="146" t="s">
        <v>177</v>
      </c>
      <c r="E145" s="111">
        <v>25</v>
      </c>
      <c r="F145" s="112" t="s">
        <v>176</v>
      </c>
      <c r="G145" s="93" t="s">
        <v>13</v>
      </c>
      <c r="H145" s="94"/>
      <c r="I145" s="94">
        <v>19.95</v>
      </c>
      <c r="J145" s="95"/>
      <c r="K145" s="183">
        <f>ROW()</f>
        <v>145</v>
      </c>
    </row>
    <row r="146" spans="3:11" ht="15.75" thickBot="1" x14ac:dyDescent="0.3">
      <c r="C146" s="183">
        <v>25</v>
      </c>
      <c r="D146" s="147" t="s">
        <v>177</v>
      </c>
      <c r="E146" s="114">
        <v>25</v>
      </c>
      <c r="F146" s="115" t="s">
        <v>176</v>
      </c>
      <c r="G146" s="139" t="s">
        <v>178</v>
      </c>
      <c r="H146" s="139"/>
      <c r="I146" s="139"/>
      <c r="J146" s="140"/>
      <c r="K146" s="183">
        <f>ROW()</f>
        <v>146</v>
      </c>
    </row>
    <row r="147" spans="3:11" ht="15.75" thickBot="1" x14ac:dyDescent="0.3">
      <c r="C147" s="183">
        <v>25</v>
      </c>
      <c r="D147" s="171" t="s">
        <v>177</v>
      </c>
      <c r="E147" s="171">
        <v>25</v>
      </c>
      <c r="F147" s="172" t="s">
        <v>176</v>
      </c>
      <c r="G147" s="164"/>
      <c r="H147" s="165"/>
      <c r="I147" s="165"/>
      <c r="J147" s="164"/>
      <c r="K147" s="183">
        <f>ROW()</f>
        <v>147</v>
      </c>
    </row>
    <row r="148" spans="3:11" s="142" customFormat="1" x14ac:dyDescent="0.25">
      <c r="C148" s="184">
        <v>26</v>
      </c>
      <c r="D148" s="136">
        <v>45207</v>
      </c>
      <c r="E148" s="137">
        <v>26</v>
      </c>
      <c r="F148" s="138" t="s">
        <v>176</v>
      </c>
      <c r="G148" s="87" t="s">
        <v>127</v>
      </c>
      <c r="H148" s="88">
        <v>25</v>
      </c>
      <c r="I148" s="88"/>
      <c r="J148" s="89"/>
      <c r="K148" s="184">
        <f>ROW()</f>
        <v>148</v>
      </c>
    </row>
    <row r="149" spans="3:11" s="142" customFormat="1" x14ac:dyDescent="0.25">
      <c r="C149" s="184">
        <v>26</v>
      </c>
      <c r="D149" s="146">
        <v>45148</v>
      </c>
      <c r="E149" s="111">
        <v>26</v>
      </c>
      <c r="F149" s="112" t="s">
        <v>176</v>
      </c>
      <c r="G149" s="93" t="s">
        <v>13</v>
      </c>
      <c r="H149" s="94"/>
      <c r="I149" s="94">
        <v>25</v>
      </c>
      <c r="J149" s="95"/>
      <c r="K149" s="184">
        <f>ROW()</f>
        <v>149</v>
      </c>
    </row>
    <row r="150" spans="3:11" s="142" customFormat="1" ht="15.75" thickBot="1" x14ac:dyDescent="0.3">
      <c r="C150" s="184">
        <v>26</v>
      </c>
      <c r="D150" s="147">
        <v>45148</v>
      </c>
      <c r="E150" s="114">
        <v>26</v>
      </c>
      <c r="F150" s="115" t="s">
        <v>176</v>
      </c>
      <c r="G150" s="139" t="s">
        <v>179</v>
      </c>
      <c r="H150" s="139"/>
      <c r="I150" s="139"/>
      <c r="J150" s="140"/>
      <c r="K150" s="184">
        <f>ROW()</f>
        <v>150</v>
      </c>
    </row>
    <row r="151" spans="3:11" s="142" customFormat="1" ht="15.75" thickBot="1" x14ac:dyDescent="0.3">
      <c r="C151" s="184">
        <v>26</v>
      </c>
      <c r="D151" s="166">
        <v>45148</v>
      </c>
      <c r="E151" s="163">
        <v>26</v>
      </c>
      <c r="F151" s="169" t="s">
        <v>176</v>
      </c>
      <c r="G151" s="173"/>
      <c r="H151" s="174"/>
      <c r="I151" s="174"/>
      <c r="J151" s="173"/>
      <c r="K151" s="184">
        <f>ROW()</f>
        <v>151</v>
      </c>
    </row>
    <row r="152" spans="3:11" s="142" customFormat="1" x14ac:dyDescent="0.25">
      <c r="C152" s="184">
        <v>27</v>
      </c>
      <c r="D152" s="148">
        <v>45148</v>
      </c>
      <c r="E152" s="149">
        <v>27</v>
      </c>
      <c r="F152" s="150" t="s">
        <v>176</v>
      </c>
      <c r="G152" s="151" t="s">
        <v>127</v>
      </c>
      <c r="H152" s="152">
        <v>25</v>
      </c>
      <c r="I152" s="152"/>
      <c r="J152" s="153"/>
      <c r="K152" s="184">
        <f>ROW()</f>
        <v>152</v>
      </c>
    </row>
    <row r="153" spans="3:11" s="142" customFormat="1" x14ac:dyDescent="0.25">
      <c r="C153" s="184">
        <v>27</v>
      </c>
      <c r="D153" s="154">
        <v>45148</v>
      </c>
      <c r="E153" s="155">
        <v>26</v>
      </c>
      <c r="F153" s="156" t="s">
        <v>176</v>
      </c>
      <c r="G153" s="157" t="s">
        <v>13</v>
      </c>
      <c r="H153" s="158"/>
      <c r="I153" s="158">
        <v>25</v>
      </c>
      <c r="J153" s="159"/>
      <c r="K153" s="184">
        <f>ROW()</f>
        <v>153</v>
      </c>
    </row>
    <row r="154" spans="3:11" s="142" customFormat="1" ht="15.75" thickBot="1" x14ac:dyDescent="0.3">
      <c r="C154" s="184">
        <v>27</v>
      </c>
      <c r="D154" s="160">
        <v>45148</v>
      </c>
      <c r="E154" s="161">
        <v>26</v>
      </c>
      <c r="F154" s="162" t="s">
        <v>176</v>
      </c>
      <c r="G154" s="139" t="s">
        <v>179</v>
      </c>
      <c r="H154" s="139"/>
      <c r="I154" s="139"/>
      <c r="J154" s="140"/>
      <c r="K154" s="184">
        <f>ROW()</f>
        <v>154</v>
      </c>
    </row>
    <row r="155" spans="3:11" s="142" customFormat="1" ht="15.75" thickBot="1" x14ac:dyDescent="0.3">
      <c r="C155" s="184">
        <v>27</v>
      </c>
      <c r="D155" s="170">
        <v>45148</v>
      </c>
      <c r="E155" s="171">
        <v>26</v>
      </c>
      <c r="F155" s="172" t="s">
        <v>176</v>
      </c>
      <c r="G155" s="173"/>
      <c r="H155" s="174"/>
      <c r="I155" s="174"/>
      <c r="J155" s="173"/>
      <c r="K155" s="184">
        <f>ROW()</f>
        <v>155</v>
      </c>
    </row>
    <row r="156" spans="3:11" s="142" customFormat="1" x14ac:dyDescent="0.25">
      <c r="C156" s="184">
        <v>28</v>
      </c>
      <c r="D156" s="175" t="s">
        <v>181</v>
      </c>
      <c r="E156" s="149">
        <v>28</v>
      </c>
      <c r="F156" s="150" t="s">
        <v>180</v>
      </c>
      <c r="G156" s="151" t="s">
        <v>125</v>
      </c>
      <c r="H156" s="152">
        <v>795</v>
      </c>
      <c r="I156" s="152"/>
      <c r="J156" s="153"/>
      <c r="K156" s="184">
        <f>ROW()</f>
        <v>156</v>
      </c>
    </row>
    <row r="157" spans="3:11" s="142" customFormat="1" x14ac:dyDescent="0.25">
      <c r="C157" s="184">
        <v>28</v>
      </c>
      <c r="D157" s="176" t="s">
        <v>181</v>
      </c>
      <c r="E157" s="155">
        <v>28</v>
      </c>
      <c r="F157" s="156" t="s">
        <v>180</v>
      </c>
      <c r="G157" s="157" t="s">
        <v>33</v>
      </c>
      <c r="H157" s="158"/>
      <c r="I157" s="158">
        <v>795</v>
      </c>
      <c r="J157" s="159"/>
      <c r="K157" s="184">
        <f>ROW()</f>
        <v>157</v>
      </c>
    </row>
    <row r="158" spans="3:11" s="142" customFormat="1" ht="15.75" thickBot="1" x14ac:dyDescent="0.3">
      <c r="C158" s="184">
        <v>28</v>
      </c>
      <c r="D158" s="177" t="s">
        <v>181</v>
      </c>
      <c r="E158" s="161">
        <v>28</v>
      </c>
      <c r="F158" s="162" t="s">
        <v>180</v>
      </c>
      <c r="G158" s="57" t="s">
        <v>182</v>
      </c>
      <c r="H158" s="57"/>
      <c r="I158" s="57"/>
      <c r="J158" s="59"/>
      <c r="K158" s="184">
        <f>ROW()</f>
        <v>158</v>
      </c>
    </row>
    <row r="159" spans="3:11" s="142" customFormat="1" ht="15.75" thickBot="1" x14ac:dyDescent="0.3">
      <c r="C159" s="184">
        <v>28</v>
      </c>
      <c r="D159" s="171" t="s">
        <v>181</v>
      </c>
      <c r="E159" s="171">
        <v>28</v>
      </c>
      <c r="F159" s="172" t="s">
        <v>180</v>
      </c>
      <c r="G159" s="173"/>
      <c r="H159" s="174"/>
      <c r="I159" s="174"/>
      <c r="J159" s="173"/>
      <c r="K159" s="184">
        <f>ROW()</f>
        <v>159</v>
      </c>
    </row>
    <row r="160" spans="3:11" s="142" customFormat="1" x14ac:dyDescent="0.25">
      <c r="C160" s="141">
        <v>29</v>
      </c>
      <c r="D160" s="185">
        <v>45087</v>
      </c>
      <c r="E160" s="186">
        <v>29</v>
      </c>
      <c r="F160" s="187" t="s">
        <v>183</v>
      </c>
      <c r="G160" s="188" t="s">
        <v>15</v>
      </c>
      <c r="H160" s="189">
        <v>2157.0700000000002</v>
      </c>
      <c r="I160" s="189"/>
      <c r="J160" s="190"/>
      <c r="K160" s="141">
        <f>ROW()</f>
        <v>160</v>
      </c>
    </row>
    <row r="161" spans="3:11" s="142" customFormat="1" x14ac:dyDescent="0.25">
      <c r="C161" s="141">
        <v>29</v>
      </c>
      <c r="D161" s="191">
        <v>45087</v>
      </c>
      <c r="E161" s="134">
        <v>29</v>
      </c>
      <c r="F161" s="135" t="s">
        <v>183</v>
      </c>
      <c r="G161" s="192" t="s">
        <v>88</v>
      </c>
      <c r="H161" s="193"/>
      <c r="I161" s="193">
        <v>2275</v>
      </c>
      <c r="J161" s="194"/>
      <c r="K161" s="141">
        <f>ROW()</f>
        <v>161</v>
      </c>
    </row>
    <row r="162" spans="3:11" s="142" customFormat="1" x14ac:dyDescent="0.25">
      <c r="C162" s="141">
        <v>29</v>
      </c>
      <c r="D162" s="191">
        <v>45087</v>
      </c>
      <c r="E162" s="134">
        <v>29</v>
      </c>
      <c r="F162" s="135" t="s">
        <v>183</v>
      </c>
      <c r="G162" s="192" t="s">
        <v>121</v>
      </c>
      <c r="H162" s="193"/>
      <c r="I162" s="193">
        <v>11</v>
      </c>
      <c r="J162" s="194"/>
      <c r="K162" s="141">
        <f>ROW()</f>
        <v>162</v>
      </c>
    </row>
    <row r="163" spans="3:11" s="142" customFormat="1" x14ac:dyDescent="0.25">
      <c r="C163" s="141">
        <v>29</v>
      </c>
      <c r="D163" s="191">
        <v>45087</v>
      </c>
      <c r="E163" s="134">
        <v>29</v>
      </c>
      <c r="F163" s="135" t="s">
        <v>183</v>
      </c>
      <c r="G163" s="192" t="s">
        <v>119</v>
      </c>
      <c r="H163" s="193"/>
      <c r="I163" s="193">
        <v>12</v>
      </c>
      <c r="J163" s="194"/>
      <c r="K163" s="141">
        <f>ROW()</f>
        <v>163</v>
      </c>
    </row>
    <row r="164" spans="3:11" s="142" customFormat="1" x14ac:dyDescent="0.25">
      <c r="C164" s="141">
        <v>29</v>
      </c>
      <c r="D164" s="191">
        <v>45087</v>
      </c>
      <c r="E164" s="134">
        <v>29</v>
      </c>
      <c r="F164" s="135" t="s">
        <v>183</v>
      </c>
      <c r="G164" s="192" t="s">
        <v>127</v>
      </c>
      <c r="H164" s="193"/>
      <c r="I164" s="193">
        <v>13</v>
      </c>
      <c r="J164" s="194"/>
      <c r="K164" s="141">
        <f>ROW()</f>
        <v>164</v>
      </c>
    </row>
    <row r="165" spans="3:11" s="142" customFormat="1" x14ac:dyDescent="0.25">
      <c r="C165" s="141">
        <v>29</v>
      </c>
      <c r="D165" s="191">
        <v>45087</v>
      </c>
      <c r="E165" s="134">
        <v>29</v>
      </c>
      <c r="F165" s="135" t="s">
        <v>183</v>
      </c>
      <c r="G165" s="192" t="s">
        <v>23</v>
      </c>
      <c r="H165" s="193"/>
      <c r="I165" s="193">
        <v>115.55</v>
      </c>
      <c r="J165" s="194"/>
      <c r="K165" s="141">
        <f>ROW()</f>
        <v>165</v>
      </c>
    </row>
    <row r="166" spans="3:11" s="142" customFormat="1" x14ac:dyDescent="0.25">
      <c r="C166" s="141">
        <v>29</v>
      </c>
      <c r="D166" s="195">
        <v>45087</v>
      </c>
      <c r="E166" s="196">
        <v>29</v>
      </c>
      <c r="F166" s="197" t="s">
        <v>183</v>
      </c>
      <c r="G166" s="192" t="s">
        <v>25</v>
      </c>
      <c r="H166" s="193"/>
      <c r="I166" s="193">
        <v>230.52</v>
      </c>
      <c r="J166" s="194"/>
      <c r="K166" s="141">
        <f>ROW()</f>
        <v>166</v>
      </c>
    </row>
    <row r="167" spans="3:11" s="142" customFormat="1" x14ac:dyDescent="0.25">
      <c r="C167" s="141">
        <v>29</v>
      </c>
      <c r="D167" s="195">
        <v>45087</v>
      </c>
      <c r="E167" s="196">
        <v>29</v>
      </c>
      <c r="F167" s="197" t="s">
        <v>183</v>
      </c>
      <c r="G167" s="192" t="s">
        <v>33</v>
      </c>
      <c r="H167" s="193">
        <v>500</v>
      </c>
      <c r="I167" s="193"/>
      <c r="J167" s="194"/>
      <c r="K167" s="141">
        <f>ROW()</f>
        <v>167</v>
      </c>
    </row>
    <row r="168" spans="3:11" s="142" customFormat="1" ht="15.75" thickBot="1" x14ac:dyDescent="0.3">
      <c r="C168" s="141">
        <v>29</v>
      </c>
      <c r="D168" s="198">
        <v>45087</v>
      </c>
      <c r="E168" s="199">
        <v>29</v>
      </c>
      <c r="F168" s="200" t="s">
        <v>183</v>
      </c>
      <c r="G168" s="201" t="s">
        <v>149</v>
      </c>
      <c r="H168" s="201"/>
      <c r="I168" s="201"/>
      <c r="J168" s="202"/>
      <c r="K168" s="141">
        <f>ROW()</f>
        <v>168</v>
      </c>
    </row>
    <row r="169" spans="3:11" s="142" customFormat="1" x14ac:dyDescent="0.25">
      <c r="C169" s="141">
        <v>29</v>
      </c>
      <c r="D169" s="203">
        <v>45087</v>
      </c>
      <c r="E169" s="204">
        <v>29</v>
      </c>
      <c r="F169" s="205" t="s">
        <v>183</v>
      </c>
      <c r="G169" s="206"/>
      <c r="H169" s="207"/>
      <c r="I169" s="207"/>
      <c r="J169" s="206"/>
      <c r="K169" s="141">
        <f>ROW()</f>
        <v>169</v>
      </c>
    </row>
    <row r="170" spans="3:11" s="142" customFormat="1" x14ac:dyDescent="0.25">
      <c r="C170" s="141"/>
      <c r="D170" s="132"/>
      <c r="E170" s="132"/>
      <c r="F170" s="133"/>
      <c r="H170" s="143"/>
      <c r="I170" s="143"/>
      <c r="K170" s="141"/>
    </row>
    <row r="171" spans="3:11" s="142" customFormat="1" x14ac:dyDescent="0.25">
      <c r="C171" s="141"/>
      <c r="D171" s="132"/>
      <c r="E171" s="132"/>
      <c r="F171" s="133"/>
      <c r="H171" s="143"/>
      <c r="I171" s="143"/>
      <c r="K171" s="141"/>
    </row>
    <row r="172" spans="3:11" s="142" customFormat="1" x14ac:dyDescent="0.25">
      <c r="C172" s="141"/>
      <c r="D172" s="132"/>
      <c r="E172" s="132"/>
      <c r="F172" s="133"/>
      <c r="H172" s="143"/>
      <c r="I172" s="143"/>
      <c r="K172" s="141"/>
    </row>
    <row r="173" spans="3:11" s="142" customFormat="1" x14ac:dyDescent="0.25">
      <c r="C173" s="141"/>
      <c r="D173" s="132"/>
      <c r="E173" s="132"/>
      <c r="F173" s="133"/>
      <c r="H173" s="143"/>
      <c r="I173" s="143"/>
      <c r="K173" s="141"/>
    </row>
    <row r="174" spans="3:11" s="142" customFormat="1" x14ac:dyDescent="0.25">
      <c r="C174" s="141"/>
      <c r="D174" s="132"/>
      <c r="E174" s="132"/>
      <c r="F174" s="133"/>
      <c r="H174" s="143"/>
      <c r="I174" s="143"/>
      <c r="K174" s="141"/>
    </row>
    <row r="175" spans="3:11" s="142" customFormat="1" x14ac:dyDescent="0.25">
      <c r="C175" s="141"/>
      <c r="D175" s="132"/>
      <c r="E175" s="132"/>
      <c r="F175" s="133"/>
      <c r="H175" s="143"/>
      <c r="I175" s="143"/>
      <c r="K175" s="141"/>
    </row>
    <row r="176" spans="3:11" s="142" customFormat="1" x14ac:dyDescent="0.25">
      <c r="C176" s="141"/>
      <c r="D176" s="132"/>
      <c r="E176" s="132"/>
      <c r="F176" s="133"/>
      <c r="H176" s="143"/>
      <c r="I176" s="143"/>
      <c r="K176" s="141"/>
    </row>
    <row r="177" spans="3:11" s="142" customFormat="1" x14ac:dyDescent="0.25">
      <c r="C177" s="141"/>
      <c r="D177" s="132"/>
      <c r="E177" s="132"/>
      <c r="F177" s="133"/>
      <c r="H177" s="143"/>
      <c r="I177" s="143"/>
      <c r="K177" s="141"/>
    </row>
    <row r="178" spans="3:11" s="142" customFormat="1" x14ac:dyDescent="0.25">
      <c r="C178" s="141"/>
      <c r="D178" s="132"/>
      <c r="E178" s="132"/>
      <c r="F178" s="133"/>
      <c r="H178" s="143"/>
      <c r="I178" s="143"/>
      <c r="K178" s="141"/>
    </row>
    <row r="179" spans="3:11" s="142" customFormat="1" x14ac:dyDescent="0.25">
      <c r="C179" s="141"/>
      <c r="D179" s="132"/>
      <c r="E179" s="132"/>
      <c r="F179" s="133"/>
      <c r="H179" s="143"/>
      <c r="I179" s="143"/>
      <c r="K179" s="141"/>
    </row>
    <row r="180" spans="3:11" s="142" customFormat="1" x14ac:dyDescent="0.25">
      <c r="C180" s="141"/>
      <c r="D180" s="132"/>
      <c r="E180" s="132"/>
      <c r="F180" s="133"/>
      <c r="H180" s="143"/>
      <c r="I180" s="143"/>
      <c r="K180" s="141"/>
    </row>
    <row r="181" spans="3:11" s="142" customFormat="1" x14ac:dyDescent="0.25">
      <c r="C181" s="141"/>
      <c r="D181" s="132"/>
      <c r="E181" s="132"/>
      <c r="F181" s="133"/>
      <c r="H181" s="143"/>
      <c r="I181" s="143"/>
      <c r="K181" s="141"/>
    </row>
    <row r="182" spans="3:11" s="142" customFormat="1" x14ac:dyDescent="0.25">
      <c r="C182" s="141"/>
      <c r="D182" s="132"/>
      <c r="E182" s="132"/>
      <c r="F182" s="133"/>
      <c r="H182" s="143"/>
      <c r="I182" s="143"/>
      <c r="K182" s="141"/>
    </row>
    <row r="183" spans="3:11" s="142" customFormat="1" x14ac:dyDescent="0.25">
      <c r="C183" s="141"/>
      <c r="D183" s="132"/>
      <c r="E183" s="132"/>
      <c r="F183" s="133"/>
      <c r="H183" s="143"/>
      <c r="I183" s="143"/>
      <c r="K183" s="141"/>
    </row>
    <row r="184" spans="3:11" s="142" customFormat="1" x14ac:dyDescent="0.25">
      <c r="C184" s="141"/>
      <c r="D184" s="132"/>
      <c r="E184" s="132"/>
      <c r="F184" s="133"/>
      <c r="H184" s="143"/>
      <c r="I184" s="143"/>
      <c r="K184" s="141"/>
    </row>
    <row r="185" spans="3:11" s="142" customFormat="1" x14ac:dyDescent="0.25">
      <c r="C185" s="141"/>
      <c r="D185" s="132"/>
      <c r="E185" s="132"/>
      <c r="F185" s="133"/>
      <c r="H185" s="143"/>
      <c r="I185" s="143"/>
      <c r="K185" s="141"/>
    </row>
    <row r="186" spans="3:11" s="142" customFormat="1" x14ac:dyDescent="0.25">
      <c r="C186" s="141"/>
      <c r="D186" s="132"/>
      <c r="E186" s="132"/>
      <c r="F186" s="133"/>
      <c r="H186" s="143"/>
      <c r="I186" s="143"/>
      <c r="K186" s="141"/>
    </row>
    <row r="187" spans="3:11" s="142" customFormat="1" x14ac:dyDescent="0.25">
      <c r="C187" s="141"/>
      <c r="D187" s="132"/>
      <c r="E187" s="132"/>
      <c r="F187" s="133"/>
      <c r="H187" s="143"/>
      <c r="I187" s="143"/>
      <c r="K187" s="141"/>
    </row>
    <row r="188" spans="3:11" s="142" customFormat="1" x14ac:dyDescent="0.25">
      <c r="C188" s="141"/>
      <c r="D188" s="132"/>
      <c r="E188" s="132"/>
      <c r="F188" s="133"/>
      <c r="H188" s="143"/>
      <c r="I188" s="143"/>
      <c r="K188" s="141"/>
    </row>
    <row r="189" spans="3:11" s="142" customFormat="1" x14ac:dyDescent="0.25">
      <c r="C189" s="141"/>
      <c r="D189" s="132"/>
      <c r="E189" s="132"/>
      <c r="F189" s="133"/>
      <c r="H189" s="143"/>
      <c r="I189" s="143"/>
      <c r="K189" s="141"/>
    </row>
    <row r="190" spans="3:11" s="142" customFormat="1" x14ac:dyDescent="0.25">
      <c r="C190" s="141"/>
      <c r="D190" s="132"/>
      <c r="E190" s="132"/>
      <c r="F190" s="133"/>
      <c r="H190" s="143"/>
      <c r="I190" s="143"/>
      <c r="K190" s="141"/>
    </row>
    <row r="191" spans="3:11" s="142" customFormat="1" x14ac:dyDescent="0.25">
      <c r="C191" s="141"/>
      <c r="D191" s="132"/>
      <c r="E191" s="132"/>
      <c r="F191" s="133"/>
      <c r="H191" s="143"/>
      <c r="I191" s="143"/>
      <c r="K191" s="141"/>
    </row>
    <row r="192" spans="3:11" s="142" customFormat="1" x14ac:dyDescent="0.25">
      <c r="C192" s="141"/>
      <c r="D192" s="132"/>
      <c r="E192" s="132"/>
      <c r="F192" s="133"/>
      <c r="H192" s="143"/>
      <c r="I192" s="143"/>
      <c r="K192" s="141"/>
    </row>
    <row r="193" spans="3:11" s="142" customFormat="1" x14ac:dyDescent="0.25">
      <c r="C193" s="141"/>
      <c r="D193" s="132"/>
      <c r="E193" s="132"/>
      <c r="F193" s="133"/>
      <c r="H193" s="143"/>
      <c r="I193" s="143"/>
      <c r="K193" s="141"/>
    </row>
    <row r="194" spans="3:11" s="142" customFormat="1" x14ac:dyDescent="0.25">
      <c r="C194" s="141"/>
      <c r="D194" s="132"/>
      <c r="E194" s="132"/>
      <c r="F194" s="133"/>
      <c r="H194" s="143"/>
      <c r="I194" s="143"/>
      <c r="K194" s="141"/>
    </row>
    <row r="195" spans="3:11" s="142" customFormat="1" x14ac:dyDescent="0.25">
      <c r="C195" s="141"/>
      <c r="D195" s="132"/>
      <c r="E195" s="132"/>
      <c r="F195" s="133"/>
      <c r="H195" s="143"/>
      <c r="I195" s="143"/>
      <c r="K195" s="141"/>
    </row>
    <row r="196" spans="3:11" s="142" customFormat="1" x14ac:dyDescent="0.25">
      <c r="C196" s="141"/>
      <c r="D196" s="132"/>
      <c r="E196" s="132"/>
      <c r="F196" s="133"/>
      <c r="H196" s="143"/>
      <c r="I196" s="143"/>
      <c r="K196" s="141"/>
    </row>
    <row r="197" spans="3:11" s="142" customFormat="1" x14ac:dyDescent="0.25">
      <c r="C197" s="141"/>
      <c r="D197" s="132"/>
      <c r="E197" s="132"/>
      <c r="F197" s="133"/>
      <c r="H197" s="143"/>
      <c r="I197" s="143"/>
      <c r="K197" s="141"/>
    </row>
    <row r="198" spans="3:11" s="142" customFormat="1" x14ac:dyDescent="0.25">
      <c r="C198" s="141"/>
      <c r="D198" s="132"/>
      <c r="E198" s="132"/>
      <c r="F198" s="133"/>
      <c r="H198" s="143"/>
      <c r="I198" s="143"/>
      <c r="K198" s="141"/>
    </row>
    <row r="199" spans="3:11" s="142" customFormat="1" x14ac:dyDescent="0.25">
      <c r="C199" s="141"/>
      <c r="D199" s="132"/>
      <c r="E199" s="132"/>
      <c r="F199" s="133"/>
      <c r="H199" s="143"/>
      <c r="I199" s="143"/>
      <c r="K199" s="141"/>
    </row>
    <row r="200" spans="3:11" s="142" customFormat="1" x14ac:dyDescent="0.25">
      <c r="C200" s="141"/>
      <c r="D200" s="132"/>
      <c r="E200" s="132"/>
      <c r="F200" s="133"/>
      <c r="H200" s="143"/>
      <c r="I200" s="143"/>
      <c r="K200" s="141"/>
    </row>
    <row r="201" spans="3:11" s="142" customFormat="1" x14ac:dyDescent="0.25">
      <c r="C201" s="141"/>
      <c r="D201" s="132"/>
      <c r="E201" s="132"/>
      <c r="F201" s="133"/>
      <c r="H201" s="143"/>
      <c r="I201" s="143"/>
      <c r="K201" s="141"/>
    </row>
    <row r="202" spans="3:11" s="142" customFormat="1" x14ac:dyDescent="0.25">
      <c r="C202" s="141"/>
      <c r="D202" s="132"/>
      <c r="E202" s="132"/>
      <c r="F202" s="133"/>
      <c r="H202" s="143"/>
      <c r="I202" s="143"/>
      <c r="K202" s="141"/>
    </row>
    <row r="203" spans="3:11" s="142" customFormat="1" x14ac:dyDescent="0.25">
      <c r="C203" s="141"/>
      <c r="D203" s="132"/>
      <c r="E203" s="132"/>
      <c r="F203" s="133"/>
      <c r="H203" s="143"/>
      <c r="I203" s="143"/>
      <c r="K203" s="141"/>
    </row>
    <row r="204" spans="3:11" s="142" customFormat="1" x14ac:dyDescent="0.25">
      <c r="C204" s="141"/>
      <c r="D204" s="132"/>
      <c r="E204" s="132"/>
      <c r="F204" s="133"/>
      <c r="H204" s="143"/>
      <c r="I204" s="143"/>
      <c r="K204" s="141"/>
    </row>
    <row r="205" spans="3:11" s="142" customFormat="1" x14ac:dyDescent="0.25">
      <c r="C205" s="141"/>
      <c r="D205" s="132"/>
      <c r="E205" s="132"/>
      <c r="F205" s="133"/>
      <c r="H205" s="143"/>
      <c r="I205" s="143"/>
      <c r="K205" s="141"/>
    </row>
    <row r="206" spans="3:11" s="142" customFormat="1" x14ac:dyDescent="0.25">
      <c r="C206" s="141"/>
      <c r="D206" s="132"/>
      <c r="E206" s="132"/>
      <c r="F206" s="133"/>
      <c r="H206" s="143"/>
      <c r="I206" s="143"/>
      <c r="K206" s="141"/>
    </row>
    <row r="207" spans="3:11" s="142" customFormat="1" x14ac:dyDescent="0.25">
      <c r="C207" s="141"/>
      <c r="D207" s="132"/>
      <c r="E207" s="132"/>
      <c r="F207" s="133"/>
      <c r="H207" s="143"/>
      <c r="I207" s="143"/>
      <c r="K207" s="141"/>
    </row>
    <row r="208" spans="3:11" s="142" customFormat="1" x14ac:dyDescent="0.25">
      <c r="C208" s="141"/>
      <c r="D208" s="132"/>
      <c r="E208" s="132"/>
      <c r="F208" s="133"/>
      <c r="H208" s="143"/>
      <c r="I208" s="143"/>
      <c r="K208" s="141"/>
    </row>
    <row r="209" spans="3:11" s="142" customFormat="1" x14ac:dyDescent="0.25">
      <c r="C209" s="141"/>
      <c r="D209" s="132"/>
      <c r="E209" s="132"/>
      <c r="F209" s="133"/>
      <c r="H209" s="143"/>
      <c r="I209" s="143"/>
      <c r="K209" s="141"/>
    </row>
    <row r="210" spans="3:11" s="142" customFormat="1" x14ac:dyDescent="0.25">
      <c r="C210" s="141"/>
      <c r="D210" s="132"/>
      <c r="E210" s="132"/>
      <c r="F210" s="133"/>
      <c r="H210" s="143"/>
      <c r="I210" s="143"/>
      <c r="K210" s="141"/>
    </row>
    <row r="211" spans="3:11" s="142" customFormat="1" x14ac:dyDescent="0.25">
      <c r="C211" s="141"/>
      <c r="D211" s="132"/>
      <c r="E211" s="132"/>
      <c r="F211" s="133"/>
      <c r="H211" s="143"/>
      <c r="I211" s="143"/>
      <c r="K211" s="141"/>
    </row>
    <row r="212" spans="3:11" s="142" customFormat="1" x14ac:dyDescent="0.25">
      <c r="C212" s="141"/>
      <c r="D212" s="132"/>
      <c r="E212" s="132"/>
      <c r="F212" s="133"/>
      <c r="H212" s="143"/>
      <c r="I212" s="143"/>
      <c r="K212" s="141"/>
    </row>
    <row r="213" spans="3:11" s="142" customFormat="1" x14ac:dyDescent="0.25">
      <c r="C213" s="141"/>
      <c r="D213" s="132"/>
      <c r="E213" s="132"/>
      <c r="F213" s="133"/>
      <c r="H213" s="143"/>
      <c r="I213" s="143"/>
      <c r="K213" s="141"/>
    </row>
    <row r="214" spans="3:11" s="142" customFormat="1" x14ac:dyDescent="0.25">
      <c r="C214" s="141"/>
      <c r="D214" s="132"/>
      <c r="E214" s="132"/>
      <c r="F214" s="133"/>
      <c r="H214" s="143"/>
      <c r="I214" s="143"/>
      <c r="K214" s="141"/>
    </row>
    <row r="215" spans="3:11" s="142" customFormat="1" x14ac:dyDescent="0.25">
      <c r="C215" s="141"/>
      <c r="D215" s="132"/>
      <c r="E215" s="132"/>
      <c r="F215" s="133"/>
      <c r="H215" s="143"/>
      <c r="I215" s="143"/>
      <c r="K215" s="141"/>
    </row>
    <row r="216" spans="3:11" s="142" customFormat="1" x14ac:dyDescent="0.25">
      <c r="C216" s="141"/>
      <c r="D216" s="132"/>
      <c r="E216" s="132"/>
      <c r="F216" s="133"/>
      <c r="H216" s="143"/>
      <c r="I216" s="143"/>
      <c r="K216" s="141"/>
    </row>
    <row r="217" spans="3:11" s="142" customFormat="1" x14ac:dyDescent="0.25">
      <c r="C217" s="141"/>
      <c r="D217" s="132"/>
      <c r="E217" s="132"/>
      <c r="F217" s="133"/>
      <c r="H217" s="143"/>
      <c r="I217" s="143"/>
      <c r="K217" s="141"/>
    </row>
    <row r="218" spans="3:11" s="142" customFormat="1" x14ac:dyDescent="0.25">
      <c r="C218" s="141"/>
      <c r="D218" s="132"/>
      <c r="E218" s="132"/>
      <c r="F218" s="133"/>
      <c r="H218" s="143"/>
      <c r="I218" s="143"/>
      <c r="K218" s="141"/>
    </row>
    <row r="219" spans="3:11" s="142" customFormat="1" x14ac:dyDescent="0.25">
      <c r="C219" s="141"/>
      <c r="D219" s="132"/>
      <c r="E219" s="132"/>
      <c r="F219" s="133"/>
      <c r="H219" s="143"/>
      <c r="I219" s="143"/>
      <c r="K219" s="141"/>
    </row>
    <row r="220" spans="3:11" s="142" customFormat="1" x14ac:dyDescent="0.25">
      <c r="C220" s="141"/>
      <c r="D220" s="132"/>
      <c r="E220" s="132"/>
      <c r="F220" s="133"/>
      <c r="H220" s="143"/>
      <c r="I220" s="143"/>
      <c r="K220" s="141"/>
    </row>
    <row r="221" spans="3:11" s="142" customFormat="1" x14ac:dyDescent="0.25">
      <c r="C221" s="141"/>
      <c r="D221" s="132"/>
      <c r="E221" s="132"/>
      <c r="F221" s="133"/>
      <c r="H221" s="143"/>
      <c r="I221" s="143"/>
      <c r="K221" s="141"/>
    </row>
    <row r="222" spans="3:11" s="142" customFormat="1" x14ac:dyDescent="0.25">
      <c r="C222" s="141"/>
      <c r="D222" s="132"/>
      <c r="E222" s="132"/>
      <c r="F222" s="133"/>
      <c r="H222" s="143"/>
      <c r="I222" s="143"/>
      <c r="K222" s="141"/>
    </row>
    <row r="223" spans="3:11" s="142" customFormat="1" x14ac:dyDescent="0.25">
      <c r="C223" s="141"/>
      <c r="D223" s="132"/>
      <c r="E223" s="132"/>
      <c r="F223" s="133"/>
      <c r="H223" s="143"/>
      <c r="I223" s="143"/>
      <c r="K223" s="141"/>
    </row>
    <row r="224" spans="3:11" s="142" customFormat="1" x14ac:dyDescent="0.25">
      <c r="C224" s="141"/>
      <c r="D224" s="132"/>
      <c r="E224" s="132"/>
      <c r="F224" s="133"/>
      <c r="H224" s="143"/>
      <c r="I224" s="143"/>
      <c r="K224" s="141"/>
    </row>
    <row r="225" spans="3:11" s="142" customFormat="1" x14ac:dyDescent="0.25">
      <c r="C225" s="141"/>
      <c r="D225" s="132"/>
      <c r="E225" s="132"/>
      <c r="F225" s="133"/>
      <c r="H225" s="143"/>
      <c r="I225" s="143"/>
      <c r="K225" s="141"/>
    </row>
    <row r="226" spans="3:11" s="142" customFormat="1" x14ac:dyDescent="0.25">
      <c r="C226" s="141"/>
      <c r="D226" s="132"/>
      <c r="E226" s="132"/>
      <c r="F226" s="133"/>
      <c r="H226" s="143"/>
      <c r="I226" s="143"/>
      <c r="K226" s="141"/>
    </row>
    <row r="227" spans="3:11" s="142" customFormat="1" x14ac:dyDescent="0.25">
      <c r="C227" s="141"/>
      <c r="D227" s="132"/>
      <c r="E227" s="132"/>
      <c r="F227" s="133"/>
      <c r="H227" s="143"/>
      <c r="I227" s="143"/>
      <c r="K227" s="141"/>
    </row>
    <row r="228" spans="3:11" s="142" customFormat="1" x14ac:dyDescent="0.25">
      <c r="C228" s="141"/>
      <c r="D228" s="132"/>
      <c r="E228" s="132"/>
      <c r="F228" s="133"/>
      <c r="H228" s="143"/>
      <c r="I228" s="143"/>
      <c r="K228" s="141"/>
    </row>
    <row r="229" spans="3:11" s="142" customFormat="1" x14ac:dyDescent="0.25">
      <c r="C229" s="141"/>
      <c r="D229" s="132"/>
      <c r="E229" s="132"/>
      <c r="F229" s="133"/>
      <c r="H229" s="143"/>
      <c r="I229" s="143"/>
      <c r="K229" s="141"/>
    </row>
    <row r="230" spans="3:11" s="142" customFormat="1" x14ac:dyDescent="0.25">
      <c r="C230" s="141"/>
      <c r="D230" s="132"/>
      <c r="E230" s="132"/>
      <c r="F230" s="133"/>
      <c r="H230" s="143"/>
      <c r="I230" s="143"/>
      <c r="K230" s="141"/>
    </row>
    <row r="231" spans="3:11" s="142" customFormat="1" x14ac:dyDescent="0.25">
      <c r="C231" s="141"/>
      <c r="D231" s="132"/>
      <c r="E231" s="132"/>
      <c r="F231" s="133"/>
      <c r="H231" s="143"/>
      <c r="I231" s="143"/>
      <c r="K231" s="141"/>
    </row>
    <row r="232" spans="3:11" s="142" customFormat="1" x14ac:dyDescent="0.25">
      <c r="C232" s="141"/>
      <c r="D232" s="132"/>
      <c r="E232" s="132"/>
      <c r="F232" s="133"/>
      <c r="H232" s="143"/>
      <c r="I232" s="143"/>
      <c r="K232" s="141"/>
    </row>
    <row r="233" spans="3:11" s="142" customFormat="1" x14ac:dyDescent="0.25">
      <c r="C233" s="141"/>
      <c r="D233" s="132"/>
      <c r="E233" s="132"/>
      <c r="F233" s="133"/>
      <c r="H233" s="143"/>
      <c r="I233" s="143"/>
      <c r="K233" s="141"/>
    </row>
    <row r="234" spans="3:11" s="142" customFormat="1" x14ac:dyDescent="0.25">
      <c r="C234" s="141"/>
      <c r="D234" s="132"/>
      <c r="E234" s="132"/>
      <c r="F234" s="133"/>
      <c r="H234" s="143"/>
      <c r="I234" s="143"/>
      <c r="K234" s="141"/>
    </row>
    <row r="235" spans="3:11" s="142" customFormat="1" x14ac:dyDescent="0.25">
      <c r="C235" s="141"/>
      <c r="D235" s="132"/>
      <c r="E235" s="132"/>
      <c r="F235" s="133"/>
      <c r="H235" s="143"/>
      <c r="I235" s="143"/>
      <c r="K235" s="141"/>
    </row>
    <row r="236" spans="3:11" s="142" customFormat="1" x14ac:dyDescent="0.25">
      <c r="C236" s="141"/>
      <c r="D236" s="132"/>
      <c r="E236" s="132"/>
      <c r="F236" s="133"/>
      <c r="H236" s="143"/>
      <c r="I236" s="143"/>
      <c r="K236" s="141"/>
    </row>
    <row r="237" spans="3:11" s="142" customFormat="1" x14ac:dyDescent="0.25">
      <c r="C237" s="141"/>
      <c r="D237" s="132"/>
      <c r="E237" s="132"/>
      <c r="F237" s="133"/>
      <c r="H237" s="143"/>
      <c r="I237" s="143"/>
      <c r="K237" s="141"/>
    </row>
    <row r="238" spans="3:11" s="142" customFormat="1" x14ac:dyDescent="0.25">
      <c r="C238" s="141"/>
      <c r="D238" s="132"/>
      <c r="E238" s="132"/>
      <c r="F238" s="133"/>
      <c r="H238" s="143"/>
      <c r="I238" s="143"/>
      <c r="K238" s="141"/>
    </row>
    <row r="239" spans="3:11" s="142" customFormat="1" x14ac:dyDescent="0.25">
      <c r="C239" s="141"/>
      <c r="D239" s="132"/>
      <c r="E239" s="132"/>
      <c r="F239" s="133"/>
      <c r="H239" s="143"/>
      <c r="I239" s="143"/>
      <c r="K239" s="141"/>
    </row>
    <row r="240" spans="3:11" s="142" customFormat="1" x14ac:dyDescent="0.25">
      <c r="C240" s="141"/>
      <c r="D240" s="132"/>
      <c r="E240" s="132"/>
      <c r="F240" s="133"/>
      <c r="H240" s="143"/>
      <c r="I240" s="143"/>
      <c r="K240" s="141"/>
    </row>
    <row r="241" spans="3:11" s="142" customFormat="1" x14ac:dyDescent="0.25">
      <c r="C241" s="141"/>
      <c r="D241" s="132"/>
      <c r="E241" s="132"/>
      <c r="F241" s="133"/>
      <c r="H241" s="143"/>
      <c r="I241" s="143"/>
      <c r="K241" s="141"/>
    </row>
    <row r="242" spans="3:11" s="142" customFormat="1" x14ac:dyDescent="0.25">
      <c r="C242" s="141"/>
      <c r="D242" s="132"/>
      <c r="E242" s="132"/>
      <c r="F242" s="133"/>
      <c r="H242" s="143"/>
      <c r="I242" s="143"/>
      <c r="K242" s="141"/>
    </row>
    <row r="243" spans="3:11" s="142" customFormat="1" x14ac:dyDescent="0.25">
      <c r="C243" s="141"/>
      <c r="D243" s="132"/>
      <c r="E243" s="132"/>
      <c r="F243" s="133"/>
      <c r="H243" s="143"/>
      <c r="I243" s="143"/>
      <c r="K243" s="141"/>
    </row>
    <row r="244" spans="3:11" s="142" customFormat="1" x14ac:dyDescent="0.25">
      <c r="C244" s="141"/>
      <c r="D244" s="132"/>
      <c r="E244" s="132"/>
      <c r="F244" s="133"/>
      <c r="H244" s="143"/>
      <c r="I244" s="143"/>
      <c r="K244" s="141"/>
    </row>
    <row r="245" spans="3:11" s="142" customFormat="1" x14ac:dyDescent="0.25">
      <c r="C245" s="141"/>
      <c r="D245" s="132"/>
      <c r="E245" s="132"/>
      <c r="F245" s="133"/>
      <c r="H245" s="143"/>
      <c r="I245" s="143"/>
      <c r="K245" s="141"/>
    </row>
    <row r="246" spans="3:11" s="142" customFormat="1" x14ac:dyDescent="0.25">
      <c r="C246" s="141"/>
      <c r="D246" s="132"/>
      <c r="E246" s="132"/>
      <c r="F246" s="133"/>
      <c r="H246" s="143"/>
      <c r="I246" s="143"/>
      <c r="K246" s="141"/>
    </row>
    <row r="247" spans="3:11" s="142" customFormat="1" x14ac:dyDescent="0.25">
      <c r="C247" s="141"/>
      <c r="D247" s="132"/>
      <c r="E247" s="132"/>
      <c r="F247" s="133"/>
      <c r="H247" s="143"/>
      <c r="I247" s="143"/>
      <c r="K247" s="141"/>
    </row>
    <row r="248" spans="3:11" s="142" customFormat="1" x14ac:dyDescent="0.25">
      <c r="C248" s="141"/>
      <c r="D248" s="132"/>
      <c r="E248" s="132"/>
      <c r="F248" s="133"/>
      <c r="H248" s="143"/>
      <c r="I248" s="143"/>
      <c r="K248" s="141"/>
    </row>
    <row r="249" spans="3:11" s="142" customFormat="1" x14ac:dyDescent="0.25">
      <c r="C249" s="141"/>
      <c r="D249" s="132"/>
      <c r="E249" s="132"/>
      <c r="F249" s="133"/>
      <c r="H249" s="143"/>
      <c r="I249" s="143"/>
      <c r="K249" s="141"/>
    </row>
    <row r="250" spans="3:11" s="142" customFormat="1" x14ac:dyDescent="0.25">
      <c r="C250" s="141"/>
      <c r="D250" s="132"/>
      <c r="E250" s="132"/>
      <c r="F250" s="133"/>
      <c r="H250" s="143"/>
      <c r="I250" s="143"/>
      <c r="K250" s="141"/>
    </row>
    <row r="251" spans="3:11" s="142" customFormat="1" x14ac:dyDescent="0.25">
      <c r="C251" s="141"/>
      <c r="D251" s="132"/>
      <c r="E251" s="132"/>
      <c r="F251" s="133"/>
      <c r="H251" s="143"/>
      <c r="I251" s="143"/>
      <c r="K251" s="141"/>
    </row>
    <row r="252" spans="3:11" s="142" customFormat="1" x14ac:dyDescent="0.25">
      <c r="C252" s="141"/>
      <c r="D252" s="132"/>
      <c r="E252" s="132"/>
      <c r="F252" s="133"/>
      <c r="H252" s="143"/>
      <c r="I252" s="143"/>
      <c r="K252" s="141"/>
    </row>
    <row r="253" spans="3:11" s="142" customFormat="1" x14ac:dyDescent="0.25">
      <c r="C253" s="141"/>
      <c r="D253" s="132"/>
      <c r="E253" s="132"/>
      <c r="F253" s="133"/>
      <c r="H253" s="143"/>
      <c r="I253" s="143"/>
      <c r="K253" s="141"/>
    </row>
    <row r="254" spans="3:11" s="142" customFormat="1" x14ac:dyDescent="0.25">
      <c r="C254" s="141"/>
      <c r="D254" s="132"/>
      <c r="E254" s="132"/>
      <c r="F254" s="133"/>
      <c r="H254" s="143"/>
      <c r="I254" s="143"/>
      <c r="K254" s="141"/>
    </row>
    <row r="255" spans="3:11" s="142" customFormat="1" x14ac:dyDescent="0.25">
      <c r="C255" s="141"/>
      <c r="D255" s="132"/>
      <c r="E255" s="132"/>
      <c r="F255" s="133"/>
      <c r="H255" s="143"/>
      <c r="I255" s="143"/>
      <c r="K255" s="141"/>
    </row>
    <row r="256" spans="3:11" s="142" customFormat="1" x14ac:dyDescent="0.25">
      <c r="C256" s="141"/>
      <c r="D256" s="132"/>
      <c r="E256" s="132"/>
      <c r="F256" s="133"/>
      <c r="H256" s="143"/>
      <c r="I256" s="143"/>
      <c r="K256" s="141"/>
    </row>
    <row r="257" spans="3:11" s="142" customFormat="1" x14ac:dyDescent="0.25">
      <c r="C257" s="141"/>
      <c r="D257" s="132"/>
      <c r="E257" s="132"/>
      <c r="F257" s="133"/>
      <c r="H257" s="143"/>
      <c r="I257" s="143"/>
      <c r="K257" s="141"/>
    </row>
    <row r="258" spans="3:11" s="142" customFormat="1" x14ac:dyDescent="0.25">
      <c r="C258" s="141"/>
      <c r="D258" s="132"/>
      <c r="E258" s="132"/>
      <c r="F258" s="133"/>
      <c r="H258" s="143"/>
      <c r="I258" s="143"/>
      <c r="K258" s="141"/>
    </row>
    <row r="259" spans="3:11" s="142" customFormat="1" x14ac:dyDescent="0.25">
      <c r="C259" s="141"/>
      <c r="D259" s="132"/>
      <c r="E259" s="132"/>
      <c r="F259" s="133"/>
      <c r="H259" s="143"/>
      <c r="I259" s="143"/>
      <c r="K259" s="141"/>
    </row>
    <row r="260" spans="3:11" s="142" customFormat="1" x14ac:dyDescent="0.25">
      <c r="C260" s="141"/>
      <c r="D260" s="132"/>
      <c r="E260" s="132"/>
      <c r="F260" s="133"/>
      <c r="H260" s="143"/>
      <c r="I260" s="143"/>
      <c r="K260" s="141"/>
    </row>
    <row r="261" spans="3:11" s="142" customFormat="1" x14ac:dyDescent="0.25">
      <c r="C261" s="141"/>
      <c r="D261" s="132"/>
      <c r="E261" s="132"/>
      <c r="F261" s="133"/>
      <c r="H261" s="143"/>
      <c r="I261" s="143"/>
      <c r="K261" s="141"/>
    </row>
    <row r="262" spans="3:11" s="142" customFormat="1" x14ac:dyDescent="0.25">
      <c r="C262" s="141"/>
      <c r="D262" s="132"/>
      <c r="E262" s="132"/>
      <c r="F262" s="133"/>
      <c r="H262" s="143"/>
      <c r="I262" s="143"/>
      <c r="K262" s="141"/>
    </row>
    <row r="263" spans="3:11" s="142" customFormat="1" x14ac:dyDescent="0.25">
      <c r="C263" s="141"/>
      <c r="D263" s="132"/>
      <c r="E263" s="132"/>
      <c r="F263" s="133"/>
      <c r="H263" s="143"/>
      <c r="I263" s="143"/>
      <c r="K263" s="141"/>
    </row>
    <row r="264" spans="3:11" s="142" customFormat="1" x14ac:dyDescent="0.25">
      <c r="C264" s="141"/>
      <c r="D264" s="132"/>
      <c r="E264" s="132"/>
      <c r="F264" s="133"/>
      <c r="H264" s="143"/>
      <c r="I264" s="143"/>
      <c r="K264" s="141"/>
    </row>
    <row r="265" spans="3:11" s="142" customFormat="1" x14ac:dyDescent="0.25">
      <c r="C265" s="141"/>
      <c r="D265" s="132"/>
      <c r="E265" s="132"/>
      <c r="F265" s="133"/>
      <c r="H265" s="143"/>
      <c r="I265" s="143"/>
      <c r="K265" s="141"/>
    </row>
    <row r="266" spans="3:11" s="142" customFormat="1" x14ac:dyDescent="0.25">
      <c r="C266" s="141"/>
      <c r="D266" s="132"/>
      <c r="E266" s="132"/>
      <c r="F266" s="133"/>
      <c r="H266" s="143"/>
      <c r="I266" s="143"/>
      <c r="K266" s="141"/>
    </row>
    <row r="267" spans="3:11" s="142" customFormat="1" x14ac:dyDescent="0.25">
      <c r="C267" s="141"/>
      <c r="D267" s="132"/>
      <c r="E267" s="132"/>
      <c r="F267" s="133"/>
      <c r="H267" s="143"/>
      <c r="I267" s="143"/>
      <c r="K267" s="141"/>
    </row>
    <row r="268" spans="3:11" s="142" customFormat="1" x14ac:dyDescent="0.25">
      <c r="C268" s="141"/>
      <c r="D268" s="132"/>
      <c r="E268" s="132"/>
      <c r="F268" s="133"/>
      <c r="H268" s="143"/>
      <c r="I268" s="143"/>
      <c r="K268" s="141"/>
    </row>
    <row r="269" spans="3:11" s="142" customFormat="1" x14ac:dyDescent="0.25">
      <c r="C269" s="141"/>
      <c r="D269" s="132"/>
      <c r="E269" s="132"/>
      <c r="F269" s="133"/>
      <c r="H269" s="143"/>
      <c r="I269" s="143"/>
      <c r="K269" s="141"/>
    </row>
    <row r="270" spans="3:11" s="142" customFormat="1" x14ac:dyDescent="0.25">
      <c r="C270" s="141"/>
      <c r="D270" s="132"/>
      <c r="E270" s="132"/>
      <c r="F270" s="133"/>
      <c r="H270" s="143"/>
      <c r="I270" s="143"/>
      <c r="K270" s="141"/>
    </row>
    <row r="271" spans="3:11" s="142" customFormat="1" x14ac:dyDescent="0.25">
      <c r="C271" s="141"/>
      <c r="D271" s="132"/>
      <c r="E271" s="132"/>
      <c r="F271" s="133"/>
      <c r="H271" s="143"/>
      <c r="I271" s="143"/>
      <c r="K271" s="141"/>
    </row>
    <row r="272" spans="3:11" s="142" customFormat="1" x14ac:dyDescent="0.25">
      <c r="C272" s="141"/>
      <c r="D272" s="132"/>
      <c r="E272" s="132"/>
      <c r="F272" s="133"/>
      <c r="H272" s="143"/>
      <c r="I272" s="143"/>
      <c r="K272" s="141"/>
    </row>
    <row r="273" spans="3:11" s="142" customFormat="1" x14ac:dyDescent="0.25">
      <c r="C273" s="141"/>
      <c r="D273" s="132"/>
      <c r="E273" s="132"/>
      <c r="F273" s="133"/>
      <c r="H273" s="143"/>
      <c r="I273" s="143"/>
      <c r="K273" s="141"/>
    </row>
    <row r="274" spans="3:11" s="142" customFormat="1" x14ac:dyDescent="0.25">
      <c r="C274" s="141"/>
      <c r="D274" s="132"/>
      <c r="E274" s="132"/>
      <c r="F274" s="133"/>
      <c r="H274" s="143"/>
      <c r="I274" s="143"/>
      <c r="K274" s="141"/>
    </row>
    <row r="275" spans="3:11" s="142" customFormat="1" x14ac:dyDescent="0.25">
      <c r="C275" s="141"/>
      <c r="D275" s="132"/>
      <c r="E275" s="132"/>
      <c r="F275" s="133"/>
      <c r="H275" s="143"/>
      <c r="I275" s="143"/>
      <c r="K275" s="141"/>
    </row>
    <row r="276" spans="3:11" s="142" customFormat="1" x14ac:dyDescent="0.25">
      <c r="C276" s="141"/>
      <c r="D276" s="132"/>
      <c r="E276" s="132"/>
      <c r="F276" s="133"/>
      <c r="H276" s="143"/>
      <c r="I276" s="143"/>
      <c r="K276" s="141"/>
    </row>
    <row r="277" spans="3:11" s="142" customFormat="1" x14ac:dyDescent="0.25">
      <c r="C277" s="141"/>
      <c r="D277" s="132"/>
      <c r="E277" s="132"/>
      <c r="F277" s="133"/>
      <c r="H277" s="143"/>
      <c r="I277" s="143"/>
      <c r="K277" s="141"/>
    </row>
    <row r="278" spans="3:11" s="142" customFormat="1" x14ac:dyDescent="0.25">
      <c r="C278" s="141"/>
      <c r="D278" s="132"/>
      <c r="E278" s="132"/>
      <c r="F278" s="133"/>
      <c r="H278" s="143"/>
      <c r="I278" s="143"/>
      <c r="K278" s="141"/>
    </row>
    <row r="279" spans="3:11" s="142" customFormat="1" x14ac:dyDescent="0.25">
      <c r="C279" s="141"/>
      <c r="D279" s="132"/>
      <c r="E279" s="132"/>
      <c r="F279" s="133"/>
      <c r="H279" s="143"/>
      <c r="I279" s="143"/>
      <c r="K279" s="141"/>
    </row>
    <row r="280" spans="3:11" s="142" customFormat="1" x14ac:dyDescent="0.25">
      <c r="C280" s="141"/>
      <c r="D280" s="132"/>
      <c r="E280" s="132"/>
      <c r="F280" s="133"/>
      <c r="H280" s="143"/>
      <c r="I280" s="143"/>
      <c r="K280" s="141"/>
    </row>
    <row r="281" spans="3:11" s="142" customFormat="1" x14ac:dyDescent="0.25">
      <c r="C281" s="141"/>
      <c r="D281" s="132"/>
      <c r="E281" s="132"/>
      <c r="F281" s="133"/>
      <c r="H281" s="143"/>
      <c r="I281" s="143"/>
      <c r="K281" s="141"/>
    </row>
    <row r="282" spans="3:11" s="142" customFormat="1" x14ac:dyDescent="0.25">
      <c r="C282" s="141"/>
      <c r="D282" s="132"/>
      <c r="E282" s="132"/>
      <c r="F282" s="133"/>
      <c r="H282" s="143"/>
      <c r="I282" s="143"/>
      <c r="K282" s="141"/>
    </row>
    <row r="283" spans="3:11" s="142" customFormat="1" x14ac:dyDescent="0.25">
      <c r="C283" s="141"/>
      <c r="D283" s="132"/>
      <c r="E283" s="132"/>
      <c r="F283" s="133"/>
      <c r="H283" s="143"/>
      <c r="I283" s="143"/>
      <c r="K283" s="141"/>
    </row>
    <row r="284" spans="3:11" s="142" customFormat="1" x14ac:dyDescent="0.25">
      <c r="C284" s="141"/>
      <c r="D284" s="132"/>
      <c r="E284" s="132"/>
      <c r="F284" s="133"/>
      <c r="H284" s="143"/>
      <c r="I284" s="143"/>
      <c r="K284" s="141"/>
    </row>
    <row r="285" spans="3:11" s="142" customFormat="1" x14ac:dyDescent="0.25">
      <c r="C285" s="141"/>
      <c r="D285" s="132"/>
      <c r="E285" s="132"/>
      <c r="F285" s="133"/>
      <c r="H285" s="143"/>
      <c r="I285" s="143"/>
      <c r="K285" s="141"/>
    </row>
    <row r="286" spans="3:11" s="142" customFormat="1" x14ac:dyDescent="0.25">
      <c r="C286" s="141"/>
      <c r="D286" s="132"/>
      <c r="E286" s="132"/>
      <c r="F286" s="133"/>
      <c r="H286" s="143"/>
      <c r="I286" s="143"/>
      <c r="K286" s="141"/>
    </row>
    <row r="287" spans="3:11" s="142" customFormat="1" x14ac:dyDescent="0.25">
      <c r="C287" s="141"/>
      <c r="D287" s="132"/>
      <c r="E287" s="132"/>
      <c r="F287" s="133"/>
      <c r="H287" s="143"/>
      <c r="I287" s="143"/>
      <c r="K287" s="141"/>
    </row>
    <row r="288" spans="3:11" s="142" customFormat="1" x14ac:dyDescent="0.25">
      <c r="C288" s="141"/>
      <c r="D288" s="132"/>
      <c r="E288" s="132"/>
      <c r="F288" s="133"/>
      <c r="H288" s="143"/>
      <c r="I288" s="143"/>
      <c r="K288" s="141"/>
    </row>
    <row r="289" spans="3:11" s="142" customFormat="1" x14ac:dyDescent="0.25">
      <c r="C289" s="141"/>
      <c r="D289" s="132"/>
      <c r="E289" s="132"/>
      <c r="F289" s="133"/>
      <c r="H289" s="143"/>
      <c r="I289" s="143"/>
      <c r="K289" s="141"/>
    </row>
    <row r="290" spans="3:11" s="142" customFormat="1" x14ac:dyDescent="0.25">
      <c r="C290" s="141"/>
      <c r="D290" s="132"/>
      <c r="E290" s="132"/>
      <c r="F290" s="133"/>
      <c r="H290" s="143"/>
      <c r="I290" s="143"/>
      <c r="K290" s="141"/>
    </row>
    <row r="291" spans="3:11" s="142" customFormat="1" x14ac:dyDescent="0.25">
      <c r="C291" s="141"/>
      <c r="D291" s="132"/>
      <c r="E291" s="132"/>
      <c r="F291" s="133"/>
      <c r="H291" s="143"/>
      <c r="I291" s="143"/>
      <c r="K291" s="141"/>
    </row>
    <row r="292" spans="3:11" s="142" customFormat="1" x14ac:dyDescent="0.25">
      <c r="C292" s="141"/>
      <c r="D292" s="132"/>
      <c r="E292" s="132"/>
      <c r="F292" s="133"/>
      <c r="H292" s="143"/>
      <c r="I292" s="143"/>
      <c r="K292" s="141"/>
    </row>
    <row r="293" spans="3:11" s="142" customFormat="1" x14ac:dyDescent="0.25">
      <c r="C293" s="141"/>
      <c r="D293" s="132"/>
      <c r="E293" s="132"/>
      <c r="F293" s="133"/>
      <c r="H293" s="143"/>
      <c r="I293" s="143"/>
      <c r="K293" s="141"/>
    </row>
    <row r="294" spans="3:11" s="142" customFormat="1" x14ac:dyDescent="0.25">
      <c r="C294" s="141"/>
      <c r="D294" s="132"/>
      <c r="E294" s="132"/>
      <c r="F294" s="133"/>
      <c r="H294" s="143"/>
      <c r="I294" s="143"/>
      <c r="K294" s="141"/>
    </row>
    <row r="295" spans="3:11" s="142" customFormat="1" x14ac:dyDescent="0.25">
      <c r="C295" s="141"/>
      <c r="D295" s="132"/>
      <c r="E295" s="132"/>
      <c r="F295" s="133"/>
      <c r="H295" s="143"/>
      <c r="I295" s="143"/>
      <c r="K295" s="141"/>
    </row>
    <row r="296" spans="3:11" s="142" customFormat="1" x14ac:dyDescent="0.25">
      <c r="C296" s="141"/>
      <c r="D296" s="132"/>
      <c r="E296" s="132"/>
      <c r="F296" s="133"/>
      <c r="H296" s="143"/>
      <c r="I296" s="143"/>
      <c r="K296" s="141"/>
    </row>
    <row r="297" spans="3:11" s="142" customFormat="1" x14ac:dyDescent="0.25">
      <c r="C297" s="141"/>
      <c r="D297" s="132"/>
      <c r="E297" s="132"/>
      <c r="F297" s="133"/>
      <c r="H297" s="143"/>
      <c r="I297" s="143"/>
      <c r="K297" s="141"/>
    </row>
    <row r="298" spans="3:11" s="142" customFormat="1" x14ac:dyDescent="0.25">
      <c r="C298" s="141"/>
      <c r="D298" s="132"/>
      <c r="E298" s="132"/>
      <c r="F298" s="133"/>
      <c r="H298" s="143"/>
      <c r="I298" s="143"/>
      <c r="K298" s="141"/>
    </row>
    <row r="299" spans="3:11" s="142" customFormat="1" x14ac:dyDescent="0.25">
      <c r="C299" s="141"/>
      <c r="D299" s="132"/>
      <c r="E299" s="132"/>
      <c r="F299" s="133"/>
      <c r="H299" s="143"/>
      <c r="I299" s="143"/>
      <c r="K299" s="141"/>
    </row>
    <row r="300" spans="3:11" s="142" customFormat="1" x14ac:dyDescent="0.25">
      <c r="C300" s="141"/>
      <c r="D300" s="132"/>
      <c r="E300" s="132"/>
      <c r="F300" s="133"/>
      <c r="H300" s="143"/>
      <c r="I300" s="143"/>
      <c r="K300" s="141"/>
    </row>
    <row r="301" spans="3:11" s="142" customFormat="1" x14ac:dyDescent="0.25">
      <c r="C301" s="141"/>
      <c r="D301" s="132"/>
      <c r="E301" s="132"/>
      <c r="F301" s="133"/>
      <c r="H301" s="143"/>
      <c r="I301" s="143"/>
      <c r="K301" s="141"/>
    </row>
    <row r="302" spans="3:11" s="142" customFormat="1" x14ac:dyDescent="0.25">
      <c r="C302" s="141"/>
      <c r="D302" s="132"/>
      <c r="E302" s="132"/>
      <c r="F302" s="133"/>
      <c r="H302" s="143"/>
      <c r="I302" s="143"/>
      <c r="K302" s="141"/>
    </row>
    <row r="303" spans="3:11" s="142" customFormat="1" x14ac:dyDescent="0.25">
      <c r="C303" s="141"/>
      <c r="D303" s="132"/>
      <c r="E303" s="132"/>
      <c r="F303" s="133"/>
      <c r="H303" s="143"/>
      <c r="I303" s="143"/>
      <c r="K303" s="141"/>
    </row>
    <row r="304" spans="3:11" s="142" customFormat="1" x14ac:dyDescent="0.25">
      <c r="C304" s="141"/>
      <c r="D304" s="132"/>
      <c r="E304" s="132"/>
      <c r="F304" s="133"/>
      <c r="H304" s="143"/>
      <c r="I304" s="143"/>
      <c r="K304" s="141"/>
    </row>
    <row r="305" spans="3:11" s="142" customFormat="1" x14ac:dyDescent="0.25">
      <c r="C305" s="141"/>
      <c r="D305" s="132"/>
      <c r="E305" s="132"/>
      <c r="F305" s="133"/>
      <c r="H305" s="143"/>
      <c r="I305" s="143"/>
      <c r="K305" s="141"/>
    </row>
    <row r="306" spans="3:11" s="142" customFormat="1" x14ac:dyDescent="0.25">
      <c r="C306" s="141"/>
      <c r="D306" s="132"/>
      <c r="E306" s="132"/>
      <c r="F306" s="133"/>
      <c r="H306" s="143"/>
      <c r="I306" s="143"/>
      <c r="K306" s="141"/>
    </row>
    <row r="307" spans="3:11" s="142" customFormat="1" x14ac:dyDescent="0.25">
      <c r="C307" s="141"/>
      <c r="D307" s="132"/>
      <c r="E307" s="132"/>
      <c r="F307" s="133"/>
      <c r="H307" s="143"/>
      <c r="I307" s="143"/>
      <c r="K307" s="141"/>
    </row>
    <row r="308" spans="3:11" s="142" customFormat="1" x14ac:dyDescent="0.25">
      <c r="C308" s="141"/>
      <c r="D308" s="132"/>
      <c r="E308" s="132"/>
      <c r="F308" s="133"/>
      <c r="H308" s="143"/>
      <c r="I308" s="143"/>
      <c r="K308" s="141"/>
    </row>
    <row r="309" spans="3:11" s="142" customFormat="1" x14ac:dyDescent="0.25">
      <c r="C309" s="141"/>
      <c r="D309" s="132"/>
      <c r="E309" s="132"/>
      <c r="F309" s="133"/>
      <c r="H309" s="143"/>
      <c r="I309" s="143"/>
      <c r="K309" s="141"/>
    </row>
    <row r="310" spans="3:11" s="142" customFormat="1" x14ac:dyDescent="0.25">
      <c r="C310" s="141"/>
      <c r="D310" s="132"/>
      <c r="E310" s="132"/>
      <c r="F310" s="133"/>
      <c r="H310" s="143"/>
      <c r="I310" s="143"/>
      <c r="K310" s="141"/>
    </row>
    <row r="311" spans="3:11" s="142" customFormat="1" x14ac:dyDescent="0.25">
      <c r="C311" s="141"/>
      <c r="D311" s="132"/>
      <c r="E311" s="132"/>
      <c r="F311" s="133"/>
      <c r="H311" s="143"/>
      <c r="I311" s="143"/>
      <c r="K311" s="141"/>
    </row>
    <row r="312" spans="3:11" s="142" customFormat="1" x14ac:dyDescent="0.25">
      <c r="C312" s="141"/>
      <c r="D312" s="132"/>
      <c r="E312" s="132"/>
      <c r="F312" s="133"/>
      <c r="H312" s="143"/>
      <c r="I312" s="143"/>
      <c r="K312" s="141"/>
    </row>
    <row r="313" spans="3:11" s="142" customFormat="1" x14ac:dyDescent="0.25">
      <c r="C313" s="141"/>
      <c r="D313" s="132"/>
      <c r="E313" s="132"/>
      <c r="F313" s="133"/>
      <c r="H313" s="143"/>
      <c r="I313" s="143"/>
      <c r="K313" s="141"/>
    </row>
    <row r="314" spans="3:11" s="142" customFormat="1" x14ac:dyDescent="0.25">
      <c r="C314" s="141"/>
      <c r="D314" s="132"/>
      <c r="E314" s="132"/>
      <c r="F314" s="133"/>
      <c r="H314" s="143"/>
      <c r="I314" s="143"/>
      <c r="K314" s="141"/>
    </row>
    <row r="315" spans="3:11" s="142" customFormat="1" x14ac:dyDescent="0.25">
      <c r="C315" s="141"/>
      <c r="D315" s="132"/>
      <c r="E315" s="132"/>
      <c r="F315" s="133"/>
      <c r="H315" s="143"/>
      <c r="I315" s="143"/>
      <c r="K315" s="141"/>
    </row>
    <row r="316" spans="3:11" s="142" customFormat="1" x14ac:dyDescent="0.25">
      <c r="C316" s="141"/>
      <c r="D316" s="132"/>
      <c r="E316" s="132"/>
      <c r="F316" s="133"/>
      <c r="H316" s="143"/>
      <c r="I316" s="143"/>
      <c r="K316" s="141"/>
    </row>
    <row r="317" spans="3:11" s="142" customFormat="1" x14ac:dyDescent="0.25">
      <c r="C317" s="141"/>
      <c r="D317" s="132"/>
      <c r="E317" s="132"/>
      <c r="F317" s="133"/>
      <c r="H317" s="143"/>
      <c r="I317" s="143"/>
      <c r="K317" s="141"/>
    </row>
    <row r="318" spans="3:11" s="142" customFormat="1" x14ac:dyDescent="0.25">
      <c r="C318" s="141"/>
      <c r="D318" s="132"/>
      <c r="E318" s="132"/>
      <c r="F318" s="133"/>
      <c r="H318" s="143"/>
      <c r="I318" s="143"/>
      <c r="K318" s="141"/>
    </row>
    <row r="319" spans="3:11" s="142" customFormat="1" x14ac:dyDescent="0.25">
      <c r="C319" s="141"/>
      <c r="D319" s="132"/>
      <c r="E319" s="132"/>
      <c r="F319" s="133"/>
      <c r="H319" s="143"/>
      <c r="I319" s="143"/>
      <c r="K319" s="141"/>
    </row>
    <row r="320" spans="3:11" s="142" customFormat="1" x14ac:dyDescent="0.25">
      <c r="C320" s="141"/>
      <c r="D320" s="132"/>
      <c r="E320" s="132"/>
      <c r="F320" s="133"/>
      <c r="H320" s="143"/>
      <c r="I320" s="143"/>
      <c r="K320" s="141"/>
    </row>
    <row r="321" spans="3:11" s="142" customFormat="1" x14ac:dyDescent="0.25">
      <c r="C321" s="141"/>
      <c r="D321" s="132"/>
      <c r="E321" s="132"/>
      <c r="F321" s="133"/>
      <c r="H321" s="143"/>
      <c r="I321" s="143"/>
      <c r="K321" s="141"/>
    </row>
    <row r="322" spans="3:11" s="142" customFormat="1" x14ac:dyDescent="0.25">
      <c r="C322" s="141"/>
      <c r="D322" s="132"/>
      <c r="E322" s="132"/>
      <c r="F322" s="133"/>
      <c r="H322" s="143"/>
      <c r="I322" s="143"/>
      <c r="K322" s="141"/>
    </row>
    <row r="323" spans="3:11" s="142" customFormat="1" x14ac:dyDescent="0.25">
      <c r="C323" s="141"/>
      <c r="D323" s="132"/>
      <c r="E323" s="132"/>
      <c r="F323" s="133"/>
      <c r="H323" s="143"/>
      <c r="I323" s="143"/>
      <c r="K323" s="141"/>
    </row>
    <row r="324" spans="3:11" s="142" customFormat="1" x14ac:dyDescent="0.25">
      <c r="C324" s="141"/>
      <c r="D324" s="132"/>
      <c r="E324" s="132"/>
      <c r="F324" s="133"/>
      <c r="H324" s="143"/>
      <c r="I324" s="143"/>
      <c r="K324" s="141"/>
    </row>
    <row r="325" spans="3:11" s="142" customFormat="1" x14ac:dyDescent="0.25">
      <c r="C325" s="141"/>
      <c r="D325" s="132"/>
      <c r="E325" s="132"/>
      <c r="F325" s="133"/>
      <c r="H325" s="143"/>
      <c r="I325" s="143"/>
      <c r="K325" s="141"/>
    </row>
    <row r="326" spans="3:11" s="142" customFormat="1" x14ac:dyDescent="0.25">
      <c r="C326" s="141"/>
      <c r="D326" s="132"/>
      <c r="E326" s="132"/>
      <c r="F326" s="133"/>
      <c r="H326" s="143"/>
      <c r="I326" s="143"/>
      <c r="K326" s="141"/>
    </row>
    <row r="327" spans="3:11" s="142" customFormat="1" x14ac:dyDescent="0.25">
      <c r="C327" s="141"/>
      <c r="D327" s="132"/>
      <c r="E327" s="132"/>
      <c r="F327" s="133"/>
      <c r="H327" s="143"/>
      <c r="I327" s="143"/>
      <c r="K327" s="141"/>
    </row>
    <row r="328" spans="3:11" s="142" customFormat="1" x14ac:dyDescent="0.25">
      <c r="C328" s="141"/>
      <c r="D328" s="132"/>
      <c r="E328" s="132"/>
      <c r="F328" s="133"/>
      <c r="H328" s="143"/>
      <c r="I328" s="143"/>
      <c r="K328" s="141"/>
    </row>
    <row r="329" spans="3:11" s="142" customFormat="1" x14ac:dyDescent="0.25">
      <c r="C329" s="141"/>
      <c r="D329" s="132"/>
      <c r="E329" s="132"/>
      <c r="F329" s="133"/>
      <c r="H329" s="143"/>
      <c r="I329" s="143"/>
      <c r="K329" s="141"/>
    </row>
    <row r="330" spans="3:11" s="142" customFormat="1" x14ac:dyDescent="0.25">
      <c r="C330" s="141"/>
      <c r="D330" s="132"/>
      <c r="E330" s="132"/>
      <c r="F330" s="133"/>
      <c r="H330" s="143"/>
      <c r="I330" s="143"/>
      <c r="K330" s="141"/>
    </row>
    <row r="331" spans="3:11" s="142" customFormat="1" x14ac:dyDescent="0.25">
      <c r="C331" s="141"/>
      <c r="D331" s="132"/>
      <c r="E331" s="132"/>
      <c r="F331" s="133"/>
      <c r="H331" s="143"/>
      <c r="I331" s="143"/>
      <c r="K331" s="141"/>
    </row>
    <row r="332" spans="3:11" s="142" customFormat="1" x14ac:dyDescent="0.25">
      <c r="C332" s="141"/>
      <c r="D332" s="132"/>
      <c r="E332" s="132"/>
      <c r="F332" s="133"/>
      <c r="H332" s="143"/>
      <c r="I332" s="143"/>
      <c r="K332" s="141"/>
    </row>
    <row r="333" spans="3:11" s="142" customFormat="1" x14ac:dyDescent="0.25">
      <c r="C333" s="141"/>
      <c r="D333" s="132"/>
      <c r="E333" s="132"/>
      <c r="F333" s="133"/>
      <c r="H333" s="143"/>
      <c r="I333" s="143"/>
      <c r="K333" s="141"/>
    </row>
    <row r="334" spans="3:11" s="142" customFormat="1" x14ac:dyDescent="0.25">
      <c r="C334" s="141"/>
      <c r="D334" s="132"/>
      <c r="E334" s="132"/>
      <c r="F334" s="133"/>
      <c r="H334" s="143"/>
      <c r="I334" s="143"/>
      <c r="K334" s="141"/>
    </row>
    <row r="335" spans="3:11" s="142" customFormat="1" x14ac:dyDescent="0.25">
      <c r="C335" s="141"/>
      <c r="D335" s="132"/>
      <c r="E335" s="132"/>
      <c r="F335" s="133"/>
      <c r="H335" s="143"/>
      <c r="I335" s="143"/>
      <c r="K335" s="141"/>
    </row>
    <row r="336" spans="3:11" s="142" customFormat="1" x14ac:dyDescent="0.25">
      <c r="C336" s="141"/>
      <c r="D336" s="132"/>
      <c r="E336" s="132"/>
      <c r="F336" s="133"/>
      <c r="H336" s="143"/>
      <c r="I336" s="143"/>
      <c r="K336" s="141"/>
    </row>
    <row r="337" spans="3:11" s="142" customFormat="1" x14ac:dyDescent="0.25">
      <c r="C337" s="141"/>
      <c r="D337" s="132"/>
      <c r="E337" s="132"/>
      <c r="F337" s="133"/>
      <c r="H337" s="143"/>
      <c r="I337" s="143"/>
      <c r="K337" s="141"/>
    </row>
    <row r="338" spans="3:11" s="142" customFormat="1" x14ac:dyDescent="0.25">
      <c r="C338" s="141"/>
      <c r="D338" s="132"/>
      <c r="E338" s="132"/>
      <c r="F338" s="133"/>
      <c r="H338" s="143"/>
      <c r="I338" s="143"/>
      <c r="K338" s="141"/>
    </row>
    <row r="339" spans="3:11" s="142" customFormat="1" x14ac:dyDescent="0.25">
      <c r="C339" s="141"/>
      <c r="D339" s="132"/>
      <c r="E339" s="132"/>
      <c r="F339" s="133"/>
      <c r="H339" s="143"/>
      <c r="I339" s="143"/>
      <c r="K339" s="141"/>
    </row>
    <row r="340" spans="3:11" s="142" customFormat="1" x14ac:dyDescent="0.25">
      <c r="C340" s="141"/>
      <c r="D340" s="132"/>
      <c r="E340" s="132"/>
      <c r="F340" s="133"/>
      <c r="H340" s="143"/>
      <c r="I340" s="143"/>
      <c r="K340" s="141"/>
    </row>
    <row r="341" spans="3:11" s="142" customFormat="1" x14ac:dyDescent="0.25">
      <c r="C341" s="141"/>
      <c r="D341" s="132"/>
      <c r="E341" s="132"/>
      <c r="F341" s="133"/>
      <c r="H341" s="143"/>
      <c r="I341" s="143"/>
      <c r="K341" s="141"/>
    </row>
    <row r="342" spans="3:11" s="142" customFormat="1" x14ac:dyDescent="0.25">
      <c r="C342" s="141"/>
      <c r="D342" s="132"/>
      <c r="E342" s="132"/>
      <c r="F342" s="133"/>
      <c r="H342" s="143"/>
      <c r="I342" s="143"/>
      <c r="K342" s="141"/>
    </row>
    <row r="343" spans="3:11" s="142" customFormat="1" x14ac:dyDescent="0.25">
      <c r="C343" s="141"/>
      <c r="D343" s="132"/>
      <c r="E343" s="132"/>
      <c r="F343" s="133"/>
      <c r="H343" s="143"/>
      <c r="I343" s="143"/>
      <c r="K343" s="141"/>
    </row>
    <row r="344" spans="3:11" s="142" customFormat="1" x14ac:dyDescent="0.25">
      <c r="C344" s="141"/>
      <c r="D344" s="132"/>
      <c r="E344" s="132"/>
      <c r="F344" s="133"/>
      <c r="H344" s="143"/>
      <c r="I344" s="143"/>
      <c r="K344" s="141"/>
    </row>
    <row r="345" spans="3:11" s="142" customFormat="1" x14ac:dyDescent="0.25">
      <c r="C345" s="141"/>
      <c r="D345" s="132"/>
      <c r="E345" s="132"/>
      <c r="F345" s="133"/>
      <c r="H345" s="143"/>
      <c r="I345" s="143"/>
      <c r="K345" s="141"/>
    </row>
    <row r="346" spans="3:11" s="142" customFormat="1" x14ac:dyDescent="0.25">
      <c r="C346" s="141"/>
      <c r="D346" s="132"/>
      <c r="E346" s="132"/>
      <c r="F346" s="133"/>
      <c r="H346" s="143"/>
      <c r="I346" s="143"/>
      <c r="K346" s="141"/>
    </row>
    <row r="347" spans="3:11" s="142" customFormat="1" x14ac:dyDescent="0.25">
      <c r="C347" s="141"/>
      <c r="D347" s="132"/>
      <c r="E347" s="132"/>
      <c r="F347" s="133"/>
      <c r="H347" s="143"/>
      <c r="I347" s="143"/>
      <c r="K347" s="141"/>
    </row>
    <row r="348" spans="3:11" s="142" customFormat="1" x14ac:dyDescent="0.25">
      <c r="C348" s="141"/>
      <c r="D348" s="132"/>
      <c r="E348" s="132"/>
      <c r="F348" s="133"/>
      <c r="H348" s="143"/>
      <c r="I348" s="143"/>
      <c r="K348" s="141"/>
    </row>
    <row r="349" spans="3:11" s="142" customFormat="1" x14ac:dyDescent="0.25">
      <c r="C349" s="141"/>
      <c r="D349" s="132"/>
      <c r="E349" s="132"/>
      <c r="F349" s="133"/>
      <c r="H349" s="143"/>
      <c r="I349" s="143"/>
      <c r="K349" s="141"/>
    </row>
    <row r="350" spans="3:11" s="142" customFormat="1" x14ac:dyDescent="0.25">
      <c r="C350" s="141"/>
      <c r="D350" s="132"/>
      <c r="E350" s="132"/>
      <c r="F350" s="133"/>
      <c r="H350" s="143"/>
      <c r="I350" s="143"/>
      <c r="K350" s="141"/>
    </row>
    <row r="351" spans="3:11" s="142" customFormat="1" x14ac:dyDescent="0.25">
      <c r="C351" s="141"/>
      <c r="D351" s="132"/>
      <c r="E351" s="132"/>
      <c r="F351" s="133"/>
      <c r="H351" s="143"/>
      <c r="I351" s="143"/>
      <c r="K351" s="141"/>
    </row>
    <row r="352" spans="3:11" s="142" customFormat="1" x14ac:dyDescent="0.25">
      <c r="C352" s="141"/>
      <c r="D352" s="132"/>
      <c r="E352" s="132"/>
      <c r="F352" s="133"/>
      <c r="H352" s="143"/>
      <c r="I352" s="143"/>
      <c r="K352" s="141"/>
    </row>
    <row r="353" spans="3:11" s="142" customFormat="1" x14ac:dyDescent="0.25">
      <c r="C353" s="141"/>
      <c r="D353" s="132"/>
      <c r="E353" s="132"/>
      <c r="F353" s="133"/>
      <c r="H353" s="143"/>
      <c r="I353" s="143"/>
      <c r="K353" s="141"/>
    </row>
    <row r="354" spans="3:11" s="142" customFormat="1" x14ac:dyDescent="0.25">
      <c r="C354" s="141"/>
      <c r="D354" s="132"/>
      <c r="E354" s="132"/>
      <c r="F354" s="133"/>
      <c r="H354" s="143"/>
      <c r="I354" s="143"/>
      <c r="K354" s="141"/>
    </row>
    <row r="355" spans="3:11" s="142" customFormat="1" x14ac:dyDescent="0.25">
      <c r="C355" s="141"/>
      <c r="D355" s="132"/>
      <c r="E355" s="132"/>
      <c r="F355" s="133"/>
      <c r="H355" s="143"/>
      <c r="I355" s="143"/>
      <c r="K355" s="141"/>
    </row>
    <row r="356" spans="3:11" s="142" customFormat="1" x14ac:dyDescent="0.25">
      <c r="C356" s="141"/>
      <c r="D356" s="132"/>
      <c r="E356" s="132"/>
      <c r="F356" s="133"/>
      <c r="H356" s="143"/>
      <c r="I356" s="143"/>
      <c r="K356" s="141"/>
    </row>
    <row r="357" spans="3:11" s="142" customFormat="1" x14ac:dyDescent="0.25">
      <c r="C357" s="141"/>
      <c r="D357" s="132"/>
      <c r="E357" s="132"/>
      <c r="F357" s="133"/>
      <c r="H357" s="143"/>
      <c r="I357" s="143"/>
      <c r="K357" s="141"/>
    </row>
    <row r="358" spans="3:11" s="142" customFormat="1" x14ac:dyDescent="0.25">
      <c r="C358" s="141"/>
      <c r="D358" s="132"/>
      <c r="E358" s="132"/>
      <c r="F358" s="133"/>
      <c r="H358" s="143"/>
      <c r="I358" s="143"/>
      <c r="K358" s="141"/>
    </row>
    <row r="359" spans="3:11" s="142" customFormat="1" x14ac:dyDescent="0.25">
      <c r="C359" s="141"/>
      <c r="D359" s="132"/>
      <c r="E359" s="132"/>
      <c r="F359" s="133"/>
      <c r="H359" s="143"/>
      <c r="I359" s="143"/>
      <c r="K359" s="141"/>
    </row>
    <row r="360" spans="3:11" s="142" customFormat="1" x14ac:dyDescent="0.25">
      <c r="C360" s="141"/>
      <c r="D360" s="132"/>
      <c r="E360" s="132"/>
      <c r="F360" s="133"/>
      <c r="H360" s="143"/>
      <c r="I360" s="143"/>
      <c r="K360" s="141"/>
    </row>
    <row r="361" spans="3:11" s="142" customFormat="1" x14ac:dyDescent="0.25">
      <c r="C361" s="141"/>
      <c r="D361" s="132"/>
      <c r="E361" s="132"/>
      <c r="F361" s="133"/>
      <c r="H361" s="143"/>
      <c r="I361" s="143"/>
      <c r="K361" s="141"/>
    </row>
    <row r="362" spans="3:11" s="142" customFormat="1" x14ac:dyDescent="0.25">
      <c r="C362" s="141"/>
      <c r="D362" s="132"/>
      <c r="E362" s="132"/>
      <c r="F362" s="133"/>
      <c r="H362" s="143"/>
      <c r="I362" s="143"/>
      <c r="K362" s="141"/>
    </row>
    <row r="363" spans="3:11" s="142" customFormat="1" x14ac:dyDescent="0.25">
      <c r="C363" s="141"/>
      <c r="D363" s="132"/>
      <c r="E363" s="132"/>
      <c r="F363" s="133"/>
      <c r="H363" s="143"/>
      <c r="I363" s="143"/>
      <c r="K363" s="141"/>
    </row>
    <row r="364" spans="3:11" s="142" customFormat="1" x14ac:dyDescent="0.25">
      <c r="C364" s="141"/>
      <c r="D364" s="132"/>
      <c r="E364" s="132"/>
      <c r="F364" s="133"/>
      <c r="H364" s="143"/>
      <c r="I364" s="143"/>
      <c r="K364" s="141"/>
    </row>
    <row r="365" spans="3:11" s="142" customFormat="1" x14ac:dyDescent="0.25">
      <c r="C365" s="141"/>
      <c r="D365" s="132"/>
      <c r="E365" s="132"/>
      <c r="F365" s="133"/>
      <c r="H365" s="143"/>
      <c r="I365" s="143"/>
      <c r="K365" s="141"/>
    </row>
    <row r="366" spans="3:11" s="142" customFormat="1" x14ac:dyDescent="0.25">
      <c r="C366" s="141"/>
      <c r="D366" s="132"/>
      <c r="E366" s="132"/>
      <c r="F366" s="133"/>
      <c r="H366" s="143"/>
      <c r="I366" s="143"/>
      <c r="K366" s="141"/>
    </row>
    <row r="367" spans="3:11" s="142" customFormat="1" x14ac:dyDescent="0.25">
      <c r="C367" s="141"/>
      <c r="D367" s="132"/>
      <c r="E367" s="132"/>
      <c r="F367" s="133"/>
      <c r="H367" s="143"/>
      <c r="I367" s="143"/>
      <c r="K367" s="141"/>
    </row>
    <row r="368" spans="3:11" s="142" customFormat="1" x14ac:dyDescent="0.25">
      <c r="C368" s="141"/>
      <c r="D368" s="132"/>
      <c r="E368" s="132"/>
      <c r="F368" s="133"/>
      <c r="H368" s="143"/>
      <c r="I368" s="143"/>
      <c r="K368" s="141"/>
    </row>
    <row r="369" spans="3:11" s="142" customFormat="1" x14ac:dyDescent="0.25">
      <c r="C369" s="141"/>
      <c r="D369" s="132"/>
      <c r="E369" s="132"/>
      <c r="F369" s="133"/>
      <c r="H369" s="143"/>
      <c r="I369" s="143"/>
      <c r="K369" s="141"/>
    </row>
    <row r="370" spans="3:11" s="142" customFormat="1" x14ac:dyDescent="0.25">
      <c r="C370" s="141"/>
      <c r="D370" s="132"/>
      <c r="E370" s="132"/>
      <c r="F370" s="133"/>
      <c r="H370" s="143"/>
      <c r="I370" s="143"/>
      <c r="K370" s="141"/>
    </row>
    <row r="371" spans="3:11" s="142" customFormat="1" x14ac:dyDescent="0.25">
      <c r="C371" s="141"/>
      <c r="D371" s="132"/>
      <c r="E371" s="132"/>
      <c r="F371" s="133"/>
      <c r="H371" s="143"/>
      <c r="I371" s="143"/>
      <c r="K371" s="141"/>
    </row>
    <row r="372" spans="3:11" s="142" customFormat="1" x14ac:dyDescent="0.25">
      <c r="C372" s="141"/>
      <c r="D372" s="132"/>
      <c r="E372" s="132"/>
      <c r="F372" s="133"/>
      <c r="H372" s="143"/>
      <c r="I372" s="143"/>
      <c r="K372" s="141"/>
    </row>
    <row r="373" spans="3:11" s="142" customFormat="1" x14ac:dyDescent="0.25">
      <c r="C373" s="141"/>
      <c r="D373" s="132"/>
      <c r="E373" s="132"/>
      <c r="F373" s="133"/>
      <c r="H373" s="143"/>
      <c r="I373" s="143"/>
      <c r="K373" s="141"/>
    </row>
    <row r="374" spans="3:11" s="142" customFormat="1" x14ac:dyDescent="0.25">
      <c r="C374" s="141"/>
      <c r="D374" s="132"/>
      <c r="E374" s="132"/>
      <c r="F374" s="133"/>
      <c r="H374" s="143"/>
      <c r="I374" s="143"/>
      <c r="K374" s="141"/>
    </row>
    <row r="375" spans="3:11" s="142" customFormat="1" x14ac:dyDescent="0.25">
      <c r="C375" s="141"/>
      <c r="D375" s="132"/>
      <c r="E375" s="132"/>
      <c r="F375" s="133"/>
      <c r="H375" s="143"/>
      <c r="I375" s="143"/>
      <c r="K375" s="141"/>
    </row>
    <row r="376" spans="3:11" s="142" customFormat="1" x14ac:dyDescent="0.25">
      <c r="C376" s="141"/>
      <c r="D376" s="132"/>
      <c r="E376" s="132"/>
      <c r="F376" s="133"/>
      <c r="H376" s="143"/>
      <c r="I376" s="143"/>
      <c r="K376" s="141"/>
    </row>
    <row r="377" spans="3:11" s="142" customFormat="1" x14ac:dyDescent="0.25">
      <c r="C377" s="141"/>
      <c r="D377" s="132"/>
      <c r="E377" s="132"/>
      <c r="F377" s="133"/>
      <c r="H377" s="143"/>
      <c r="I377" s="143"/>
      <c r="K377" s="141"/>
    </row>
    <row r="378" spans="3:11" s="142" customFormat="1" x14ac:dyDescent="0.25">
      <c r="C378" s="141"/>
      <c r="D378" s="132"/>
      <c r="E378" s="132"/>
      <c r="F378" s="133"/>
      <c r="H378" s="143"/>
      <c r="I378" s="143"/>
      <c r="K378" s="141"/>
    </row>
    <row r="379" spans="3:11" s="142" customFormat="1" x14ac:dyDescent="0.25">
      <c r="C379" s="141"/>
      <c r="D379" s="132"/>
      <c r="E379" s="132"/>
      <c r="F379" s="133"/>
      <c r="H379" s="143"/>
      <c r="I379" s="143"/>
      <c r="K379" s="141"/>
    </row>
    <row r="380" spans="3:11" s="142" customFormat="1" x14ac:dyDescent="0.25">
      <c r="C380" s="141"/>
      <c r="D380" s="132"/>
      <c r="E380" s="132"/>
      <c r="F380" s="133"/>
      <c r="H380" s="143"/>
      <c r="I380" s="143"/>
      <c r="K380" s="141"/>
    </row>
    <row r="381" spans="3:11" s="142" customFormat="1" x14ac:dyDescent="0.25">
      <c r="C381" s="141"/>
      <c r="D381" s="132"/>
      <c r="E381" s="132"/>
      <c r="F381" s="133"/>
      <c r="H381" s="143"/>
      <c r="I381" s="143"/>
      <c r="K381" s="141"/>
    </row>
    <row r="382" spans="3:11" s="142" customFormat="1" x14ac:dyDescent="0.25">
      <c r="C382" s="141"/>
      <c r="D382" s="132"/>
      <c r="E382" s="132"/>
      <c r="F382" s="133"/>
      <c r="H382" s="143"/>
      <c r="I382" s="143"/>
      <c r="K382" s="141"/>
    </row>
    <row r="383" spans="3:11" s="142" customFormat="1" x14ac:dyDescent="0.25">
      <c r="C383" s="141"/>
      <c r="D383" s="132"/>
      <c r="E383" s="132"/>
      <c r="F383" s="133"/>
      <c r="H383" s="143"/>
      <c r="I383" s="143"/>
      <c r="K383" s="141"/>
    </row>
    <row r="384" spans="3:11" s="142" customFormat="1" x14ac:dyDescent="0.25">
      <c r="C384" s="141"/>
      <c r="D384" s="132"/>
      <c r="E384" s="132"/>
      <c r="F384" s="133"/>
      <c r="H384" s="143"/>
      <c r="I384" s="143"/>
      <c r="K384" s="141"/>
    </row>
    <row r="385" spans="3:11" s="142" customFormat="1" x14ac:dyDescent="0.25">
      <c r="C385" s="141"/>
      <c r="D385" s="132"/>
      <c r="E385" s="132"/>
      <c r="F385" s="133"/>
      <c r="H385" s="143"/>
      <c r="I385" s="143"/>
      <c r="K385" s="141"/>
    </row>
    <row r="386" spans="3:11" s="142" customFormat="1" x14ac:dyDescent="0.25">
      <c r="C386" s="141"/>
      <c r="D386" s="132"/>
      <c r="E386" s="132"/>
      <c r="F386" s="133"/>
      <c r="H386" s="143"/>
      <c r="I386" s="143"/>
      <c r="K386" s="141"/>
    </row>
    <row r="387" spans="3:11" s="142" customFormat="1" x14ac:dyDescent="0.25">
      <c r="C387" s="141"/>
      <c r="D387" s="132"/>
      <c r="E387" s="132"/>
      <c r="F387" s="133"/>
      <c r="H387" s="143"/>
      <c r="I387" s="143"/>
      <c r="K387" s="141"/>
    </row>
    <row r="388" spans="3:11" s="142" customFormat="1" x14ac:dyDescent="0.25">
      <c r="C388" s="141"/>
      <c r="D388" s="132"/>
      <c r="E388" s="132"/>
      <c r="F388" s="133"/>
      <c r="H388" s="143"/>
      <c r="I388" s="143"/>
      <c r="K388" s="141"/>
    </row>
    <row r="389" spans="3:11" s="142" customFormat="1" x14ac:dyDescent="0.25">
      <c r="C389" s="141"/>
      <c r="D389" s="132"/>
      <c r="E389" s="132"/>
      <c r="F389" s="133"/>
      <c r="H389" s="143"/>
      <c r="I389" s="143"/>
      <c r="K389" s="141"/>
    </row>
    <row r="390" spans="3:11" s="142" customFormat="1" x14ac:dyDescent="0.25">
      <c r="C390" s="141"/>
      <c r="D390" s="132"/>
      <c r="E390" s="132"/>
      <c r="F390" s="133"/>
      <c r="H390" s="143"/>
      <c r="I390" s="143"/>
      <c r="K390" s="141"/>
    </row>
    <row r="391" spans="3:11" s="142" customFormat="1" x14ac:dyDescent="0.25">
      <c r="C391" s="141"/>
      <c r="D391" s="132"/>
      <c r="E391" s="132"/>
      <c r="F391" s="133"/>
      <c r="H391" s="143"/>
      <c r="I391" s="143"/>
      <c r="K391" s="141"/>
    </row>
    <row r="392" spans="3:11" s="142" customFormat="1" x14ac:dyDescent="0.25">
      <c r="C392" s="141"/>
      <c r="D392" s="132"/>
      <c r="E392" s="132"/>
      <c r="F392" s="133"/>
      <c r="H392" s="143"/>
      <c r="I392" s="143"/>
      <c r="K392" s="141"/>
    </row>
    <row r="393" spans="3:11" s="142" customFormat="1" x14ac:dyDescent="0.25">
      <c r="C393" s="141"/>
      <c r="D393" s="132"/>
      <c r="E393" s="132"/>
      <c r="F393" s="133"/>
      <c r="H393" s="143"/>
      <c r="I393" s="143"/>
      <c r="K393" s="141"/>
    </row>
    <row r="394" spans="3:11" s="142" customFormat="1" x14ac:dyDescent="0.25">
      <c r="C394" s="141"/>
      <c r="D394" s="132"/>
      <c r="E394" s="132"/>
      <c r="F394" s="133"/>
      <c r="H394" s="143"/>
      <c r="I394" s="143"/>
      <c r="K394" s="141"/>
    </row>
    <row r="395" spans="3:11" s="142" customFormat="1" x14ac:dyDescent="0.25">
      <c r="C395" s="141"/>
      <c r="D395" s="132"/>
      <c r="E395" s="132"/>
      <c r="F395" s="133"/>
      <c r="H395" s="143"/>
      <c r="I395" s="143"/>
      <c r="K395" s="141"/>
    </row>
    <row r="396" spans="3:11" s="142" customFormat="1" x14ac:dyDescent="0.25">
      <c r="C396" s="141"/>
      <c r="D396" s="132"/>
      <c r="E396" s="132"/>
      <c r="F396" s="133"/>
      <c r="H396" s="143"/>
      <c r="I396" s="143"/>
      <c r="K396" s="141"/>
    </row>
    <row r="397" spans="3:11" s="142" customFormat="1" x14ac:dyDescent="0.25">
      <c r="C397" s="141"/>
      <c r="D397" s="132"/>
      <c r="E397" s="132"/>
      <c r="F397" s="133"/>
      <c r="H397" s="143"/>
      <c r="I397" s="143"/>
      <c r="K397" s="141"/>
    </row>
    <row r="398" spans="3:11" s="142" customFormat="1" x14ac:dyDescent="0.25">
      <c r="C398" s="141"/>
      <c r="D398" s="132"/>
      <c r="E398" s="132"/>
      <c r="F398" s="133"/>
      <c r="H398" s="143"/>
      <c r="I398" s="143"/>
      <c r="K398" s="141"/>
    </row>
    <row r="399" spans="3:11" s="142" customFormat="1" x14ac:dyDescent="0.25">
      <c r="C399" s="141"/>
      <c r="D399" s="132"/>
      <c r="E399" s="132"/>
      <c r="F399" s="133"/>
      <c r="H399" s="143"/>
      <c r="I399" s="143"/>
      <c r="K399" s="141"/>
    </row>
    <row r="400" spans="3:11" s="142" customFormat="1" x14ac:dyDescent="0.25">
      <c r="C400" s="141"/>
      <c r="D400" s="132"/>
      <c r="E400" s="132"/>
      <c r="F400" s="133"/>
      <c r="H400" s="143"/>
      <c r="I400" s="143"/>
      <c r="K400" s="141"/>
    </row>
    <row r="401" spans="3:11" s="142" customFormat="1" x14ac:dyDescent="0.25">
      <c r="C401" s="141"/>
      <c r="D401" s="132"/>
      <c r="E401" s="132"/>
      <c r="F401" s="133"/>
      <c r="H401" s="143"/>
      <c r="I401" s="143"/>
      <c r="K401" s="141"/>
    </row>
    <row r="402" spans="3:11" s="142" customFormat="1" x14ac:dyDescent="0.25">
      <c r="C402" s="141"/>
      <c r="D402" s="132"/>
      <c r="E402" s="132"/>
      <c r="F402" s="133"/>
      <c r="H402" s="143"/>
      <c r="I402" s="143"/>
      <c r="K402" s="141"/>
    </row>
    <row r="403" spans="3:11" s="142" customFormat="1" x14ac:dyDescent="0.25">
      <c r="C403" s="141"/>
      <c r="D403" s="132"/>
      <c r="E403" s="132"/>
      <c r="F403" s="133"/>
      <c r="H403" s="143"/>
      <c r="I403" s="143"/>
      <c r="K403" s="141"/>
    </row>
    <row r="404" spans="3:11" s="142" customFormat="1" x14ac:dyDescent="0.25">
      <c r="C404" s="141"/>
      <c r="D404" s="132"/>
      <c r="E404" s="132"/>
      <c r="F404" s="133"/>
      <c r="H404" s="143"/>
      <c r="I404" s="143"/>
      <c r="K404" s="141"/>
    </row>
    <row r="405" spans="3:11" s="142" customFormat="1" x14ac:dyDescent="0.25">
      <c r="C405" s="141"/>
      <c r="D405" s="132"/>
      <c r="E405" s="132"/>
      <c r="F405" s="133"/>
      <c r="H405" s="143"/>
      <c r="I405" s="143"/>
      <c r="K405" s="141"/>
    </row>
    <row r="406" spans="3:11" s="142" customFormat="1" x14ac:dyDescent="0.25">
      <c r="C406" s="141"/>
      <c r="D406" s="132"/>
      <c r="E406" s="132"/>
      <c r="F406" s="133"/>
      <c r="H406" s="143"/>
      <c r="I406" s="143"/>
      <c r="K406" s="141"/>
    </row>
    <row r="407" spans="3:11" s="142" customFormat="1" x14ac:dyDescent="0.25">
      <c r="C407" s="141"/>
      <c r="D407" s="132"/>
      <c r="E407" s="132"/>
      <c r="F407" s="133"/>
      <c r="H407" s="143"/>
      <c r="I407" s="143"/>
      <c r="K407" s="141"/>
    </row>
    <row r="408" spans="3:11" s="142" customFormat="1" x14ac:dyDescent="0.25">
      <c r="C408" s="141"/>
      <c r="D408" s="132"/>
      <c r="E408" s="132"/>
      <c r="F408" s="133"/>
      <c r="H408" s="143"/>
      <c r="I408" s="143"/>
      <c r="K408" s="141"/>
    </row>
    <row r="409" spans="3:11" s="142" customFormat="1" x14ac:dyDescent="0.25">
      <c r="C409" s="141"/>
      <c r="D409" s="132"/>
      <c r="E409" s="132"/>
      <c r="F409" s="133"/>
      <c r="H409" s="143"/>
      <c r="I409" s="143"/>
      <c r="K409" s="141"/>
    </row>
    <row r="410" spans="3:11" s="142" customFormat="1" x14ac:dyDescent="0.25">
      <c r="C410" s="141"/>
      <c r="D410" s="132"/>
      <c r="E410" s="132"/>
      <c r="F410" s="133"/>
      <c r="H410" s="143"/>
      <c r="I410" s="143"/>
      <c r="K410" s="141"/>
    </row>
    <row r="411" spans="3:11" s="142" customFormat="1" x14ac:dyDescent="0.25">
      <c r="C411" s="141"/>
      <c r="D411" s="132"/>
      <c r="E411" s="132"/>
      <c r="F411" s="133"/>
      <c r="H411" s="143"/>
      <c r="I411" s="143"/>
      <c r="K411" s="141"/>
    </row>
    <row r="412" spans="3:11" s="142" customFormat="1" x14ac:dyDescent="0.25">
      <c r="C412" s="141"/>
      <c r="D412" s="132"/>
      <c r="E412" s="132"/>
      <c r="F412" s="133"/>
      <c r="H412" s="143"/>
      <c r="I412" s="143"/>
      <c r="K412" s="141"/>
    </row>
    <row r="413" spans="3:11" s="142" customFormat="1" x14ac:dyDescent="0.25">
      <c r="C413" s="141"/>
      <c r="D413" s="132"/>
      <c r="E413" s="132"/>
      <c r="F413" s="133"/>
      <c r="H413" s="143"/>
      <c r="I413" s="143"/>
      <c r="K413" s="141"/>
    </row>
    <row r="414" spans="3:11" s="142" customFormat="1" x14ac:dyDescent="0.25">
      <c r="C414" s="141"/>
      <c r="D414" s="132"/>
      <c r="E414" s="132"/>
      <c r="F414" s="133"/>
      <c r="H414" s="143"/>
      <c r="I414" s="143"/>
      <c r="K414" s="141"/>
    </row>
    <row r="415" spans="3:11" s="142" customFormat="1" x14ac:dyDescent="0.25">
      <c r="C415" s="141"/>
      <c r="D415" s="132"/>
      <c r="E415" s="132"/>
      <c r="F415" s="133"/>
      <c r="H415" s="143"/>
      <c r="I415" s="143"/>
      <c r="K415" s="141"/>
    </row>
    <row r="416" spans="3:11" s="142" customFormat="1" x14ac:dyDescent="0.25">
      <c r="C416" s="141"/>
      <c r="D416" s="132"/>
      <c r="E416" s="132"/>
      <c r="F416" s="133"/>
      <c r="H416" s="143"/>
      <c r="I416" s="143"/>
      <c r="K416" s="141"/>
    </row>
    <row r="417" spans="3:11" s="142" customFormat="1" x14ac:dyDescent="0.25">
      <c r="C417" s="141"/>
      <c r="D417" s="132"/>
      <c r="E417" s="132"/>
      <c r="F417" s="133"/>
      <c r="H417" s="143"/>
      <c r="I417" s="143"/>
      <c r="K417" s="141"/>
    </row>
    <row r="418" spans="3:11" s="142" customFormat="1" x14ac:dyDescent="0.25">
      <c r="C418" s="141"/>
      <c r="D418" s="132"/>
      <c r="E418" s="132"/>
      <c r="F418" s="133"/>
      <c r="H418" s="143"/>
      <c r="I418" s="143"/>
      <c r="K418" s="141"/>
    </row>
    <row r="419" spans="3:11" s="142" customFormat="1" x14ac:dyDescent="0.25">
      <c r="C419" s="141"/>
      <c r="D419" s="132"/>
      <c r="E419" s="132"/>
      <c r="F419" s="133"/>
      <c r="H419" s="143"/>
      <c r="I419" s="143"/>
      <c r="K419" s="141"/>
    </row>
    <row r="420" spans="3:11" s="142" customFormat="1" x14ac:dyDescent="0.25">
      <c r="C420" s="141"/>
      <c r="D420" s="132"/>
      <c r="E420" s="132"/>
      <c r="F420" s="133"/>
      <c r="H420" s="143"/>
      <c r="I420" s="143"/>
      <c r="K420" s="141"/>
    </row>
    <row r="421" spans="3:11" s="142" customFormat="1" x14ac:dyDescent="0.25">
      <c r="C421" s="141"/>
      <c r="D421" s="132"/>
      <c r="E421" s="132"/>
      <c r="F421" s="133"/>
      <c r="H421" s="143"/>
      <c r="I421" s="143"/>
      <c r="K421" s="141"/>
    </row>
    <row r="422" spans="3:11" s="142" customFormat="1" x14ac:dyDescent="0.25">
      <c r="C422" s="141"/>
      <c r="D422" s="132"/>
      <c r="E422" s="132"/>
      <c r="F422" s="133"/>
      <c r="H422" s="143"/>
      <c r="I422" s="143"/>
      <c r="K422" s="141"/>
    </row>
    <row r="423" spans="3:11" s="142" customFormat="1" x14ac:dyDescent="0.25">
      <c r="C423" s="141"/>
      <c r="D423" s="132"/>
      <c r="E423" s="132"/>
      <c r="F423" s="133"/>
      <c r="H423" s="143"/>
      <c r="I423" s="143"/>
      <c r="K423" s="141"/>
    </row>
    <row r="424" spans="3:11" s="142" customFormat="1" x14ac:dyDescent="0.25">
      <c r="C424" s="141"/>
      <c r="D424" s="132"/>
      <c r="E424" s="132"/>
      <c r="F424" s="133"/>
      <c r="H424" s="143"/>
      <c r="I424" s="143"/>
      <c r="K424" s="141"/>
    </row>
    <row r="425" spans="3:11" s="142" customFormat="1" x14ac:dyDescent="0.25">
      <c r="C425" s="141"/>
      <c r="D425" s="132"/>
      <c r="E425" s="132"/>
      <c r="F425" s="133"/>
      <c r="H425" s="143"/>
      <c r="I425" s="143"/>
      <c r="K425" s="141"/>
    </row>
    <row r="426" spans="3:11" s="142" customFormat="1" x14ac:dyDescent="0.25">
      <c r="C426" s="141"/>
      <c r="D426" s="132"/>
      <c r="E426" s="132"/>
      <c r="F426" s="133"/>
      <c r="H426" s="143"/>
      <c r="I426" s="143"/>
      <c r="K426" s="141"/>
    </row>
    <row r="427" spans="3:11" s="142" customFormat="1" x14ac:dyDescent="0.25">
      <c r="C427" s="141"/>
      <c r="D427" s="132"/>
      <c r="E427" s="132"/>
      <c r="F427" s="133"/>
      <c r="H427" s="143"/>
      <c r="I427" s="143"/>
      <c r="K427" s="141"/>
    </row>
    <row r="428" spans="3:11" s="142" customFormat="1" x14ac:dyDescent="0.25">
      <c r="C428" s="141"/>
      <c r="D428" s="132"/>
      <c r="E428" s="132"/>
      <c r="F428" s="133"/>
      <c r="H428" s="143"/>
      <c r="I428" s="143"/>
      <c r="K428" s="141"/>
    </row>
    <row r="429" spans="3:11" s="142" customFormat="1" x14ac:dyDescent="0.25">
      <c r="C429" s="141"/>
      <c r="D429" s="132"/>
      <c r="E429" s="132"/>
      <c r="F429" s="133"/>
      <c r="H429" s="143"/>
      <c r="I429" s="143"/>
      <c r="K429" s="141"/>
    </row>
    <row r="430" spans="3:11" s="142" customFormat="1" x14ac:dyDescent="0.25">
      <c r="C430" s="141"/>
      <c r="D430" s="132"/>
      <c r="E430" s="132"/>
      <c r="F430" s="133"/>
      <c r="H430" s="143"/>
      <c r="I430" s="143"/>
      <c r="K430" s="141"/>
    </row>
    <row r="431" spans="3:11" s="142" customFormat="1" x14ac:dyDescent="0.25">
      <c r="C431" s="141"/>
      <c r="D431" s="132"/>
      <c r="E431" s="132"/>
      <c r="F431" s="133"/>
      <c r="H431" s="143"/>
      <c r="I431" s="143"/>
      <c r="K431" s="141"/>
    </row>
    <row r="432" spans="3:11" s="142" customFormat="1" x14ac:dyDescent="0.25">
      <c r="C432" s="141"/>
      <c r="D432" s="132"/>
      <c r="E432" s="132"/>
      <c r="F432" s="133"/>
      <c r="H432" s="143"/>
      <c r="I432" s="143"/>
      <c r="K432" s="141"/>
    </row>
    <row r="433" spans="3:11" s="142" customFormat="1" x14ac:dyDescent="0.25">
      <c r="C433" s="141"/>
      <c r="D433" s="132"/>
      <c r="E433" s="132"/>
      <c r="F433" s="133"/>
      <c r="H433" s="143"/>
      <c r="I433" s="143"/>
      <c r="K433" s="141"/>
    </row>
    <row r="434" spans="3:11" s="142" customFormat="1" x14ac:dyDescent="0.25">
      <c r="C434" s="141"/>
      <c r="D434" s="132"/>
      <c r="E434" s="132"/>
      <c r="F434" s="133"/>
      <c r="H434" s="143"/>
      <c r="I434" s="143"/>
      <c r="K434" s="141"/>
    </row>
    <row r="435" spans="3:11" s="142" customFormat="1" x14ac:dyDescent="0.25">
      <c r="C435" s="141"/>
      <c r="D435" s="132"/>
      <c r="E435" s="132"/>
      <c r="F435" s="133"/>
      <c r="H435" s="143"/>
      <c r="I435" s="143"/>
      <c r="K435" s="141"/>
    </row>
    <row r="436" spans="3:11" s="142" customFormat="1" x14ac:dyDescent="0.25">
      <c r="C436" s="141"/>
      <c r="D436" s="132"/>
      <c r="E436" s="132"/>
      <c r="F436" s="133"/>
      <c r="H436" s="143"/>
      <c r="I436" s="143"/>
      <c r="K436" s="141"/>
    </row>
    <row r="437" spans="3:11" s="142" customFormat="1" x14ac:dyDescent="0.25">
      <c r="C437" s="141"/>
      <c r="D437" s="132"/>
      <c r="E437" s="132"/>
      <c r="F437" s="133"/>
      <c r="H437" s="143"/>
      <c r="I437" s="143"/>
      <c r="K437" s="141"/>
    </row>
    <row r="438" spans="3:11" s="142" customFormat="1" x14ac:dyDescent="0.25">
      <c r="C438" s="141"/>
      <c r="D438" s="132"/>
      <c r="E438" s="132"/>
      <c r="F438" s="133"/>
      <c r="H438" s="143"/>
      <c r="I438" s="143"/>
      <c r="K438" s="141"/>
    </row>
    <row r="439" spans="3:11" s="142" customFormat="1" x14ac:dyDescent="0.25">
      <c r="C439" s="141"/>
      <c r="D439" s="132"/>
      <c r="E439" s="132"/>
      <c r="F439" s="133"/>
      <c r="H439" s="143"/>
      <c r="I439" s="143"/>
      <c r="K439" s="141"/>
    </row>
    <row r="440" spans="3:11" s="142" customFormat="1" x14ac:dyDescent="0.25">
      <c r="C440" s="141"/>
      <c r="D440" s="132"/>
      <c r="E440" s="132"/>
      <c r="F440" s="133"/>
      <c r="H440" s="143"/>
      <c r="I440" s="143"/>
      <c r="K440" s="141"/>
    </row>
    <row r="441" spans="3:11" s="142" customFormat="1" x14ac:dyDescent="0.25">
      <c r="C441" s="141"/>
      <c r="D441" s="132"/>
      <c r="E441" s="132"/>
      <c r="F441" s="133"/>
      <c r="H441" s="143"/>
      <c r="I441" s="143"/>
      <c r="K441" s="141"/>
    </row>
    <row r="442" spans="3:11" s="142" customFormat="1" x14ac:dyDescent="0.25">
      <c r="C442" s="141"/>
      <c r="D442" s="132"/>
      <c r="E442" s="132"/>
      <c r="F442" s="133"/>
      <c r="H442" s="143"/>
      <c r="I442" s="143"/>
      <c r="K442" s="141"/>
    </row>
    <row r="443" spans="3:11" s="142" customFormat="1" x14ac:dyDescent="0.25">
      <c r="C443" s="141"/>
      <c r="D443" s="132"/>
      <c r="E443" s="132"/>
      <c r="F443" s="133"/>
      <c r="H443" s="143"/>
      <c r="I443" s="143"/>
      <c r="K443" s="141"/>
    </row>
    <row r="444" spans="3:11" s="142" customFormat="1" x14ac:dyDescent="0.25">
      <c r="C444" s="141"/>
      <c r="D444" s="132"/>
      <c r="E444" s="132"/>
      <c r="F444" s="133"/>
      <c r="H444" s="143"/>
      <c r="I444" s="143"/>
      <c r="K444" s="141"/>
    </row>
  </sheetData>
  <pageMargins left="0.19685039370078741" right="0.19685039370078741" top="0.19685039370078741" bottom="0.19685039370078741" header="0.19685039370078741" footer="0.19685039370078741"/>
  <pageSetup scale="77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52F-8C57-474F-A22B-F03F3AD994B4}">
  <sheetPr codeName="wshPlanComptable"/>
  <dimension ref="A1:F62"/>
  <sheetViews>
    <sheetView workbookViewId="0">
      <selection activeCell="J10" sqref="J10"/>
    </sheetView>
  </sheetViews>
  <sheetFormatPr baseColWidth="10" defaultRowHeight="15" x14ac:dyDescent="0.25"/>
  <cols>
    <col min="1" max="1" width="37.42578125" bestFit="1" customWidth="1"/>
    <col min="2" max="3" width="5.7109375" customWidth="1"/>
    <col min="6" max="6" width="37.42578125" bestFit="1" customWidth="1"/>
    <col min="7" max="7" width="5.7109375" customWidth="1"/>
  </cols>
  <sheetData>
    <row r="1" spans="1:6" x14ac:dyDescent="0.25">
      <c r="C1" s="10"/>
      <c r="D1" s="130" t="s">
        <v>136</v>
      </c>
      <c r="E1" s="131"/>
      <c r="F1" s="131"/>
    </row>
    <row r="2" spans="1:6" ht="15.75" thickBot="1" x14ac:dyDescent="0.3">
      <c r="A2" t="s">
        <v>138</v>
      </c>
      <c r="C2" s="10"/>
      <c r="D2" s="5" t="s">
        <v>9</v>
      </c>
      <c r="E2" s="6" t="s">
        <v>137</v>
      </c>
      <c r="F2" s="7" t="s">
        <v>10</v>
      </c>
    </row>
    <row r="3" spans="1:6" x14ac:dyDescent="0.25">
      <c r="A3" s="14" t="str">
        <f>F3</f>
        <v>Encaisse</v>
      </c>
      <c r="C3" s="10"/>
      <c r="D3" s="8" t="s">
        <v>11</v>
      </c>
      <c r="E3" s="9" t="s">
        <v>12</v>
      </c>
      <c r="F3" s="10" t="s">
        <v>13</v>
      </c>
    </row>
    <row r="4" spans="1:6" x14ac:dyDescent="0.25">
      <c r="A4" s="14" t="str">
        <f t="shared" ref="A4:A62" si="0">F4</f>
        <v>Comptes Clients</v>
      </c>
      <c r="C4" s="10"/>
      <c r="D4" s="8" t="s">
        <v>11</v>
      </c>
      <c r="E4" s="9" t="s">
        <v>14</v>
      </c>
      <c r="F4" s="10" t="s">
        <v>15</v>
      </c>
    </row>
    <row r="5" spans="1:6" x14ac:dyDescent="0.25">
      <c r="A5" s="14" t="str">
        <f t="shared" si="0"/>
        <v>Provision pour mauvaises créances</v>
      </c>
      <c r="C5" s="10"/>
      <c r="D5" s="8" t="s">
        <v>11</v>
      </c>
      <c r="E5" s="9" t="s">
        <v>16</v>
      </c>
      <c r="F5" s="10" t="s">
        <v>17</v>
      </c>
    </row>
    <row r="6" spans="1:6" x14ac:dyDescent="0.25">
      <c r="A6" s="14" t="str">
        <f t="shared" si="0"/>
        <v>TPS payée</v>
      </c>
      <c r="C6" s="10"/>
      <c r="D6" s="8" t="s">
        <v>11</v>
      </c>
      <c r="E6" s="9" t="s">
        <v>18</v>
      </c>
      <c r="F6" s="10" t="s">
        <v>19</v>
      </c>
    </row>
    <row r="7" spans="1:6" x14ac:dyDescent="0.25">
      <c r="A7" s="14" t="str">
        <f t="shared" si="0"/>
        <v>TVQ payée</v>
      </c>
      <c r="C7" s="10"/>
      <c r="D7" s="8" t="s">
        <v>11</v>
      </c>
      <c r="E7" s="9" t="s">
        <v>20</v>
      </c>
      <c r="F7" s="10" t="s">
        <v>21</v>
      </c>
    </row>
    <row r="8" spans="1:6" x14ac:dyDescent="0.25">
      <c r="A8" s="14" t="str">
        <f t="shared" si="0"/>
        <v>TPS facturée</v>
      </c>
      <c r="C8" s="10"/>
      <c r="D8" s="8" t="s">
        <v>11</v>
      </c>
      <c r="E8" s="9" t="s">
        <v>22</v>
      </c>
      <c r="F8" s="10" t="s">
        <v>23</v>
      </c>
    </row>
    <row r="9" spans="1:6" x14ac:dyDescent="0.25">
      <c r="A9" s="14" t="str">
        <f t="shared" si="0"/>
        <v>TVQ facturée</v>
      </c>
      <c r="C9" s="10"/>
      <c r="D9" s="8" t="s">
        <v>11</v>
      </c>
      <c r="E9" s="9" t="s">
        <v>24</v>
      </c>
      <c r="F9" s="10" t="s">
        <v>25</v>
      </c>
    </row>
    <row r="10" spans="1:6" x14ac:dyDescent="0.25">
      <c r="A10" s="14" t="str">
        <f t="shared" si="0"/>
        <v>Acomptes provisionnels - TPS</v>
      </c>
      <c r="C10" s="10"/>
      <c r="D10" s="8" t="s">
        <v>11</v>
      </c>
      <c r="E10" s="9" t="s">
        <v>26</v>
      </c>
      <c r="F10" s="10" t="s">
        <v>27</v>
      </c>
    </row>
    <row r="11" spans="1:6" x14ac:dyDescent="0.25">
      <c r="A11" s="14" t="str">
        <f t="shared" si="0"/>
        <v>Acomptes provisionnels - TVQ</v>
      </c>
      <c r="D11" s="8" t="s">
        <v>11</v>
      </c>
      <c r="E11" s="9" t="s">
        <v>28</v>
      </c>
      <c r="F11" s="10" t="s">
        <v>29</v>
      </c>
    </row>
    <row r="12" spans="1:6" x14ac:dyDescent="0.25">
      <c r="A12" s="14" t="str">
        <f t="shared" si="0"/>
        <v>Travaux en cours</v>
      </c>
      <c r="D12" s="8" t="s">
        <v>11</v>
      </c>
      <c r="E12" s="9" t="s">
        <v>30</v>
      </c>
      <c r="F12" s="10" t="s">
        <v>31</v>
      </c>
    </row>
    <row r="13" spans="1:6" x14ac:dyDescent="0.25">
      <c r="A13" s="14" t="str">
        <f t="shared" si="0"/>
        <v>Frais payés d'avance</v>
      </c>
      <c r="D13" s="8" t="s">
        <v>11</v>
      </c>
      <c r="E13" s="9" t="s">
        <v>32</v>
      </c>
      <c r="F13" s="10" t="s">
        <v>33</v>
      </c>
    </row>
    <row r="14" spans="1:6" x14ac:dyDescent="0.25">
      <c r="A14" s="14" t="str">
        <f t="shared" si="0"/>
        <v>Mobilier de bureau</v>
      </c>
      <c r="D14" s="8" t="s">
        <v>11</v>
      </c>
      <c r="E14" s="9" t="s">
        <v>34</v>
      </c>
      <c r="F14" s="10" t="s">
        <v>35</v>
      </c>
    </row>
    <row r="15" spans="1:6" x14ac:dyDescent="0.25">
      <c r="A15" s="14" t="str">
        <f t="shared" si="0"/>
        <v>Amort. Cum - mobil. de bureau</v>
      </c>
      <c r="D15" s="8" t="s">
        <v>11</v>
      </c>
      <c r="E15" s="9" t="s">
        <v>36</v>
      </c>
      <c r="F15" s="10" t="s">
        <v>37</v>
      </c>
    </row>
    <row r="16" spans="1:6" x14ac:dyDescent="0.25">
      <c r="A16" s="14" t="str">
        <f t="shared" si="0"/>
        <v>Matériel informatique</v>
      </c>
      <c r="D16" s="8" t="s">
        <v>11</v>
      </c>
      <c r="E16" s="9" t="s">
        <v>38</v>
      </c>
      <c r="F16" s="10" t="s">
        <v>39</v>
      </c>
    </row>
    <row r="17" spans="1:6" x14ac:dyDescent="0.25">
      <c r="A17" s="14" t="str">
        <f t="shared" si="0"/>
        <v>Amort. Cum - mat. Inform.</v>
      </c>
      <c r="D17" s="8" t="s">
        <v>11</v>
      </c>
      <c r="E17" s="9" t="s">
        <v>40</v>
      </c>
      <c r="F17" s="10" t="s">
        <v>41</v>
      </c>
    </row>
    <row r="18" spans="1:6" x14ac:dyDescent="0.25">
      <c r="A18" s="14" t="str">
        <f t="shared" si="0"/>
        <v>Logiciel informatique</v>
      </c>
      <c r="D18" s="8" t="s">
        <v>11</v>
      </c>
      <c r="E18" s="9" t="s">
        <v>42</v>
      </c>
      <c r="F18" s="10" t="s">
        <v>43</v>
      </c>
    </row>
    <row r="19" spans="1:6" x14ac:dyDescent="0.25">
      <c r="A19" s="14" t="str">
        <f t="shared" si="0"/>
        <v>Amort. Cum - logiciels</v>
      </c>
      <c r="D19" s="8" t="s">
        <v>11</v>
      </c>
      <c r="E19" s="9" t="s">
        <v>44</v>
      </c>
      <c r="F19" s="10" t="s">
        <v>45</v>
      </c>
    </row>
    <row r="20" spans="1:6" x14ac:dyDescent="0.25">
      <c r="A20" s="14" t="str">
        <f t="shared" si="0"/>
        <v>Achalandage</v>
      </c>
      <c r="D20" s="8" t="s">
        <v>11</v>
      </c>
      <c r="E20" s="9" t="s">
        <v>46</v>
      </c>
      <c r="F20" s="10" t="s">
        <v>47</v>
      </c>
    </row>
    <row r="21" spans="1:6" x14ac:dyDescent="0.25">
      <c r="A21" s="14" t="str">
        <f t="shared" si="0"/>
        <v>Amort. Cum - Achalandage</v>
      </c>
      <c r="D21" s="8" t="s">
        <v>11</v>
      </c>
      <c r="E21" s="9" t="s">
        <v>48</v>
      </c>
      <c r="F21" s="10" t="s">
        <v>49</v>
      </c>
    </row>
    <row r="22" spans="1:6" x14ac:dyDescent="0.25">
      <c r="A22" s="14" t="str">
        <f t="shared" si="0"/>
        <v>Avance - Prêt GCP</v>
      </c>
      <c r="D22" s="8" t="s">
        <v>11</v>
      </c>
      <c r="E22" s="9" t="s">
        <v>50</v>
      </c>
      <c r="F22" s="10" t="s">
        <v>51</v>
      </c>
    </row>
    <row r="23" spans="1:6" x14ac:dyDescent="0.25">
      <c r="A23" s="14" t="str">
        <f t="shared" si="0"/>
        <v>VISA Odyssey Desjardins</v>
      </c>
      <c r="D23" s="8" t="s">
        <v>52</v>
      </c>
      <c r="E23" s="9" t="s">
        <v>53</v>
      </c>
      <c r="F23" s="10" t="s">
        <v>54</v>
      </c>
    </row>
    <row r="24" spans="1:6" x14ac:dyDescent="0.25">
      <c r="A24" s="14" t="str">
        <f t="shared" si="0"/>
        <v>Avances de Guillaume Charron</v>
      </c>
      <c r="D24" s="8" t="s">
        <v>52</v>
      </c>
      <c r="E24" s="9" t="s">
        <v>55</v>
      </c>
      <c r="F24" s="10" t="s">
        <v>56</v>
      </c>
    </row>
    <row r="25" spans="1:6" x14ac:dyDescent="0.25">
      <c r="A25" s="14" t="str">
        <f t="shared" si="0"/>
        <v>Avances à Fiducie Famille Charron</v>
      </c>
      <c r="D25" s="8" t="s">
        <v>52</v>
      </c>
      <c r="E25" s="9" t="s">
        <v>57</v>
      </c>
      <c r="F25" s="10" t="s">
        <v>58</v>
      </c>
    </row>
    <row r="26" spans="1:6" x14ac:dyDescent="0.25">
      <c r="A26" s="14" t="str">
        <f t="shared" si="0"/>
        <v>Compte fournisseur</v>
      </c>
      <c r="D26" s="8" t="s">
        <v>52</v>
      </c>
      <c r="E26" s="9" t="s">
        <v>59</v>
      </c>
      <c r="F26" s="10" t="s">
        <v>60</v>
      </c>
    </row>
    <row r="27" spans="1:6" x14ac:dyDescent="0.25">
      <c r="A27" s="14" t="str">
        <f t="shared" si="0"/>
        <v>Avances avec 9249-3626 Québec inc.</v>
      </c>
      <c r="D27" s="8" t="s">
        <v>52</v>
      </c>
      <c r="E27" s="9" t="s">
        <v>61</v>
      </c>
      <c r="F27" s="10" t="s">
        <v>62</v>
      </c>
    </row>
    <row r="28" spans="1:6" x14ac:dyDescent="0.25">
      <c r="A28" s="14" t="str">
        <f t="shared" si="0"/>
        <v>Avances avec 9333-4829 Québec inc</v>
      </c>
      <c r="D28" s="8" t="s">
        <v>52</v>
      </c>
      <c r="E28" s="9" t="s">
        <v>63</v>
      </c>
      <c r="F28" s="10" t="s">
        <v>64</v>
      </c>
    </row>
    <row r="29" spans="1:6" x14ac:dyDescent="0.25">
      <c r="A29" s="14" t="str">
        <f t="shared" si="0"/>
        <v>Prêt - Compte d'urgence</v>
      </c>
      <c r="D29" s="8" t="s">
        <v>52</v>
      </c>
      <c r="E29" s="9" t="s">
        <v>65</v>
      </c>
      <c r="F29" s="10" t="s">
        <v>66</v>
      </c>
    </row>
    <row r="30" spans="1:6" x14ac:dyDescent="0.25">
      <c r="A30" s="14" t="str">
        <f t="shared" si="0"/>
        <v>Impôt Fédéral à payer</v>
      </c>
      <c r="D30" s="8" t="s">
        <v>52</v>
      </c>
      <c r="E30" s="9" t="s">
        <v>67</v>
      </c>
      <c r="F30" s="10" t="s">
        <v>68</v>
      </c>
    </row>
    <row r="31" spans="1:6" x14ac:dyDescent="0.25">
      <c r="A31" s="14" t="str">
        <f t="shared" si="0"/>
        <v>Impôt Québec à payer</v>
      </c>
      <c r="D31" s="8" t="s">
        <v>52</v>
      </c>
      <c r="E31" s="9" t="s">
        <v>69</v>
      </c>
      <c r="F31" s="10" t="s">
        <v>70</v>
      </c>
    </row>
    <row r="32" spans="1:6" x14ac:dyDescent="0.25">
      <c r="A32" s="14" t="str">
        <f t="shared" si="0"/>
        <v>Acomptes - Impôt Fédéral</v>
      </c>
      <c r="D32" s="8" t="s">
        <v>52</v>
      </c>
      <c r="E32" s="9" t="s">
        <v>71</v>
      </c>
      <c r="F32" s="10" t="s">
        <v>72</v>
      </c>
    </row>
    <row r="33" spans="1:6" x14ac:dyDescent="0.25">
      <c r="A33" s="14" t="str">
        <f t="shared" si="0"/>
        <v>Acomptes - Impôt Québec</v>
      </c>
      <c r="D33" s="8" t="s">
        <v>52</v>
      </c>
      <c r="E33" s="9" t="s">
        <v>73</v>
      </c>
      <c r="F33" s="10" t="s">
        <v>74</v>
      </c>
    </row>
    <row r="34" spans="1:6" x14ac:dyDescent="0.25">
      <c r="A34" s="14" t="str">
        <f t="shared" si="0"/>
        <v>Produit perçu d'avance</v>
      </c>
      <c r="D34" s="8" t="s">
        <v>52</v>
      </c>
      <c r="E34" s="9" t="s">
        <v>75</v>
      </c>
      <c r="F34" s="10" t="s">
        <v>76</v>
      </c>
    </row>
    <row r="35" spans="1:6" x14ac:dyDescent="0.25">
      <c r="A35" s="14" t="str">
        <f t="shared" si="0"/>
        <v>Actions ordinaires</v>
      </c>
      <c r="D35" s="8" t="s">
        <v>77</v>
      </c>
      <c r="E35" s="9" t="s">
        <v>78</v>
      </c>
      <c r="F35" s="10" t="s">
        <v>79</v>
      </c>
    </row>
    <row r="36" spans="1:6" x14ac:dyDescent="0.25">
      <c r="A36" s="14" t="str">
        <f t="shared" si="0"/>
        <v>Actions privilégiées</v>
      </c>
      <c r="D36" s="8" t="s">
        <v>77</v>
      </c>
      <c r="E36" s="9" t="s">
        <v>80</v>
      </c>
      <c r="F36" s="10" t="s">
        <v>81</v>
      </c>
    </row>
    <row r="37" spans="1:6" x14ac:dyDescent="0.25">
      <c r="A37" s="14" t="str">
        <f t="shared" si="0"/>
        <v>BNR</v>
      </c>
      <c r="D37" s="8" t="s">
        <v>77</v>
      </c>
      <c r="E37" s="9" t="s">
        <v>82</v>
      </c>
      <c r="F37" s="10" t="s">
        <v>83</v>
      </c>
    </row>
    <row r="38" spans="1:6" x14ac:dyDescent="0.25">
      <c r="A38" s="14" t="str">
        <f t="shared" si="0"/>
        <v>Dividendes</v>
      </c>
      <c r="D38" s="8" t="s">
        <v>77</v>
      </c>
      <c r="E38" s="9" t="s">
        <v>84</v>
      </c>
      <c r="F38" s="10" t="s">
        <v>85</v>
      </c>
    </row>
    <row r="39" spans="1:6" x14ac:dyDescent="0.25">
      <c r="A39" s="14" t="str">
        <f t="shared" si="0"/>
        <v>Revenus de consultation</v>
      </c>
      <c r="D39" s="8" t="s">
        <v>86</v>
      </c>
      <c r="E39" s="9" t="s">
        <v>87</v>
      </c>
      <c r="F39" s="10" t="s">
        <v>88</v>
      </c>
    </row>
    <row r="40" spans="1:6" x14ac:dyDescent="0.25">
      <c r="A40" s="14" t="str">
        <f t="shared" si="0"/>
        <v>Revenus - Sociétés apparentées</v>
      </c>
      <c r="D40" s="8" t="s">
        <v>86</v>
      </c>
      <c r="E40" s="9" t="s">
        <v>89</v>
      </c>
      <c r="F40" s="10" t="s">
        <v>90</v>
      </c>
    </row>
    <row r="41" spans="1:6" x14ac:dyDescent="0.25">
      <c r="A41" s="14" t="str">
        <f t="shared" si="0"/>
        <v>Revenus - travaux en cours</v>
      </c>
      <c r="D41" s="8" t="s">
        <v>86</v>
      </c>
      <c r="E41" s="9" t="s">
        <v>91</v>
      </c>
      <c r="F41" s="10" t="s">
        <v>92</v>
      </c>
    </row>
    <row r="42" spans="1:6" x14ac:dyDescent="0.25">
      <c r="A42" s="14" t="str">
        <f t="shared" si="0"/>
        <v>Revenus d'intérêts</v>
      </c>
      <c r="D42" s="8" t="s">
        <v>86</v>
      </c>
      <c r="E42" s="9" t="s">
        <v>93</v>
      </c>
      <c r="F42" s="10" t="s">
        <v>94</v>
      </c>
    </row>
    <row r="43" spans="1:6" x14ac:dyDescent="0.25">
      <c r="A43" s="14" t="str">
        <f t="shared" si="0"/>
        <v>Revenus de dividendes</v>
      </c>
      <c r="D43" s="8" t="s">
        <v>86</v>
      </c>
      <c r="E43" s="9" t="s">
        <v>95</v>
      </c>
      <c r="F43" s="10" t="s">
        <v>96</v>
      </c>
    </row>
    <row r="44" spans="1:6" x14ac:dyDescent="0.25">
      <c r="A44" s="14" t="str">
        <f t="shared" si="0"/>
        <v>Prise de valeur - Valeur de consolidation</v>
      </c>
      <c r="D44" s="8" t="s">
        <v>86</v>
      </c>
      <c r="E44" s="9" t="s">
        <v>97</v>
      </c>
      <c r="F44" s="9" t="s">
        <v>98</v>
      </c>
    </row>
    <row r="45" spans="1:6" x14ac:dyDescent="0.25">
      <c r="A45" s="14" t="str">
        <f t="shared" si="0"/>
        <v>Doc. et outils de recherche</v>
      </c>
      <c r="D45" s="8" t="s">
        <v>99</v>
      </c>
      <c r="E45" s="9" t="s">
        <v>100</v>
      </c>
      <c r="F45" s="10" t="s">
        <v>101</v>
      </c>
    </row>
    <row r="46" spans="1:6" x14ac:dyDescent="0.25">
      <c r="A46" s="14" t="str">
        <f t="shared" si="0"/>
        <v>Formations</v>
      </c>
      <c r="D46" s="8" t="s">
        <v>99</v>
      </c>
      <c r="E46" s="9" t="s">
        <v>102</v>
      </c>
      <c r="F46" s="10" t="s">
        <v>103</v>
      </c>
    </row>
    <row r="47" spans="1:6" x14ac:dyDescent="0.25">
      <c r="A47" s="14" t="str">
        <f t="shared" si="0"/>
        <v>Fournitures de bureau</v>
      </c>
      <c r="D47" s="8" t="s">
        <v>99</v>
      </c>
      <c r="E47" s="9" t="s">
        <v>104</v>
      </c>
      <c r="F47" s="10" t="s">
        <v>105</v>
      </c>
    </row>
    <row r="48" spans="1:6" x14ac:dyDescent="0.25">
      <c r="A48" s="14" t="str">
        <f t="shared" si="0"/>
        <v>Frais de représentation</v>
      </c>
      <c r="D48" s="8" t="s">
        <v>99</v>
      </c>
      <c r="E48" s="9" t="s">
        <v>106</v>
      </c>
      <c r="F48" s="10" t="s">
        <v>107</v>
      </c>
    </row>
    <row r="49" spans="1:6" x14ac:dyDescent="0.25">
      <c r="A49" s="14" t="str">
        <f t="shared" si="0"/>
        <v>Golf / Pourvoirie</v>
      </c>
      <c r="D49" s="8" t="s">
        <v>99</v>
      </c>
      <c r="E49" s="9" t="s">
        <v>108</v>
      </c>
      <c r="F49" s="10" t="s">
        <v>109</v>
      </c>
    </row>
    <row r="50" spans="1:6" x14ac:dyDescent="0.25">
      <c r="A50" s="14" t="str">
        <f t="shared" si="0"/>
        <v>Frais de déplacement</v>
      </c>
      <c r="D50" s="8" t="s">
        <v>99</v>
      </c>
      <c r="E50" s="9" t="s">
        <v>110</v>
      </c>
      <c r="F50" s="10" t="s">
        <v>111</v>
      </c>
    </row>
    <row r="51" spans="1:6" x14ac:dyDescent="0.25">
      <c r="A51" s="14" t="str">
        <f t="shared" si="0"/>
        <v>Frais de publicité</v>
      </c>
      <c r="D51" s="8" t="s">
        <v>99</v>
      </c>
      <c r="E51" s="9" t="s">
        <v>112</v>
      </c>
      <c r="F51" s="10" t="s">
        <v>113</v>
      </c>
    </row>
    <row r="52" spans="1:6" x14ac:dyDescent="0.25">
      <c r="A52" s="14" t="str">
        <f t="shared" si="0"/>
        <v>Fournitures informatiques &amp; Site web</v>
      </c>
      <c r="D52" s="8" t="s">
        <v>99</v>
      </c>
      <c r="E52" s="9" t="s">
        <v>114</v>
      </c>
      <c r="F52" s="10" t="s">
        <v>115</v>
      </c>
    </row>
    <row r="53" spans="1:6" x14ac:dyDescent="0.25">
      <c r="A53" s="14" t="str">
        <f t="shared" si="0"/>
        <v>Loyer</v>
      </c>
      <c r="D53" s="8" t="s">
        <v>99</v>
      </c>
      <c r="E53" s="9" t="s">
        <v>116</v>
      </c>
      <c r="F53" s="10" t="s">
        <v>117</v>
      </c>
    </row>
    <row r="54" spans="1:6" x14ac:dyDescent="0.25">
      <c r="A54" s="14" t="str">
        <f t="shared" si="0"/>
        <v>Frais de communications</v>
      </c>
      <c r="D54" s="8" t="s">
        <v>99</v>
      </c>
      <c r="E54" s="9" t="s">
        <v>118</v>
      </c>
      <c r="F54" s="10" t="s">
        <v>119</v>
      </c>
    </row>
    <row r="55" spans="1:6" x14ac:dyDescent="0.25">
      <c r="A55" s="14" t="str">
        <f t="shared" si="0"/>
        <v>Frais de poste</v>
      </c>
      <c r="D55" s="8" t="s">
        <v>99</v>
      </c>
      <c r="E55" s="9" t="s">
        <v>120</v>
      </c>
      <c r="F55" s="10" t="s">
        <v>121</v>
      </c>
    </row>
    <row r="56" spans="1:6" x14ac:dyDescent="0.25">
      <c r="A56" s="14" t="str">
        <f t="shared" si="0"/>
        <v>Salaires et Sous-traitance</v>
      </c>
      <c r="D56" s="8" t="s">
        <v>99</v>
      </c>
      <c r="E56" s="9" t="s">
        <v>122</v>
      </c>
      <c r="F56" s="10" t="s">
        <v>123</v>
      </c>
    </row>
    <row r="57" spans="1:6" x14ac:dyDescent="0.25">
      <c r="A57" s="14" t="str">
        <f t="shared" si="0"/>
        <v>Assurance &amp; Cotisation professionnelle</v>
      </c>
      <c r="D57" s="8" t="s">
        <v>99</v>
      </c>
      <c r="E57" s="9" t="s">
        <v>124</v>
      </c>
      <c r="F57" s="10" t="s">
        <v>125</v>
      </c>
    </row>
    <row r="58" spans="1:6" x14ac:dyDescent="0.25">
      <c r="A58" s="14" t="str">
        <f t="shared" si="0"/>
        <v>Frais financiers</v>
      </c>
      <c r="D58" s="8" t="s">
        <v>99</v>
      </c>
      <c r="E58" s="9" t="s">
        <v>126</v>
      </c>
      <c r="F58" s="10" t="s">
        <v>127</v>
      </c>
    </row>
    <row r="59" spans="1:6" x14ac:dyDescent="0.25">
      <c r="A59" s="14" t="str">
        <f t="shared" si="0"/>
        <v>Amortissement</v>
      </c>
      <c r="D59" s="8" t="s">
        <v>99</v>
      </c>
      <c r="E59" s="9" t="s">
        <v>128</v>
      </c>
      <c r="F59" s="10" t="s">
        <v>129</v>
      </c>
    </row>
    <row r="60" spans="1:6" x14ac:dyDescent="0.25">
      <c r="A60" s="14" t="str">
        <f t="shared" si="0"/>
        <v>Mauvaises créances</v>
      </c>
      <c r="D60" s="8" t="s">
        <v>99</v>
      </c>
      <c r="E60" s="9" t="s">
        <v>130</v>
      </c>
      <c r="F60" s="10" t="s">
        <v>131</v>
      </c>
    </row>
    <row r="61" spans="1:6" x14ac:dyDescent="0.25">
      <c r="A61" s="14" t="str">
        <f t="shared" si="0"/>
        <v>Assurance - loyer</v>
      </c>
      <c r="D61" s="8" t="s">
        <v>99</v>
      </c>
      <c r="E61" s="9" t="s">
        <v>132</v>
      </c>
      <c r="F61" s="10" t="s">
        <v>133</v>
      </c>
    </row>
    <row r="62" spans="1:6" ht="15.75" thickBot="1" x14ac:dyDescent="0.3">
      <c r="A62" s="14" t="str">
        <f t="shared" si="0"/>
        <v>Impôts exigibles</v>
      </c>
      <c r="D62" s="11" t="s">
        <v>99</v>
      </c>
      <c r="E62" s="12" t="s">
        <v>134</v>
      </c>
      <c r="F62" s="13" t="s">
        <v>135</v>
      </c>
    </row>
  </sheetData>
  <mergeCells count="1">
    <mergeCell ref="D1:F1"/>
  </mergeCells>
  <conditionalFormatting sqref="D3:F22">
    <cfRule type="expression" dxfId="20" priority="7">
      <formula>#REF!=ROW()</formula>
    </cfRule>
  </conditionalFormatting>
  <conditionalFormatting sqref="D3:F9">
    <cfRule type="expression" dxfId="19" priority="8">
      <formula>AND($K1&lt;&gt;"",MOD(ROW(),2)=0)</formula>
    </cfRule>
  </conditionalFormatting>
  <conditionalFormatting sqref="D3:F62">
    <cfRule type="expression" dxfId="18" priority="6">
      <formula>MOD(ROW(),2)=0</formula>
    </cfRule>
  </conditionalFormatting>
  <conditionalFormatting sqref="D5:F42 D56:F57">
    <cfRule type="expression" dxfId="17" priority="9">
      <formula>AND($K1&lt;&gt;"",MOD(ROW(),2)=0)</formula>
    </cfRule>
  </conditionalFormatting>
  <conditionalFormatting sqref="D8:F9 D3:F3">
    <cfRule type="expression" dxfId="16" priority="5">
      <formula>AND($K1048576&lt;&gt;"",MOD(ROW(),2)=0)</formula>
    </cfRule>
  </conditionalFormatting>
  <conditionalFormatting sqref="D3:D62">
    <cfRule type="expression" dxfId="15" priority="10">
      <formula>AND($L1048564&lt;&gt;"",MOD(ROW(),2)=0)</formula>
    </cfRule>
  </conditionalFormatting>
  <conditionalFormatting sqref="D46:F46">
    <cfRule type="expression" dxfId="14" priority="11">
      <formula>AND(#REF!&lt;&gt;"",MOD(ROW(),2)=0)</formula>
    </cfRule>
  </conditionalFormatting>
  <conditionalFormatting sqref="D50:F62">
    <cfRule type="expression" dxfId="13" priority="12">
      <formula>AND($K84&lt;&gt;"",MOD(ROW(),2)=0)</formula>
    </cfRule>
  </conditionalFormatting>
  <conditionalFormatting sqref="D58:F58">
    <cfRule type="expression" dxfId="12" priority="13">
      <formula>AND(#REF!&lt;&gt;"",MOD(ROW(),2)=0)</formula>
    </cfRule>
  </conditionalFormatting>
  <conditionalFormatting sqref="D62:F62">
    <cfRule type="expression" dxfId="11" priority="14">
      <formula>AND($K84&lt;&gt;"",MOD(ROW(),2)=0)</formula>
    </cfRule>
  </conditionalFormatting>
  <conditionalFormatting sqref="D47:F49">
    <cfRule type="expression" dxfId="10" priority="15">
      <formula>AND($K79&lt;&gt;"",MOD(ROW(),2)=0)</formula>
    </cfRule>
  </conditionalFormatting>
  <conditionalFormatting sqref="D59:F61">
    <cfRule type="expression" dxfId="9" priority="16">
      <formula>AND($K79&lt;&gt;"",MOD(ROW(),2)=0)</formula>
    </cfRule>
  </conditionalFormatting>
  <conditionalFormatting sqref="D4:F4">
    <cfRule type="expression" dxfId="8" priority="17">
      <formula>AND(#REF!&lt;&gt;"",MOD(ROW(),2)=0)</formula>
    </cfRule>
  </conditionalFormatting>
  <conditionalFormatting sqref="D52:F54">
    <cfRule type="expression" dxfId="7" priority="18">
      <formula>AND($K36&lt;&gt;"",MOD(ROW(),2)=0)</formula>
    </cfRule>
  </conditionalFormatting>
  <conditionalFormatting sqref="D43:F43">
    <cfRule type="expression" dxfId="6" priority="24">
      <formula>AND($K50&lt;&gt;"",MOD(ROW(),2)=0)</formula>
    </cfRule>
  </conditionalFormatting>
  <conditionalFormatting sqref="D55:F55">
    <cfRule type="expression" dxfId="5" priority="25">
      <formula>AND($K50&lt;&gt;"",MOD(ROW(),2)=0)</formula>
    </cfRule>
  </conditionalFormatting>
  <conditionalFormatting sqref="D44:F45">
    <cfRule type="expression" dxfId="4" priority="26">
      <formula>AND($K52&lt;&gt;"",MOD(ROW(),2)=0)</formula>
    </cfRule>
  </conditionalFormatting>
  <conditionalFormatting sqref="C1:C10">
    <cfRule type="expression" dxfId="3" priority="2">
      <formula>#REF!=ROW()</formula>
    </cfRule>
  </conditionalFormatting>
  <conditionalFormatting sqref="C1:C10">
    <cfRule type="expression" dxfId="2" priority="3">
      <formula>AND($K1048575&lt;&gt;"",MOD(ROW(),2)=0)</formula>
    </cfRule>
  </conditionalFormatting>
  <conditionalFormatting sqref="C1:C10">
    <cfRule type="expression" dxfId="1" priority="1">
      <formula>MOD(ROW(),2)=0</formula>
    </cfRule>
  </conditionalFormatting>
  <conditionalFormatting sqref="C1:C10">
    <cfRule type="expression" dxfId="0" priority="4">
      <formula>AND(#REF!&lt;&gt;"",MOD(ROW(),2)=0)</formula>
    </cfRule>
  </conditionalFormatting>
  <dataValidations disablePrompts="1" count="2">
    <dataValidation type="list" allowBlank="1" showInputMessage="1" showErrorMessage="1" sqref="D3" xr:uid="{70D5748E-BF61-4D7E-B4DF-472BC11650A6}">
      <formula1>AcctType</formula1>
    </dataValidation>
    <dataValidation type="list" allowBlank="1" showInputMessage="1" showErrorMessage="1" errorTitle="Incorrect Account" error="Please select a correct Account Type from the drop down list" sqref="D4:D62" xr:uid="{8299B4F0-0545-4319-AD5B-8504E1AE8268}">
      <formula1>AcctType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EJ</vt:lpstr>
      <vt:lpstr>Transactions</vt:lpstr>
      <vt:lpstr>PlanComptable</vt:lpstr>
      <vt:lpstr>Transactions!Impression_des_titres</vt:lpstr>
      <vt:lpstr>Transactions!Zone_d_impression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2023-10-08T15:15:49Z</cp:lastPrinted>
  <dcterms:created xsi:type="dcterms:W3CDTF">2023-10-05T16:17:00Z</dcterms:created>
  <dcterms:modified xsi:type="dcterms:W3CDTF">2023-10-08T15:41:55Z</dcterms:modified>
</cp:coreProperties>
</file>